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cafequindiosas-my.sharepoint.com/personal/asistenteventas_cafequindio_com_co/Documents/ASISTENTE VENTAS/2. AVANCE PRESUPUESTAL/AVANCE PRESUPUESTO 2026/"/>
    </mc:Choice>
  </mc:AlternateContent>
  <xr:revisionPtr revIDLastSave="2199" documentId="8_{3A0D2094-3818-4667-93BE-6576359E0BCD}" xr6:coauthVersionLast="47" xr6:coauthVersionMax="47" xr10:uidLastSave="{FDA8FFA7-D5D3-4188-913B-DF799F1CC773}"/>
  <bookViews>
    <workbookView xWindow="28680" yWindow="-120" windowWidth="29040" windowHeight="15720" tabRatio="599" firstSheet="1" activeTab="9" xr2:uid="{E39EE4E5-822C-4A2C-A838-51F658D789DB}"/>
  </bookViews>
  <sheets>
    <sheet name="AGO 3" sheetId="13" r:id="rId1"/>
    <sheet name="AGO 4" sheetId="14" r:id="rId2"/>
    <sheet name="AGO 5" sheetId="15" r:id="rId3"/>
    <sheet name="AGO 6" sheetId="16" r:id="rId4"/>
    <sheet name="AGO 9" sheetId="17" r:id="rId5"/>
    <sheet name="AGO 11" sheetId="18" r:id="rId6"/>
    <sheet name="AGO 12" sheetId="19" r:id="rId7"/>
    <sheet name="AGO 13" sheetId="20" r:id="rId8"/>
    <sheet name="AGO 14" sheetId="21" r:id="rId9"/>
    <sheet name="AGO 17" sheetId="22" r:id="rId10"/>
    <sheet name="FSP" sheetId="3" r:id="rId11"/>
    <sheet name="KAM CAD" sheetId="4" r:id="rId12"/>
  </sheets>
  <externalReferences>
    <externalReference r:id="rId13"/>
  </externalReferences>
  <definedNames>
    <definedName name="_xlnm._FilterDatabase" localSheetId="5" hidden="1">'AGO 11'!#REF!</definedName>
    <definedName name="_xlnm._FilterDatabase" localSheetId="6" hidden="1">'AGO 12'!#REF!</definedName>
    <definedName name="_xlnm._FilterDatabase" localSheetId="7" hidden="1">'AGO 13'!#REF!</definedName>
    <definedName name="_xlnm._FilterDatabase" localSheetId="8" hidden="1">'AGO 14'!#REF!</definedName>
    <definedName name="_xlnm._FilterDatabase" localSheetId="9" hidden="1">'AGO 17'!#REF!</definedName>
    <definedName name="_xlnm._FilterDatabase" localSheetId="0" hidden="1">'AGO 3'!#REF!</definedName>
    <definedName name="_xlnm._FilterDatabase" localSheetId="1" hidden="1">'AGO 4'!#REF!</definedName>
    <definedName name="_xlnm._FilterDatabase" localSheetId="2" hidden="1">'AGO 5'!#REF!</definedName>
    <definedName name="_xlnm._FilterDatabase" localSheetId="3" hidden="1">'AGO 6'!#REF!</definedName>
    <definedName name="_xlnm._FilterDatabase" localSheetId="4" hidden="1">'AGO 9'!#REF!</definedName>
    <definedName name="_xlnm._FilterDatabase" localSheetId="11" hidden="1">'KAM CAD'!$A$1:$D$65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09" i="22" l="1"/>
  <c r="E307" i="22"/>
  <c r="D307" i="22"/>
  <c r="C307" i="22"/>
  <c r="F307" i="22" s="1"/>
  <c r="G306" i="22"/>
  <c r="F306" i="22"/>
  <c r="G305" i="22"/>
  <c r="F305" i="22"/>
  <c r="G304" i="22"/>
  <c r="F304" i="22"/>
  <c r="G303" i="22"/>
  <c r="F303" i="22"/>
  <c r="G302" i="22"/>
  <c r="F302" i="22"/>
  <c r="G301" i="22"/>
  <c r="F301" i="22"/>
  <c r="G300" i="22"/>
  <c r="F300" i="22"/>
  <c r="G299" i="22"/>
  <c r="F299" i="22"/>
  <c r="G298" i="22"/>
  <c r="F298" i="22"/>
  <c r="G297" i="22"/>
  <c r="F297" i="22"/>
  <c r="G296" i="22"/>
  <c r="F296" i="22"/>
  <c r="G295" i="22"/>
  <c r="F295" i="22"/>
  <c r="G294" i="22"/>
  <c r="F294" i="22"/>
  <c r="G293" i="22"/>
  <c r="F293" i="22"/>
  <c r="G292" i="22"/>
  <c r="F292" i="22"/>
  <c r="G291" i="22"/>
  <c r="F291" i="22"/>
  <c r="G290" i="22"/>
  <c r="F290" i="22"/>
  <c r="G289" i="22"/>
  <c r="F289" i="22"/>
  <c r="G288" i="22"/>
  <c r="F288" i="22"/>
  <c r="G287" i="22"/>
  <c r="F287" i="22"/>
  <c r="G286" i="22"/>
  <c r="F286" i="22"/>
  <c r="G285" i="22"/>
  <c r="F285" i="22"/>
  <c r="G284" i="22"/>
  <c r="F284" i="22"/>
  <c r="F278" i="22"/>
  <c r="E278" i="22"/>
  <c r="E264" i="22" s="1"/>
  <c r="D278" i="22"/>
  <c r="D264" i="22" s="1"/>
  <c r="C278" i="22"/>
  <c r="L277" i="22"/>
  <c r="H277" i="22" s="1"/>
  <c r="J277" i="22" a="1"/>
  <c r="J277" i="22" s="1"/>
  <c r="G277" i="22"/>
  <c r="L276" i="22"/>
  <c r="M276" i="22" s="1"/>
  <c r="I276" i="22" s="1"/>
  <c r="J276" i="22" a="1"/>
  <c r="J276" i="22" s="1"/>
  <c r="L275" i="22"/>
  <c r="M275" i="22" s="1"/>
  <c r="I275" i="22" s="1"/>
  <c r="J275" i="22" a="1"/>
  <c r="J275" i="22" s="1"/>
  <c r="G275" i="22"/>
  <c r="L274" i="22"/>
  <c r="H274" i="22" s="1"/>
  <c r="J274" i="22" a="1"/>
  <c r="J274" i="22" s="1"/>
  <c r="G274" i="22"/>
  <c r="L273" i="22"/>
  <c r="M273" i="22" s="1"/>
  <c r="I273" i="22" s="1"/>
  <c r="J273" i="22" a="1"/>
  <c r="J273" i="22" s="1"/>
  <c r="G273" i="22"/>
  <c r="L272" i="22"/>
  <c r="H272" i="22" s="1"/>
  <c r="J272" i="22" a="1"/>
  <c r="J272" i="22" s="1"/>
  <c r="G272" i="22"/>
  <c r="L271" i="22"/>
  <c r="M271" i="22" s="1"/>
  <c r="I271" i="22" s="1"/>
  <c r="J271" i="22" a="1"/>
  <c r="J271" i="22" s="1"/>
  <c r="G271" i="22"/>
  <c r="L270" i="22"/>
  <c r="H270" i="22" s="1"/>
  <c r="J270" i="22" a="1"/>
  <c r="J270" i="22" s="1"/>
  <c r="G270" i="22"/>
  <c r="L269" i="22"/>
  <c r="M269" i="22" s="1"/>
  <c r="I269" i="22" s="1"/>
  <c r="J269" i="22" a="1"/>
  <c r="J269" i="22" s="1"/>
  <c r="G269" i="22"/>
  <c r="L268" i="22"/>
  <c r="M268" i="22" s="1"/>
  <c r="I268" i="22" s="1"/>
  <c r="J268" i="22" a="1"/>
  <c r="J268" i="22" s="1"/>
  <c r="G268" i="22"/>
  <c r="L267" i="22"/>
  <c r="M267" i="22" s="1"/>
  <c r="I267" i="22" s="1"/>
  <c r="J267" i="22" a="1"/>
  <c r="J267" i="22" s="1"/>
  <c r="H267" i="22"/>
  <c r="G267" i="22"/>
  <c r="L266" i="22"/>
  <c r="M266" i="22" s="1"/>
  <c r="I266" i="22" s="1"/>
  <c r="J266" i="22" a="1"/>
  <c r="J266" i="22" s="1"/>
  <c r="G266" i="22"/>
  <c r="L265" i="22"/>
  <c r="M265" i="22" s="1"/>
  <c r="I265" i="22" s="1"/>
  <c r="J265" i="22" a="1"/>
  <c r="J265" i="22" s="1"/>
  <c r="H265" i="22"/>
  <c r="G265" i="22"/>
  <c r="J264" i="22" a="1"/>
  <c r="J264" i="22" s="1"/>
  <c r="F264" i="22"/>
  <c r="J263" i="22" a="1"/>
  <c r="J263" i="22" s="1"/>
  <c r="D263" i="22"/>
  <c r="C263" i="22"/>
  <c r="L262" i="22"/>
  <c r="M262" i="22" s="1"/>
  <c r="I262" i="22" s="1"/>
  <c r="J262" i="22" a="1"/>
  <c r="J262" i="22" s="1"/>
  <c r="G262" i="22"/>
  <c r="L261" i="22"/>
  <c r="M261" i="22" s="1"/>
  <c r="I261" i="22" s="1"/>
  <c r="J261" i="22" a="1"/>
  <c r="J261" i="22" s="1"/>
  <c r="G261" i="22"/>
  <c r="L260" i="22"/>
  <c r="M260" i="22" s="1"/>
  <c r="I260" i="22" s="1"/>
  <c r="J260" i="22" a="1"/>
  <c r="J260" i="22" s="1"/>
  <c r="G260" i="22"/>
  <c r="J259" i="22" a="1"/>
  <c r="J259" i="22" s="1"/>
  <c r="F259" i="22"/>
  <c r="F248" i="22" s="1"/>
  <c r="E259" i="22"/>
  <c r="E248" i="22" s="1"/>
  <c r="D259" i="22"/>
  <c r="C259" i="22"/>
  <c r="L258" i="22"/>
  <c r="H258" i="22" s="1"/>
  <c r="J258" i="22" a="1"/>
  <c r="J258" i="22" s="1"/>
  <c r="G258" i="22"/>
  <c r="L257" i="22"/>
  <c r="M257" i="22" s="1"/>
  <c r="I257" i="22" s="1"/>
  <c r="J257" i="22" a="1"/>
  <c r="J257" i="22" s="1"/>
  <c r="G257" i="22"/>
  <c r="L256" i="22"/>
  <c r="M256" i="22" s="1"/>
  <c r="I256" i="22" s="1"/>
  <c r="J256" i="22" a="1"/>
  <c r="J256" i="22" s="1"/>
  <c r="L255" i="22"/>
  <c r="H255" i="22" s="1"/>
  <c r="J255" i="22" a="1"/>
  <c r="J255" i="22" s="1"/>
  <c r="G255" i="22"/>
  <c r="L254" i="22"/>
  <c r="M254" i="22" s="1"/>
  <c r="I254" i="22" s="1"/>
  <c r="J254" i="22" a="1"/>
  <c r="J254" i="22" s="1"/>
  <c r="G254" i="22"/>
  <c r="L253" i="22"/>
  <c r="H253" i="22" s="1"/>
  <c r="J253" i="22" a="1"/>
  <c r="J253" i="22" s="1"/>
  <c r="G253" i="22"/>
  <c r="L252" i="22"/>
  <c r="M252" i="22" s="1"/>
  <c r="I252" i="22" s="1"/>
  <c r="J252" i="22" a="1"/>
  <c r="J252" i="22" s="1"/>
  <c r="G252" i="22"/>
  <c r="J251" i="22" a="1"/>
  <c r="J251" i="22" s="1"/>
  <c r="C251" i="22"/>
  <c r="G251" i="22" s="1"/>
  <c r="L250" i="22"/>
  <c r="H250" i="22" s="1"/>
  <c r="J250" i="22" a="1"/>
  <c r="J250" i="22" s="1"/>
  <c r="G250" i="22"/>
  <c r="L249" i="22"/>
  <c r="H249" i="22" s="1"/>
  <c r="J249" i="22" a="1"/>
  <c r="J249" i="22" s="1"/>
  <c r="G249" i="22"/>
  <c r="J248" i="22" a="1"/>
  <c r="J248" i="22" s="1"/>
  <c r="J247" i="22" a="1"/>
  <c r="J247" i="22" s="1"/>
  <c r="F247" i="22"/>
  <c r="F233" i="22" s="1"/>
  <c r="E247" i="22"/>
  <c r="E233" i="22" s="1"/>
  <c r="D247" i="22"/>
  <c r="D233" i="22" s="1"/>
  <c r="C247" i="22"/>
  <c r="L246" i="22"/>
  <c r="M246" i="22" s="1"/>
  <c r="I246" i="22" s="1"/>
  <c r="J246" i="22" a="1"/>
  <c r="J246" i="22" s="1"/>
  <c r="G246" i="22"/>
  <c r="L245" i="22"/>
  <c r="H245" i="22" s="1"/>
  <c r="J245" i="22" a="1"/>
  <c r="J245" i="22" s="1"/>
  <c r="G245" i="22"/>
  <c r="L244" i="22"/>
  <c r="M244" i="22" s="1"/>
  <c r="I244" i="22" s="1"/>
  <c r="J244" i="22" a="1"/>
  <c r="J244" i="22" s="1"/>
  <c r="G244" i="22"/>
  <c r="L243" i="22"/>
  <c r="H243" i="22" s="1"/>
  <c r="J243" i="22" a="1"/>
  <c r="J243" i="22" s="1"/>
  <c r="G243" i="22"/>
  <c r="L242" i="22"/>
  <c r="M242" i="22" s="1"/>
  <c r="I242" i="22" s="1"/>
  <c r="J242" i="22" a="1"/>
  <c r="J242" i="22" s="1"/>
  <c r="G242" i="22"/>
  <c r="L241" i="22"/>
  <c r="M241" i="22" s="1"/>
  <c r="I241" i="22" s="1"/>
  <c r="J241" i="22" a="1"/>
  <c r="J241" i="22" s="1"/>
  <c r="G241" i="22"/>
  <c r="L240" i="22"/>
  <c r="M240" i="22" s="1"/>
  <c r="I240" i="22" s="1"/>
  <c r="J240" i="22" a="1"/>
  <c r="J240" i="22" s="1"/>
  <c r="G240" i="22"/>
  <c r="L239" i="22"/>
  <c r="M239" i="22" s="1"/>
  <c r="I239" i="22" s="1"/>
  <c r="J239" i="22" a="1"/>
  <c r="J239" i="22" s="1"/>
  <c r="H239" i="22"/>
  <c r="G239" i="22"/>
  <c r="L238" i="22"/>
  <c r="M238" i="22" s="1"/>
  <c r="I238" i="22" s="1"/>
  <c r="J238" i="22" a="1"/>
  <c r="J238" i="22" s="1"/>
  <c r="G238" i="22"/>
  <c r="L237" i="22"/>
  <c r="H237" i="22" s="1"/>
  <c r="J237" i="22" a="1"/>
  <c r="J237" i="22" s="1"/>
  <c r="G237" i="22"/>
  <c r="L236" i="22"/>
  <c r="M236" i="22" s="1"/>
  <c r="I236" i="22" s="1"/>
  <c r="J236" i="22" a="1"/>
  <c r="J236" i="22" s="1"/>
  <c r="G236" i="22"/>
  <c r="L235" i="22"/>
  <c r="M235" i="22" s="1"/>
  <c r="I235" i="22" s="1"/>
  <c r="J235" i="22" a="1"/>
  <c r="J235" i="22" s="1"/>
  <c r="G235" i="22"/>
  <c r="L234" i="22"/>
  <c r="H234" i="22" s="1"/>
  <c r="J234" i="22" a="1"/>
  <c r="J234" i="22" s="1"/>
  <c r="G234" i="22"/>
  <c r="J233" i="22" a="1"/>
  <c r="J233" i="22" s="1"/>
  <c r="J232" i="22" a="1"/>
  <c r="J232" i="22" s="1"/>
  <c r="F232" i="22"/>
  <c r="F216" i="22" s="1"/>
  <c r="E232" i="22"/>
  <c r="E216" i="22" s="1"/>
  <c r="D232" i="22"/>
  <c r="D216" i="22" s="1"/>
  <c r="C232" i="22"/>
  <c r="C216" i="22" s="1"/>
  <c r="L231" i="22"/>
  <c r="M231" i="22" s="1"/>
  <c r="I231" i="22" s="1"/>
  <c r="K231" i="22"/>
  <c r="J231" i="22" a="1"/>
  <c r="J231" i="22" s="1"/>
  <c r="G231" i="22"/>
  <c r="L230" i="22"/>
  <c r="H230" i="22" s="1"/>
  <c r="J230" i="22" a="1"/>
  <c r="J230" i="22" s="1"/>
  <c r="G230" i="22"/>
  <c r="L229" i="22"/>
  <c r="M229" i="22" s="1"/>
  <c r="I229" i="22" s="1"/>
  <c r="J229" i="22" a="1"/>
  <c r="J229" i="22" s="1"/>
  <c r="G229" i="22"/>
  <c r="L228" i="22"/>
  <c r="H228" i="22" s="1"/>
  <c r="K228" i="22"/>
  <c r="J228" i="22" a="1"/>
  <c r="J228" i="22" s="1"/>
  <c r="G228" i="22"/>
  <c r="L227" i="22"/>
  <c r="M227" i="22" s="1"/>
  <c r="I227" i="22" s="1"/>
  <c r="J227" i="22" a="1"/>
  <c r="J227" i="22" s="1"/>
  <c r="G227" i="22"/>
  <c r="L226" i="22"/>
  <c r="H226" i="22" s="1"/>
  <c r="J226" i="22" a="1"/>
  <c r="J226" i="22" s="1"/>
  <c r="G226" i="22"/>
  <c r="L225" i="22"/>
  <c r="M225" i="22" s="1"/>
  <c r="I225" i="22" s="1"/>
  <c r="K225" i="22"/>
  <c r="J225" i="22" a="1"/>
  <c r="J225" i="22" s="1"/>
  <c r="G225" i="22"/>
  <c r="L224" i="22"/>
  <c r="H224" i="22" s="1"/>
  <c r="J224" i="22" a="1"/>
  <c r="J224" i="22" s="1"/>
  <c r="G224" i="22"/>
  <c r="L223" i="22"/>
  <c r="M223" i="22" s="1"/>
  <c r="I223" i="22" s="1"/>
  <c r="K223" i="22"/>
  <c r="J223" i="22" a="1"/>
  <c r="J223" i="22" s="1"/>
  <c r="G223" i="22"/>
  <c r="L222" i="22"/>
  <c r="M222" i="22" s="1"/>
  <c r="I222" i="22" s="1"/>
  <c r="J222" i="22" a="1"/>
  <c r="J222" i="22" s="1"/>
  <c r="G222" i="22"/>
  <c r="L221" i="22"/>
  <c r="M221" i="22" s="1"/>
  <c r="I221" i="22" s="1"/>
  <c r="K221" i="22"/>
  <c r="J221" i="22" a="1"/>
  <c r="J221" i="22" s="1"/>
  <c r="G221" i="22"/>
  <c r="L220" i="22"/>
  <c r="M220" i="22" s="1"/>
  <c r="I220" i="22" s="1"/>
  <c r="J220" i="22" a="1"/>
  <c r="J220" i="22" s="1"/>
  <c r="G220" i="22"/>
  <c r="L219" i="22"/>
  <c r="H219" i="22" s="1"/>
  <c r="J219" i="22" a="1"/>
  <c r="J219" i="22" s="1"/>
  <c r="G219" i="22"/>
  <c r="L218" i="22"/>
  <c r="M218" i="22" s="1"/>
  <c r="I218" i="22" s="1"/>
  <c r="K218" i="22"/>
  <c r="J218" i="22" a="1"/>
  <c r="J218" i="22" s="1"/>
  <c r="G218" i="22"/>
  <c r="L217" i="22"/>
  <c r="M217" i="22" s="1"/>
  <c r="I217" i="22" s="1"/>
  <c r="K217" i="22"/>
  <c r="J217" i="22" a="1"/>
  <c r="J217" i="22" s="1"/>
  <c r="H217" i="22"/>
  <c r="G217" i="22"/>
  <c r="J216" i="22" a="1"/>
  <c r="J216" i="22" s="1"/>
  <c r="J215" i="22" a="1"/>
  <c r="J215" i="22" s="1"/>
  <c r="F215" i="22"/>
  <c r="F199" i="22" s="1"/>
  <c r="E215" i="22"/>
  <c r="E199" i="22" s="1"/>
  <c r="D215" i="22"/>
  <c r="D199" i="22" s="1"/>
  <c r="C215" i="22"/>
  <c r="C199" i="22" s="1"/>
  <c r="L214" i="22"/>
  <c r="H214" i="22" s="1"/>
  <c r="J214" i="22" a="1"/>
  <c r="J214" i="22" s="1"/>
  <c r="G214" i="22"/>
  <c r="L213" i="22"/>
  <c r="M213" i="22" s="1"/>
  <c r="I213" i="22" s="1"/>
  <c r="J213" i="22" a="1"/>
  <c r="J213" i="22" s="1"/>
  <c r="G213" i="22"/>
  <c r="L212" i="22"/>
  <c r="H212" i="22" s="1"/>
  <c r="J212" i="22" a="1"/>
  <c r="J212" i="22" s="1"/>
  <c r="G212" i="22"/>
  <c r="L211" i="22"/>
  <c r="M211" i="22" s="1"/>
  <c r="I211" i="22" s="1"/>
  <c r="J211" i="22" a="1"/>
  <c r="J211" i="22" s="1"/>
  <c r="G211" i="22"/>
  <c r="L210" i="22"/>
  <c r="H210" i="22" s="1"/>
  <c r="J210" i="22" a="1"/>
  <c r="J210" i="22" s="1"/>
  <c r="G210" i="22"/>
  <c r="L209" i="22"/>
  <c r="M209" i="22" s="1"/>
  <c r="I209" i="22" s="1"/>
  <c r="J209" i="22" a="1"/>
  <c r="J209" i="22" s="1"/>
  <c r="G209" i="22"/>
  <c r="L208" i="22"/>
  <c r="M208" i="22" s="1"/>
  <c r="I208" i="22" s="1"/>
  <c r="J208" i="22" a="1"/>
  <c r="J208" i="22" s="1"/>
  <c r="G208" i="22"/>
  <c r="L207" i="22"/>
  <c r="H207" i="22" s="1"/>
  <c r="J207" i="22" a="1"/>
  <c r="J207" i="22" s="1"/>
  <c r="G207" i="22"/>
  <c r="L206" i="22"/>
  <c r="M206" i="22" s="1"/>
  <c r="I206" i="22" s="1"/>
  <c r="J206" i="22" a="1"/>
  <c r="J206" i="22" s="1"/>
  <c r="G206" i="22"/>
  <c r="L205" i="22"/>
  <c r="H205" i="22" s="1"/>
  <c r="J205" i="22" a="1"/>
  <c r="J205" i="22" s="1"/>
  <c r="G205" i="22"/>
  <c r="L204" i="22"/>
  <c r="M204" i="22" s="1"/>
  <c r="I204" i="22" s="1"/>
  <c r="J204" i="22" a="1"/>
  <c r="J204" i="22" s="1"/>
  <c r="G204" i="22"/>
  <c r="L203" i="22"/>
  <c r="M203" i="22" s="1"/>
  <c r="I203" i="22" s="1"/>
  <c r="J203" i="22" a="1"/>
  <c r="J203" i="22" s="1"/>
  <c r="G203" i="22"/>
  <c r="L202" i="22"/>
  <c r="H202" i="22" s="1"/>
  <c r="J202" i="22" a="1"/>
  <c r="J202" i="22" s="1"/>
  <c r="G202" i="22"/>
  <c r="L201" i="22"/>
  <c r="M201" i="22" s="1"/>
  <c r="I201" i="22" s="1"/>
  <c r="J201" i="22" a="1"/>
  <c r="J201" i="22" s="1"/>
  <c r="G201" i="22"/>
  <c r="L200" i="22"/>
  <c r="M200" i="22" s="1"/>
  <c r="I200" i="22" s="1"/>
  <c r="J200" i="22" a="1"/>
  <c r="J200" i="22" s="1"/>
  <c r="G200" i="22"/>
  <c r="J199" i="22" a="1"/>
  <c r="J199" i="22" s="1"/>
  <c r="J198" i="22" a="1"/>
  <c r="J198" i="22" s="1"/>
  <c r="F198" i="22"/>
  <c r="E198" i="22"/>
  <c r="D198" i="22"/>
  <c r="C198" i="22"/>
  <c r="L197" i="22"/>
  <c r="M197" i="22" s="1"/>
  <c r="I197" i="22" s="1"/>
  <c r="J197" i="22" a="1"/>
  <c r="J197" i="22" s="1"/>
  <c r="G197" i="22"/>
  <c r="L196" i="22"/>
  <c r="M196" i="22" s="1"/>
  <c r="I196" i="22" s="1"/>
  <c r="J196" i="22" a="1"/>
  <c r="J196" i="22" s="1"/>
  <c r="G196" i="22"/>
  <c r="L195" i="22"/>
  <c r="M195" i="22" s="1"/>
  <c r="I195" i="22" s="1"/>
  <c r="J195" i="22" a="1"/>
  <c r="J195" i="22" s="1"/>
  <c r="H195" i="22"/>
  <c r="G195" i="22"/>
  <c r="L194" i="22"/>
  <c r="M194" i="22" s="1"/>
  <c r="I194" i="22" s="1"/>
  <c r="J194" i="22" a="1"/>
  <c r="J194" i="22" s="1"/>
  <c r="G194" i="22"/>
  <c r="L193" i="22"/>
  <c r="M193" i="22" s="1"/>
  <c r="I193" i="22" s="1"/>
  <c r="J193" i="22" a="1"/>
  <c r="J193" i="22" s="1"/>
  <c r="G193" i="22"/>
  <c r="L192" i="22"/>
  <c r="M192" i="22" s="1"/>
  <c r="I192" i="22" s="1"/>
  <c r="J192" i="22" a="1"/>
  <c r="J192" i="22" s="1"/>
  <c r="G192" i="22"/>
  <c r="L191" i="22"/>
  <c r="H191" i="22" s="1"/>
  <c r="J191" i="22" a="1"/>
  <c r="J191" i="22" s="1"/>
  <c r="G191" i="22"/>
  <c r="L190" i="22"/>
  <c r="H190" i="22" s="1"/>
  <c r="J190" i="22" a="1"/>
  <c r="J190" i="22" s="1"/>
  <c r="G190" i="22"/>
  <c r="L189" i="22"/>
  <c r="M189" i="22" s="1"/>
  <c r="I189" i="22" s="1"/>
  <c r="J189" i="22" a="1"/>
  <c r="J189" i="22" s="1"/>
  <c r="G189" i="22"/>
  <c r="L188" i="22"/>
  <c r="H188" i="22" s="1"/>
  <c r="J188" i="22" a="1"/>
  <c r="J188" i="22" s="1"/>
  <c r="G188" i="22"/>
  <c r="L187" i="22"/>
  <c r="M187" i="22" s="1"/>
  <c r="I187" i="22" s="1"/>
  <c r="J187" i="22" a="1"/>
  <c r="J187" i="22" s="1"/>
  <c r="G187" i="22"/>
  <c r="L186" i="22"/>
  <c r="H186" i="22" s="1"/>
  <c r="J186" i="22" a="1"/>
  <c r="J186" i="22" s="1"/>
  <c r="G186" i="22"/>
  <c r="L185" i="22"/>
  <c r="M185" i="22" s="1"/>
  <c r="I185" i="22" s="1"/>
  <c r="J185" i="22" a="1"/>
  <c r="J185" i="22" s="1"/>
  <c r="G185" i="22"/>
  <c r="L184" i="22"/>
  <c r="M184" i="22" s="1"/>
  <c r="I184" i="22" s="1"/>
  <c r="J184" i="22" a="1"/>
  <c r="J184" i="22" s="1"/>
  <c r="G184" i="22"/>
  <c r="J183" i="22" a="1"/>
  <c r="J183" i="22" s="1"/>
  <c r="F183" i="22"/>
  <c r="E183" i="22"/>
  <c r="D183" i="22"/>
  <c r="C183" i="22"/>
  <c r="G183" i="22" s="1"/>
  <c r="L182" i="22"/>
  <c r="H182" i="22" s="1"/>
  <c r="J182" i="22" a="1"/>
  <c r="J182" i="22" s="1"/>
  <c r="G182" i="22"/>
  <c r="L181" i="22"/>
  <c r="M181" i="22" s="1"/>
  <c r="I181" i="22" s="1"/>
  <c r="J181" i="22" a="1"/>
  <c r="J181" i="22" s="1"/>
  <c r="G181" i="22"/>
  <c r="L180" i="22"/>
  <c r="M180" i="22" s="1"/>
  <c r="I180" i="22" s="1"/>
  <c r="J180" i="22" a="1"/>
  <c r="J180" i="22" s="1"/>
  <c r="H180" i="22"/>
  <c r="G180" i="22"/>
  <c r="L179" i="22"/>
  <c r="H179" i="22" s="1"/>
  <c r="J179" i="22" a="1"/>
  <c r="J179" i="22" s="1"/>
  <c r="G179" i="22"/>
  <c r="L178" i="22"/>
  <c r="M178" i="22" s="1"/>
  <c r="I178" i="22" s="1"/>
  <c r="J178" i="22" a="1"/>
  <c r="J178" i="22" s="1"/>
  <c r="G178" i="22"/>
  <c r="L177" i="22"/>
  <c r="M177" i="22" s="1"/>
  <c r="I177" i="22" s="1"/>
  <c r="J177" i="22" a="1"/>
  <c r="J177" i="22" s="1"/>
  <c r="G177" i="22"/>
  <c r="L176" i="22"/>
  <c r="M176" i="22" s="1"/>
  <c r="I176" i="22" s="1"/>
  <c r="J176" i="22" a="1"/>
  <c r="J176" i="22" s="1"/>
  <c r="G176" i="22"/>
  <c r="L175" i="22"/>
  <c r="H175" i="22" s="1"/>
  <c r="J175" i="22" a="1"/>
  <c r="J175" i="22" s="1"/>
  <c r="G175" i="22"/>
  <c r="L174" i="22"/>
  <c r="M174" i="22" s="1"/>
  <c r="I174" i="22" s="1"/>
  <c r="J174" i="22" a="1"/>
  <c r="J174" i="22" s="1"/>
  <c r="G174" i="22"/>
  <c r="L173" i="22"/>
  <c r="M173" i="22" s="1"/>
  <c r="I173" i="22" s="1"/>
  <c r="J173" i="22" a="1"/>
  <c r="J173" i="22" s="1"/>
  <c r="G173" i="22"/>
  <c r="L172" i="22"/>
  <c r="H172" i="22" s="1"/>
  <c r="J172" i="22" a="1"/>
  <c r="J172" i="22" s="1"/>
  <c r="G172" i="22"/>
  <c r="L171" i="22"/>
  <c r="H171" i="22" s="1"/>
  <c r="J171" i="22" a="1"/>
  <c r="J171" i="22" s="1"/>
  <c r="G171" i="22"/>
  <c r="L170" i="22"/>
  <c r="H170" i="22" s="1"/>
  <c r="J170" i="22" a="1"/>
  <c r="J170" i="22" s="1"/>
  <c r="G170" i="22"/>
  <c r="L169" i="22"/>
  <c r="M169" i="22" s="1"/>
  <c r="I169" i="22" s="1"/>
  <c r="J169" i="22" a="1"/>
  <c r="J169" i="22" s="1"/>
  <c r="G169" i="22"/>
  <c r="L168" i="22"/>
  <c r="H168" i="22" s="1"/>
  <c r="J168" i="22" a="1"/>
  <c r="J168" i="22" s="1"/>
  <c r="G168" i="22"/>
  <c r="J167" i="22" a="1"/>
  <c r="J167" i="22" s="1"/>
  <c r="F167" i="22"/>
  <c r="E167" i="22"/>
  <c r="D167" i="22"/>
  <c r="C167" i="22"/>
  <c r="L166" i="22"/>
  <c r="H166" i="22" s="1"/>
  <c r="J166" i="22" a="1"/>
  <c r="J166" i="22" s="1"/>
  <c r="G166" i="22"/>
  <c r="L165" i="22"/>
  <c r="M165" i="22" s="1"/>
  <c r="I165" i="22" s="1"/>
  <c r="J165" i="22" a="1"/>
  <c r="J165" i="22" s="1"/>
  <c r="G165" i="22"/>
  <c r="L164" i="22"/>
  <c r="H164" i="22" s="1"/>
  <c r="J164" i="22" a="1"/>
  <c r="J164" i="22" s="1"/>
  <c r="G164" i="22"/>
  <c r="L163" i="22"/>
  <c r="M163" i="22" s="1"/>
  <c r="I163" i="22" s="1"/>
  <c r="J163" i="22" a="1"/>
  <c r="J163" i="22" s="1"/>
  <c r="G163" i="22"/>
  <c r="L162" i="22"/>
  <c r="H162" i="22" s="1"/>
  <c r="J162" i="22" a="1"/>
  <c r="J162" i="22" s="1"/>
  <c r="G162" i="22"/>
  <c r="L161" i="22"/>
  <c r="M161" i="22" s="1"/>
  <c r="I161" i="22" s="1"/>
  <c r="J161" i="22" a="1"/>
  <c r="J161" i="22" s="1"/>
  <c r="G161" i="22"/>
  <c r="L160" i="22"/>
  <c r="M160" i="22" s="1"/>
  <c r="I160" i="22" s="1"/>
  <c r="J160" i="22" a="1"/>
  <c r="J160" i="22" s="1"/>
  <c r="G160" i="22"/>
  <c r="L159" i="22"/>
  <c r="H159" i="22" s="1"/>
  <c r="J159" i="22" a="1"/>
  <c r="J159" i="22" s="1"/>
  <c r="G159" i="22"/>
  <c r="L158" i="22"/>
  <c r="M158" i="22" s="1"/>
  <c r="I158" i="22" s="1"/>
  <c r="J158" i="22" a="1"/>
  <c r="J158" i="22" s="1"/>
  <c r="G158" i="22"/>
  <c r="L157" i="22"/>
  <c r="M157" i="22" s="1"/>
  <c r="I157" i="22" s="1"/>
  <c r="J157" i="22" a="1"/>
  <c r="J157" i="22" s="1"/>
  <c r="H157" i="22"/>
  <c r="G157" i="22"/>
  <c r="L156" i="22"/>
  <c r="M156" i="22" s="1"/>
  <c r="I156" i="22" s="1"/>
  <c r="J156" i="22" a="1"/>
  <c r="J156" i="22" s="1"/>
  <c r="G156" i="22"/>
  <c r="L155" i="22"/>
  <c r="M155" i="22" s="1"/>
  <c r="I155" i="22" s="1"/>
  <c r="J155" i="22" a="1"/>
  <c r="J155" i="22" s="1"/>
  <c r="G155" i="22"/>
  <c r="L154" i="22"/>
  <c r="M154" i="22" s="1"/>
  <c r="I154" i="22" s="1"/>
  <c r="J154" i="22" a="1"/>
  <c r="J154" i="22" s="1"/>
  <c r="G154" i="22"/>
  <c r="L153" i="22"/>
  <c r="M153" i="22" s="1"/>
  <c r="I153" i="22" s="1"/>
  <c r="J153" i="22" a="1"/>
  <c r="J153" i="22" s="1"/>
  <c r="G153" i="22"/>
  <c r="L152" i="22"/>
  <c r="M152" i="22" s="1"/>
  <c r="I152" i="22" s="1"/>
  <c r="J152" i="22" a="1"/>
  <c r="J152" i="22" s="1"/>
  <c r="G152" i="22"/>
  <c r="L151" i="22"/>
  <c r="H151" i="22" s="1"/>
  <c r="J151" i="22" a="1"/>
  <c r="J151" i="22" s="1"/>
  <c r="G151" i="22"/>
  <c r="J150" i="22" a="1"/>
  <c r="J150" i="22" s="1"/>
  <c r="F150" i="22"/>
  <c r="E150" i="22"/>
  <c r="D150" i="22"/>
  <c r="C150" i="22"/>
  <c r="L149" i="22"/>
  <c r="M149" i="22" s="1"/>
  <c r="I149" i="22" s="1"/>
  <c r="J149" i="22" a="1"/>
  <c r="J149" i="22" s="1"/>
  <c r="G149" i="22"/>
  <c r="L148" i="22"/>
  <c r="H148" i="22" s="1"/>
  <c r="J148" i="22" a="1"/>
  <c r="J148" i="22" s="1"/>
  <c r="G148" i="22"/>
  <c r="L147" i="22"/>
  <c r="H147" i="22" s="1"/>
  <c r="J147" i="22" a="1"/>
  <c r="J147" i="22" s="1"/>
  <c r="G147" i="22"/>
  <c r="L146" i="22"/>
  <c r="M146" i="22" s="1"/>
  <c r="I146" i="22" s="1"/>
  <c r="J146" i="22" a="1"/>
  <c r="J146" i="22" s="1"/>
  <c r="G146" i="22"/>
  <c r="L145" i="22"/>
  <c r="M145" i="22" s="1"/>
  <c r="I145" i="22" s="1"/>
  <c r="J145" i="22" a="1"/>
  <c r="J145" i="22" s="1"/>
  <c r="G145" i="22"/>
  <c r="L144" i="22"/>
  <c r="H144" i="22" s="1"/>
  <c r="J144" i="22" a="1"/>
  <c r="J144" i="22" s="1"/>
  <c r="G144" i="22"/>
  <c r="L143" i="22"/>
  <c r="M143" i="22" s="1"/>
  <c r="I143" i="22" s="1"/>
  <c r="J143" i="22" a="1"/>
  <c r="J143" i="22" s="1"/>
  <c r="G143" i="22"/>
  <c r="L142" i="22"/>
  <c r="H142" i="22" s="1"/>
  <c r="J142" i="22" a="1"/>
  <c r="J142" i="22" s="1"/>
  <c r="G142" i="22"/>
  <c r="L141" i="22"/>
  <c r="M141" i="22" s="1"/>
  <c r="I141" i="22" s="1"/>
  <c r="J141" i="22" a="1"/>
  <c r="J141" i="22" s="1"/>
  <c r="G141" i="22"/>
  <c r="L140" i="22"/>
  <c r="M140" i="22" s="1"/>
  <c r="I140" i="22" s="1"/>
  <c r="J140" i="22" a="1"/>
  <c r="J140" i="22" s="1"/>
  <c r="G140" i="22"/>
  <c r="L139" i="22"/>
  <c r="H139" i="22" s="1"/>
  <c r="J139" i="22" a="1"/>
  <c r="J139" i="22" s="1"/>
  <c r="G139" i="22"/>
  <c r="L138" i="22"/>
  <c r="M138" i="22" s="1"/>
  <c r="I138" i="22" s="1"/>
  <c r="J138" i="22" a="1"/>
  <c r="J138" i="22" s="1"/>
  <c r="G138" i="22"/>
  <c r="L137" i="22"/>
  <c r="M137" i="22" s="1"/>
  <c r="I137" i="22" s="1"/>
  <c r="J137" i="22" a="1"/>
  <c r="J137" i="22" s="1"/>
  <c r="H137" i="22"/>
  <c r="G137" i="22"/>
  <c r="L136" i="22"/>
  <c r="M136" i="22" s="1"/>
  <c r="I136" i="22" s="1"/>
  <c r="J136" i="22" a="1"/>
  <c r="J136" i="22" s="1"/>
  <c r="G136" i="22"/>
  <c r="J135" i="22" a="1"/>
  <c r="J135" i="22" s="1"/>
  <c r="F135" i="22"/>
  <c r="E135" i="22"/>
  <c r="D135" i="22"/>
  <c r="C135" i="22"/>
  <c r="L134" i="22"/>
  <c r="M134" i="22" s="1"/>
  <c r="I134" i="22" s="1"/>
  <c r="J134" i="22" a="1"/>
  <c r="J134" i="22" s="1"/>
  <c r="G134" i="22"/>
  <c r="L133" i="22"/>
  <c r="M133" i="22" s="1"/>
  <c r="I133" i="22" s="1"/>
  <c r="J133" i="22" a="1"/>
  <c r="J133" i="22" s="1"/>
  <c r="H133" i="22"/>
  <c r="G133" i="22"/>
  <c r="L132" i="22"/>
  <c r="M132" i="22" s="1"/>
  <c r="I132" i="22" s="1"/>
  <c r="J132" i="22" a="1"/>
  <c r="J132" i="22" s="1"/>
  <c r="G132" i="22"/>
  <c r="L131" i="22"/>
  <c r="M131" i="22" s="1"/>
  <c r="I131" i="22" s="1"/>
  <c r="J131" i="22" a="1"/>
  <c r="J131" i="22" s="1"/>
  <c r="G131" i="22"/>
  <c r="L130" i="22"/>
  <c r="M130" i="22" s="1"/>
  <c r="I130" i="22" s="1"/>
  <c r="J130" i="22" a="1"/>
  <c r="J130" i="22" s="1"/>
  <c r="G130" i="22"/>
  <c r="L129" i="22"/>
  <c r="M129" i="22" s="1"/>
  <c r="I129" i="22" s="1"/>
  <c r="J129" i="22" a="1"/>
  <c r="J129" i="22" s="1"/>
  <c r="H129" i="22"/>
  <c r="G129" i="22"/>
  <c r="L128" i="22"/>
  <c r="M128" i="22" s="1"/>
  <c r="I128" i="22" s="1"/>
  <c r="J128" i="22" a="1"/>
  <c r="J128" i="22" s="1"/>
  <c r="G128" i="22"/>
  <c r="L127" i="22"/>
  <c r="H127" i="22" s="1"/>
  <c r="J127" i="22" a="1"/>
  <c r="J127" i="22" s="1"/>
  <c r="G127" i="22"/>
  <c r="L126" i="22"/>
  <c r="H126" i="22" s="1"/>
  <c r="J126" i="22" a="1"/>
  <c r="J126" i="22" s="1"/>
  <c r="G126" i="22"/>
  <c r="L125" i="22"/>
  <c r="M125" i="22" s="1"/>
  <c r="I125" i="22" s="1"/>
  <c r="J125" i="22" a="1"/>
  <c r="J125" i="22" s="1"/>
  <c r="G125" i="22"/>
  <c r="L124" i="22"/>
  <c r="H124" i="22" s="1"/>
  <c r="J124" i="22" a="1"/>
  <c r="J124" i="22" s="1"/>
  <c r="G124" i="22"/>
  <c r="L123" i="22"/>
  <c r="M123" i="22" s="1"/>
  <c r="I123" i="22" s="1"/>
  <c r="J123" i="22" a="1"/>
  <c r="J123" i="22" s="1"/>
  <c r="G123" i="22"/>
  <c r="L122" i="22"/>
  <c r="H122" i="22" s="1"/>
  <c r="J122" i="22" a="1"/>
  <c r="J122" i="22" s="1"/>
  <c r="G122" i="22"/>
  <c r="J121" i="22" a="1"/>
  <c r="J121" i="22" s="1"/>
  <c r="F121" i="22"/>
  <c r="E121" i="22"/>
  <c r="D121" i="22"/>
  <c r="C121" i="22"/>
  <c r="L120" i="22"/>
  <c r="H120" i="22" s="1"/>
  <c r="J120" i="22" a="1"/>
  <c r="J120" i="22" s="1"/>
  <c r="G120" i="22"/>
  <c r="L119" i="22"/>
  <c r="M119" i="22" s="1"/>
  <c r="I119" i="22" s="1"/>
  <c r="J119" i="22" a="1"/>
  <c r="J119" i="22" s="1"/>
  <c r="G119" i="22"/>
  <c r="L118" i="22"/>
  <c r="M118" i="22" s="1"/>
  <c r="I118" i="22" s="1"/>
  <c r="J118" i="22" a="1"/>
  <c r="J118" i="22" s="1"/>
  <c r="G118" i="22"/>
  <c r="L117" i="22"/>
  <c r="M117" i="22" s="1"/>
  <c r="I117" i="22" s="1"/>
  <c r="J117" i="22" a="1"/>
  <c r="J117" i="22" s="1"/>
  <c r="G117" i="22"/>
  <c r="L116" i="22"/>
  <c r="M116" i="22" s="1"/>
  <c r="I116" i="22" s="1"/>
  <c r="J116" i="22" a="1"/>
  <c r="J116" i="22" s="1"/>
  <c r="G116" i="22"/>
  <c r="L115" i="22"/>
  <c r="H115" i="22" s="1"/>
  <c r="J115" i="22" a="1"/>
  <c r="J115" i="22" s="1"/>
  <c r="G115" i="22"/>
  <c r="L114" i="22"/>
  <c r="M114" i="22" s="1"/>
  <c r="I114" i="22" s="1"/>
  <c r="J114" i="22" a="1"/>
  <c r="J114" i="22" s="1"/>
  <c r="G114" i="22"/>
  <c r="J113" i="22" a="1"/>
  <c r="J113" i="22" s="1"/>
  <c r="J112" i="22" a="1"/>
  <c r="J112" i="22" s="1"/>
  <c r="F112" i="22"/>
  <c r="E112" i="22"/>
  <c r="D112" i="22"/>
  <c r="C112" i="22"/>
  <c r="L111" i="22"/>
  <c r="M111" i="22" s="1"/>
  <c r="I111" i="22" s="1"/>
  <c r="J111" i="22" a="1"/>
  <c r="J111" i="22" s="1"/>
  <c r="G111" i="22"/>
  <c r="L110" i="22"/>
  <c r="H110" i="22" s="1"/>
  <c r="J110" i="22" a="1"/>
  <c r="J110" i="22" s="1"/>
  <c r="G110" i="22"/>
  <c r="L109" i="22"/>
  <c r="M109" i="22" s="1"/>
  <c r="I109" i="22" s="1"/>
  <c r="J109" i="22" a="1"/>
  <c r="J109" i="22" s="1"/>
  <c r="G109" i="22"/>
  <c r="L108" i="22"/>
  <c r="M108" i="22" s="1"/>
  <c r="I108" i="22" s="1"/>
  <c r="J108" i="22" a="1"/>
  <c r="J108" i="22" s="1"/>
  <c r="G108" i="22"/>
  <c r="L107" i="22"/>
  <c r="H107" i="22" s="1"/>
  <c r="J107" i="22" a="1"/>
  <c r="J107" i="22" s="1"/>
  <c r="G107" i="22"/>
  <c r="L106" i="22"/>
  <c r="M106" i="22" s="1"/>
  <c r="I106" i="22" s="1"/>
  <c r="J106" i="22" a="1"/>
  <c r="J106" i="22" s="1"/>
  <c r="G106" i="22"/>
  <c r="L105" i="22"/>
  <c r="M105" i="22" s="1"/>
  <c r="I105" i="22" s="1"/>
  <c r="J105" i="22" a="1"/>
  <c r="J105" i="22" s="1"/>
  <c r="G105" i="22"/>
  <c r="L104" i="22"/>
  <c r="M104" i="22" s="1"/>
  <c r="I104" i="22" s="1"/>
  <c r="J104" i="22" a="1"/>
  <c r="J104" i="22" s="1"/>
  <c r="H104" i="22"/>
  <c r="G104" i="22"/>
  <c r="L103" i="22"/>
  <c r="M103" i="22" s="1"/>
  <c r="I103" i="22" s="1"/>
  <c r="J103" i="22" a="1"/>
  <c r="J103" i="22" s="1"/>
  <c r="G103" i="22"/>
  <c r="L102" i="22"/>
  <c r="M102" i="22" s="1"/>
  <c r="I102" i="22" s="1"/>
  <c r="J102" i="22" a="1"/>
  <c r="J102" i="22" s="1"/>
  <c r="G102" i="22"/>
  <c r="L101" i="22"/>
  <c r="M101" i="22" s="1"/>
  <c r="I101" i="22" s="1"/>
  <c r="J101" i="22" a="1"/>
  <c r="J101" i="22" s="1"/>
  <c r="G101" i="22"/>
  <c r="L100" i="22"/>
  <c r="M100" i="22" s="1"/>
  <c r="I100" i="22" s="1"/>
  <c r="J100" i="22" a="1"/>
  <c r="J100" i="22" s="1"/>
  <c r="G100" i="22"/>
  <c r="L99" i="22"/>
  <c r="H99" i="22" s="1"/>
  <c r="J99" i="22" a="1"/>
  <c r="J99" i="22" s="1"/>
  <c r="G99" i="22"/>
  <c r="J98" i="22" a="1"/>
  <c r="J98" i="22" s="1"/>
  <c r="F98" i="22"/>
  <c r="D98" i="22"/>
  <c r="C98" i="22"/>
  <c r="L97" i="22"/>
  <c r="M97" i="22" s="1"/>
  <c r="I97" i="22" s="1"/>
  <c r="J97" i="22" a="1"/>
  <c r="J97" i="22" s="1"/>
  <c r="G97" i="22"/>
  <c r="L96" i="22"/>
  <c r="H96" i="22" s="1"/>
  <c r="J96" i="22" a="1"/>
  <c r="J96" i="22" s="1"/>
  <c r="G96" i="22"/>
  <c r="L95" i="22"/>
  <c r="M95" i="22" s="1"/>
  <c r="I95" i="22" s="1"/>
  <c r="J95" i="22" a="1"/>
  <c r="J95" i="22" s="1"/>
  <c r="G95" i="22"/>
  <c r="L94" i="22"/>
  <c r="M94" i="22" s="1"/>
  <c r="I94" i="22" s="1"/>
  <c r="J94" i="22" a="1"/>
  <c r="J94" i="22" s="1"/>
  <c r="G94" i="22"/>
  <c r="L93" i="22"/>
  <c r="H93" i="22" s="1"/>
  <c r="J93" i="22" a="1"/>
  <c r="J93" i="22" s="1"/>
  <c r="G93" i="22"/>
  <c r="L92" i="22"/>
  <c r="M92" i="22" s="1"/>
  <c r="I92" i="22" s="1"/>
  <c r="J92" i="22" a="1"/>
  <c r="J92" i="22" s="1"/>
  <c r="G92" i="22"/>
  <c r="L91" i="22"/>
  <c r="M91" i="22" s="1"/>
  <c r="I91" i="22" s="1"/>
  <c r="J91" i="22" a="1"/>
  <c r="J91" i="22" s="1"/>
  <c r="G91" i="22"/>
  <c r="L90" i="22"/>
  <c r="M90" i="22" s="1"/>
  <c r="I90" i="22" s="1"/>
  <c r="J90" i="22" a="1"/>
  <c r="J90" i="22" s="1"/>
  <c r="G90" i="22"/>
  <c r="L89" i="22"/>
  <c r="M89" i="22" s="1"/>
  <c r="I89" i="22" s="1"/>
  <c r="J89" i="22" a="1"/>
  <c r="J89" i="22" s="1"/>
  <c r="G89" i="22"/>
  <c r="L88" i="22"/>
  <c r="H88" i="22" s="1"/>
  <c r="J88" i="22" a="1"/>
  <c r="J88" i="22" s="1"/>
  <c r="G88" i="22"/>
  <c r="L86" i="22"/>
  <c r="H86" i="22" s="1"/>
  <c r="J86" i="22" a="1"/>
  <c r="J86" i="22" s="1"/>
  <c r="G86" i="22"/>
  <c r="L85" i="22"/>
  <c r="M85" i="22" s="1"/>
  <c r="I85" i="22" s="1"/>
  <c r="J85" i="22" a="1"/>
  <c r="J85" i="22" s="1"/>
  <c r="G85" i="22"/>
  <c r="L84" i="22"/>
  <c r="H84" i="22" s="1"/>
  <c r="J84" i="22" a="1"/>
  <c r="J84" i="22" s="1"/>
  <c r="G84" i="22"/>
  <c r="J83" i="22" a="1"/>
  <c r="J83" i="22" s="1"/>
  <c r="F83" i="22"/>
  <c r="E83" i="22"/>
  <c r="D83" i="22"/>
  <c r="C83" i="22"/>
  <c r="L82" i="22"/>
  <c r="H82" i="22" s="1"/>
  <c r="J82" i="22" a="1"/>
  <c r="J82" i="22" s="1"/>
  <c r="G82" i="22"/>
  <c r="L81" i="22"/>
  <c r="M81" i="22" s="1"/>
  <c r="I81" i="22" s="1"/>
  <c r="J81" i="22" a="1"/>
  <c r="J81" i="22" s="1"/>
  <c r="G81" i="22"/>
  <c r="L80" i="22"/>
  <c r="H80" i="22" s="1"/>
  <c r="J80" i="22" a="1"/>
  <c r="J80" i="22" s="1"/>
  <c r="G80" i="22"/>
  <c r="L79" i="22"/>
  <c r="M79" i="22" s="1"/>
  <c r="I79" i="22" s="1"/>
  <c r="J79" i="22" a="1"/>
  <c r="J79" i="22" s="1"/>
  <c r="G79" i="22"/>
  <c r="L78" i="22"/>
  <c r="H78" i="22" s="1"/>
  <c r="J78" i="22" a="1"/>
  <c r="J78" i="22" s="1"/>
  <c r="G78" i="22"/>
  <c r="L77" i="22"/>
  <c r="M77" i="22" s="1"/>
  <c r="I77" i="22" s="1"/>
  <c r="J77" i="22" a="1"/>
  <c r="J77" i="22" s="1"/>
  <c r="G77" i="22"/>
  <c r="L76" i="22"/>
  <c r="M76" i="22" s="1"/>
  <c r="I76" i="22" s="1"/>
  <c r="J76" i="22" a="1"/>
  <c r="J76" i="22" s="1"/>
  <c r="G76" i="22"/>
  <c r="L75" i="22"/>
  <c r="H75" i="22" s="1"/>
  <c r="J75" i="22" a="1"/>
  <c r="J75" i="22" s="1"/>
  <c r="G75" i="22"/>
  <c r="L74" i="22"/>
  <c r="M74" i="22" s="1"/>
  <c r="I74" i="22" s="1"/>
  <c r="J74" i="22" a="1"/>
  <c r="J74" i="22" s="1"/>
  <c r="G74" i="22"/>
  <c r="L73" i="22"/>
  <c r="M73" i="22" s="1"/>
  <c r="I73" i="22" s="1"/>
  <c r="J73" i="22" a="1"/>
  <c r="J73" i="22" s="1"/>
  <c r="G73" i="22"/>
  <c r="L72" i="22"/>
  <c r="M72" i="22" s="1"/>
  <c r="I72" i="22" s="1"/>
  <c r="J72" i="22" a="1"/>
  <c r="J72" i="22" s="1"/>
  <c r="G72" i="22"/>
  <c r="L71" i="22"/>
  <c r="M71" i="22" s="1"/>
  <c r="I71" i="22" s="1"/>
  <c r="J71" i="22" a="1"/>
  <c r="J71" i="22" s="1"/>
  <c r="G71" i="22"/>
  <c r="L70" i="22"/>
  <c r="H70" i="22" s="1"/>
  <c r="J70" i="22" a="1"/>
  <c r="J70" i="22" s="1"/>
  <c r="G70" i="22"/>
  <c r="L69" i="22"/>
  <c r="M69" i="22" s="1"/>
  <c r="I69" i="22" s="1"/>
  <c r="J69" i="22" a="1"/>
  <c r="J69" i="22" s="1"/>
  <c r="G69" i="22"/>
  <c r="L68" i="22"/>
  <c r="H68" i="22" s="1"/>
  <c r="J68" i="22" a="1"/>
  <c r="J68" i="22" s="1"/>
  <c r="G68" i="22"/>
  <c r="L67" i="22"/>
  <c r="H67" i="22" s="1"/>
  <c r="J67" i="22" a="1"/>
  <c r="J67" i="22" s="1"/>
  <c r="G67" i="22"/>
  <c r="J66" i="22" a="1"/>
  <c r="J66" i="22" s="1"/>
  <c r="F66" i="22"/>
  <c r="E66" i="22"/>
  <c r="D66" i="22"/>
  <c r="C66" i="22"/>
  <c r="L65" i="22"/>
  <c r="M65" i="22" s="1"/>
  <c r="I65" i="22" s="1"/>
  <c r="J65" i="22" a="1"/>
  <c r="J65" i="22" s="1"/>
  <c r="G65" i="22"/>
  <c r="L64" i="22"/>
  <c r="H64" i="22" s="1"/>
  <c r="J64" i="22" a="1"/>
  <c r="J64" i="22" s="1"/>
  <c r="G64" i="22"/>
  <c r="J63" i="22" a="1"/>
  <c r="J63" i="22" s="1"/>
  <c r="J62" i="22" a="1"/>
  <c r="J62" i="22" s="1"/>
  <c r="F62" i="22"/>
  <c r="E62" i="22"/>
  <c r="D62" i="22"/>
  <c r="C62" i="22"/>
  <c r="L61" i="22"/>
  <c r="M61" i="22" s="1"/>
  <c r="I61" i="22" s="1"/>
  <c r="J61" i="22" a="1"/>
  <c r="J61" i="22" s="1"/>
  <c r="G61" i="22"/>
  <c r="L60" i="22"/>
  <c r="M60" i="22" s="1"/>
  <c r="I60" i="22" s="1"/>
  <c r="J60" i="22" a="1"/>
  <c r="J60" i="22" s="1"/>
  <c r="G60" i="22"/>
  <c r="L59" i="22"/>
  <c r="M59" i="22" s="1"/>
  <c r="I59" i="22" s="1"/>
  <c r="J59" i="22" a="1"/>
  <c r="J59" i="22" s="1"/>
  <c r="G59" i="22"/>
  <c r="L58" i="22"/>
  <c r="M58" i="22" s="1"/>
  <c r="I58" i="22" s="1"/>
  <c r="J58" i="22" a="1"/>
  <c r="J58" i="22" s="1"/>
  <c r="G58" i="22"/>
  <c r="L57" i="22"/>
  <c r="M57" i="22" s="1"/>
  <c r="I57" i="22" s="1"/>
  <c r="J57" i="22" a="1"/>
  <c r="J57" i="22" s="1"/>
  <c r="G57" i="22"/>
  <c r="L56" i="22"/>
  <c r="H56" i="22" s="1"/>
  <c r="J56" i="22" a="1"/>
  <c r="J56" i="22" s="1"/>
  <c r="G56" i="22"/>
  <c r="L55" i="22"/>
  <c r="H55" i="22" s="1"/>
  <c r="J55" i="22" a="1"/>
  <c r="J55" i="22" s="1"/>
  <c r="G55" i="22"/>
  <c r="L54" i="22"/>
  <c r="M54" i="22" s="1"/>
  <c r="I54" i="22" s="1"/>
  <c r="J54" i="22" a="1"/>
  <c r="J54" i="22" s="1"/>
  <c r="G54" i="22"/>
  <c r="L53" i="22"/>
  <c r="M53" i="22" s="1"/>
  <c r="I53" i="22" s="1"/>
  <c r="J53" i="22" a="1"/>
  <c r="J53" i="22" s="1"/>
  <c r="G53" i="22"/>
  <c r="L52" i="22"/>
  <c r="H52" i="22" s="1"/>
  <c r="J52" i="22" a="1"/>
  <c r="J52" i="22" s="1"/>
  <c r="G52" i="22"/>
  <c r="L51" i="22"/>
  <c r="M51" i="22" s="1"/>
  <c r="I51" i="22" s="1"/>
  <c r="J51" i="22" a="1"/>
  <c r="J51" i="22" s="1"/>
  <c r="G51" i="22"/>
  <c r="L50" i="22"/>
  <c r="H50" i="22" s="1"/>
  <c r="J50" i="22" a="1"/>
  <c r="J50" i="22" s="1"/>
  <c r="G50" i="22"/>
  <c r="L49" i="22"/>
  <c r="M49" i="22" s="1"/>
  <c r="I49" i="22" s="1"/>
  <c r="J49" i="22" a="1"/>
  <c r="J49" i="22" s="1"/>
  <c r="G49" i="22"/>
  <c r="L48" i="22"/>
  <c r="M48" i="22" s="1"/>
  <c r="I48" i="22" s="1"/>
  <c r="J48" i="22" a="1"/>
  <c r="J48" i="22" s="1"/>
  <c r="G48" i="22"/>
  <c r="L47" i="22"/>
  <c r="H47" i="22" s="1"/>
  <c r="J47" i="22" a="1"/>
  <c r="J47" i="22" s="1"/>
  <c r="G47" i="22"/>
  <c r="L46" i="22"/>
  <c r="M46" i="22" s="1"/>
  <c r="I46" i="22" s="1"/>
  <c r="J46" i="22" a="1"/>
  <c r="J46" i="22" s="1"/>
  <c r="G46" i="22"/>
  <c r="L45" i="22"/>
  <c r="M45" i="22" s="1"/>
  <c r="I45" i="22" s="1"/>
  <c r="J45" i="22" a="1"/>
  <c r="J45" i="22" s="1"/>
  <c r="G45" i="22"/>
  <c r="L44" i="22"/>
  <c r="H44" i="22" s="1"/>
  <c r="J44" i="22" a="1"/>
  <c r="J44" i="22" s="1"/>
  <c r="G44" i="22"/>
  <c r="L43" i="22"/>
  <c r="M43" i="22" s="1"/>
  <c r="I43" i="22" s="1"/>
  <c r="J43" i="22" a="1"/>
  <c r="J43" i="22" s="1"/>
  <c r="G43" i="22"/>
  <c r="J42" i="22" a="1"/>
  <c r="J42" i="22" s="1"/>
  <c r="F42" i="22"/>
  <c r="E42" i="22"/>
  <c r="D42" i="22"/>
  <c r="C42" i="22"/>
  <c r="L41" i="22"/>
  <c r="M41" i="22" s="1"/>
  <c r="I41" i="22" s="1"/>
  <c r="J41" i="22" a="1"/>
  <c r="J41" i="22" s="1"/>
  <c r="G41" i="22"/>
  <c r="L40" i="22"/>
  <c r="M40" i="22" s="1"/>
  <c r="I40" i="22" s="1"/>
  <c r="J40" i="22" a="1"/>
  <c r="J40" i="22" s="1"/>
  <c r="G40" i="22"/>
  <c r="L39" i="22"/>
  <c r="M39" i="22" s="1"/>
  <c r="I39" i="22" s="1"/>
  <c r="J39" i="22" a="1"/>
  <c r="J39" i="22" s="1"/>
  <c r="G39" i="22"/>
  <c r="L38" i="22"/>
  <c r="M38" i="22" s="1"/>
  <c r="I38" i="22" s="1"/>
  <c r="J38" i="22" a="1"/>
  <c r="J38" i="22" s="1"/>
  <c r="G38" i="22"/>
  <c r="L37" i="22"/>
  <c r="M37" i="22" s="1"/>
  <c r="I37" i="22" s="1"/>
  <c r="J37" i="22" a="1"/>
  <c r="J37" i="22" s="1"/>
  <c r="G37" i="22"/>
  <c r="L36" i="22"/>
  <c r="M36" i="22" s="1"/>
  <c r="I36" i="22" s="1"/>
  <c r="J36" i="22" a="1"/>
  <c r="J36" i="22" s="1"/>
  <c r="G36" i="22"/>
  <c r="L35" i="22"/>
  <c r="M35" i="22" s="1"/>
  <c r="I35" i="22" s="1"/>
  <c r="J35" i="22" a="1"/>
  <c r="J35" i="22" s="1"/>
  <c r="G35" i="22"/>
  <c r="L34" i="22"/>
  <c r="M34" i="22" s="1"/>
  <c r="I34" i="22" s="1"/>
  <c r="J34" i="22" a="1"/>
  <c r="J34" i="22" s="1"/>
  <c r="G34" i="22"/>
  <c r="L33" i="22"/>
  <c r="M33" i="22" s="1"/>
  <c r="I33" i="22" s="1"/>
  <c r="J33" i="22" a="1"/>
  <c r="J33" i="22" s="1"/>
  <c r="G33" i="22"/>
  <c r="L32" i="22"/>
  <c r="H32" i="22" s="1"/>
  <c r="J32" i="22" a="1"/>
  <c r="J32" i="22" s="1"/>
  <c r="G32" i="22"/>
  <c r="L31" i="22"/>
  <c r="M31" i="22" s="1"/>
  <c r="I31" i="22" s="1"/>
  <c r="J31" i="22" a="1"/>
  <c r="J31" i="22" s="1"/>
  <c r="G31" i="22"/>
  <c r="L30" i="22"/>
  <c r="H30" i="22" s="1"/>
  <c r="J30" i="22" a="1"/>
  <c r="J30" i="22" s="1"/>
  <c r="G30" i="22"/>
  <c r="L29" i="22"/>
  <c r="M29" i="22" s="1"/>
  <c r="I29" i="22" s="1"/>
  <c r="J29" i="22" a="1"/>
  <c r="J29" i="22" s="1"/>
  <c r="G29" i="22"/>
  <c r="L28" i="22"/>
  <c r="M28" i="22" s="1"/>
  <c r="I28" i="22" s="1"/>
  <c r="J28" i="22" a="1"/>
  <c r="J28" i="22" s="1"/>
  <c r="G28" i="22"/>
  <c r="L27" i="22"/>
  <c r="H27" i="22" s="1"/>
  <c r="J27" i="22" a="1"/>
  <c r="J27" i="22" s="1"/>
  <c r="G27" i="22"/>
  <c r="J26" i="22" a="1"/>
  <c r="J26" i="22" s="1"/>
  <c r="F26" i="22"/>
  <c r="E26" i="22"/>
  <c r="D26" i="22"/>
  <c r="C26" i="22"/>
  <c r="L25" i="22"/>
  <c r="M25" i="22" s="1"/>
  <c r="I25" i="22" s="1"/>
  <c r="J25" i="22" a="1"/>
  <c r="J25" i="22" s="1"/>
  <c r="G25" i="22"/>
  <c r="L24" i="22"/>
  <c r="M24" i="22" s="1"/>
  <c r="I24" i="22" s="1"/>
  <c r="J24" i="22" a="1"/>
  <c r="J24" i="22" s="1"/>
  <c r="G24" i="22"/>
  <c r="L23" i="22"/>
  <c r="H23" i="22" s="1"/>
  <c r="J23" i="22" a="1"/>
  <c r="J23" i="22" s="1"/>
  <c r="G23" i="22"/>
  <c r="L22" i="22"/>
  <c r="M22" i="22" s="1"/>
  <c r="I22" i="22" s="1"/>
  <c r="J22" i="22" a="1"/>
  <c r="J22" i="22" s="1"/>
  <c r="G22" i="22"/>
  <c r="J21" i="22" a="1"/>
  <c r="J21" i="22" s="1"/>
  <c r="J20" i="22" a="1"/>
  <c r="J20" i="22" s="1"/>
  <c r="F20" i="22"/>
  <c r="F5" i="22" s="1"/>
  <c r="E20" i="22"/>
  <c r="E5" i="22" s="1"/>
  <c r="D20" i="22"/>
  <c r="D5" i="22" s="1"/>
  <c r="C20" i="22"/>
  <c r="L19" i="22"/>
  <c r="M19" i="22" s="1"/>
  <c r="I19" i="22" s="1"/>
  <c r="J19" i="22" a="1"/>
  <c r="J19" i="22" s="1"/>
  <c r="L18" i="22"/>
  <c r="M18" i="22" s="1"/>
  <c r="I18" i="22" s="1"/>
  <c r="J18" i="22" a="1"/>
  <c r="J18" i="22" s="1"/>
  <c r="G18" i="22"/>
  <c r="L17" i="22"/>
  <c r="M17" i="22" s="1"/>
  <c r="I17" i="22" s="1"/>
  <c r="J17" i="22" a="1"/>
  <c r="J17" i="22" s="1"/>
  <c r="G17" i="22"/>
  <c r="L16" i="22"/>
  <c r="H16" i="22" s="1"/>
  <c r="J16" i="22" a="1"/>
  <c r="J16" i="22" s="1"/>
  <c r="G16" i="22"/>
  <c r="L15" i="22"/>
  <c r="M15" i="22" s="1"/>
  <c r="I15" i="22" s="1"/>
  <c r="J15" i="22" a="1"/>
  <c r="J15" i="22" s="1"/>
  <c r="G15" i="22"/>
  <c r="L14" i="22"/>
  <c r="H14" i="22" s="1"/>
  <c r="J14" i="22" a="1"/>
  <c r="J14" i="22" s="1"/>
  <c r="G14" i="22"/>
  <c r="L13" i="22"/>
  <c r="H13" i="22" s="1"/>
  <c r="J13" i="22" a="1"/>
  <c r="J13" i="22" s="1"/>
  <c r="G13" i="22"/>
  <c r="L12" i="22"/>
  <c r="M12" i="22" s="1"/>
  <c r="I12" i="22" s="1"/>
  <c r="J12" i="22" a="1"/>
  <c r="J12" i="22" s="1"/>
  <c r="G12" i="22"/>
  <c r="L11" i="22"/>
  <c r="M11" i="22" s="1"/>
  <c r="I11" i="22" s="1"/>
  <c r="J11" i="22" a="1"/>
  <c r="J11" i="22" s="1"/>
  <c r="G11" i="22"/>
  <c r="L10" i="22"/>
  <c r="M10" i="22" s="1"/>
  <c r="I10" i="22" s="1"/>
  <c r="J10" i="22" a="1"/>
  <c r="J10" i="22" s="1"/>
  <c r="G10" i="22"/>
  <c r="L9" i="22"/>
  <c r="M9" i="22" s="1"/>
  <c r="I9" i="22" s="1"/>
  <c r="J9" i="22" a="1"/>
  <c r="J9" i="22" s="1"/>
  <c r="G9" i="22"/>
  <c r="L8" i="22"/>
  <c r="H8" i="22" s="1"/>
  <c r="J8" i="22" a="1"/>
  <c r="J8" i="22" s="1"/>
  <c r="G8" i="22"/>
  <c r="L7" i="22"/>
  <c r="M7" i="22" s="1"/>
  <c r="I7" i="22" s="1"/>
  <c r="J7" i="22" a="1"/>
  <c r="J7" i="22" s="1"/>
  <c r="H7" i="22"/>
  <c r="G7" i="22"/>
  <c r="L6" i="22"/>
  <c r="M6" i="22" s="1"/>
  <c r="I6" i="22" s="1"/>
  <c r="J6" i="22" a="1"/>
  <c r="J6" i="22" s="1"/>
  <c r="G6" i="22"/>
  <c r="I4" i="22"/>
  <c r="H4" i="22"/>
  <c r="L2" i="22"/>
  <c r="M2" i="22" s="1"/>
  <c r="H2" i="22" s="1"/>
  <c r="G310" i="22" s="1"/>
  <c r="F284" i="21"/>
  <c r="F285" i="21"/>
  <c r="F286" i="21"/>
  <c r="F287" i="21"/>
  <c r="F288" i="21"/>
  <c r="F289" i="21"/>
  <c r="F290" i="21"/>
  <c r="F291" i="21"/>
  <c r="F292" i="21"/>
  <c r="F293" i="21"/>
  <c r="F294" i="21"/>
  <c r="F295" i="21"/>
  <c r="F296" i="21"/>
  <c r="F297" i="21"/>
  <c r="F298" i="21"/>
  <c r="F299" i="21"/>
  <c r="F300" i="21"/>
  <c r="F301" i="21"/>
  <c r="F302" i="21"/>
  <c r="F303" i="21"/>
  <c r="F304" i="21"/>
  <c r="F305" i="21"/>
  <c r="F306" i="21"/>
  <c r="G205" i="21"/>
  <c r="J205" i="21" a="1"/>
  <c r="J205" i="21" s="1"/>
  <c r="L205" i="21"/>
  <c r="H205" i="21" s="1"/>
  <c r="M205" i="21"/>
  <c r="I205" i="21" s="1"/>
  <c r="G206" i="21"/>
  <c r="J206" i="21" a="1"/>
  <c r="J206" i="21" s="1"/>
  <c r="L206" i="21"/>
  <c r="H206" i="21" s="1"/>
  <c r="M206" i="21"/>
  <c r="I206" i="21" s="1"/>
  <c r="G207" i="21"/>
  <c r="J207" i="21" a="1"/>
  <c r="J207" i="21" s="1"/>
  <c r="L207" i="21"/>
  <c r="M207" i="21" s="1"/>
  <c r="I207" i="21" s="1"/>
  <c r="G208" i="21"/>
  <c r="J208" i="21" a="1"/>
  <c r="J208" i="21" s="1"/>
  <c r="L208" i="21"/>
  <c r="H208" i="21" s="1"/>
  <c r="M208" i="21"/>
  <c r="I208" i="21" s="1"/>
  <c r="G209" i="21"/>
  <c r="J209" i="21" a="1"/>
  <c r="J209" i="21" s="1"/>
  <c r="L209" i="21"/>
  <c r="M209" i="21" s="1"/>
  <c r="I209" i="21" s="1"/>
  <c r="G210" i="21"/>
  <c r="J210" i="21" a="1"/>
  <c r="J210" i="21" s="1"/>
  <c r="L210" i="21"/>
  <c r="H210" i="21" s="1"/>
  <c r="M210" i="21"/>
  <c r="I210" i="21" s="1"/>
  <c r="C215" i="21"/>
  <c r="D215" i="21"/>
  <c r="G141" i="21"/>
  <c r="J141" i="21" a="1"/>
  <c r="J141" i="21" s="1"/>
  <c r="L141" i="21"/>
  <c r="H141" i="21" s="1"/>
  <c r="M141" i="21"/>
  <c r="I141" i="21" s="1"/>
  <c r="G142" i="21"/>
  <c r="J142" i="21" a="1"/>
  <c r="J142" i="21" s="1"/>
  <c r="L142" i="21"/>
  <c r="M142" i="21" s="1"/>
  <c r="I142" i="21" s="1"/>
  <c r="G143" i="21"/>
  <c r="J143" i="21" a="1"/>
  <c r="J143" i="21" s="1"/>
  <c r="L143" i="21"/>
  <c r="H143" i="21" s="1"/>
  <c r="M143" i="21"/>
  <c r="I143" i="21" s="1"/>
  <c r="G144" i="21"/>
  <c r="J144" i="21" a="1"/>
  <c r="J144" i="21" s="1"/>
  <c r="L144" i="21"/>
  <c r="H144" i="21" s="1"/>
  <c r="G145" i="21"/>
  <c r="J145" i="21" a="1"/>
  <c r="J145" i="21" s="1"/>
  <c r="L145" i="21"/>
  <c r="M145" i="21" s="1"/>
  <c r="I145" i="21" s="1"/>
  <c r="G146" i="21"/>
  <c r="J146" i="21" a="1"/>
  <c r="J146" i="21" s="1"/>
  <c r="L146" i="21"/>
  <c r="H146" i="21" s="1"/>
  <c r="M146" i="21"/>
  <c r="I146" i="21" s="1"/>
  <c r="G147" i="21"/>
  <c r="J147" i="21" a="1"/>
  <c r="J147" i="21" s="1"/>
  <c r="L147" i="21"/>
  <c r="M147" i="21" s="1"/>
  <c r="I147" i="21" s="1"/>
  <c r="C150" i="21"/>
  <c r="D150" i="21"/>
  <c r="G119" i="21"/>
  <c r="J119" i="21" a="1"/>
  <c r="J119" i="21" s="1"/>
  <c r="L119" i="21"/>
  <c r="H119" i="21" s="1"/>
  <c r="G118" i="21"/>
  <c r="J118" i="21" a="1"/>
  <c r="J118" i="21" s="1"/>
  <c r="L118" i="21"/>
  <c r="H118" i="21" s="1"/>
  <c r="C98" i="21"/>
  <c r="D98" i="21"/>
  <c r="G47" i="21"/>
  <c r="J47" i="21" a="1"/>
  <c r="J47" i="21" s="1"/>
  <c r="L47" i="21"/>
  <c r="H47" i="21" s="1"/>
  <c r="G48" i="21"/>
  <c r="J48" i="21" a="1"/>
  <c r="J48" i="21" s="1"/>
  <c r="L48" i="21"/>
  <c r="H48" i="21" s="1"/>
  <c r="G49" i="21"/>
  <c r="J49" i="21" a="1"/>
  <c r="J49" i="21" s="1"/>
  <c r="L49" i="21"/>
  <c r="H49" i="21" s="1"/>
  <c r="G50" i="21"/>
  <c r="J50" i="21" a="1"/>
  <c r="J50" i="21" s="1"/>
  <c r="L50" i="21"/>
  <c r="H50" i="21" s="1"/>
  <c r="G51" i="21"/>
  <c r="J51" i="21" a="1"/>
  <c r="J51" i="21" s="1"/>
  <c r="L51" i="21"/>
  <c r="M51" i="21" s="1"/>
  <c r="I51" i="21" s="1"/>
  <c r="G52" i="21"/>
  <c r="J52" i="21" a="1"/>
  <c r="J52" i="21" s="1"/>
  <c r="L52" i="21"/>
  <c r="H52" i="21" s="1"/>
  <c r="M52" i="21"/>
  <c r="I52" i="21" s="1"/>
  <c r="G53" i="21"/>
  <c r="J53" i="21" a="1"/>
  <c r="J53" i="21" s="1"/>
  <c r="L53" i="21"/>
  <c r="M53" i="21" s="1"/>
  <c r="I53" i="21" s="1"/>
  <c r="G54" i="21"/>
  <c r="J54" i="21" a="1"/>
  <c r="J54" i="21" s="1"/>
  <c r="L54" i="21"/>
  <c r="H54" i="21" s="1"/>
  <c r="H125" i="22" l="1"/>
  <c r="H131" i="22"/>
  <c r="L263" i="22"/>
  <c r="M263" i="22" s="1"/>
  <c r="I263" i="22" s="1"/>
  <c r="H33" i="22"/>
  <c r="H38" i="22"/>
  <c r="E63" i="22"/>
  <c r="H132" i="22"/>
  <c r="G20" i="22"/>
  <c r="L216" i="22"/>
  <c r="M216" i="22" s="1"/>
  <c r="I216" i="22" s="1"/>
  <c r="G121" i="22"/>
  <c r="H54" i="22"/>
  <c r="G62" i="22"/>
  <c r="H256" i="22"/>
  <c r="H118" i="22"/>
  <c r="H156" i="22"/>
  <c r="H176" i="22"/>
  <c r="H128" i="22"/>
  <c r="H72" i="22"/>
  <c r="G278" i="22"/>
  <c r="H227" i="22"/>
  <c r="L247" i="22"/>
  <c r="M247" i="22" s="1"/>
  <c r="I247" i="22" s="1"/>
  <c r="F63" i="22"/>
  <c r="H15" i="22"/>
  <c r="L251" i="22"/>
  <c r="H251" i="22" s="1"/>
  <c r="L26" i="22"/>
  <c r="M26" i="22" s="1"/>
  <c r="I26" i="22" s="1"/>
  <c r="L66" i="22"/>
  <c r="M66" i="22" s="1"/>
  <c r="I66" i="22" s="1"/>
  <c r="M64" i="22"/>
  <c r="I64" i="22" s="1"/>
  <c r="H71" i="22"/>
  <c r="H130" i="22"/>
  <c r="H149" i="22"/>
  <c r="H76" i="22"/>
  <c r="H81" i="22"/>
  <c r="H102" i="22"/>
  <c r="G135" i="22"/>
  <c r="H194" i="22"/>
  <c r="G98" i="22"/>
  <c r="H238" i="22"/>
  <c r="G259" i="22"/>
  <c r="H273" i="22"/>
  <c r="C264" i="22"/>
  <c r="L264" i="22" s="1"/>
  <c r="M264" i="22" s="1"/>
  <c r="I264" i="22" s="1"/>
  <c r="H268" i="22"/>
  <c r="H269" i="22"/>
  <c r="M274" i="22"/>
  <c r="I274" i="22" s="1"/>
  <c r="M270" i="22"/>
  <c r="I270" i="22" s="1"/>
  <c r="H266" i="22"/>
  <c r="H260" i="22"/>
  <c r="H236" i="22"/>
  <c r="M237" i="22"/>
  <c r="I237" i="22" s="1"/>
  <c r="H235" i="22"/>
  <c r="H240" i="22"/>
  <c r="M234" i="22"/>
  <c r="I234" i="22" s="1"/>
  <c r="H241" i="22"/>
  <c r="H246" i="22"/>
  <c r="H225" i="22"/>
  <c r="H229" i="22"/>
  <c r="M226" i="22"/>
  <c r="I226" i="22" s="1"/>
  <c r="H222" i="22"/>
  <c r="G216" i="22"/>
  <c r="H223" i="22"/>
  <c r="H208" i="22"/>
  <c r="H213" i="22"/>
  <c r="H192" i="22"/>
  <c r="H196" i="22"/>
  <c r="G198" i="22"/>
  <c r="M190" i="22"/>
  <c r="I190" i="22" s="1"/>
  <c r="H184" i="22"/>
  <c r="H189" i="22"/>
  <c r="H193" i="22"/>
  <c r="H197" i="22"/>
  <c r="H173" i="22"/>
  <c r="M175" i="22"/>
  <c r="I175" i="22" s="1"/>
  <c r="H169" i="22"/>
  <c r="H174" i="22"/>
  <c r="M171" i="22"/>
  <c r="I171" i="22" s="1"/>
  <c r="M172" i="22"/>
  <c r="I172" i="22" s="1"/>
  <c r="H177" i="22"/>
  <c r="M170" i="22"/>
  <c r="I170" i="22" s="1"/>
  <c r="H152" i="22"/>
  <c r="H154" i="22"/>
  <c r="H153" i="22"/>
  <c r="M162" i="22"/>
  <c r="I162" i="22" s="1"/>
  <c r="L167" i="22"/>
  <c r="M167" i="22" s="1"/>
  <c r="I167" i="22" s="1"/>
  <c r="H155" i="22"/>
  <c r="G150" i="22"/>
  <c r="H140" i="22"/>
  <c r="H136" i="22"/>
  <c r="D113" i="22"/>
  <c r="H100" i="22"/>
  <c r="H103" i="22"/>
  <c r="H108" i="22"/>
  <c r="H101" i="22"/>
  <c r="M110" i="22"/>
  <c r="I110" i="22" s="1"/>
  <c r="H105" i="22"/>
  <c r="H89" i="22"/>
  <c r="M70" i="22"/>
  <c r="I70" i="22" s="1"/>
  <c r="H69" i="22"/>
  <c r="M68" i="22"/>
  <c r="I68" i="22" s="1"/>
  <c r="H73" i="22"/>
  <c r="M67" i="22"/>
  <c r="I67" i="22" s="1"/>
  <c r="H59" i="22"/>
  <c r="H60" i="22"/>
  <c r="M56" i="22"/>
  <c r="I56" i="22" s="1"/>
  <c r="H58" i="22"/>
  <c r="H53" i="22"/>
  <c r="H57" i="22"/>
  <c r="H61" i="22"/>
  <c r="M55" i="22"/>
  <c r="I55" i="22" s="1"/>
  <c r="H39" i="22"/>
  <c r="H35" i="22"/>
  <c r="H36" i="22"/>
  <c r="H40" i="22"/>
  <c r="D21" i="22"/>
  <c r="H37" i="22"/>
  <c r="H41" i="22"/>
  <c r="M14" i="22"/>
  <c r="I14" i="22" s="1"/>
  <c r="M44" i="22"/>
  <c r="I44" i="22" s="1"/>
  <c r="H6" i="22"/>
  <c r="L42" i="22"/>
  <c r="H91" i="22"/>
  <c r="H94" i="22"/>
  <c r="M127" i="22"/>
  <c r="I127" i="22" s="1"/>
  <c r="M148" i="22"/>
  <c r="I148" i="22" s="1"/>
  <c r="M151" i="22"/>
  <c r="I151" i="22" s="1"/>
  <c r="M186" i="22"/>
  <c r="I186" i="22" s="1"/>
  <c r="H200" i="22"/>
  <c r="M214" i="22"/>
  <c r="I214" i="22" s="1"/>
  <c r="H221" i="22"/>
  <c r="C233" i="22"/>
  <c r="L233" i="22" s="1"/>
  <c r="M233" i="22" s="1"/>
  <c r="I233" i="22" s="1"/>
  <c r="M249" i="22"/>
  <c r="I249" i="22" s="1"/>
  <c r="H262" i="22"/>
  <c r="H17" i="22"/>
  <c r="H45" i="22"/>
  <c r="H146" i="22"/>
  <c r="H203" i="22"/>
  <c r="H254" i="22"/>
  <c r="M258" i="22"/>
  <c r="I258" i="22" s="1"/>
  <c r="M182" i="22"/>
  <c r="I182" i="22" s="1"/>
  <c r="M16" i="22"/>
  <c r="I16" i="22" s="1"/>
  <c r="M142" i="22"/>
  <c r="I142" i="22" s="1"/>
  <c r="M250" i="22"/>
  <c r="I250" i="22" s="1"/>
  <c r="M30" i="22"/>
  <c r="I30" i="22" s="1"/>
  <c r="M50" i="22"/>
  <c r="I50" i="22" s="1"/>
  <c r="H85" i="22"/>
  <c r="H92" i="22"/>
  <c r="M99" i="22"/>
  <c r="I99" i="22" s="1"/>
  <c r="F113" i="22"/>
  <c r="L150" i="22"/>
  <c r="M150" i="22" s="1"/>
  <c r="I150" i="22" s="1"/>
  <c r="M191" i="22"/>
  <c r="I191" i="22" s="1"/>
  <c r="L198" i="22"/>
  <c r="M198" i="22" s="1"/>
  <c r="I198" i="22" s="1"/>
  <c r="H201" i="22"/>
  <c r="H204" i="22"/>
  <c r="M224" i="22"/>
  <c r="I224" i="22" s="1"/>
  <c r="C113" i="22"/>
  <c r="E21" i="22"/>
  <c r="L121" i="22"/>
  <c r="M121" i="22" s="1"/>
  <c r="I121" i="22" s="1"/>
  <c r="M230" i="22"/>
  <c r="I230" i="22" s="1"/>
  <c r="M277" i="22"/>
  <c r="I277" i="22" s="1"/>
  <c r="H18" i="22"/>
  <c r="H34" i="22"/>
  <c r="H43" i="22"/>
  <c r="H160" i="22"/>
  <c r="M243" i="22"/>
  <c r="I243" i="22" s="1"/>
  <c r="C248" i="22"/>
  <c r="L248" i="22" s="1"/>
  <c r="M248" i="22" s="1"/>
  <c r="I248" i="22" s="1"/>
  <c r="L278" i="22"/>
  <c r="M278" i="22" s="1"/>
  <c r="I278" i="22" s="1"/>
  <c r="M93" i="22"/>
  <c r="I93" i="22" s="1"/>
  <c r="M202" i="22"/>
  <c r="I202" i="22" s="1"/>
  <c r="M210" i="22"/>
  <c r="I210" i="22" s="1"/>
  <c r="G66" i="22"/>
  <c r="E113" i="22"/>
  <c r="M78" i="22"/>
  <c r="I78" i="22" s="1"/>
  <c r="G42" i="22"/>
  <c r="M88" i="22"/>
  <c r="I88" i="22" s="1"/>
  <c r="H65" i="22"/>
  <c r="H97" i="22"/>
  <c r="M122" i="22"/>
  <c r="I122" i="22" s="1"/>
  <c r="M147" i="22"/>
  <c r="I147" i="22" s="1"/>
  <c r="M86" i="22"/>
  <c r="I86" i="22" s="1"/>
  <c r="F21" i="22"/>
  <c r="H9" i="22"/>
  <c r="H24" i="22"/>
  <c r="H28" i="22"/>
  <c r="H48" i="22"/>
  <c r="M82" i="22"/>
  <c r="I82" i="22" s="1"/>
  <c r="H90" i="22"/>
  <c r="H116" i="22"/>
  <c r="H165" i="22"/>
  <c r="K216" i="22"/>
  <c r="H220" i="22"/>
  <c r="G232" i="22"/>
  <c r="M166" i="22"/>
  <c r="I166" i="22" s="1"/>
  <c r="L62" i="22"/>
  <c r="M62" i="22" s="1"/>
  <c r="I62" i="22" s="1"/>
  <c r="C63" i="22"/>
  <c r="G63" i="22" s="1"/>
  <c r="L112" i="22"/>
  <c r="M112" i="22" s="1"/>
  <c r="I112" i="22" s="1"/>
  <c r="M126" i="22"/>
  <c r="I126" i="22" s="1"/>
  <c r="H145" i="22"/>
  <c r="L232" i="22"/>
  <c r="M232" i="22" s="1"/>
  <c r="I232" i="22" s="1"/>
  <c r="H271" i="22"/>
  <c r="H42" i="22"/>
  <c r="M42" i="22"/>
  <c r="I42" i="22" s="1"/>
  <c r="L199" i="22"/>
  <c r="M199" i="22" s="1"/>
  <c r="I199" i="22" s="1"/>
  <c r="G199" i="22"/>
  <c r="G247" i="22"/>
  <c r="L259" i="22"/>
  <c r="D63" i="22"/>
  <c r="L183" i="22"/>
  <c r="M8" i="22"/>
  <c r="I8" i="22" s="1"/>
  <c r="H11" i="22"/>
  <c r="M23" i="22"/>
  <c r="I23" i="22" s="1"/>
  <c r="M27" i="22"/>
  <c r="I27" i="22" s="1"/>
  <c r="M47" i="22"/>
  <c r="I47" i="22" s="1"/>
  <c r="M75" i="22"/>
  <c r="I75" i="22" s="1"/>
  <c r="M96" i="22"/>
  <c r="I96" i="22" s="1"/>
  <c r="L98" i="22"/>
  <c r="M98" i="22" s="1"/>
  <c r="I98" i="22" s="1"/>
  <c r="M107" i="22"/>
  <c r="I107" i="22" s="1"/>
  <c r="M115" i="22"/>
  <c r="I115" i="22" s="1"/>
  <c r="M139" i="22"/>
  <c r="I139" i="22" s="1"/>
  <c r="M159" i="22"/>
  <c r="I159" i="22" s="1"/>
  <c r="M179" i="22"/>
  <c r="I179" i="22" s="1"/>
  <c r="M207" i="22"/>
  <c r="I207" i="22" s="1"/>
  <c r="M219" i="22"/>
  <c r="I219" i="22" s="1"/>
  <c r="M255" i="22"/>
  <c r="I255" i="22" s="1"/>
  <c r="M272" i="22"/>
  <c r="I272" i="22" s="1"/>
  <c r="H275" i="22"/>
  <c r="M205" i="22"/>
  <c r="I205" i="22" s="1"/>
  <c r="G26" i="22"/>
  <c r="M32" i="22"/>
  <c r="I32" i="22" s="1"/>
  <c r="M52" i="22"/>
  <c r="I52" i="22" s="1"/>
  <c r="M80" i="22"/>
  <c r="I80" i="22" s="1"/>
  <c r="M84" i="22"/>
  <c r="I84" i="22" s="1"/>
  <c r="M120" i="22"/>
  <c r="I120" i="22" s="1"/>
  <c r="M124" i="22"/>
  <c r="I124" i="22" s="1"/>
  <c r="L135" i="22"/>
  <c r="M144" i="22"/>
  <c r="I144" i="22" s="1"/>
  <c r="M164" i="22"/>
  <c r="I164" i="22" s="1"/>
  <c r="M168" i="22"/>
  <c r="I168" i="22" s="1"/>
  <c r="M188" i="22"/>
  <c r="I188" i="22" s="1"/>
  <c r="M212" i="22"/>
  <c r="I212" i="22" s="1"/>
  <c r="H218" i="22"/>
  <c r="M228" i="22"/>
  <c r="I228" i="22" s="1"/>
  <c r="H231" i="22"/>
  <c r="M245" i="22"/>
  <c r="I245" i="22" s="1"/>
  <c r="M253" i="22"/>
  <c r="I253" i="22" s="1"/>
  <c r="H22" i="22"/>
  <c r="H46" i="22"/>
  <c r="H74" i="22"/>
  <c r="H95" i="22"/>
  <c r="H106" i="22"/>
  <c r="H114" i="22"/>
  <c r="H134" i="22"/>
  <c r="H138" i="22"/>
  <c r="H158" i="22"/>
  <c r="H178" i="22"/>
  <c r="H206" i="22"/>
  <c r="G112" i="22"/>
  <c r="C5" i="22"/>
  <c r="M13" i="22"/>
  <c r="I13" i="22" s="1"/>
  <c r="L20" i="22"/>
  <c r="G83" i="22"/>
  <c r="G167" i="22"/>
  <c r="G215" i="22"/>
  <c r="H12" i="22"/>
  <c r="H19" i="22"/>
  <c r="H31" i="22"/>
  <c r="H51" i="22"/>
  <c r="H79" i="22"/>
  <c r="H111" i="22"/>
  <c r="H119" i="22"/>
  <c r="H123" i="22"/>
  <c r="H143" i="22"/>
  <c r="H163" i="22"/>
  <c r="H187" i="22"/>
  <c r="H211" i="22"/>
  <c r="H244" i="22"/>
  <c r="H252" i="22"/>
  <c r="H276" i="22"/>
  <c r="G263" i="22"/>
  <c r="H10" i="22"/>
  <c r="H25" i="22"/>
  <c r="H29" i="22"/>
  <c r="H49" i="22"/>
  <c r="H77" i="22"/>
  <c r="H109" i="22"/>
  <c r="H117" i="22"/>
  <c r="H141" i="22"/>
  <c r="H161" i="22"/>
  <c r="H181" i="22"/>
  <c r="H185" i="22"/>
  <c r="H209" i="22"/>
  <c r="H242" i="22"/>
  <c r="H257" i="22"/>
  <c r="H261" i="22"/>
  <c r="C21" i="22"/>
  <c r="L83" i="22"/>
  <c r="K215" i="22"/>
  <c r="L215" i="22"/>
  <c r="H207" i="21"/>
  <c r="H209" i="21"/>
  <c r="H145" i="21"/>
  <c r="M118" i="21"/>
  <c r="I118" i="21" s="1"/>
  <c r="M49" i="21"/>
  <c r="I49" i="21" s="1"/>
  <c r="H147" i="21"/>
  <c r="H142" i="21"/>
  <c r="M144" i="21"/>
  <c r="I144" i="21" s="1"/>
  <c r="M48" i="21"/>
  <c r="I48" i="21" s="1"/>
  <c r="M119" i="21"/>
  <c r="I119" i="21" s="1"/>
  <c r="M47" i="21"/>
  <c r="I47" i="21" s="1"/>
  <c r="M50" i="21"/>
  <c r="I50" i="21" s="1"/>
  <c r="M54" i="21"/>
  <c r="I54" i="21" s="1"/>
  <c r="H51" i="21"/>
  <c r="H53" i="21"/>
  <c r="L276" i="21"/>
  <c r="M276" i="21" s="1"/>
  <c r="I276" i="21" s="1"/>
  <c r="J276" i="21" a="1"/>
  <c r="J276" i="21" s="1"/>
  <c r="L58" i="21"/>
  <c r="H58" i="21" s="1"/>
  <c r="J55" i="21" a="1"/>
  <c r="J55" i="21" s="1"/>
  <c r="L55" i="21"/>
  <c r="H55" i="21" s="1"/>
  <c r="M55" i="21"/>
  <c r="I55" i="21" s="1"/>
  <c r="J56" i="21" a="1"/>
  <c r="J56" i="21" s="1"/>
  <c r="L56" i="21"/>
  <c r="H56" i="21" s="1"/>
  <c r="J57" i="21" a="1"/>
  <c r="J57" i="21" s="1"/>
  <c r="L57" i="21"/>
  <c r="M57" i="21" s="1"/>
  <c r="I57" i="21" s="1"/>
  <c r="J58" i="21" a="1"/>
  <c r="J58" i="21" s="1"/>
  <c r="J59" i="21" a="1"/>
  <c r="J59" i="21" s="1"/>
  <c r="L59" i="21"/>
  <c r="H59" i="21" s="1"/>
  <c r="J255" i="21" a="1"/>
  <c r="J255" i="21" s="1"/>
  <c r="L255" i="21"/>
  <c r="H255" i="21" s="1"/>
  <c r="J256" i="21" a="1"/>
  <c r="J256" i="21" s="1"/>
  <c r="L256" i="21"/>
  <c r="H256" i="21" s="1"/>
  <c r="J257" i="21" a="1"/>
  <c r="J257" i="21" s="1"/>
  <c r="L257" i="21"/>
  <c r="M257" i="21" s="1"/>
  <c r="I257" i="21" s="1"/>
  <c r="J258" i="21" a="1"/>
  <c r="J258" i="21" s="1"/>
  <c r="L258" i="21"/>
  <c r="H258" i="21" s="1"/>
  <c r="J259" i="21" a="1"/>
  <c r="J259" i="21" s="1"/>
  <c r="A309" i="21"/>
  <c r="E307" i="21"/>
  <c r="D307" i="21"/>
  <c r="C307" i="21"/>
  <c r="G306" i="21"/>
  <c r="G305" i="21"/>
  <c r="G304" i="21"/>
  <c r="G303" i="21"/>
  <c r="G302" i="21"/>
  <c r="G301" i="21"/>
  <c r="G300" i="21"/>
  <c r="G299" i="21"/>
  <c r="G298" i="21"/>
  <c r="G297" i="21"/>
  <c r="G296" i="21"/>
  <c r="G295" i="21"/>
  <c r="G294" i="21"/>
  <c r="G293" i="21"/>
  <c r="G292" i="21"/>
  <c r="G291" i="21"/>
  <c r="G290" i="21"/>
  <c r="G289" i="21"/>
  <c r="G288" i="21"/>
  <c r="G287" i="21"/>
  <c r="G286" i="21"/>
  <c r="G285" i="21"/>
  <c r="G284" i="21"/>
  <c r="F278" i="21"/>
  <c r="F264" i="21" s="1"/>
  <c r="E278" i="21"/>
  <c r="E264" i="21" s="1"/>
  <c r="D278" i="21"/>
  <c r="D264" i="21" s="1"/>
  <c r="C278" i="21"/>
  <c r="L277" i="21"/>
  <c r="M277" i="21" s="1"/>
  <c r="I277" i="21" s="1"/>
  <c r="J277" i="21" a="1"/>
  <c r="J277" i="21" s="1"/>
  <c r="G277" i="21"/>
  <c r="L275" i="21"/>
  <c r="M275" i="21" s="1"/>
  <c r="I275" i="21" s="1"/>
  <c r="J275" i="21" a="1"/>
  <c r="J275" i="21" s="1"/>
  <c r="G275" i="21"/>
  <c r="L274" i="21"/>
  <c r="M274" i="21" s="1"/>
  <c r="I274" i="21" s="1"/>
  <c r="J274" i="21" a="1"/>
  <c r="J274" i="21" s="1"/>
  <c r="G274" i="21"/>
  <c r="L273" i="21"/>
  <c r="M273" i="21" s="1"/>
  <c r="I273" i="21" s="1"/>
  <c r="J273" i="21" a="1"/>
  <c r="J273" i="21" s="1"/>
  <c r="G273" i="21"/>
  <c r="L272" i="21"/>
  <c r="H272" i="21" s="1"/>
  <c r="J272" i="21" a="1"/>
  <c r="J272" i="21" s="1"/>
  <c r="G272" i="21"/>
  <c r="L271" i="21"/>
  <c r="M271" i="21" s="1"/>
  <c r="I271" i="21" s="1"/>
  <c r="J271" i="21" a="1"/>
  <c r="J271" i="21" s="1"/>
  <c r="G271" i="21"/>
  <c r="L270" i="21"/>
  <c r="M270" i="21" s="1"/>
  <c r="I270" i="21" s="1"/>
  <c r="J270" i="21" a="1"/>
  <c r="J270" i="21" s="1"/>
  <c r="G270" i="21"/>
  <c r="L269" i="21"/>
  <c r="H269" i="21" s="1"/>
  <c r="J269" i="21" a="1"/>
  <c r="J269" i="21" s="1"/>
  <c r="G269" i="21"/>
  <c r="L268" i="21"/>
  <c r="M268" i="21" s="1"/>
  <c r="I268" i="21" s="1"/>
  <c r="J268" i="21" a="1"/>
  <c r="J268" i="21" s="1"/>
  <c r="G268" i="21"/>
  <c r="L267" i="21"/>
  <c r="M267" i="21" s="1"/>
  <c r="I267" i="21" s="1"/>
  <c r="J267" i="21" a="1"/>
  <c r="J267" i="21" s="1"/>
  <c r="G267" i="21"/>
  <c r="L266" i="21"/>
  <c r="H266" i="21" s="1"/>
  <c r="J266" i="21" a="1"/>
  <c r="J266" i="21" s="1"/>
  <c r="G266" i="21"/>
  <c r="L265" i="21"/>
  <c r="M265" i="21" s="1"/>
  <c r="I265" i="21" s="1"/>
  <c r="J265" i="21" a="1"/>
  <c r="J265" i="21" s="1"/>
  <c r="G265" i="21"/>
  <c r="J264" i="21" a="1"/>
  <c r="J264" i="21" s="1"/>
  <c r="J263" i="21" a="1"/>
  <c r="J263" i="21" s="1"/>
  <c r="D263" i="21"/>
  <c r="C263" i="21"/>
  <c r="L262" i="21"/>
  <c r="H262" i="21" s="1"/>
  <c r="J262" i="21" a="1"/>
  <c r="J262" i="21" s="1"/>
  <c r="G262" i="21"/>
  <c r="L261" i="21"/>
  <c r="M261" i="21" s="1"/>
  <c r="I261" i="21" s="1"/>
  <c r="J261" i="21" a="1"/>
  <c r="J261" i="21" s="1"/>
  <c r="G261" i="21"/>
  <c r="L260" i="21"/>
  <c r="H260" i="21" s="1"/>
  <c r="J260" i="21" a="1"/>
  <c r="J260" i="21" s="1"/>
  <c r="G260" i="21"/>
  <c r="F259" i="21"/>
  <c r="F248" i="21" s="1"/>
  <c r="E259" i="21"/>
  <c r="E248" i="21" s="1"/>
  <c r="D259" i="21"/>
  <c r="C259" i="21"/>
  <c r="G258" i="21"/>
  <c r="G257" i="21"/>
  <c r="G255" i="21"/>
  <c r="L254" i="21"/>
  <c r="H254" i="21" s="1"/>
  <c r="J254" i="21" a="1"/>
  <c r="J254" i="21" s="1"/>
  <c r="G254" i="21"/>
  <c r="L253" i="21"/>
  <c r="M253" i="21" s="1"/>
  <c r="I253" i="21" s="1"/>
  <c r="J253" i="21" a="1"/>
  <c r="J253" i="21" s="1"/>
  <c r="G253" i="21"/>
  <c r="L252" i="21"/>
  <c r="M252" i="21" s="1"/>
  <c r="I252" i="21" s="1"/>
  <c r="J252" i="21" a="1"/>
  <c r="J252" i="21" s="1"/>
  <c r="G252" i="21"/>
  <c r="J251" i="21" a="1"/>
  <c r="J251" i="21" s="1"/>
  <c r="C251" i="21"/>
  <c r="L251" i="21" s="1"/>
  <c r="M251" i="21" s="1"/>
  <c r="I251" i="21" s="1"/>
  <c r="L250" i="21"/>
  <c r="M250" i="21" s="1"/>
  <c r="I250" i="21" s="1"/>
  <c r="J250" i="21" a="1"/>
  <c r="J250" i="21" s="1"/>
  <c r="G250" i="21"/>
  <c r="L249" i="21"/>
  <c r="M249" i="21" s="1"/>
  <c r="I249" i="21" s="1"/>
  <c r="J249" i="21" a="1"/>
  <c r="J249" i="21" s="1"/>
  <c r="G249" i="21"/>
  <c r="J248" i="21" a="1"/>
  <c r="J248" i="21" s="1"/>
  <c r="J247" i="21" a="1"/>
  <c r="J247" i="21" s="1"/>
  <c r="F247" i="21"/>
  <c r="F233" i="21" s="1"/>
  <c r="E247" i="21"/>
  <c r="E233" i="21" s="1"/>
  <c r="D247" i="21"/>
  <c r="D233" i="21" s="1"/>
  <c r="C247" i="21"/>
  <c r="C233" i="21" s="1"/>
  <c r="L246" i="21"/>
  <c r="M246" i="21" s="1"/>
  <c r="I246" i="21" s="1"/>
  <c r="J246" i="21" a="1"/>
  <c r="J246" i="21" s="1"/>
  <c r="G246" i="21"/>
  <c r="L245" i="21"/>
  <c r="H245" i="21" s="1"/>
  <c r="J245" i="21" a="1"/>
  <c r="J245" i="21" s="1"/>
  <c r="G245" i="21"/>
  <c r="L244" i="21"/>
  <c r="M244" i="21" s="1"/>
  <c r="I244" i="21" s="1"/>
  <c r="J244" i="21" a="1"/>
  <c r="J244" i="21" s="1"/>
  <c r="G244" i="21"/>
  <c r="L243" i="21"/>
  <c r="H243" i="21" s="1"/>
  <c r="J243" i="21" a="1"/>
  <c r="J243" i="21" s="1"/>
  <c r="G243" i="21"/>
  <c r="L242" i="21"/>
  <c r="H242" i="21" s="1"/>
  <c r="J242" i="21" a="1"/>
  <c r="J242" i="21" s="1"/>
  <c r="G242" i="21"/>
  <c r="L241" i="21"/>
  <c r="M241" i="21" s="1"/>
  <c r="I241" i="21" s="1"/>
  <c r="J241" i="21" a="1"/>
  <c r="J241" i="21" s="1"/>
  <c r="G241" i="21"/>
  <c r="L240" i="21"/>
  <c r="H240" i="21" s="1"/>
  <c r="J240" i="21" a="1"/>
  <c r="J240" i="21" s="1"/>
  <c r="G240" i="21"/>
  <c r="L239" i="21"/>
  <c r="M239" i="21" s="1"/>
  <c r="I239" i="21" s="1"/>
  <c r="J239" i="21" a="1"/>
  <c r="J239" i="21" s="1"/>
  <c r="G239" i="21"/>
  <c r="L238" i="21"/>
  <c r="M238" i="21" s="1"/>
  <c r="I238" i="21" s="1"/>
  <c r="J238" i="21" a="1"/>
  <c r="J238" i="21" s="1"/>
  <c r="G238" i="21"/>
  <c r="L237" i="21"/>
  <c r="M237" i="21" s="1"/>
  <c r="I237" i="21" s="1"/>
  <c r="J237" i="21" a="1"/>
  <c r="J237" i="21" s="1"/>
  <c r="G237" i="21"/>
  <c r="L236" i="21"/>
  <c r="H236" i="21" s="1"/>
  <c r="J236" i="21" a="1"/>
  <c r="J236" i="21" s="1"/>
  <c r="G236" i="21"/>
  <c r="L235" i="21"/>
  <c r="H235" i="21" s="1"/>
  <c r="J235" i="21" a="1"/>
  <c r="J235" i="21" s="1"/>
  <c r="G235" i="21"/>
  <c r="L234" i="21"/>
  <c r="M234" i="21" s="1"/>
  <c r="I234" i="21" s="1"/>
  <c r="J234" i="21" a="1"/>
  <c r="J234" i="21" s="1"/>
  <c r="G234" i="21"/>
  <c r="J233" i="21" a="1"/>
  <c r="J233" i="21" s="1"/>
  <c r="J232" i="21" a="1"/>
  <c r="J232" i="21" s="1"/>
  <c r="F232" i="21"/>
  <c r="F216" i="21" s="1"/>
  <c r="E232" i="21"/>
  <c r="E216" i="21" s="1"/>
  <c r="D232" i="21"/>
  <c r="D216" i="21" s="1"/>
  <c r="C232" i="21"/>
  <c r="C216" i="21" s="1"/>
  <c r="L231" i="21"/>
  <c r="M231" i="21" s="1"/>
  <c r="I231" i="21" s="1"/>
  <c r="K231" i="21"/>
  <c r="J231" i="21" a="1"/>
  <c r="J231" i="21" s="1"/>
  <c r="G231" i="21"/>
  <c r="L230" i="21"/>
  <c r="H230" i="21" s="1"/>
  <c r="J230" i="21" a="1"/>
  <c r="J230" i="21" s="1"/>
  <c r="G230" i="21"/>
  <c r="L229" i="21"/>
  <c r="H229" i="21" s="1"/>
  <c r="J229" i="21" a="1"/>
  <c r="J229" i="21" s="1"/>
  <c r="G229" i="21"/>
  <c r="L228" i="21"/>
  <c r="H228" i="21" s="1"/>
  <c r="K228" i="21"/>
  <c r="J228" i="21" a="1"/>
  <c r="J228" i="21" s="1"/>
  <c r="G228" i="21"/>
  <c r="L227" i="21"/>
  <c r="M227" i="21" s="1"/>
  <c r="I227" i="21" s="1"/>
  <c r="J227" i="21" a="1"/>
  <c r="J227" i="21" s="1"/>
  <c r="G227" i="21"/>
  <c r="L226" i="21"/>
  <c r="H226" i="21" s="1"/>
  <c r="J226" i="21" a="1"/>
  <c r="J226" i="21" s="1"/>
  <c r="G226" i="21"/>
  <c r="L225" i="21"/>
  <c r="M225" i="21" s="1"/>
  <c r="I225" i="21" s="1"/>
  <c r="K225" i="21"/>
  <c r="J225" i="21" a="1"/>
  <c r="J225" i="21" s="1"/>
  <c r="G225" i="21"/>
  <c r="L224" i="21"/>
  <c r="M224" i="21" s="1"/>
  <c r="I224" i="21" s="1"/>
  <c r="J224" i="21" a="1"/>
  <c r="J224" i="21" s="1"/>
  <c r="G224" i="21"/>
  <c r="L223" i="21"/>
  <c r="H223" i="21" s="1"/>
  <c r="K223" i="21"/>
  <c r="J223" i="21" a="1"/>
  <c r="J223" i="21" s="1"/>
  <c r="G223" i="21"/>
  <c r="L222" i="21"/>
  <c r="M222" i="21" s="1"/>
  <c r="I222" i="21" s="1"/>
  <c r="J222" i="21" a="1"/>
  <c r="J222" i="21" s="1"/>
  <c r="H222" i="21"/>
  <c r="G222" i="21"/>
  <c r="L221" i="21"/>
  <c r="H221" i="21" s="1"/>
  <c r="K221" i="21"/>
  <c r="J221" i="21" a="1"/>
  <c r="J221" i="21" s="1"/>
  <c r="G221" i="21"/>
  <c r="L220" i="21"/>
  <c r="M220" i="21" s="1"/>
  <c r="I220" i="21" s="1"/>
  <c r="J220" i="21" a="1"/>
  <c r="J220" i="21" s="1"/>
  <c r="G220" i="21"/>
  <c r="L219" i="21"/>
  <c r="H219" i="21" s="1"/>
  <c r="J219" i="21" a="1"/>
  <c r="J219" i="21" s="1"/>
  <c r="G219" i="21"/>
  <c r="L218" i="21"/>
  <c r="M218" i="21" s="1"/>
  <c r="I218" i="21" s="1"/>
  <c r="K218" i="21"/>
  <c r="J218" i="21" a="1"/>
  <c r="J218" i="21" s="1"/>
  <c r="G218" i="21"/>
  <c r="L217" i="21"/>
  <c r="H217" i="21" s="1"/>
  <c r="K217" i="21"/>
  <c r="J217" i="21" a="1"/>
  <c r="J217" i="21" s="1"/>
  <c r="G217" i="21"/>
  <c r="J216" i="21" a="1"/>
  <c r="J216" i="21" s="1"/>
  <c r="J215" i="21" a="1"/>
  <c r="J215" i="21" s="1"/>
  <c r="F215" i="21"/>
  <c r="F199" i="21" s="1"/>
  <c r="E215" i="21"/>
  <c r="E199" i="21" s="1"/>
  <c r="C199" i="21"/>
  <c r="L214" i="21"/>
  <c r="H214" i="21" s="1"/>
  <c r="J214" i="21" a="1"/>
  <c r="J214" i="21" s="1"/>
  <c r="G214" i="21"/>
  <c r="L213" i="21"/>
  <c r="M213" i="21" s="1"/>
  <c r="I213" i="21" s="1"/>
  <c r="J213" i="21" a="1"/>
  <c r="J213" i="21" s="1"/>
  <c r="G213" i="21"/>
  <c r="L212" i="21"/>
  <c r="H212" i="21" s="1"/>
  <c r="J212" i="21" a="1"/>
  <c r="J212" i="21" s="1"/>
  <c r="G212" i="21"/>
  <c r="L211" i="21"/>
  <c r="M211" i="21" s="1"/>
  <c r="I211" i="21" s="1"/>
  <c r="J211" i="21" a="1"/>
  <c r="J211" i="21" s="1"/>
  <c r="G211" i="21"/>
  <c r="L204" i="21"/>
  <c r="M204" i="21" s="1"/>
  <c r="I204" i="21" s="1"/>
  <c r="J204" i="21" a="1"/>
  <c r="J204" i="21" s="1"/>
  <c r="G204" i="21"/>
  <c r="L203" i="21"/>
  <c r="M203" i="21" s="1"/>
  <c r="I203" i="21" s="1"/>
  <c r="J203" i="21" a="1"/>
  <c r="J203" i="21" s="1"/>
  <c r="G203" i="21"/>
  <c r="L202" i="21"/>
  <c r="H202" i="21" s="1"/>
  <c r="J202" i="21" a="1"/>
  <c r="J202" i="21" s="1"/>
  <c r="G202" i="21"/>
  <c r="L201" i="21"/>
  <c r="H201" i="21" s="1"/>
  <c r="J201" i="21" a="1"/>
  <c r="J201" i="21" s="1"/>
  <c r="G201" i="21"/>
  <c r="L200" i="21"/>
  <c r="M200" i="21" s="1"/>
  <c r="I200" i="21" s="1"/>
  <c r="J200" i="21" a="1"/>
  <c r="J200" i="21" s="1"/>
  <c r="G200" i="21"/>
  <c r="J199" i="21" a="1"/>
  <c r="J199" i="21" s="1"/>
  <c r="J198" i="21" a="1"/>
  <c r="J198" i="21" s="1"/>
  <c r="F198" i="21"/>
  <c r="E198" i="21"/>
  <c r="D198" i="21"/>
  <c r="C198" i="21"/>
  <c r="L197" i="21"/>
  <c r="M197" i="21" s="1"/>
  <c r="I197" i="21" s="1"/>
  <c r="J197" i="21" a="1"/>
  <c r="J197" i="21" s="1"/>
  <c r="G197" i="21"/>
  <c r="L196" i="21"/>
  <c r="M196" i="21" s="1"/>
  <c r="I196" i="21" s="1"/>
  <c r="J196" i="21" a="1"/>
  <c r="J196" i="21" s="1"/>
  <c r="G196" i="21"/>
  <c r="L195" i="21"/>
  <c r="M195" i="21" s="1"/>
  <c r="I195" i="21" s="1"/>
  <c r="J195" i="21" a="1"/>
  <c r="J195" i="21" s="1"/>
  <c r="G195" i="21"/>
  <c r="L194" i="21"/>
  <c r="H194" i="21" s="1"/>
  <c r="J194" i="21" a="1"/>
  <c r="J194" i="21" s="1"/>
  <c r="G194" i="21"/>
  <c r="L193" i="21"/>
  <c r="M193" i="21" s="1"/>
  <c r="I193" i="21" s="1"/>
  <c r="J193" i="21" a="1"/>
  <c r="J193" i="21" s="1"/>
  <c r="G193" i="21"/>
  <c r="L192" i="21"/>
  <c r="M192" i="21" s="1"/>
  <c r="I192" i="21" s="1"/>
  <c r="J192" i="21" a="1"/>
  <c r="J192" i="21" s="1"/>
  <c r="G192" i="21"/>
  <c r="L191" i="21"/>
  <c r="H191" i="21" s="1"/>
  <c r="J191" i="21" a="1"/>
  <c r="J191" i="21" s="1"/>
  <c r="G191" i="21"/>
  <c r="L190" i="21"/>
  <c r="M190" i="21" s="1"/>
  <c r="I190" i="21" s="1"/>
  <c r="J190" i="21" a="1"/>
  <c r="J190" i="21" s="1"/>
  <c r="G190" i="21"/>
  <c r="L189" i="21"/>
  <c r="H189" i="21" s="1"/>
  <c r="J189" i="21" a="1"/>
  <c r="J189" i="21" s="1"/>
  <c r="G189" i="21"/>
  <c r="L188" i="21"/>
  <c r="M188" i="21" s="1"/>
  <c r="I188" i="21" s="1"/>
  <c r="J188" i="21" a="1"/>
  <c r="J188" i="21" s="1"/>
  <c r="G188" i="21"/>
  <c r="L187" i="21"/>
  <c r="H187" i="21" s="1"/>
  <c r="J187" i="21" a="1"/>
  <c r="J187" i="21" s="1"/>
  <c r="G187" i="21"/>
  <c r="L186" i="21"/>
  <c r="M186" i="21" s="1"/>
  <c r="I186" i="21" s="1"/>
  <c r="J186" i="21" a="1"/>
  <c r="J186" i="21" s="1"/>
  <c r="G186" i="21"/>
  <c r="L185" i="21"/>
  <c r="M185" i="21" s="1"/>
  <c r="I185" i="21" s="1"/>
  <c r="J185" i="21" a="1"/>
  <c r="J185" i="21" s="1"/>
  <c r="G185" i="21"/>
  <c r="L184" i="21"/>
  <c r="H184" i="21" s="1"/>
  <c r="J184" i="21" a="1"/>
  <c r="J184" i="21" s="1"/>
  <c r="G184" i="21"/>
  <c r="J183" i="21" a="1"/>
  <c r="J183" i="21" s="1"/>
  <c r="F183" i="21"/>
  <c r="E183" i="21"/>
  <c r="D183" i="21"/>
  <c r="C183" i="21"/>
  <c r="L182" i="21"/>
  <c r="M182" i="21" s="1"/>
  <c r="I182" i="21" s="1"/>
  <c r="J182" i="21" a="1"/>
  <c r="J182" i="21" s="1"/>
  <c r="G182" i="21"/>
  <c r="L181" i="21"/>
  <c r="M181" i="21" s="1"/>
  <c r="I181" i="21" s="1"/>
  <c r="J181" i="21" a="1"/>
  <c r="J181" i="21" s="1"/>
  <c r="G181" i="21"/>
  <c r="L180" i="21"/>
  <c r="H180" i="21" s="1"/>
  <c r="J180" i="21" a="1"/>
  <c r="J180" i="21" s="1"/>
  <c r="G180" i="21"/>
  <c r="L179" i="21"/>
  <c r="M179" i="21" s="1"/>
  <c r="I179" i="21" s="1"/>
  <c r="J179" i="21" a="1"/>
  <c r="J179" i="21" s="1"/>
  <c r="G179" i="21"/>
  <c r="L178" i="21"/>
  <c r="H178" i="21" s="1"/>
  <c r="J178" i="21" a="1"/>
  <c r="J178" i="21" s="1"/>
  <c r="G178" i="21"/>
  <c r="L177" i="21"/>
  <c r="M177" i="21" s="1"/>
  <c r="I177" i="21" s="1"/>
  <c r="J177" i="21" a="1"/>
  <c r="J177" i="21" s="1"/>
  <c r="G177" i="21"/>
  <c r="L176" i="21"/>
  <c r="M176" i="21" s="1"/>
  <c r="I176" i="21" s="1"/>
  <c r="J176" i="21" a="1"/>
  <c r="J176" i="21" s="1"/>
  <c r="G176" i="21"/>
  <c r="L175" i="21"/>
  <c r="M175" i="21" s="1"/>
  <c r="I175" i="21" s="1"/>
  <c r="J175" i="21" a="1"/>
  <c r="J175" i="21" s="1"/>
  <c r="G175" i="21"/>
  <c r="L174" i="21"/>
  <c r="H174" i="21" s="1"/>
  <c r="J174" i="21" a="1"/>
  <c r="J174" i="21" s="1"/>
  <c r="G174" i="21"/>
  <c r="L173" i="21"/>
  <c r="H173" i="21" s="1"/>
  <c r="J173" i="21" a="1"/>
  <c r="J173" i="21" s="1"/>
  <c r="G173" i="21"/>
  <c r="L172" i="21"/>
  <c r="M172" i="21" s="1"/>
  <c r="I172" i="21" s="1"/>
  <c r="J172" i="21" a="1"/>
  <c r="J172" i="21" s="1"/>
  <c r="G172" i="21"/>
  <c r="L171" i="21"/>
  <c r="H171" i="21" s="1"/>
  <c r="J171" i="21" a="1"/>
  <c r="J171" i="21" s="1"/>
  <c r="G171" i="21"/>
  <c r="L170" i="21"/>
  <c r="M170" i="21" s="1"/>
  <c r="I170" i="21" s="1"/>
  <c r="J170" i="21" a="1"/>
  <c r="J170" i="21" s="1"/>
  <c r="G170" i="21"/>
  <c r="L169" i="21"/>
  <c r="H169" i="21" s="1"/>
  <c r="J169" i="21" a="1"/>
  <c r="J169" i="21" s="1"/>
  <c r="G169" i="21"/>
  <c r="L168" i="21"/>
  <c r="M168" i="21" s="1"/>
  <c r="I168" i="21" s="1"/>
  <c r="J168" i="21" a="1"/>
  <c r="J168" i="21" s="1"/>
  <c r="G168" i="21"/>
  <c r="J167" i="21" a="1"/>
  <c r="J167" i="21" s="1"/>
  <c r="F167" i="21"/>
  <c r="E167" i="21"/>
  <c r="D167" i="21"/>
  <c r="C167" i="21"/>
  <c r="L166" i="21"/>
  <c r="M166" i="21" s="1"/>
  <c r="I166" i="21" s="1"/>
  <c r="J166" i="21" a="1"/>
  <c r="J166" i="21" s="1"/>
  <c r="G166" i="21"/>
  <c r="L165" i="21"/>
  <c r="H165" i="21" s="1"/>
  <c r="J165" i="21" a="1"/>
  <c r="J165" i="21" s="1"/>
  <c r="G165" i="21"/>
  <c r="L164" i="21"/>
  <c r="M164" i="21" s="1"/>
  <c r="I164" i="21" s="1"/>
  <c r="J164" i="21" a="1"/>
  <c r="J164" i="21" s="1"/>
  <c r="G164" i="21"/>
  <c r="L163" i="21"/>
  <c r="H163" i="21" s="1"/>
  <c r="J163" i="21" a="1"/>
  <c r="J163" i="21" s="1"/>
  <c r="G163" i="21"/>
  <c r="L162" i="21"/>
  <c r="M162" i="21" s="1"/>
  <c r="I162" i="21" s="1"/>
  <c r="J162" i="21" a="1"/>
  <c r="J162" i="21" s="1"/>
  <c r="G162" i="21"/>
  <c r="L161" i="21"/>
  <c r="M161" i="21" s="1"/>
  <c r="I161" i="21" s="1"/>
  <c r="J161" i="21" a="1"/>
  <c r="J161" i="21" s="1"/>
  <c r="G161" i="21"/>
  <c r="L160" i="21"/>
  <c r="H160" i="21" s="1"/>
  <c r="J160" i="21" a="1"/>
  <c r="J160" i="21" s="1"/>
  <c r="G160" i="21"/>
  <c r="L159" i="21"/>
  <c r="M159" i="21" s="1"/>
  <c r="I159" i="21" s="1"/>
  <c r="J159" i="21" a="1"/>
  <c r="J159" i="21" s="1"/>
  <c r="G159" i="21"/>
  <c r="L158" i="21"/>
  <c r="H158" i="21" s="1"/>
  <c r="J158" i="21" a="1"/>
  <c r="J158" i="21" s="1"/>
  <c r="G158" i="21"/>
  <c r="L157" i="21"/>
  <c r="M157" i="21" s="1"/>
  <c r="I157" i="21" s="1"/>
  <c r="J157" i="21" a="1"/>
  <c r="J157" i="21" s="1"/>
  <c r="G157" i="21"/>
  <c r="L156" i="21"/>
  <c r="M156" i="21" s="1"/>
  <c r="I156" i="21" s="1"/>
  <c r="J156" i="21" a="1"/>
  <c r="J156" i="21" s="1"/>
  <c r="G156" i="21"/>
  <c r="L155" i="21"/>
  <c r="M155" i="21" s="1"/>
  <c r="I155" i="21" s="1"/>
  <c r="J155" i="21" a="1"/>
  <c r="J155" i="21" s="1"/>
  <c r="G155" i="21"/>
  <c r="L154" i="21"/>
  <c r="H154" i="21" s="1"/>
  <c r="J154" i="21" a="1"/>
  <c r="J154" i="21" s="1"/>
  <c r="G154" i="21"/>
  <c r="L153" i="21"/>
  <c r="M153" i="21" s="1"/>
  <c r="I153" i="21" s="1"/>
  <c r="J153" i="21" a="1"/>
  <c r="J153" i="21" s="1"/>
  <c r="G153" i="21"/>
  <c r="L152" i="21"/>
  <c r="M152" i="21" s="1"/>
  <c r="I152" i="21" s="1"/>
  <c r="J152" i="21" a="1"/>
  <c r="J152" i="21" s="1"/>
  <c r="G152" i="21"/>
  <c r="L151" i="21"/>
  <c r="H151" i="21" s="1"/>
  <c r="J151" i="21" a="1"/>
  <c r="J151" i="21" s="1"/>
  <c r="G151" i="21"/>
  <c r="J150" i="21" a="1"/>
  <c r="J150" i="21" s="1"/>
  <c r="F150" i="21"/>
  <c r="E150" i="21"/>
  <c r="L150" i="21"/>
  <c r="L149" i="21"/>
  <c r="M149" i="21" s="1"/>
  <c r="I149" i="21" s="1"/>
  <c r="J149" i="21" a="1"/>
  <c r="J149" i="21" s="1"/>
  <c r="G149" i="21"/>
  <c r="L148" i="21"/>
  <c r="M148" i="21" s="1"/>
  <c r="I148" i="21" s="1"/>
  <c r="J148" i="21" a="1"/>
  <c r="J148" i="21" s="1"/>
  <c r="G148" i="21"/>
  <c r="L140" i="21"/>
  <c r="M140" i="21" s="1"/>
  <c r="I140" i="21" s="1"/>
  <c r="J140" i="21" a="1"/>
  <c r="J140" i="21" s="1"/>
  <c r="G140" i="21"/>
  <c r="L139" i="21"/>
  <c r="H139" i="21" s="1"/>
  <c r="J139" i="21" a="1"/>
  <c r="J139" i="21" s="1"/>
  <c r="G139" i="21"/>
  <c r="L138" i="21"/>
  <c r="M138" i="21" s="1"/>
  <c r="I138" i="21" s="1"/>
  <c r="J138" i="21" a="1"/>
  <c r="J138" i="21" s="1"/>
  <c r="G138" i="21"/>
  <c r="L137" i="21"/>
  <c r="H137" i="21" s="1"/>
  <c r="J137" i="21" a="1"/>
  <c r="J137" i="21" s="1"/>
  <c r="G137" i="21"/>
  <c r="L136" i="21"/>
  <c r="M136" i="21" s="1"/>
  <c r="I136" i="21" s="1"/>
  <c r="J136" i="21" a="1"/>
  <c r="J136" i="21" s="1"/>
  <c r="G136" i="21"/>
  <c r="J135" i="21" a="1"/>
  <c r="J135" i="21" s="1"/>
  <c r="F135" i="21"/>
  <c r="E135" i="21"/>
  <c r="D135" i="21"/>
  <c r="C135" i="21"/>
  <c r="L134" i="21"/>
  <c r="M134" i="21" s="1"/>
  <c r="I134" i="21" s="1"/>
  <c r="J134" i="21" a="1"/>
  <c r="J134" i="21" s="1"/>
  <c r="G134" i="21"/>
  <c r="L133" i="21"/>
  <c r="H133" i="21" s="1"/>
  <c r="J133" i="21" a="1"/>
  <c r="J133" i="21" s="1"/>
  <c r="G133" i="21"/>
  <c r="L132" i="21"/>
  <c r="M132" i="21" s="1"/>
  <c r="I132" i="21" s="1"/>
  <c r="J132" i="21" a="1"/>
  <c r="J132" i="21" s="1"/>
  <c r="G132" i="21"/>
  <c r="L131" i="21"/>
  <c r="M131" i="21" s="1"/>
  <c r="I131" i="21" s="1"/>
  <c r="J131" i="21" a="1"/>
  <c r="J131" i="21" s="1"/>
  <c r="G131" i="21"/>
  <c r="L130" i="21"/>
  <c r="M130" i="21" s="1"/>
  <c r="I130" i="21" s="1"/>
  <c r="J130" i="21" a="1"/>
  <c r="J130" i="21" s="1"/>
  <c r="G130" i="21"/>
  <c r="L129" i="21"/>
  <c r="H129" i="21" s="1"/>
  <c r="J129" i="21" a="1"/>
  <c r="J129" i="21" s="1"/>
  <c r="G129" i="21"/>
  <c r="L128" i="21"/>
  <c r="M128" i="21" s="1"/>
  <c r="I128" i="21" s="1"/>
  <c r="J128" i="21" a="1"/>
  <c r="J128" i="21" s="1"/>
  <c r="G128" i="21"/>
  <c r="L127" i="21"/>
  <c r="M127" i="21" s="1"/>
  <c r="I127" i="21" s="1"/>
  <c r="J127" i="21" a="1"/>
  <c r="J127" i="21" s="1"/>
  <c r="G127" i="21"/>
  <c r="L126" i="21"/>
  <c r="H126" i="21" s="1"/>
  <c r="J126" i="21" a="1"/>
  <c r="J126" i="21" s="1"/>
  <c r="G126" i="21"/>
  <c r="L125" i="21"/>
  <c r="M125" i="21" s="1"/>
  <c r="I125" i="21" s="1"/>
  <c r="J125" i="21" a="1"/>
  <c r="J125" i="21" s="1"/>
  <c r="G125" i="21"/>
  <c r="L124" i="21"/>
  <c r="H124" i="21" s="1"/>
  <c r="J124" i="21" a="1"/>
  <c r="J124" i="21" s="1"/>
  <c r="G124" i="21"/>
  <c r="L123" i="21"/>
  <c r="M123" i="21" s="1"/>
  <c r="I123" i="21" s="1"/>
  <c r="J123" i="21" a="1"/>
  <c r="J123" i="21" s="1"/>
  <c r="H123" i="21"/>
  <c r="G123" i="21"/>
  <c r="L122" i="21"/>
  <c r="H122" i="21" s="1"/>
  <c r="J122" i="21" a="1"/>
  <c r="J122" i="21" s="1"/>
  <c r="G122" i="21"/>
  <c r="J121" i="21" a="1"/>
  <c r="J121" i="21" s="1"/>
  <c r="F121" i="21"/>
  <c r="E121" i="21"/>
  <c r="D121" i="21"/>
  <c r="C121" i="21"/>
  <c r="L120" i="21"/>
  <c r="H120" i="21" s="1"/>
  <c r="J120" i="21" a="1"/>
  <c r="J120" i="21" s="1"/>
  <c r="G120" i="21"/>
  <c r="L117" i="21"/>
  <c r="H117" i="21" s="1"/>
  <c r="J117" i="21" a="1"/>
  <c r="J117" i="21" s="1"/>
  <c r="G117" i="21"/>
  <c r="L116" i="21"/>
  <c r="H116" i="21" s="1"/>
  <c r="J116" i="21" a="1"/>
  <c r="J116" i="21" s="1"/>
  <c r="G116" i="21"/>
  <c r="L115" i="21"/>
  <c r="M115" i="21" s="1"/>
  <c r="I115" i="21" s="1"/>
  <c r="J115" i="21" a="1"/>
  <c r="J115" i="21" s="1"/>
  <c r="G115" i="21"/>
  <c r="L114" i="21"/>
  <c r="H114" i="21" s="1"/>
  <c r="J114" i="21" a="1"/>
  <c r="J114" i="21" s="1"/>
  <c r="G114" i="21"/>
  <c r="J113" i="21" a="1"/>
  <c r="J113" i="21" s="1"/>
  <c r="J112" i="21" a="1"/>
  <c r="J112" i="21" s="1"/>
  <c r="F112" i="21"/>
  <c r="E112" i="21"/>
  <c r="D112" i="21"/>
  <c r="C112" i="21"/>
  <c r="L111" i="21"/>
  <c r="H111" i="21" s="1"/>
  <c r="J111" i="21" a="1"/>
  <c r="J111" i="21" s="1"/>
  <c r="G111" i="21"/>
  <c r="L110" i="21"/>
  <c r="M110" i="21" s="1"/>
  <c r="I110" i="21" s="1"/>
  <c r="J110" i="21" a="1"/>
  <c r="J110" i="21" s="1"/>
  <c r="G110" i="21"/>
  <c r="L109" i="21"/>
  <c r="H109" i="21" s="1"/>
  <c r="J109" i="21" a="1"/>
  <c r="J109" i="21" s="1"/>
  <c r="G109" i="21"/>
  <c r="L108" i="21"/>
  <c r="M108" i="21" s="1"/>
  <c r="I108" i="21" s="1"/>
  <c r="J108" i="21" a="1"/>
  <c r="J108" i="21" s="1"/>
  <c r="G108" i="21"/>
  <c r="L107" i="21"/>
  <c r="M107" i="21" s="1"/>
  <c r="I107" i="21" s="1"/>
  <c r="J107" i="21" a="1"/>
  <c r="J107" i="21" s="1"/>
  <c r="G107" i="21"/>
  <c r="L106" i="21"/>
  <c r="H106" i="21" s="1"/>
  <c r="J106" i="21" a="1"/>
  <c r="J106" i="21" s="1"/>
  <c r="G106" i="21"/>
  <c r="L105" i="21"/>
  <c r="M105" i="21" s="1"/>
  <c r="I105" i="21" s="1"/>
  <c r="J105" i="21" a="1"/>
  <c r="J105" i="21" s="1"/>
  <c r="G105" i="21"/>
  <c r="L104" i="21"/>
  <c r="H104" i="21" s="1"/>
  <c r="J104" i="21" a="1"/>
  <c r="J104" i="21" s="1"/>
  <c r="G104" i="21"/>
  <c r="L103" i="21"/>
  <c r="M103" i="21" s="1"/>
  <c r="I103" i="21" s="1"/>
  <c r="J103" i="21" a="1"/>
  <c r="J103" i="21" s="1"/>
  <c r="G103" i="21"/>
  <c r="L102" i="21"/>
  <c r="M102" i="21" s="1"/>
  <c r="I102" i="21" s="1"/>
  <c r="J102" i="21" a="1"/>
  <c r="J102" i="21" s="1"/>
  <c r="G102" i="21"/>
  <c r="L101" i="21"/>
  <c r="M101" i="21" s="1"/>
  <c r="I101" i="21" s="1"/>
  <c r="J101" i="21" a="1"/>
  <c r="J101" i="21" s="1"/>
  <c r="G101" i="21"/>
  <c r="L100" i="21"/>
  <c r="H100" i="21" s="1"/>
  <c r="J100" i="21" a="1"/>
  <c r="J100" i="21" s="1"/>
  <c r="G100" i="21"/>
  <c r="L99" i="21"/>
  <c r="M99" i="21" s="1"/>
  <c r="I99" i="21" s="1"/>
  <c r="J99" i="21" a="1"/>
  <c r="J99" i="21" s="1"/>
  <c r="G99" i="21"/>
  <c r="J98" i="21" a="1"/>
  <c r="J98" i="21" s="1"/>
  <c r="F98" i="21"/>
  <c r="L97" i="21"/>
  <c r="M97" i="21" s="1"/>
  <c r="I97" i="21" s="1"/>
  <c r="J97" i="21" a="1"/>
  <c r="J97" i="21" s="1"/>
  <c r="G97" i="21"/>
  <c r="L96" i="21"/>
  <c r="M96" i="21" s="1"/>
  <c r="I96" i="21" s="1"/>
  <c r="J96" i="21" a="1"/>
  <c r="J96" i="21" s="1"/>
  <c r="G96" i="21"/>
  <c r="L95" i="21"/>
  <c r="H95" i="21" s="1"/>
  <c r="J95" i="21" a="1"/>
  <c r="J95" i="21" s="1"/>
  <c r="G95" i="21"/>
  <c r="L94" i="21"/>
  <c r="M94" i="21" s="1"/>
  <c r="I94" i="21" s="1"/>
  <c r="J94" i="21" a="1"/>
  <c r="J94" i="21" s="1"/>
  <c r="G94" i="21"/>
  <c r="L93" i="21"/>
  <c r="H93" i="21" s="1"/>
  <c r="J93" i="21" a="1"/>
  <c r="J93" i="21" s="1"/>
  <c r="G93" i="21"/>
  <c r="L92" i="21"/>
  <c r="M92" i="21" s="1"/>
  <c r="I92" i="21" s="1"/>
  <c r="J92" i="21" a="1"/>
  <c r="J92" i="21" s="1"/>
  <c r="G92" i="21"/>
  <c r="L91" i="21"/>
  <c r="M91" i="21" s="1"/>
  <c r="I91" i="21" s="1"/>
  <c r="J91" i="21" a="1"/>
  <c r="J91" i="21" s="1"/>
  <c r="G91" i="21"/>
  <c r="L90" i="21"/>
  <c r="M90" i="21" s="1"/>
  <c r="I90" i="21" s="1"/>
  <c r="J90" i="21" a="1"/>
  <c r="J90" i="21" s="1"/>
  <c r="G90" i="21"/>
  <c r="L89" i="21"/>
  <c r="H89" i="21" s="1"/>
  <c r="J89" i="21" a="1"/>
  <c r="J89" i="21" s="1"/>
  <c r="G89" i="21"/>
  <c r="L88" i="21"/>
  <c r="M88" i="21" s="1"/>
  <c r="I88" i="21" s="1"/>
  <c r="J88" i="21" a="1"/>
  <c r="J88" i="21" s="1"/>
  <c r="G88" i="21"/>
  <c r="L86" i="21"/>
  <c r="M86" i="21" s="1"/>
  <c r="I86" i="21" s="1"/>
  <c r="J86" i="21" a="1"/>
  <c r="J86" i="21" s="1"/>
  <c r="G86" i="21"/>
  <c r="L85" i="21"/>
  <c r="H85" i="21" s="1"/>
  <c r="J85" i="21" a="1"/>
  <c r="J85" i="21" s="1"/>
  <c r="G85" i="21"/>
  <c r="L84" i="21"/>
  <c r="M84" i="21" s="1"/>
  <c r="I84" i="21" s="1"/>
  <c r="J84" i="21" a="1"/>
  <c r="J84" i="21" s="1"/>
  <c r="G84" i="21"/>
  <c r="J83" i="21" a="1"/>
  <c r="J83" i="21" s="1"/>
  <c r="F83" i="21"/>
  <c r="E83" i="21"/>
  <c r="D83" i="21"/>
  <c r="C83" i="21"/>
  <c r="L82" i="21"/>
  <c r="M82" i="21" s="1"/>
  <c r="I82" i="21" s="1"/>
  <c r="J82" i="21" a="1"/>
  <c r="J82" i="21" s="1"/>
  <c r="G82" i="21"/>
  <c r="L81" i="21"/>
  <c r="H81" i="21" s="1"/>
  <c r="J81" i="21" a="1"/>
  <c r="J81" i="21" s="1"/>
  <c r="G81" i="21"/>
  <c r="L80" i="21"/>
  <c r="M80" i="21" s="1"/>
  <c r="I80" i="21" s="1"/>
  <c r="J80" i="21" a="1"/>
  <c r="J80" i="21" s="1"/>
  <c r="G80" i="21"/>
  <c r="L79" i="21"/>
  <c r="H79" i="21" s="1"/>
  <c r="J79" i="21" a="1"/>
  <c r="J79" i="21" s="1"/>
  <c r="G79" i="21"/>
  <c r="L78" i="21"/>
  <c r="M78" i="21" s="1"/>
  <c r="I78" i="21" s="1"/>
  <c r="J78" i="21" a="1"/>
  <c r="J78" i="21" s="1"/>
  <c r="G78" i="21"/>
  <c r="L77" i="21"/>
  <c r="H77" i="21" s="1"/>
  <c r="J77" i="21" a="1"/>
  <c r="J77" i="21" s="1"/>
  <c r="G77" i="21"/>
  <c r="L76" i="21"/>
  <c r="M76" i="21" s="1"/>
  <c r="I76" i="21" s="1"/>
  <c r="J76" i="21" a="1"/>
  <c r="J76" i="21" s="1"/>
  <c r="G76" i="21"/>
  <c r="L75" i="21"/>
  <c r="M75" i="21" s="1"/>
  <c r="I75" i="21" s="1"/>
  <c r="J75" i="21" a="1"/>
  <c r="J75" i="21" s="1"/>
  <c r="G75" i="21"/>
  <c r="L74" i="21"/>
  <c r="H74" i="21" s="1"/>
  <c r="J74" i="21" a="1"/>
  <c r="J74" i="21" s="1"/>
  <c r="G74" i="21"/>
  <c r="L73" i="21"/>
  <c r="J73" i="21" a="1"/>
  <c r="J73" i="21" s="1"/>
  <c r="G73" i="21"/>
  <c r="L72" i="21"/>
  <c r="H72" i="21" s="1"/>
  <c r="J72" i="21" a="1"/>
  <c r="J72" i="21" s="1"/>
  <c r="G72" i="21"/>
  <c r="L71" i="21"/>
  <c r="M71" i="21" s="1"/>
  <c r="I71" i="21" s="1"/>
  <c r="J71" i="21" a="1"/>
  <c r="J71" i="21" s="1"/>
  <c r="G71" i="21"/>
  <c r="L70" i="21"/>
  <c r="M70" i="21" s="1"/>
  <c r="I70" i="21" s="1"/>
  <c r="J70" i="21" a="1"/>
  <c r="J70" i="21" s="1"/>
  <c r="G70" i="21"/>
  <c r="L69" i="21"/>
  <c r="M69" i="21" s="1"/>
  <c r="I69" i="21" s="1"/>
  <c r="J69" i="21" a="1"/>
  <c r="J69" i="21" s="1"/>
  <c r="G69" i="21"/>
  <c r="L68" i="21"/>
  <c r="H68" i="21" s="1"/>
  <c r="J68" i="21" a="1"/>
  <c r="J68" i="21" s="1"/>
  <c r="G68" i="21"/>
  <c r="L67" i="21"/>
  <c r="M67" i="21" s="1"/>
  <c r="I67" i="21" s="1"/>
  <c r="J67" i="21" a="1"/>
  <c r="J67" i="21" s="1"/>
  <c r="G67" i="21"/>
  <c r="J66" i="21" a="1"/>
  <c r="J66" i="21" s="1"/>
  <c r="F66" i="21"/>
  <c r="E66" i="21"/>
  <c r="D66" i="21"/>
  <c r="C66" i="21"/>
  <c r="L65" i="21"/>
  <c r="M65" i="21" s="1"/>
  <c r="I65" i="21" s="1"/>
  <c r="J65" i="21" a="1"/>
  <c r="J65" i="21" s="1"/>
  <c r="G65" i="21"/>
  <c r="L64" i="21"/>
  <c r="H64" i="21" s="1"/>
  <c r="J64" i="21" a="1"/>
  <c r="J64" i="21" s="1"/>
  <c r="G64" i="21"/>
  <c r="J63" i="21" a="1"/>
  <c r="J63" i="21" s="1"/>
  <c r="J62" i="21" a="1"/>
  <c r="J62" i="21" s="1"/>
  <c r="F62" i="21"/>
  <c r="E62" i="21"/>
  <c r="D62" i="21"/>
  <c r="C62" i="21"/>
  <c r="L61" i="21"/>
  <c r="M61" i="21" s="1"/>
  <c r="I61" i="21" s="1"/>
  <c r="J61" i="21" a="1"/>
  <c r="J61" i="21" s="1"/>
  <c r="G61" i="21"/>
  <c r="L60" i="21"/>
  <c r="H60" i="21" s="1"/>
  <c r="J60" i="21" a="1"/>
  <c r="J60" i="21" s="1"/>
  <c r="G60" i="21"/>
  <c r="G59" i="21"/>
  <c r="G58" i="21"/>
  <c r="G57" i="21"/>
  <c r="G56" i="21"/>
  <c r="G55" i="21"/>
  <c r="L46" i="21"/>
  <c r="H46" i="21" s="1"/>
  <c r="J46" i="21" a="1"/>
  <c r="J46" i="21" s="1"/>
  <c r="G46" i="21"/>
  <c r="L45" i="21"/>
  <c r="H45" i="21" s="1"/>
  <c r="J45" i="21" a="1"/>
  <c r="J45" i="21" s="1"/>
  <c r="G45" i="21"/>
  <c r="L44" i="21"/>
  <c r="M44" i="21" s="1"/>
  <c r="I44" i="21" s="1"/>
  <c r="J44" i="21" a="1"/>
  <c r="J44" i="21" s="1"/>
  <c r="G44" i="21"/>
  <c r="L43" i="21"/>
  <c r="H43" i="21" s="1"/>
  <c r="J43" i="21" a="1"/>
  <c r="J43" i="21" s="1"/>
  <c r="G43" i="21"/>
  <c r="J42" i="21" a="1"/>
  <c r="J42" i="21" s="1"/>
  <c r="F42" i="21"/>
  <c r="E42" i="21"/>
  <c r="D42" i="21"/>
  <c r="C42" i="21"/>
  <c r="L41" i="21"/>
  <c r="H41" i="21" s="1"/>
  <c r="J41" i="21" a="1"/>
  <c r="J41" i="21" s="1"/>
  <c r="G41" i="21"/>
  <c r="L40" i="21"/>
  <c r="M40" i="21" s="1"/>
  <c r="I40" i="21" s="1"/>
  <c r="J40" i="21" a="1"/>
  <c r="J40" i="21" s="1"/>
  <c r="G40" i="21"/>
  <c r="L39" i="21"/>
  <c r="H39" i="21" s="1"/>
  <c r="J39" i="21" a="1"/>
  <c r="J39" i="21" s="1"/>
  <c r="G39" i="21"/>
  <c r="L38" i="21"/>
  <c r="M38" i="21" s="1"/>
  <c r="I38" i="21" s="1"/>
  <c r="J38" i="21" a="1"/>
  <c r="J38" i="21" s="1"/>
  <c r="G38" i="21"/>
  <c r="L37" i="21"/>
  <c r="M37" i="21" s="1"/>
  <c r="I37" i="21" s="1"/>
  <c r="J37" i="21" a="1"/>
  <c r="J37" i="21" s="1"/>
  <c r="G37" i="21"/>
  <c r="L36" i="21"/>
  <c r="M36" i="21" s="1"/>
  <c r="I36" i="21" s="1"/>
  <c r="J36" i="21" a="1"/>
  <c r="J36" i="21" s="1"/>
  <c r="G36" i="21"/>
  <c r="L35" i="21"/>
  <c r="H35" i="21" s="1"/>
  <c r="J35" i="21" a="1"/>
  <c r="J35" i="21" s="1"/>
  <c r="G35" i="21"/>
  <c r="L34" i="21"/>
  <c r="M34" i="21" s="1"/>
  <c r="I34" i="21" s="1"/>
  <c r="J34" i="21" a="1"/>
  <c r="J34" i="21" s="1"/>
  <c r="G34" i="21"/>
  <c r="L33" i="21"/>
  <c r="H33" i="21" s="1"/>
  <c r="J33" i="21" a="1"/>
  <c r="J33" i="21" s="1"/>
  <c r="G33" i="21"/>
  <c r="L32" i="21"/>
  <c r="H32" i="21" s="1"/>
  <c r="J32" i="21" a="1"/>
  <c r="J32" i="21" s="1"/>
  <c r="G32" i="21"/>
  <c r="L31" i="21"/>
  <c r="H31" i="21" s="1"/>
  <c r="J31" i="21" a="1"/>
  <c r="J31" i="21" s="1"/>
  <c r="G31" i="21"/>
  <c r="L30" i="21"/>
  <c r="H30" i="21" s="1"/>
  <c r="J30" i="21" a="1"/>
  <c r="J30" i="21" s="1"/>
  <c r="G30" i="21"/>
  <c r="L29" i="21"/>
  <c r="M29" i="21" s="1"/>
  <c r="I29" i="21" s="1"/>
  <c r="J29" i="21" a="1"/>
  <c r="J29" i="21" s="1"/>
  <c r="G29" i="21"/>
  <c r="L28" i="21"/>
  <c r="H28" i="21" s="1"/>
  <c r="J28" i="21" a="1"/>
  <c r="J28" i="21" s="1"/>
  <c r="G28" i="21"/>
  <c r="L27" i="21"/>
  <c r="M27" i="21" s="1"/>
  <c r="I27" i="21" s="1"/>
  <c r="J27" i="21" a="1"/>
  <c r="J27" i="21" s="1"/>
  <c r="G27" i="21"/>
  <c r="J26" i="21" a="1"/>
  <c r="J26" i="21" s="1"/>
  <c r="F26" i="21"/>
  <c r="E26" i="21"/>
  <c r="D26" i="21"/>
  <c r="C26" i="21"/>
  <c r="L25" i="21"/>
  <c r="M25" i="21" s="1"/>
  <c r="I25" i="21" s="1"/>
  <c r="J25" i="21" a="1"/>
  <c r="J25" i="21" s="1"/>
  <c r="G25" i="21"/>
  <c r="L24" i="21"/>
  <c r="H24" i="21" s="1"/>
  <c r="J24" i="21" a="1"/>
  <c r="J24" i="21" s="1"/>
  <c r="G24" i="21"/>
  <c r="L23" i="21"/>
  <c r="M23" i="21" s="1"/>
  <c r="I23" i="21" s="1"/>
  <c r="J23" i="21" a="1"/>
  <c r="J23" i="21" s="1"/>
  <c r="G23" i="21"/>
  <c r="L22" i="21"/>
  <c r="H22" i="21" s="1"/>
  <c r="J22" i="21" a="1"/>
  <c r="J22" i="21" s="1"/>
  <c r="G22" i="21"/>
  <c r="J21" i="21" a="1"/>
  <c r="J21" i="21" s="1"/>
  <c r="J20" i="21" a="1"/>
  <c r="J20" i="21" s="1"/>
  <c r="F20" i="21"/>
  <c r="F5" i="21" s="1"/>
  <c r="E20" i="21"/>
  <c r="E5" i="21" s="1"/>
  <c r="D20" i="21"/>
  <c r="C20" i="21"/>
  <c r="C5" i="21" s="1"/>
  <c r="L19" i="21"/>
  <c r="M19" i="21" s="1"/>
  <c r="I19" i="21" s="1"/>
  <c r="J19" i="21" a="1"/>
  <c r="J19" i="21" s="1"/>
  <c r="L18" i="21"/>
  <c r="M18" i="21" s="1"/>
  <c r="I18" i="21" s="1"/>
  <c r="J18" i="21" a="1"/>
  <c r="J18" i="21" s="1"/>
  <c r="G18" i="21"/>
  <c r="L17" i="21"/>
  <c r="M17" i="21" s="1"/>
  <c r="I17" i="21" s="1"/>
  <c r="J17" i="21" a="1"/>
  <c r="J17" i="21" s="1"/>
  <c r="G17" i="21"/>
  <c r="L16" i="21"/>
  <c r="H16" i="21" s="1"/>
  <c r="J16" i="21" a="1"/>
  <c r="J16" i="21" s="1"/>
  <c r="G16" i="21"/>
  <c r="L15" i="21"/>
  <c r="M15" i="21" s="1"/>
  <c r="I15" i="21" s="1"/>
  <c r="J15" i="21" a="1"/>
  <c r="J15" i="21" s="1"/>
  <c r="G15" i="21"/>
  <c r="L14" i="21"/>
  <c r="H14" i="21" s="1"/>
  <c r="J14" i="21" a="1"/>
  <c r="J14" i="21" s="1"/>
  <c r="G14" i="21"/>
  <c r="L13" i="21"/>
  <c r="H13" i="21" s="1"/>
  <c r="J13" i="21" a="1"/>
  <c r="J13" i="21" s="1"/>
  <c r="G13" i="21"/>
  <c r="L12" i="21"/>
  <c r="M12" i="21" s="1"/>
  <c r="I12" i="21" s="1"/>
  <c r="J12" i="21" a="1"/>
  <c r="J12" i="21" s="1"/>
  <c r="G12" i="21"/>
  <c r="L11" i="21"/>
  <c r="H11" i="21" s="1"/>
  <c r="J11" i="21" a="1"/>
  <c r="J11" i="21" s="1"/>
  <c r="G11" i="21"/>
  <c r="L10" i="21"/>
  <c r="M10" i="21" s="1"/>
  <c r="I10" i="21" s="1"/>
  <c r="J10" i="21" a="1"/>
  <c r="J10" i="21" s="1"/>
  <c r="G10" i="21"/>
  <c r="L9" i="21"/>
  <c r="H9" i="21" s="1"/>
  <c r="J9" i="21" a="1"/>
  <c r="J9" i="21" s="1"/>
  <c r="G9" i="21"/>
  <c r="L8" i="21"/>
  <c r="M8" i="21" s="1"/>
  <c r="I8" i="21" s="1"/>
  <c r="J8" i="21" a="1"/>
  <c r="J8" i="21" s="1"/>
  <c r="G8" i="21"/>
  <c r="L7" i="21"/>
  <c r="H7" i="21" s="1"/>
  <c r="J7" i="21" a="1"/>
  <c r="J7" i="21" s="1"/>
  <c r="G7" i="21"/>
  <c r="L6" i="21"/>
  <c r="H6" i="21" s="1"/>
  <c r="J6" i="21" a="1"/>
  <c r="J6" i="21" s="1"/>
  <c r="G6" i="21"/>
  <c r="I4" i="21"/>
  <c r="H4" i="21"/>
  <c r="L2" i="21"/>
  <c r="M2" i="21" s="1"/>
  <c r="H2" i="21" s="1"/>
  <c r="G310" i="21" s="1"/>
  <c r="F282" i="20"/>
  <c r="G282" i="20"/>
  <c r="F283" i="20"/>
  <c r="G283" i="20"/>
  <c r="F284" i="20"/>
  <c r="G284" i="20"/>
  <c r="F285" i="20"/>
  <c r="G285" i="20"/>
  <c r="F286" i="20"/>
  <c r="G286" i="20"/>
  <c r="F287" i="20"/>
  <c r="G287" i="20"/>
  <c r="F288" i="20"/>
  <c r="G288" i="20"/>
  <c r="F289" i="20"/>
  <c r="G289" i="20"/>
  <c r="F290" i="20"/>
  <c r="G290" i="20"/>
  <c r="F291" i="20"/>
  <c r="G291" i="20"/>
  <c r="F292" i="20"/>
  <c r="G292" i="20"/>
  <c r="F293" i="20"/>
  <c r="G293" i="20"/>
  <c r="F294" i="20"/>
  <c r="G294" i="20"/>
  <c r="F295" i="20"/>
  <c r="G295" i="20"/>
  <c r="F296" i="20"/>
  <c r="G296" i="20"/>
  <c r="F297" i="20"/>
  <c r="G297" i="20"/>
  <c r="F298" i="20"/>
  <c r="G298" i="20"/>
  <c r="F299" i="20"/>
  <c r="G299" i="20"/>
  <c r="F300" i="20"/>
  <c r="G300" i="20"/>
  <c r="C302" i="20"/>
  <c r="D302" i="20"/>
  <c r="E302" i="20"/>
  <c r="A304" i="20"/>
  <c r="G301" i="20"/>
  <c r="F301" i="20"/>
  <c r="G281" i="20"/>
  <c r="F281" i="20"/>
  <c r="G280" i="20"/>
  <c r="F280" i="20"/>
  <c r="G279" i="20"/>
  <c r="F279" i="20"/>
  <c r="F273" i="20"/>
  <c r="F259" i="20" s="1"/>
  <c r="E273" i="20"/>
  <c r="D273" i="20"/>
  <c r="C273" i="20"/>
  <c r="L273" i="20" s="1"/>
  <c r="L272" i="20"/>
  <c r="M272" i="20" s="1"/>
  <c r="I272" i="20" s="1"/>
  <c r="J272" i="20" a="1"/>
  <c r="J272" i="20" s="1"/>
  <c r="H272" i="20"/>
  <c r="G272" i="20"/>
  <c r="L271" i="20"/>
  <c r="H271" i="20" s="1"/>
  <c r="J271" i="20" a="1"/>
  <c r="J271" i="20" s="1"/>
  <c r="G271" i="20"/>
  <c r="L270" i="20"/>
  <c r="H270" i="20" s="1"/>
  <c r="J270" i="20" a="1"/>
  <c r="J270" i="20" s="1"/>
  <c r="G270" i="20"/>
  <c r="L269" i="20"/>
  <c r="M269" i="20" s="1"/>
  <c r="I269" i="20" s="1"/>
  <c r="J269" i="20" a="1"/>
  <c r="J269" i="20" s="1"/>
  <c r="H269" i="20"/>
  <c r="G269" i="20"/>
  <c r="L268" i="20"/>
  <c r="M268" i="20" s="1"/>
  <c r="I268" i="20" s="1"/>
  <c r="J268" i="20" a="1"/>
  <c r="J268" i="20" s="1"/>
  <c r="H268" i="20"/>
  <c r="G268" i="20"/>
  <c r="L267" i="20"/>
  <c r="H267" i="20" s="1"/>
  <c r="J267" i="20" a="1"/>
  <c r="J267" i="20" s="1"/>
  <c r="G267" i="20"/>
  <c r="L266" i="20"/>
  <c r="M266" i="20" s="1"/>
  <c r="I266" i="20" s="1"/>
  <c r="J266" i="20" a="1"/>
  <c r="J266" i="20" s="1"/>
  <c r="G266" i="20"/>
  <c r="L265" i="20"/>
  <c r="M265" i="20" s="1"/>
  <c r="I265" i="20" s="1"/>
  <c r="J265" i="20" a="1"/>
  <c r="J265" i="20" s="1"/>
  <c r="G265" i="20"/>
  <c r="L264" i="20"/>
  <c r="H264" i="20" s="1"/>
  <c r="J264" i="20" a="1"/>
  <c r="J264" i="20" s="1"/>
  <c r="G264" i="20"/>
  <c r="L263" i="20"/>
  <c r="M263" i="20" s="1"/>
  <c r="I263" i="20" s="1"/>
  <c r="J263" i="20" a="1"/>
  <c r="J263" i="20" s="1"/>
  <c r="H263" i="20"/>
  <c r="G263" i="20"/>
  <c r="L262" i="20"/>
  <c r="M262" i="20" s="1"/>
  <c r="I262" i="20" s="1"/>
  <c r="J262" i="20" a="1"/>
  <c r="J262" i="20" s="1"/>
  <c r="H262" i="20"/>
  <c r="G262" i="20"/>
  <c r="L261" i="20"/>
  <c r="H261" i="20" s="1"/>
  <c r="J261" i="20" a="1"/>
  <c r="J261" i="20" s="1"/>
  <c r="G261" i="20"/>
  <c r="L260" i="20"/>
  <c r="M260" i="20" s="1"/>
  <c r="I260" i="20" s="1"/>
  <c r="J260" i="20" a="1"/>
  <c r="J260" i="20" s="1"/>
  <c r="G260" i="20"/>
  <c r="J259" i="20" a="1"/>
  <c r="J259" i="20" s="1"/>
  <c r="E259" i="20"/>
  <c r="D259" i="20"/>
  <c r="J258" i="20" a="1"/>
  <c r="J258" i="20" s="1"/>
  <c r="D258" i="20"/>
  <c r="C258" i="20"/>
  <c r="L257" i="20"/>
  <c r="M257" i="20" s="1"/>
  <c r="I257" i="20" s="1"/>
  <c r="J257" i="20" a="1"/>
  <c r="J257" i="20" s="1"/>
  <c r="G257" i="20"/>
  <c r="L256" i="20"/>
  <c r="M256" i="20" s="1"/>
  <c r="I256" i="20" s="1"/>
  <c r="J256" i="20" a="1"/>
  <c r="J256" i="20" s="1"/>
  <c r="H256" i="20"/>
  <c r="G256" i="20"/>
  <c r="L255" i="20"/>
  <c r="M255" i="20" s="1"/>
  <c r="I255" i="20" s="1"/>
  <c r="J255" i="20" a="1"/>
  <c r="J255" i="20" s="1"/>
  <c r="H255" i="20"/>
  <c r="G255" i="20"/>
  <c r="J254" i="20" a="1"/>
  <c r="J254" i="20" s="1"/>
  <c r="F254" i="20"/>
  <c r="F243" i="20" s="1"/>
  <c r="E254" i="20"/>
  <c r="E243" i="20" s="1"/>
  <c r="D254" i="20"/>
  <c r="C254" i="20"/>
  <c r="L253" i="20"/>
  <c r="M253" i="20" s="1"/>
  <c r="I253" i="20" s="1"/>
  <c r="J253" i="20" a="1"/>
  <c r="J253" i="20" s="1"/>
  <c r="G253" i="20"/>
  <c r="L252" i="20"/>
  <c r="M252" i="20" s="1"/>
  <c r="I252" i="20" s="1"/>
  <c r="J252" i="20" a="1"/>
  <c r="J252" i="20" s="1"/>
  <c r="G252" i="20"/>
  <c r="L250" i="20"/>
  <c r="M250" i="20" s="1"/>
  <c r="I250" i="20" s="1"/>
  <c r="J250" i="20" a="1"/>
  <c r="J250" i="20" s="1"/>
  <c r="H250" i="20"/>
  <c r="G250" i="20"/>
  <c r="L249" i="20"/>
  <c r="H249" i="20" s="1"/>
  <c r="J249" i="20" a="1"/>
  <c r="J249" i="20" s="1"/>
  <c r="G249" i="20"/>
  <c r="L248" i="20"/>
  <c r="M248" i="20" s="1"/>
  <c r="I248" i="20" s="1"/>
  <c r="J248" i="20" a="1"/>
  <c r="J248" i="20" s="1"/>
  <c r="H248" i="20"/>
  <c r="G248" i="20"/>
  <c r="L247" i="20"/>
  <c r="M247" i="20" s="1"/>
  <c r="I247" i="20" s="1"/>
  <c r="J247" i="20" a="1"/>
  <c r="J247" i="20" s="1"/>
  <c r="G247" i="20"/>
  <c r="J246" i="20" a="1"/>
  <c r="J246" i="20" s="1"/>
  <c r="C246" i="20"/>
  <c r="L245" i="20"/>
  <c r="H245" i="20" s="1"/>
  <c r="J245" i="20" a="1"/>
  <c r="J245" i="20" s="1"/>
  <c r="G245" i="20"/>
  <c r="L244" i="20"/>
  <c r="M244" i="20" s="1"/>
  <c r="I244" i="20" s="1"/>
  <c r="J244" i="20" a="1"/>
  <c r="J244" i="20" s="1"/>
  <c r="G244" i="20"/>
  <c r="J243" i="20" a="1"/>
  <c r="J243" i="20" s="1"/>
  <c r="J242" i="20" a="1"/>
  <c r="J242" i="20" s="1"/>
  <c r="F242" i="20"/>
  <c r="F228" i="20" s="1"/>
  <c r="E242" i="20"/>
  <c r="E228" i="20" s="1"/>
  <c r="D242" i="20"/>
  <c r="D228" i="20" s="1"/>
  <c r="C242" i="20"/>
  <c r="C228" i="20" s="1"/>
  <c r="L241" i="20"/>
  <c r="M241" i="20" s="1"/>
  <c r="I241" i="20" s="1"/>
  <c r="J241" i="20" a="1"/>
  <c r="J241" i="20" s="1"/>
  <c r="G241" i="20"/>
  <c r="L240" i="20"/>
  <c r="M240" i="20" s="1"/>
  <c r="I240" i="20" s="1"/>
  <c r="J240" i="20" a="1"/>
  <c r="J240" i="20" s="1"/>
  <c r="G240" i="20"/>
  <c r="L239" i="20"/>
  <c r="M239" i="20" s="1"/>
  <c r="I239" i="20" s="1"/>
  <c r="J239" i="20" a="1"/>
  <c r="J239" i="20" s="1"/>
  <c r="G239" i="20"/>
  <c r="L238" i="20"/>
  <c r="M238" i="20" s="1"/>
  <c r="I238" i="20" s="1"/>
  <c r="J238" i="20" a="1"/>
  <c r="J238" i="20" s="1"/>
  <c r="H238" i="20"/>
  <c r="G238" i="20"/>
  <c r="L237" i="20"/>
  <c r="M237" i="20" s="1"/>
  <c r="I237" i="20" s="1"/>
  <c r="J237" i="20" a="1"/>
  <c r="J237" i="20" s="1"/>
  <c r="G237" i="20"/>
  <c r="L236" i="20"/>
  <c r="M236" i="20" s="1"/>
  <c r="I236" i="20" s="1"/>
  <c r="J236" i="20" a="1"/>
  <c r="J236" i="20" s="1"/>
  <c r="G236" i="20"/>
  <c r="L235" i="20"/>
  <c r="M235" i="20" s="1"/>
  <c r="I235" i="20" s="1"/>
  <c r="J235" i="20" a="1"/>
  <c r="J235" i="20" s="1"/>
  <c r="G235" i="20"/>
  <c r="L234" i="20"/>
  <c r="M234" i="20" s="1"/>
  <c r="I234" i="20" s="1"/>
  <c r="J234" i="20" a="1"/>
  <c r="J234" i="20" s="1"/>
  <c r="G234" i="20"/>
  <c r="L233" i="20"/>
  <c r="M233" i="20" s="1"/>
  <c r="I233" i="20" s="1"/>
  <c r="J233" i="20" a="1"/>
  <c r="J233" i="20" s="1"/>
  <c r="G233" i="20"/>
  <c r="L232" i="20"/>
  <c r="H232" i="20" s="1"/>
  <c r="J232" i="20" a="1"/>
  <c r="J232" i="20" s="1"/>
  <c r="G232" i="20"/>
  <c r="L231" i="20"/>
  <c r="M231" i="20" s="1"/>
  <c r="I231" i="20" s="1"/>
  <c r="J231" i="20" a="1"/>
  <c r="J231" i="20" s="1"/>
  <c r="G231" i="20"/>
  <c r="L230" i="20"/>
  <c r="H230" i="20" s="1"/>
  <c r="J230" i="20" a="1"/>
  <c r="J230" i="20" s="1"/>
  <c r="G230" i="20"/>
  <c r="L229" i="20"/>
  <c r="M229" i="20" s="1"/>
  <c r="I229" i="20" s="1"/>
  <c r="J229" i="20" a="1"/>
  <c r="J229" i="20" s="1"/>
  <c r="G229" i="20"/>
  <c r="J228" i="20" a="1"/>
  <c r="J228" i="20" s="1"/>
  <c r="J227" i="20" a="1"/>
  <c r="J227" i="20" s="1"/>
  <c r="F227" i="20"/>
  <c r="F211" i="20" s="1"/>
  <c r="E227" i="20"/>
  <c r="D227" i="20"/>
  <c r="D211" i="20" s="1"/>
  <c r="C227" i="20"/>
  <c r="L226" i="20"/>
  <c r="M226" i="20" s="1"/>
  <c r="I226" i="20" s="1"/>
  <c r="K226" i="20"/>
  <c r="J226" i="20" a="1"/>
  <c r="J226" i="20" s="1"/>
  <c r="H226" i="20"/>
  <c r="G226" i="20"/>
  <c r="L225" i="20"/>
  <c r="M225" i="20" s="1"/>
  <c r="I225" i="20" s="1"/>
  <c r="J225" i="20" a="1"/>
  <c r="J225" i="20" s="1"/>
  <c r="G225" i="20"/>
  <c r="L224" i="20"/>
  <c r="M224" i="20" s="1"/>
  <c r="I224" i="20" s="1"/>
  <c r="J224" i="20" a="1"/>
  <c r="J224" i="20" s="1"/>
  <c r="G224" i="20"/>
  <c r="L223" i="20"/>
  <c r="H223" i="20" s="1"/>
  <c r="K223" i="20"/>
  <c r="J223" i="20" a="1"/>
  <c r="J223" i="20" s="1"/>
  <c r="G223" i="20"/>
  <c r="L222" i="20"/>
  <c r="H222" i="20" s="1"/>
  <c r="J222" i="20" a="1"/>
  <c r="J222" i="20" s="1"/>
  <c r="G222" i="20"/>
  <c r="L221" i="20"/>
  <c r="M221" i="20" s="1"/>
  <c r="I221" i="20" s="1"/>
  <c r="J221" i="20" a="1"/>
  <c r="J221" i="20" s="1"/>
  <c r="G221" i="20"/>
  <c r="L220" i="20"/>
  <c r="H220" i="20" s="1"/>
  <c r="K220" i="20"/>
  <c r="J220" i="20" a="1"/>
  <c r="J220" i="20" s="1"/>
  <c r="G220" i="20"/>
  <c r="L219" i="20"/>
  <c r="M219" i="20" s="1"/>
  <c r="I219" i="20" s="1"/>
  <c r="J219" i="20" a="1"/>
  <c r="J219" i="20" s="1"/>
  <c r="H219" i="20"/>
  <c r="G219" i="20"/>
  <c r="L218" i="20"/>
  <c r="M218" i="20" s="1"/>
  <c r="I218" i="20" s="1"/>
  <c r="K218" i="20"/>
  <c r="J218" i="20" a="1"/>
  <c r="J218" i="20" s="1"/>
  <c r="G218" i="20"/>
  <c r="L217" i="20"/>
  <c r="M217" i="20" s="1"/>
  <c r="I217" i="20" s="1"/>
  <c r="J217" i="20" a="1"/>
  <c r="J217" i="20" s="1"/>
  <c r="G217" i="20"/>
  <c r="L216" i="20"/>
  <c r="H216" i="20" s="1"/>
  <c r="K216" i="20"/>
  <c r="J216" i="20" a="1"/>
  <c r="J216" i="20" s="1"/>
  <c r="G216" i="20"/>
  <c r="L215" i="20"/>
  <c r="M215" i="20" s="1"/>
  <c r="I215" i="20" s="1"/>
  <c r="J215" i="20" a="1"/>
  <c r="J215" i="20" s="1"/>
  <c r="G215" i="20"/>
  <c r="L214" i="20"/>
  <c r="M214" i="20" s="1"/>
  <c r="I214" i="20" s="1"/>
  <c r="J214" i="20" a="1"/>
  <c r="J214" i="20" s="1"/>
  <c r="G214" i="20"/>
  <c r="L213" i="20"/>
  <c r="M213" i="20" s="1"/>
  <c r="I213" i="20" s="1"/>
  <c r="K213" i="20"/>
  <c r="J213" i="20" a="1"/>
  <c r="J213" i="20" s="1"/>
  <c r="G213" i="20"/>
  <c r="L212" i="20"/>
  <c r="M212" i="20" s="1"/>
  <c r="I212" i="20" s="1"/>
  <c r="K212" i="20"/>
  <c r="J212" i="20" a="1"/>
  <c r="J212" i="20" s="1"/>
  <c r="G212" i="20"/>
  <c r="J211" i="20" a="1"/>
  <c r="J211" i="20" s="1"/>
  <c r="J210" i="20" a="1"/>
  <c r="J210" i="20" s="1"/>
  <c r="F210" i="20"/>
  <c r="E210" i="20"/>
  <c r="E195" i="20" s="1"/>
  <c r="D210" i="20"/>
  <c r="D195" i="20" s="1"/>
  <c r="C210" i="20"/>
  <c r="K210" i="20" s="1"/>
  <c r="L209" i="20"/>
  <c r="M209" i="20" s="1"/>
  <c r="I209" i="20" s="1"/>
  <c r="J209" i="20" a="1"/>
  <c r="J209" i="20" s="1"/>
  <c r="G209" i="20"/>
  <c r="L208" i="20"/>
  <c r="M208" i="20" s="1"/>
  <c r="I208" i="20" s="1"/>
  <c r="J208" i="20" a="1"/>
  <c r="J208" i="20" s="1"/>
  <c r="G208" i="20"/>
  <c r="L207" i="20"/>
  <c r="M207" i="20" s="1"/>
  <c r="I207" i="20" s="1"/>
  <c r="J207" i="20" a="1"/>
  <c r="J207" i="20" s="1"/>
  <c r="G207" i="20"/>
  <c r="L206" i="20"/>
  <c r="H206" i="20" s="1"/>
  <c r="J206" i="20" a="1"/>
  <c r="J206" i="20" s="1"/>
  <c r="G206" i="20"/>
  <c r="L205" i="20"/>
  <c r="M205" i="20" s="1"/>
  <c r="I205" i="20" s="1"/>
  <c r="J205" i="20" a="1"/>
  <c r="J205" i="20" s="1"/>
  <c r="G205" i="20"/>
  <c r="L204" i="20"/>
  <c r="M204" i="20" s="1"/>
  <c r="I204" i="20" s="1"/>
  <c r="J204" i="20" a="1"/>
  <c r="J204" i="20" s="1"/>
  <c r="G204" i="20"/>
  <c r="L203" i="20"/>
  <c r="M203" i="20" s="1"/>
  <c r="I203" i="20" s="1"/>
  <c r="J203" i="20" a="1"/>
  <c r="J203" i="20" s="1"/>
  <c r="G203" i="20"/>
  <c r="L202" i="20"/>
  <c r="M202" i="20" s="1"/>
  <c r="I202" i="20" s="1"/>
  <c r="J202" i="20" a="1"/>
  <c r="J202" i="20" s="1"/>
  <c r="G202" i="20"/>
  <c r="L201" i="20"/>
  <c r="M201" i="20" s="1"/>
  <c r="I201" i="20" s="1"/>
  <c r="J201" i="20" a="1"/>
  <c r="J201" i="20" s="1"/>
  <c r="G201" i="20"/>
  <c r="L200" i="20"/>
  <c r="M200" i="20" s="1"/>
  <c r="I200" i="20" s="1"/>
  <c r="J200" i="20" a="1"/>
  <c r="J200" i="20" s="1"/>
  <c r="G200" i="20"/>
  <c r="L199" i="20"/>
  <c r="H199" i="20" s="1"/>
  <c r="J199" i="20" a="1"/>
  <c r="J199" i="20" s="1"/>
  <c r="G199" i="20"/>
  <c r="L198" i="20"/>
  <c r="M198" i="20" s="1"/>
  <c r="I198" i="20" s="1"/>
  <c r="J198" i="20" a="1"/>
  <c r="J198" i="20" s="1"/>
  <c r="G198" i="20"/>
  <c r="L197" i="20"/>
  <c r="H197" i="20" s="1"/>
  <c r="J197" i="20" a="1"/>
  <c r="J197" i="20" s="1"/>
  <c r="G197" i="20"/>
  <c r="L196" i="20"/>
  <c r="M196" i="20" s="1"/>
  <c r="I196" i="20" s="1"/>
  <c r="J196" i="20" a="1"/>
  <c r="J196" i="20" s="1"/>
  <c r="G196" i="20"/>
  <c r="J195" i="20" a="1"/>
  <c r="J195" i="20" s="1"/>
  <c r="J194" i="20" a="1"/>
  <c r="J194" i="20" s="1"/>
  <c r="F194" i="20"/>
  <c r="E194" i="20"/>
  <c r="D194" i="20"/>
  <c r="C194" i="20"/>
  <c r="L194" i="20" s="1"/>
  <c r="L193" i="20"/>
  <c r="M193" i="20" s="1"/>
  <c r="I193" i="20" s="1"/>
  <c r="J193" i="20" a="1"/>
  <c r="J193" i="20" s="1"/>
  <c r="G193" i="20"/>
  <c r="L192" i="20"/>
  <c r="H192" i="20" s="1"/>
  <c r="J192" i="20" a="1"/>
  <c r="J192" i="20" s="1"/>
  <c r="G192" i="20"/>
  <c r="L191" i="20"/>
  <c r="H191" i="20" s="1"/>
  <c r="J191" i="20" a="1"/>
  <c r="J191" i="20" s="1"/>
  <c r="G191" i="20"/>
  <c r="L190" i="20"/>
  <c r="M190" i="20" s="1"/>
  <c r="I190" i="20" s="1"/>
  <c r="J190" i="20" a="1"/>
  <c r="J190" i="20" s="1"/>
  <c r="G190" i="20"/>
  <c r="L189" i="20"/>
  <c r="H189" i="20" s="1"/>
  <c r="J189" i="20" a="1"/>
  <c r="J189" i="20" s="1"/>
  <c r="G189" i="20"/>
  <c r="L188" i="20"/>
  <c r="M188" i="20" s="1"/>
  <c r="I188" i="20" s="1"/>
  <c r="J188" i="20" a="1"/>
  <c r="J188" i="20" s="1"/>
  <c r="G188" i="20"/>
  <c r="L187" i="20"/>
  <c r="M187" i="20" s="1"/>
  <c r="I187" i="20" s="1"/>
  <c r="J187" i="20" a="1"/>
  <c r="J187" i="20" s="1"/>
  <c r="G187" i="20"/>
  <c r="L186" i="20"/>
  <c r="M186" i="20" s="1"/>
  <c r="I186" i="20" s="1"/>
  <c r="J186" i="20" a="1"/>
  <c r="J186" i="20" s="1"/>
  <c r="G186" i="20"/>
  <c r="L185" i="20"/>
  <c r="M185" i="20" s="1"/>
  <c r="I185" i="20" s="1"/>
  <c r="J185" i="20" a="1"/>
  <c r="J185" i="20" s="1"/>
  <c r="G185" i="20"/>
  <c r="L184" i="20"/>
  <c r="M184" i="20" s="1"/>
  <c r="I184" i="20" s="1"/>
  <c r="J184" i="20" a="1"/>
  <c r="J184" i="20" s="1"/>
  <c r="G184" i="20"/>
  <c r="L183" i="20"/>
  <c r="M183" i="20" s="1"/>
  <c r="I183" i="20" s="1"/>
  <c r="J183" i="20" a="1"/>
  <c r="J183" i="20" s="1"/>
  <c r="G183" i="20"/>
  <c r="L182" i="20"/>
  <c r="M182" i="20" s="1"/>
  <c r="I182" i="20" s="1"/>
  <c r="J182" i="20" a="1"/>
  <c r="J182" i="20" s="1"/>
  <c r="H182" i="20"/>
  <c r="G182" i="20"/>
  <c r="L181" i="20"/>
  <c r="H181" i="20" s="1"/>
  <c r="J181" i="20" a="1"/>
  <c r="J181" i="20" s="1"/>
  <c r="G181" i="20"/>
  <c r="L180" i="20"/>
  <c r="M180" i="20" s="1"/>
  <c r="I180" i="20" s="1"/>
  <c r="J180" i="20" a="1"/>
  <c r="J180" i="20" s="1"/>
  <c r="H180" i="20"/>
  <c r="G180" i="20"/>
  <c r="J179" i="20" a="1"/>
  <c r="J179" i="20" s="1"/>
  <c r="F179" i="20"/>
  <c r="E179" i="20"/>
  <c r="D179" i="20"/>
  <c r="C179" i="20"/>
  <c r="L178" i="20"/>
  <c r="M178" i="20" s="1"/>
  <c r="I178" i="20" s="1"/>
  <c r="J178" i="20" a="1"/>
  <c r="J178" i="20" s="1"/>
  <c r="H178" i="20"/>
  <c r="G178" i="20"/>
  <c r="L177" i="20"/>
  <c r="M177" i="20" s="1"/>
  <c r="I177" i="20" s="1"/>
  <c r="J177" i="20" a="1"/>
  <c r="J177" i="20" s="1"/>
  <c r="G177" i="20"/>
  <c r="L176" i="20"/>
  <c r="H176" i="20" s="1"/>
  <c r="J176" i="20" a="1"/>
  <c r="J176" i="20" s="1"/>
  <c r="G176" i="20"/>
  <c r="L175" i="20"/>
  <c r="M175" i="20" s="1"/>
  <c r="I175" i="20" s="1"/>
  <c r="J175" i="20" a="1"/>
  <c r="J175" i="20" s="1"/>
  <c r="G175" i="20"/>
  <c r="L174" i="20"/>
  <c r="M174" i="20" s="1"/>
  <c r="I174" i="20" s="1"/>
  <c r="J174" i="20" a="1"/>
  <c r="J174" i="20" s="1"/>
  <c r="G174" i="20"/>
  <c r="L173" i="20"/>
  <c r="M173" i="20" s="1"/>
  <c r="I173" i="20" s="1"/>
  <c r="J173" i="20" a="1"/>
  <c r="J173" i="20" s="1"/>
  <c r="G173" i="20"/>
  <c r="L172" i="20"/>
  <c r="H172" i="20" s="1"/>
  <c r="J172" i="20" a="1"/>
  <c r="J172" i="20" s="1"/>
  <c r="G172" i="20"/>
  <c r="L171" i="20"/>
  <c r="H171" i="20" s="1"/>
  <c r="J171" i="20" a="1"/>
  <c r="J171" i="20" s="1"/>
  <c r="G171" i="20"/>
  <c r="L170" i="20"/>
  <c r="M170" i="20" s="1"/>
  <c r="I170" i="20" s="1"/>
  <c r="J170" i="20" a="1"/>
  <c r="J170" i="20" s="1"/>
  <c r="G170" i="20"/>
  <c r="L169" i="20"/>
  <c r="H169" i="20" s="1"/>
  <c r="J169" i="20" a="1"/>
  <c r="J169" i="20" s="1"/>
  <c r="G169" i="20"/>
  <c r="L168" i="20"/>
  <c r="M168" i="20" s="1"/>
  <c r="I168" i="20" s="1"/>
  <c r="J168" i="20" a="1"/>
  <c r="J168" i="20" s="1"/>
  <c r="G168" i="20"/>
  <c r="L167" i="20"/>
  <c r="M167" i="20" s="1"/>
  <c r="I167" i="20" s="1"/>
  <c r="J167" i="20" a="1"/>
  <c r="J167" i="20" s="1"/>
  <c r="G167" i="20"/>
  <c r="L166" i="20"/>
  <c r="M166" i="20" s="1"/>
  <c r="I166" i="20" s="1"/>
  <c r="J166" i="20" a="1"/>
  <c r="J166" i="20" s="1"/>
  <c r="G166" i="20"/>
  <c r="L165" i="20"/>
  <c r="M165" i="20" s="1"/>
  <c r="I165" i="20" s="1"/>
  <c r="J165" i="20" a="1"/>
  <c r="J165" i="20" s="1"/>
  <c r="G165" i="20"/>
  <c r="L164" i="20"/>
  <c r="M164" i="20" s="1"/>
  <c r="I164" i="20" s="1"/>
  <c r="J164" i="20" a="1"/>
  <c r="J164" i="20" s="1"/>
  <c r="G164" i="20"/>
  <c r="J163" i="20" a="1"/>
  <c r="J163" i="20" s="1"/>
  <c r="F163" i="20"/>
  <c r="E163" i="20"/>
  <c r="D163" i="20"/>
  <c r="C163" i="20"/>
  <c r="L162" i="20"/>
  <c r="M162" i="20" s="1"/>
  <c r="I162" i="20" s="1"/>
  <c r="J162" i="20" a="1"/>
  <c r="J162" i="20" s="1"/>
  <c r="G162" i="20"/>
  <c r="L161" i="20"/>
  <c r="M161" i="20" s="1"/>
  <c r="I161" i="20" s="1"/>
  <c r="J161" i="20" a="1"/>
  <c r="J161" i="20" s="1"/>
  <c r="G161" i="20"/>
  <c r="L160" i="20"/>
  <c r="M160" i="20" s="1"/>
  <c r="I160" i="20" s="1"/>
  <c r="J160" i="20" a="1"/>
  <c r="J160" i="20" s="1"/>
  <c r="H160" i="20"/>
  <c r="G160" i="20"/>
  <c r="L159" i="20"/>
  <c r="M159" i="20" s="1"/>
  <c r="I159" i="20" s="1"/>
  <c r="J159" i="20" a="1"/>
  <c r="J159" i="20" s="1"/>
  <c r="G159" i="20"/>
  <c r="L158" i="20"/>
  <c r="H158" i="20" s="1"/>
  <c r="J158" i="20" a="1"/>
  <c r="J158" i="20" s="1"/>
  <c r="G158" i="20"/>
  <c r="L157" i="20"/>
  <c r="M157" i="20" s="1"/>
  <c r="I157" i="20" s="1"/>
  <c r="J157" i="20" a="1"/>
  <c r="J157" i="20" s="1"/>
  <c r="G157" i="20"/>
  <c r="L156" i="20"/>
  <c r="M156" i="20" s="1"/>
  <c r="I156" i="20" s="1"/>
  <c r="J156" i="20" a="1"/>
  <c r="J156" i="20" s="1"/>
  <c r="H156" i="20"/>
  <c r="G156" i="20"/>
  <c r="L155" i="20"/>
  <c r="M155" i="20" s="1"/>
  <c r="I155" i="20" s="1"/>
  <c r="J155" i="20" a="1"/>
  <c r="J155" i="20" s="1"/>
  <c r="G155" i="20"/>
  <c r="L154" i="20"/>
  <c r="M154" i="20" s="1"/>
  <c r="I154" i="20" s="1"/>
  <c r="J154" i="20" a="1"/>
  <c r="J154" i="20" s="1"/>
  <c r="G154" i="20"/>
  <c r="L153" i="20"/>
  <c r="M153" i="20" s="1"/>
  <c r="I153" i="20" s="1"/>
  <c r="J153" i="20" a="1"/>
  <c r="J153" i="20" s="1"/>
  <c r="G153" i="20"/>
  <c r="L152" i="20"/>
  <c r="H152" i="20" s="1"/>
  <c r="J152" i="20" a="1"/>
  <c r="J152" i="20" s="1"/>
  <c r="G152" i="20"/>
  <c r="L151" i="20"/>
  <c r="H151" i="20" s="1"/>
  <c r="J151" i="20" a="1"/>
  <c r="J151" i="20" s="1"/>
  <c r="G151" i="20"/>
  <c r="L150" i="20"/>
  <c r="M150" i="20" s="1"/>
  <c r="I150" i="20" s="1"/>
  <c r="J150" i="20" a="1"/>
  <c r="J150" i="20" s="1"/>
  <c r="G150" i="20"/>
  <c r="L149" i="20"/>
  <c r="H149" i="20" s="1"/>
  <c r="J149" i="20" a="1"/>
  <c r="J149" i="20" s="1"/>
  <c r="G149" i="20"/>
  <c r="L148" i="20"/>
  <c r="M148" i="20" s="1"/>
  <c r="I148" i="20" s="1"/>
  <c r="J148" i="20" a="1"/>
  <c r="J148" i="20" s="1"/>
  <c r="G148" i="20"/>
  <c r="L147" i="20"/>
  <c r="M147" i="20" s="1"/>
  <c r="I147" i="20" s="1"/>
  <c r="J147" i="20" a="1"/>
  <c r="J147" i="20" s="1"/>
  <c r="G147" i="20"/>
  <c r="J146" i="20" a="1"/>
  <c r="J146" i="20" s="1"/>
  <c r="F146" i="20"/>
  <c r="E146" i="20"/>
  <c r="D146" i="20"/>
  <c r="C146" i="20"/>
  <c r="L145" i="20"/>
  <c r="H145" i="20" s="1"/>
  <c r="J145" i="20" a="1"/>
  <c r="J145" i="20" s="1"/>
  <c r="G145" i="20"/>
  <c r="L144" i="20"/>
  <c r="M144" i="20" s="1"/>
  <c r="I144" i="20" s="1"/>
  <c r="J144" i="20" a="1"/>
  <c r="J144" i="20" s="1"/>
  <c r="G144" i="20"/>
  <c r="L143" i="20"/>
  <c r="M143" i="20" s="1"/>
  <c r="I143" i="20" s="1"/>
  <c r="J143" i="20" a="1"/>
  <c r="J143" i="20" s="1"/>
  <c r="G143" i="20"/>
  <c r="L142" i="20"/>
  <c r="M142" i="20" s="1"/>
  <c r="I142" i="20" s="1"/>
  <c r="J142" i="20" a="1"/>
  <c r="J142" i="20" s="1"/>
  <c r="G142" i="20"/>
  <c r="L141" i="20"/>
  <c r="M141" i="20" s="1"/>
  <c r="I141" i="20" s="1"/>
  <c r="J141" i="20" a="1"/>
  <c r="J141" i="20" s="1"/>
  <c r="G141" i="20"/>
  <c r="L140" i="20"/>
  <c r="H140" i="20" s="1"/>
  <c r="J140" i="20" a="1"/>
  <c r="J140" i="20" s="1"/>
  <c r="G140" i="20"/>
  <c r="L139" i="20"/>
  <c r="M139" i="20" s="1"/>
  <c r="I139" i="20" s="1"/>
  <c r="J139" i="20" a="1"/>
  <c r="J139" i="20" s="1"/>
  <c r="H139" i="20"/>
  <c r="G139" i="20"/>
  <c r="L138" i="20"/>
  <c r="M138" i="20" s="1"/>
  <c r="I138" i="20" s="1"/>
  <c r="J138" i="20" a="1"/>
  <c r="J138" i="20" s="1"/>
  <c r="G138" i="20"/>
  <c r="L137" i="20"/>
  <c r="H137" i="20" s="1"/>
  <c r="J137" i="20" a="1"/>
  <c r="J137" i="20" s="1"/>
  <c r="G137" i="20"/>
  <c r="L136" i="20"/>
  <c r="M136" i="20" s="1"/>
  <c r="I136" i="20" s="1"/>
  <c r="J136" i="20" a="1"/>
  <c r="J136" i="20" s="1"/>
  <c r="G136" i="20"/>
  <c r="L135" i="20"/>
  <c r="M135" i="20" s="1"/>
  <c r="I135" i="20" s="1"/>
  <c r="J135" i="20" a="1"/>
  <c r="J135" i="20" s="1"/>
  <c r="G135" i="20"/>
  <c r="L134" i="20"/>
  <c r="M134" i="20" s="1"/>
  <c r="I134" i="20" s="1"/>
  <c r="J134" i="20" a="1"/>
  <c r="J134" i="20" s="1"/>
  <c r="G134" i="20"/>
  <c r="L133" i="20"/>
  <c r="M133" i="20" s="1"/>
  <c r="I133" i="20" s="1"/>
  <c r="J133" i="20" a="1"/>
  <c r="J133" i="20" s="1"/>
  <c r="G133" i="20"/>
  <c r="J132" i="20" a="1"/>
  <c r="J132" i="20" s="1"/>
  <c r="F132" i="20"/>
  <c r="E132" i="20"/>
  <c r="D132" i="20"/>
  <c r="C132" i="20"/>
  <c r="L131" i="20"/>
  <c r="M131" i="20" s="1"/>
  <c r="I131" i="20" s="1"/>
  <c r="J131" i="20" a="1"/>
  <c r="J131" i="20" s="1"/>
  <c r="G131" i="20"/>
  <c r="L130" i="20"/>
  <c r="M130" i="20" s="1"/>
  <c r="I130" i="20" s="1"/>
  <c r="J130" i="20" a="1"/>
  <c r="J130" i="20" s="1"/>
  <c r="G130" i="20"/>
  <c r="L129" i="20"/>
  <c r="M129" i="20" s="1"/>
  <c r="I129" i="20" s="1"/>
  <c r="J129" i="20" a="1"/>
  <c r="J129" i="20" s="1"/>
  <c r="G129" i="20"/>
  <c r="L128" i="20"/>
  <c r="M128" i="20" s="1"/>
  <c r="I128" i="20" s="1"/>
  <c r="J128" i="20" a="1"/>
  <c r="J128" i="20" s="1"/>
  <c r="G128" i="20"/>
  <c r="L127" i="20"/>
  <c r="H127" i="20" s="1"/>
  <c r="J127" i="20" a="1"/>
  <c r="J127" i="20" s="1"/>
  <c r="G127" i="20"/>
  <c r="L126" i="20"/>
  <c r="M126" i="20" s="1"/>
  <c r="I126" i="20" s="1"/>
  <c r="J126" i="20" a="1"/>
  <c r="J126" i="20" s="1"/>
  <c r="G126" i="20"/>
  <c r="L125" i="20"/>
  <c r="H125" i="20" s="1"/>
  <c r="J125" i="20" a="1"/>
  <c r="J125" i="20" s="1"/>
  <c r="G125" i="20"/>
  <c r="L124" i="20"/>
  <c r="M124" i="20" s="1"/>
  <c r="I124" i="20" s="1"/>
  <c r="J124" i="20" a="1"/>
  <c r="J124" i="20" s="1"/>
  <c r="G124" i="20"/>
  <c r="L123" i="20"/>
  <c r="M123" i="20" s="1"/>
  <c r="I123" i="20" s="1"/>
  <c r="J123" i="20" a="1"/>
  <c r="J123" i="20" s="1"/>
  <c r="G123" i="20"/>
  <c r="L122" i="20"/>
  <c r="M122" i="20" s="1"/>
  <c r="I122" i="20" s="1"/>
  <c r="J122" i="20" a="1"/>
  <c r="J122" i="20" s="1"/>
  <c r="H122" i="20"/>
  <c r="G122" i="20"/>
  <c r="L121" i="20"/>
  <c r="M121" i="20" s="1"/>
  <c r="I121" i="20" s="1"/>
  <c r="J121" i="20" a="1"/>
  <c r="J121" i="20" s="1"/>
  <c r="G121" i="20"/>
  <c r="L120" i="20"/>
  <c r="M120" i="20" s="1"/>
  <c r="I120" i="20" s="1"/>
  <c r="J120" i="20" a="1"/>
  <c r="J120" i="20" s="1"/>
  <c r="H120" i="20"/>
  <c r="G120" i="20"/>
  <c r="L119" i="20"/>
  <c r="M119" i="20" s="1"/>
  <c r="I119" i="20" s="1"/>
  <c r="J119" i="20" a="1"/>
  <c r="J119" i="20" s="1"/>
  <c r="G119" i="20"/>
  <c r="J118" i="20" a="1"/>
  <c r="J118" i="20" s="1"/>
  <c r="F118" i="20"/>
  <c r="E118" i="20"/>
  <c r="D118" i="20"/>
  <c r="C118" i="20"/>
  <c r="L117" i="20"/>
  <c r="M117" i="20" s="1"/>
  <c r="I117" i="20" s="1"/>
  <c r="J117" i="20" a="1"/>
  <c r="J117" i="20" s="1"/>
  <c r="G117" i="20"/>
  <c r="L116" i="20"/>
  <c r="M116" i="20" s="1"/>
  <c r="I116" i="20" s="1"/>
  <c r="J116" i="20" a="1"/>
  <c r="J116" i="20" s="1"/>
  <c r="G116" i="20"/>
  <c r="L115" i="20"/>
  <c r="M115" i="20" s="1"/>
  <c r="I115" i="20" s="1"/>
  <c r="J115" i="20" a="1"/>
  <c r="J115" i="20" s="1"/>
  <c r="H115" i="20"/>
  <c r="G115" i="20"/>
  <c r="L114" i="20"/>
  <c r="H114" i="20" s="1"/>
  <c r="J114" i="20" a="1"/>
  <c r="J114" i="20" s="1"/>
  <c r="G114" i="20"/>
  <c r="L113" i="20"/>
  <c r="M113" i="20" s="1"/>
  <c r="I113" i="20" s="1"/>
  <c r="J113" i="20" a="1"/>
  <c r="J113" i="20" s="1"/>
  <c r="G113" i="20"/>
  <c r="L112" i="20"/>
  <c r="H112" i="20" s="1"/>
  <c r="J112" i="20" a="1"/>
  <c r="J112" i="20" s="1"/>
  <c r="G112" i="20"/>
  <c r="J111" i="20" a="1"/>
  <c r="J111" i="20" s="1"/>
  <c r="J110" i="20" a="1"/>
  <c r="J110" i="20" s="1"/>
  <c r="F110" i="20"/>
  <c r="E110" i="20"/>
  <c r="D110" i="20"/>
  <c r="C110" i="20"/>
  <c r="L109" i="20"/>
  <c r="M109" i="20" s="1"/>
  <c r="I109" i="20" s="1"/>
  <c r="J109" i="20" a="1"/>
  <c r="J109" i="20" s="1"/>
  <c r="G109" i="20"/>
  <c r="L108" i="20"/>
  <c r="M108" i="20" s="1"/>
  <c r="I108" i="20" s="1"/>
  <c r="J108" i="20" a="1"/>
  <c r="J108" i="20" s="1"/>
  <c r="G108" i="20"/>
  <c r="L107" i="20"/>
  <c r="M107" i="20" s="1"/>
  <c r="I107" i="20" s="1"/>
  <c r="J107" i="20" a="1"/>
  <c r="J107" i="20" s="1"/>
  <c r="G107" i="20"/>
  <c r="L106" i="20"/>
  <c r="H106" i="20" s="1"/>
  <c r="J106" i="20" a="1"/>
  <c r="J106" i="20" s="1"/>
  <c r="G106" i="20"/>
  <c r="L105" i="20"/>
  <c r="M105" i="20" s="1"/>
  <c r="I105" i="20" s="1"/>
  <c r="J105" i="20" a="1"/>
  <c r="J105" i="20" s="1"/>
  <c r="G105" i="20"/>
  <c r="L104" i="20"/>
  <c r="M104" i="20" s="1"/>
  <c r="I104" i="20" s="1"/>
  <c r="J104" i="20" a="1"/>
  <c r="J104" i="20" s="1"/>
  <c r="G104" i="20"/>
  <c r="L103" i="20"/>
  <c r="M103" i="20" s="1"/>
  <c r="I103" i="20" s="1"/>
  <c r="J103" i="20" a="1"/>
  <c r="J103" i="20" s="1"/>
  <c r="G103" i="20"/>
  <c r="L102" i="20"/>
  <c r="M102" i="20" s="1"/>
  <c r="I102" i="20" s="1"/>
  <c r="J102" i="20" a="1"/>
  <c r="J102" i="20" s="1"/>
  <c r="G102" i="20"/>
  <c r="L101" i="20"/>
  <c r="M101" i="20" s="1"/>
  <c r="I101" i="20" s="1"/>
  <c r="J101" i="20" a="1"/>
  <c r="J101" i="20" s="1"/>
  <c r="G101" i="20"/>
  <c r="L100" i="20"/>
  <c r="M100" i="20" s="1"/>
  <c r="I100" i="20" s="1"/>
  <c r="J100" i="20" a="1"/>
  <c r="J100" i="20" s="1"/>
  <c r="G100" i="20"/>
  <c r="L99" i="20"/>
  <c r="H99" i="20" s="1"/>
  <c r="J99" i="20" a="1"/>
  <c r="J99" i="20" s="1"/>
  <c r="G99" i="20"/>
  <c r="L98" i="20"/>
  <c r="M98" i="20" s="1"/>
  <c r="I98" i="20" s="1"/>
  <c r="J98" i="20" a="1"/>
  <c r="J98" i="20" s="1"/>
  <c r="G98" i="20"/>
  <c r="L97" i="20"/>
  <c r="H97" i="20" s="1"/>
  <c r="J97" i="20" a="1"/>
  <c r="J97" i="20" s="1"/>
  <c r="G97" i="20"/>
  <c r="J96" i="20" a="1"/>
  <c r="J96" i="20" s="1"/>
  <c r="F96" i="20"/>
  <c r="D96" i="20"/>
  <c r="C96" i="20"/>
  <c r="L95" i="20"/>
  <c r="H95" i="20" s="1"/>
  <c r="J95" i="20" a="1"/>
  <c r="J95" i="20" s="1"/>
  <c r="G95" i="20"/>
  <c r="L94" i="20"/>
  <c r="H94" i="20" s="1"/>
  <c r="J94" i="20" a="1"/>
  <c r="J94" i="20" s="1"/>
  <c r="G94" i="20"/>
  <c r="L93" i="20"/>
  <c r="H93" i="20" s="1"/>
  <c r="J93" i="20" a="1"/>
  <c r="J93" i="20" s="1"/>
  <c r="G93" i="20"/>
  <c r="L92" i="20"/>
  <c r="M92" i="20" s="1"/>
  <c r="I92" i="20" s="1"/>
  <c r="J92" i="20" a="1"/>
  <c r="J92" i="20" s="1"/>
  <c r="G92" i="20"/>
  <c r="L91" i="20"/>
  <c r="M91" i="20" s="1"/>
  <c r="I91" i="20" s="1"/>
  <c r="J91" i="20" a="1"/>
  <c r="J91" i="20" s="1"/>
  <c r="G91" i="20"/>
  <c r="L90" i="20"/>
  <c r="M90" i="20" s="1"/>
  <c r="I90" i="20" s="1"/>
  <c r="J90" i="20" a="1"/>
  <c r="J90" i="20" s="1"/>
  <c r="G90" i="20"/>
  <c r="L89" i="20"/>
  <c r="M89" i="20" s="1"/>
  <c r="I89" i="20" s="1"/>
  <c r="J89" i="20" a="1"/>
  <c r="J89" i="20" s="1"/>
  <c r="G89" i="20"/>
  <c r="L88" i="20"/>
  <c r="H88" i="20" s="1"/>
  <c r="J88" i="20" a="1"/>
  <c r="J88" i="20" s="1"/>
  <c r="G88" i="20"/>
  <c r="L87" i="20"/>
  <c r="M87" i="20" s="1"/>
  <c r="I87" i="20" s="1"/>
  <c r="J87" i="20" a="1"/>
  <c r="J87" i="20" s="1"/>
  <c r="G87" i="20"/>
  <c r="L86" i="20"/>
  <c r="H86" i="20" s="1"/>
  <c r="J86" i="20" a="1"/>
  <c r="J86" i="20" s="1"/>
  <c r="G86" i="20"/>
  <c r="L85" i="20"/>
  <c r="M85" i="20" s="1"/>
  <c r="I85" i="20" s="1"/>
  <c r="J85" i="20" a="1"/>
  <c r="J85" i="20" s="1"/>
  <c r="G85" i="20"/>
  <c r="L84" i="20"/>
  <c r="M84" i="20" s="1"/>
  <c r="I84" i="20" s="1"/>
  <c r="J84" i="20" a="1"/>
  <c r="J84" i="20" s="1"/>
  <c r="G84" i="20"/>
  <c r="L83" i="20"/>
  <c r="M83" i="20" s="1"/>
  <c r="I83" i="20" s="1"/>
  <c r="J83" i="20" a="1"/>
  <c r="J83" i="20" s="1"/>
  <c r="G83" i="20"/>
  <c r="J82" i="20" a="1"/>
  <c r="J82" i="20" s="1"/>
  <c r="F82" i="20"/>
  <c r="E82" i="20"/>
  <c r="D82" i="20"/>
  <c r="C82" i="20"/>
  <c r="L81" i="20"/>
  <c r="M81" i="20" s="1"/>
  <c r="I81" i="20" s="1"/>
  <c r="J81" i="20" a="1"/>
  <c r="J81" i="20" s="1"/>
  <c r="G81" i="20"/>
  <c r="L80" i="20"/>
  <c r="M80" i="20" s="1"/>
  <c r="I80" i="20" s="1"/>
  <c r="J80" i="20" a="1"/>
  <c r="J80" i="20" s="1"/>
  <c r="G80" i="20"/>
  <c r="L79" i="20"/>
  <c r="H79" i="20" s="1"/>
  <c r="J79" i="20" a="1"/>
  <c r="J79" i="20" s="1"/>
  <c r="G79" i="20"/>
  <c r="L78" i="20"/>
  <c r="M78" i="20" s="1"/>
  <c r="I78" i="20" s="1"/>
  <c r="J78" i="20" a="1"/>
  <c r="J78" i="20" s="1"/>
  <c r="G78" i="20"/>
  <c r="L77" i="20"/>
  <c r="M77" i="20" s="1"/>
  <c r="I77" i="20" s="1"/>
  <c r="J77" i="20" a="1"/>
  <c r="J77" i="20" s="1"/>
  <c r="G77" i="20"/>
  <c r="L76" i="20"/>
  <c r="H76" i="20" s="1"/>
  <c r="J76" i="20" a="1"/>
  <c r="J76" i="20" s="1"/>
  <c r="G76" i="20"/>
  <c r="L75" i="20"/>
  <c r="H75" i="20" s="1"/>
  <c r="J75" i="20" a="1"/>
  <c r="J75" i="20" s="1"/>
  <c r="G75" i="20"/>
  <c r="L74" i="20"/>
  <c r="M74" i="20" s="1"/>
  <c r="I74" i="20" s="1"/>
  <c r="J74" i="20" a="1"/>
  <c r="J74" i="20" s="1"/>
  <c r="G74" i="20"/>
  <c r="L73" i="20"/>
  <c r="H73" i="20" s="1"/>
  <c r="J73" i="20" a="1"/>
  <c r="J73" i="20" s="1"/>
  <c r="G73" i="20"/>
  <c r="L72" i="20"/>
  <c r="M72" i="20" s="1"/>
  <c r="I72" i="20" s="1"/>
  <c r="J72" i="20" a="1"/>
  <c r="J72" i="20" s="1"/>
  <c r="G72" i="20"/>
  <c r="L71" i="20"/>
  <c r="M71" i="20" s="1"/>
  <c r="I71" i="20" s="1"/>
  <c r="J71" i="20" a="1"/>
  <c r="J71" i="20" s="1"/>
  <c r="G71" i="20"/>
  <c r="L70" i="20"/>
  <c r="M70" i="20" s="1"/>
  <c r="I70" i="20" s="1"/>
  <c r="J70" i="20" a="1"/>
  <c r="J70" i="20" s="1"/>
  <c r="G70" i="20"/>
  <c r="L69" i="20"/>
  <c r="M69" i="20" s="1"/>
  <c r="I69" i="20" s="1"/>
  <c r="J69" i="20" a="1"/>
  <c r="J69" i="20" s="1"/>
  <c r="G69" i="20"/>
  <c r="L68" i="20"/>
  <c r="H68" i="20" s="1"/>
  <c r="J68" i="20" a="1"/>
  <c r="J68" i="20" s="1"/>
  <c r="G68" i="20"/>
  <c r="L67" i="20"/>
  <c r="M67" i="20" s="1"/>
  <c r="I67" i="20" s="1"/>
  <c r="J67" i="20" a="1"/>
  <c r="J67" i="20" s="1"/>
  <c r="H67" i="20"/>
  <c r="G67" i="20"/>
  <c r="L66" i="20"/>
  <c r="H66" i="20" s="1"/>
  <c r="J66" i="20" a="1"/>
  <c r="J66" i="20" s="1"/>
  <c r="G66" i="20"/>
  <c r="J65" i="20" a="1"/>
  <c r="J65" i="20" s="1"/>
  <c r="F65" i="20"/>
  <c r="E65" i="20"/>
  <c r="D65" i="20"/>
  <c r="C65" i="20"/>
  <c r="L64" i="20"/>
  <c r="H64" i="20" s="1"/>
  <c r="J64" i="20" a="1"/>
  <c r="J64" i="20" s="1"/>
  <c r="G64" i="20"/>
  <c r="L63" i="20"/>
  <c r="M63" i="20" s="1"/>
  <c r="I63" i="20" s="1"/>
  <c r="J63" i="20" a="1"/>
  <c r="J63" i="20" s="1"/>
  <c r="H63" i="20"/>
  <c r="G63" i="20"/>
  <c r="J62" i="20" a="1"/>
  <c r="J62" i="20" s="1"/>
  <c r="J61" i="20" a="1"/>
  <c r="J61" i="20" s="1"/>
  <c r="F61" i="20"/>
  <c r="E61" i="20"/>
  <c r="D61" i="20"/>
  <c r="C61" i="20"/>
  <c r="L60" i="20"/>
  <c r="M60" i="20" s="1"/>
  <c r="I60" i="20" s="1"/>
  <c r="J60" i="20" a="1"/>
  <c r="J60" i="20" s="1"/>
  <c r="G60" i="20"/>
  <c r="L59" i="20"/>
  <c r="M59" i="20" s="1"/>
  <c r="I59" i="20" s="1"/>
  <c r="J59" i="20" a="1"/>
  <c r="J59" i="20" s="1"/>
  <c r="G59" i="20"/>
  <c r="L58" i="20"/>
  <c r="M58" i="20" s="1"/>
  <c r="I58" i="20" s="1"/>
  <c r="J58" i="20" a="1"/>
  <c r="J58" i="20" s="1"/>
  <c r="H58" i="20"/>
  <c r="G58" i="20"/>
  <c r="L57" i="20"/>
  <c r="M57" i="20" s="1"/>
  <c r="I57" i="20" s="1"/>
  <c r="J57" i="20" a="1"/>
  <c r="J57" i="20" s="1"/>
  <c r="G57" i="20"/>
  <c r="L56" i="20"/>
  <c r="H56" i="20" s="1"/>
  <c r="J56" i="20" a="1"/>
  <c r="J56" i="20" s="1"/>
  <c r="G56" i="20"/>
  <c r="L55" i="20"/>
  <c r="M55" i="20" s="1"/>
  <c r="I55" i="20" s="1"/>
  <c r="J55" i="20" a="1"/>
  <c r="J55" i="20" s="1"/>
  <c r="G55" i="20"/>
  <c r="L54" i="20"/>
  <c r="H54" i="20" s="1"/>
  <c r="J54" i="20" a="1"/>
  <c r="J54" i="20" s="1"/>
  <c r="G54" i="20"/>
  <c r="L53" i="20"/>
  <c r="M53" i="20" s="1"/>
  <c r="I53" i="20" s="1"/>
  <c r="J53" i="20" a="1"/>
  <c r="J53" i="20" s="1"/>
  <c r="H53" i="20"/>
  <c r="G53" i="20"/>
  <c r="L52" i="20"/>
  <c r="M52" i="20" s="1"/>
  <c r="I52" i="20" s="1"/>
  <c r="J52" i="20" a="1"/>
  <c r="J52" i="20" s="1"/>
  <c r="G52" i="20"/>
  <c r="L51" i="20"/>
  <c r="H51" i="20" s="1"/>
  <c r="J51" i="20" a="1"/>
  <c r="J51" i="20" s="1"/>
  <c r="G51" i="20"/>
  <c r="L50" i="20"/>
  <c r="M50" i="20" s="1"/>
  <c r="I50" i="20" s="1"/>
  <c r="J50" i="20" a="1"/>
  <c r="J50" i="20" s="1"/>
  <c r="G50" i="20"/>
  <c r="L49" i="20"/>
  <c r="H49" i="20" s="1"/>
  <c r="J49" i="20" a="1"/>
  <c r="J49" i="20" s="1"/>
  <c r="G49" i="20"/>
  <c r="L48" i="20"/>
  <c r="M48" i="20" s="1"/>
  <c r="I48" i="20" s="1"/>
  <c r="J48" i="20" a="1"/>
  <c r="J48" i="20" s="1"/>
  <c r="H48" i="20"/>
  <c r="G48" i="20"/>
  <c r="L47" i="20"/>
  <c r="H47" i="20" s="1"/>
  <c r="J47" i="20" a="1"/>
  <c r="J47" i="20" s="1"/>
  <c r="G47" i="20"/>
  <c r="L46" i="20"/>
  <c r="H46" i="20" s="1"/>
  <c r="J46" i="20" a="1"/>
  <c r="J46" i="20" s="1"/>
  <c r="G46" i="20"/>
  <c r="L45" i="20"/>
  <c r="H45" i="20" s="1"/>
  <c r="J45" i="20" a="1"/>
  <c r="J45" i="20" s="1"/>
  <c r="G45" i="20"/>
  <c r="L44" i="20"/>
  <c r="J44" i="20" a="1"/>
  <c r="J44" i="20" s="1"/>
  <c r="G44" i="20"/>
  <c r="L43" i="20"/>
  <c r="M43" i="20" s="1"/>
  <c r="I43" i="20" s="1"/>
  <c r="J43" i="20" a="1"/>
  <c r="J43" i="20" s="1"/>
  <c r="H43" i="20"/>
  <c r="G43" i="20"/>
  <c r="J42" i="20" a="1"/>
  <c r="J42" i="20" s="1"/>
  <c r="F42" i="20"/>
  <c r="E42" i="20"/>
  <c r="D42" i="20"/>
  <c r="C42" i="20"/>
  <c r="L41" i="20"/>
  <c r="H41" i="20" s="1"/>
  <c r="J41" i="20" a="1"/>
  <c r="J41" i="20" s="1"/>
  <c r="G41" i="20"/>
  <c r="L40" i="20"/>
  <c r="M40" i="20" s="1"/>
  <c r="I40" i="20" s="1"/>
  <c r="J40" i="20" a="1"/>
  <c r="J40" i="20" s="1"/>
  <c r="G40" i="20"/>
  <c r="L39" i="20"/>
  <c r="M39" i="20" s="1"/>
  <c r="I39" i="20" s="1"/>
  <c r="J39" i="20" a="1"/>
  <c r="J39" i="20" s="1"/>
  <c r="H39" i="20"/>
  <c r="G39" i="20"/>
  <c r="L38" i="20"/>
  <c r="M38" i="20" s="1"/>
  <c r="I38" i="20" s="1"/>
  <c r="J38" i="20" a="1"/>
  <c r="J38" i="20" s="1"/>
  <c r="G38" i="20"/>
  <c r="L37" i="20"/>
  <c r="M37" i="20" s="1"/>
  <c r="I37" i="20" s="1"/>
  <c r="J37" i="20" a="1"/>
  <c r="J37" i="20" s="1"/>
  <c r="G37" i="20"/>
  <c r="L36" i="20"/>
  <c r="H36" i="20" s="1"/>
  <c r="J36" i="20" a="1"/>
  <c r="J36" i="20" s="1"/>
  <c r="G36" i="20"/>
  <c r="L35" i="20"/>
  <c r="M35" i="20" s="1"/>
  <c r="I35" i="20" s="1"/>
  <c r="J35" i="20" a="1"/>
  <c r="J35" i="20" s="1"/>
  <c r="H35" i="20"/>
  <c r="G35" i="20"/>
  <c r="L34" i="20"/>
  <c r="H34" i="20" s="1"/>
  <c r="J34" i="20" a="1"/>
  <c r="J34" i="20" s="1"/>
  <c r="G34" i="20"/>
  <c r="L33" i="20"/>
  <c r="M33" i="20" s="1"/>
  <c r="I33" i="20" s="1"/>
  <c r="J33" i="20" a="1"/>
  <c r="J33" i="20" s="1"/>
  <c r="G33" i="20"/>
  <c r="L32" i="20"/>
  <c r="M32" i="20" s="1"/>
  <c r="I32" i="20" s="1"/>
  <c r="J32" i="20" a="1"/>
  <c r="J32" i="20" s="1"/>
  <c r="G32" i="20"/>
  <c r="L31" i="20"/>
  <c r="H31" i="20" s="1"/>
  <c r="J31" i="20" a="1"/>
  <c r="J31" i="20" s="1"/>
  <c r="G31" i="20"/>
  <c r="L30" i="20"/>
  <c r="M30" i="20" s="1"/>
  <c r="I30" i="20" s="1"/>
  <c r="J30" i="20" a="1"/>
  <c r="J30" i="20" s="1"/>
  <c r="H30" i="20"/>
  <c r="G30" i="20"/>
  <c r="L29" i="20"/>
  <c r="M29" i="20" s="1"/>
  <c r="I29" i="20" s="1"/>
  <c r="J29" i="20" a="1"/>
  <c r="J29" i="20" s="1"/>
  <c r="G29" i="20"/>
  <c r="L28" i="20"/>
  <c r="H28" i="20" s="1"/>
  <c r="J28" i="20" a="1"/>
  <c r="J28" i="20" s="1"/>
  <c r="G28" i="20"/>
  <c r="L27" i="20"/>
  <c r="H27" i="20" s="1"/>
  <c r="J27" i="20" a="1"/>
  <c r="J27" i="20" s="1"/>
  <c r="G27" i="20"/>
  <c r="J26" i="20" a="1"/>
  <c r="J26" i="20" s="1"/>
  <c r="F26" i="20"/>
  <c r="E26" i="20"/>
  <c r="D26" i="20"/>
  <c r="C26" i="20"/>
  <c r="L25" i="20"/>
  <c r="H25" i="20" s="1"/>
  <c r="J25" i="20" a="1"/>
  <c r="J25" i="20" s="1"/>
  <c r="G25" i="20"/>
  <c r="L24" i="20"/>
  <c r="M24" i="20" s="1"/>
  <c r="I24" i="20" s="1"/>
  <c r="J24" i="20" a="1"/>
  <c r="J24" i="20" s="1"/>
  <c r="G24" i="20"/>
  <c r="L23" i="20"/>
  <c r="H23" i="20" s="1"/>
  <c r="J23" i="20" a="1"/>
  <c r="J23" i="20" s="1"/>
  <c r="G23" i="20"/>
  <c r="L22" i="20"/>
  <c r="M22" i="20" s="1"/>
  <c r="I22" i="20" s="1"/>
  <c r="J22" i="20" a="1"/>
  <c r="J22" i="20" s="1"/>
  <c r="G22" i="20"/>
  <c r="J21" i="20" a="1"/>
  <c r="J21" i="20" s="1"/>
  <c r="J20" i="20" a="1"/>
  <c r="J20" i="20" s="1"/>
  <c r="F20" i="20"/>
  <c r="F5" i="20" s="1"/>
  <c r="E20" i="20"/>
  <c r="E5" i="20" s="1"/>
  <c r="D20" i="20"/>
  <c r="C20" i="20"/>
  <c r="L19" i="20"/>
  <c r="M19" i="20" s="1"/>
  <c r="I19" i="20" s="1"/>
  <c r="J19" i="20" a="1"/>
  <c r="J19" i="20" s="1"/>
  <c r="L18" i="20"/>
  <c r="M18" i="20" s="1"/>
  <c r="I18" i="20" s="1"/>
  <c r="J18" i="20" a="1"/>
  <c r="J18" i="20" s="1"/>
  <c r="G18" i="20"/>
  <c r="L17" i="20"/>
  <c r="M17" i="20" s="1"/>
  <c r="I17" i="20" s="1"/>
  <c r="J17" i="20" a="1"/>
  <c r="J17" i="20" s="1"/>
  <c r="G17" i="20"/>
  <c r="L16" i="20"/>
  <c r="M16" i="20" s="1"/>
  <c r="I16" i="20" s="1"/>
  <c r="J16" i="20" a="1"/>
  <c r="J16" i="20" s="1"/>
  <c r="G16" i="20"/>
  <c r="L15" i="20"/>
  <c r="H15" i="20" s="1"/>
  <c r="J15" i="20" a="1"/>
  <c r="J15" i="20" s="1"/>
  <c r="G15" i="20"/>
  <c r="L14" i="20"/>
  <c r="M14" i="20" s="1"/>
  <c r="I14" i="20" s="1"/>
  <c r="J14" i="20" a="1"/>
  <c r="J14" i="20" s="1"/>
  <c r="G14" i="20"/>
  <c r="L13" i="20"/>
  <c r="M13" i="20" s="1"/>
  <c r="I13" i="20" s="1"/>
  <c r="J13" i="20" a="1"/>
  <c r="J13" i="20" s="1"/>
  <c r="G13" i="20"/>
  <c r="L12" i="20"/>
  <c r="H12" i="20" s="1"/>
  <c r="J12" i="20" a="1"/>
  <c r="J12" i="20" s="1"/>
  <c r="G12" i="20"/>
  <c r="L11" i="20"/>
  <c r="M11" i="20" s="1"/>
  <c r="I11" i="20" s="1"/>
  <c r="J11" i="20" a="1"/>
  <c r="J11" i="20" s="1"/>
  <c r="G11" i="20"/>
  <c r="L10" i="20"/>
  <c r="M10" i="20" s="1"/>
  <c r="I10" i="20" s="1"/>
  <c r="J10" i="20" a="1"/>
  <c r="J10" i="20" s="1"/>
  <c r="G10" i="20"/>
  <c r="L9" i="20"/>
  <c r="M9" i="20" s="1"/>
  <c r="I9" i="20" s="1"/>
  <c r="J9" i="20" a="1"/>
  <c r="J9" i="20" s="1"/>
  <c r="G9" i="20"/>
  <c r="L8" i="20"/>
  <c r="H8" i="20" s="1"/>
  <c r="J8" i="20" a="1"/>
  <c r="J8" i="20" s="1"/>
  <c r="G8" i="20"/>
  <c r="L7" i="20"/>
  <c r="M7" i="20" s="1"/>
  <c r="I7" i="20" s="1"/>
  <c r="J7" i="20" a="1"/>
  <c r="J7" i="20" s="1"/>
  <c r="G7" i="20"/>
  <c r="L6" i="20"/>
  <c r="H6" i="20" s="1"/>
  <c r="J6" i="20" a="1"/>
  <c r="J6" i="20" s="1"/>
  <c r="G6" i="20"/>
  <c r="I4" i="20"/>
  <c r="H4" i="20"/>
  <c r="L2" i="20"/>
  <c r="M2" i="20" s="1"/>
  <c r="H2" i="20" s="1"/>
  <c r="G305" i="20" s="1"/>
  <c r="G217" i="19"/>
  <c r="J217" i="19" a="1"/>
  <c r="J217" i="19" s="1"/>
  <c r="L217" i="19"/>
  <c r="H217" i="19" s="1"/>
  <c r="G218" i="19"/>
  <c r="J218" i="19" a="1"/>
  <c r="J218" i="19" s="1"/>
  <c r="K218" i="19"/>
  <c r="L218" i="19"/>
  <c r="H218" i="19" s="1"/>
  <c r="G212" i="19"/>
  <c r="G213" i="19"/>
  <c r="H213" i="19"/>
  <c r="G214" i="19"/>
  <c r="G215" i="19"/>
  <c r="G216" i="19"/>
  <c r="G219" i="19"/>
  <c r="G220" i="19"/>
  <c r="G221" i="19"/>
  <c r="G222" i="19"/>
  <c r="G223" i="19"/>
  <c r="G224" i="19"/>
  <c r="G225" i="19"/>
  <c r="G226" i="19"/>
  <c r="C227" i="19"/>
  <c r="C211" i="19" s="1"/>
  <c r="D227" i="19"/>
  <c r="D211" i="19" s="1"/>
  <c r="G31" i="19"/>
  <c r="J31" i="19" a="1"/>
  <c r="J31" i="19" s="1"/>
  <c r="L31" i="19"/>
  <c r="H31" i="19" s="1"/>
  <c r="G32" i="19"/>
  <c r="J32" i="19" a="1"/>
  <c r="J32" i="19" s="1"/>
  <c r="L32" i="19"/>
  <c r="H32" i="19" s="1"/>
  <c r="G33" i="19"/>
  <c r="J33" i="19" a="1"/>
  <c r="J33" i="19" s="1"/>
  <c r="L33" i="19"/>
  <c r="M33" i="19" s="1"/>
  <c r="I33" i="19" s="1"/>
  <c r="G34" i="19"/>
  <c r="J34" i="19" a="1"/>
  <c r="J34" i="19" s="1"/>
  <c r="L34" i="19"/>
  <c r="H34" i="19" s="1"/>
  <c r="M34" i="19"/>
  <c r="I34" i="19" s="1"/>
  <c r="C42" i="19"/>
  <c r="D42" i="19"/>
  <c r="A304" i="19"/>
  <c r="E302" i="19"/>
  <c r="D302" i="19"/>
  <c r="C302" i="19"/>
  <c r="G301" i="19"/>
  <c r="F301" i="19"/>
  <c r="G300" i="19"/>
  <c r="F300" i="19"/>
  <c r="G299" i="19"/>
  <c r="F299" i="19"/>
  <c r="G298" i="19"/>
  <c r="F298" i="19"/>
  <c r="G297" i="19"/>
  <c r="F297" i="19"/>
  <c r="G296" i="19"/>
  <c r="F296" i="19"/>
  <c r="G295" i="19"/>
  <c r="F295" i="19"/>
  <c r="G294" i="19"/>
  <c r="F294" i="19"/>
  <c r="G293" i="19"/>
  <c r="F293" i="19"/>
  <c r="G292" i="19"/>
  <c r="F292" i="19"/>
  <c r="G291" i="19"/>
  <c r="F291" i="19"/>
  <c r="G290" i="19"/>
  <c r="F290" i="19"/>
  <c r="G289" i="19"/>
  <c r="F289" i="19"/>
  <c r="G288" i="19"/>
  <c r="F288" i="19"/>
  <c r="G287" i="19"/>
  <c r="F287" i="19"/>
  <c r="G286" i="19"/>
  <c r="F286" i="19"/>
  <c r="G285" i="19"/>
  <c r="F285" i="19"/>
  <c r="G284" i="19"/>
  <c r="F284" i="19"/>
  <c r="G283" i="19"/>
  <c r="F283" i="19"/>
  <c r="G282" i="19"/>
  <c r="F282" i="19"/>
  <c r="G281" i="19"/>
  <c r="F281" i="19"/>
  <c r="G280" i="19"/>
  <c r="F280" i="19"/>
  <c r="G279" i="19"/>
  <c r="F279" i="19"/>
  <c r="F273" i="19"/>
  <c r="F259" i="19" s="1"/>
  <c r="E273" i="19"/>
  <c r="E259" i="19" s="1"/>
  <c r="D273" i="19"/>
  <c r="D259" i="19" s="1"/>
  <c r="C273" i="19"/>
  <c r="C259" i="19" s="1"/>
  <c r="L272" i="19"/>
  <c r="H272" i="19" s="1"/>
  <c r="J272" i="19" a="1"/>
  <c r="J272" i="19" s="1"/>
  <c r="G272" i="19"/>
  <c r="L271" i="19"/>
  <c r="M271" i="19" s="1"/>
  <c r="I271" i="19" s="1"/>
  <c r="J271" i="19" a="1"/>
  <c r="J271" i="19" s="1"/>
  <c r="G271" i="19"/>
  <c r="L270" i="19"/>
  <c r="M270" i="19" s="1"/>
  <c r="I270" i="19" s="1"/>
  <c r="J270" i="19" a="1"/>
  <c r="J270" i="19" s="1"/>
  <c r="G270" i="19"/>
  <c r="L269" i="19"/>
  <c r="M269" i="19" s="1"/>
  <c r="I269" i="19" s="1"/>
  <c r="J269" i="19" a="1"/>
  <c r="J269" i="19" s="1"/>
  <c r="G269" i="19"/>
  <c r="L268" i="19"/>
  <c r="M268" i="19" s="1"/>
  <c r="I268" i="19" s="1"/>
  <c r="J268" i="19" a="1"/>
  <c r="J268" i="19" s="1"/>
  <c r="G268" i="19"/>
  <c r="L267" i="19"/>
  <c r="M267" i="19" s="1"/>
  <c r="I267" i="19" s="1"/>
  <c r="J267" i="19" a="1"/>
  <c r="J267" i="19" s="1"/>
  <c r="G267" i="19"/>
  <c r="L266" i="19"/>
  <c r="M266" i="19" s="1"/>
  <c r="I266" i="19" s="1"/>
  <c r="J266" i="19" a="1"/>
  <c r="J266" i="19" s="1"/>
  <c r="G266" i="19"/>
  <c r="L265" i="19"/>
  <c r="M265" i="19" s="1"/>
  <c r="I265" i="19" s="1"/>
  <c r="J265" i="19" a="1"/>
  <c r="J265" i="19" s="1"/>
  <c r="G265" i="19"/>
  <c r="L264" i="19"/>
  <c r="M264" i="19" s="1"/>
  <c r="I264" i="19" s="1"/>
  <c r="J264" i="19" a="1"/>
  <c r="J264" i="19" s="1"/>
  <c r="G264" i="19"/>
  <c r="L263" i="19"/>
  <c r="M263" i="19" s="1"/>
  <c r="I263" i="19" s="1"/>
  <c r="J263" i="19" a="1"/>
  <c r="J263" i="19" s="1"/>
  <c r="G263" i="19"/>
  <c r="L262" i="19"/>
  <c r="M262" i="19" s="1"/>
  <c r="I262" i="19" s="1"/>
  <c r="J262" i="19" a="1"/>
  <c r="J262" i="19" s="1"/>
  <c r="G262" i="19"/>
  <c r="L261" i="19"/>
  <c r="H261" i="19" s="1"/>
  <c r="J261" i="19" a="1"/>
  <c r="J261" i="19" s="1"/>
  <c r="G261" i="19"/>
  <c r="L260" i="19"/>
  <c r="M260" i="19" s="1"/>
  <c r="I260" i="19" s="1"/>
  <c r="J260" i="19" a="1"/>
  <c r="J260" i="19" s="1"/>
  <c r="G260" i="19"/>
  <c r="J259" i="19" a="1"/>
  <c r="J259" i="19" s="1"/>
  <c r="J258" i="19" a="1"/>
  <c r="J258" i="19" s="1"/>
  <c r="D258" i="19"/>
  <c r="C258" i="19"/>
  <c r="L257" i="19"/>
  <c r="H257" i="19" s="1"/>
  <c r="J257" i="19" a="1"/>
  <c r="J257" i="19" s="1"/>
  <c r="G257" i="19"/>
  <c r="L256" i="19"/>
  <c r="M256" i="19" s="1"/>
  <c r="I256" i="19" s="1"/>
  <c r="J256" i="19" a="1"/>
  <c r="J256" i="19" s="1"/>
  <c r="G256" i="19"/>
  <c r="L255" i="19"/>
  <c r="M255" i="19" s="1"/>
  <c r="I255" i="19" s="1"/>
  <c r="J255" i="19" a="1"/>
  <c r="J255" i="19" s="1"/>
  <c r="G255" i="19"/>
  <c r="J254" i="19" a="1"/>
  <c r="J254" i="19" s="1"/>
  <c r="F254" i="19"/>
  <c r="F243" i="19" s="1"/>
  <c r="E254" i="19"/>
  <c r="E243" i="19" s="1"/>
  <c r="D254" i="19"/>
  <c r="C254" i="19"/>
  <c r="L253" i="19"/>
  <c r="H253" i="19" s="1"/>
  <c r="J253" i="19" a="1"/>
  <c r="J253" i="19" s="1"/>
  <c r="G253" i="19"/>
  <c r="L252" i="19"/>
  <c r="H252" i="19" s="1"/>
  <c r="J252" i="19" a="1"/>
  <c r="J252" i="19" s="1"/>
  <c r="G252" i="19"/>
  <c r="L250" i="19"/>
  <c r="M250" i="19" s="1"/>
  <c r="I250" i="19" s="1"/>
  <c r="J250" i="19" a="1"/>
  <c r="J250" i="19" s="1"/>
  <c r="G250" i="19"/>
  <c r="L249" i="19"/>
  <c r="H249" i="19" s="1"/>
  <c r="J249" i="19" a="1"/>
  <c r="J249" i="19" s="1"/>
  <c r="G249" i="19"/>
  <c r="L248" i="19"/>
  <c r="M248" i="19" s="1"/>
  <c r="I248" i="19" s="1"/>
  <c r="J248" i="19" a="1"/>
  <c r="J248" i="19" s="1"/>
  <c r="G248" i="19"/>
  <c r="L247" i="19"/>
  <c r="H247" i="19" s="1"/>
  <c r="J247" i="19" a="1"/>
  <c r="J247" i="19" s="1"/>
  <c r="G247" i="19"/>
  <c r="J246" i="19" a="1"/>
  <c r="J246" i="19" s="1"/>
  <c r="C246" i="19"/>
  <c r="L245" i="19"/>
  <c r="H245" i="19" s="1"/>
  <c r="J245" i="19" a="1"/>
  <c r="J245" i="19" s="1"/>
  <c r="G245" i="19"/>
  <c r="L244" i="19"/>
  <c r="H244" i="19" s="1"/>
  <c r="J244" i="19" a="1"/>
  <c r="J244" i="19" s="1"/>
  <c r="G244" i="19"/>
  <c r="J243" i="19" a="1"/>
  <c r="J243" i="19" s="1"/>
  <c r="J242" i="19" a="1"/>
  <c r="J242" i="19" s="1"/>
  <c r="F242" i="19"/>
  <c r="F228" i="19" s="1"/>
  <c r="E242" i="19"/>
  <c r="E228" i="19" s="1"/>
  <c r="D242" i="19"/>
  <c r="D228" i="19" s="1"/>
  <c r="C242" i="19"/>
  <c r="C228" i="19" s="1"/>
  <c r="L241" i="19"/>
  <c r="H241" i="19" s="1"/>
  <c r="J241" i="19" a="1"/>
  <c r="J241" i="19" s="1"/>
  <c r="G241" i="19"/>
  <c r="L240" i="19"/>
  <c r="M240" i="19" s="1"/>
  <c r="I240" i="19" s="1"/>
  <c r="J240" i="19" a="1"/>
  <c r="J240" i="19" s="1"/>
  <c r="G240" i="19"/>
  <c r="L239" i="19"/>
  <c r="H239" i="19" s="1"/>
  <c r="J239" i="19" a="1"/>
  <c r="J239" i="19" s="1"/>
  <c r="G239" i="19"/>
  <c r="L238" i="19"/>
  <c r="M238" i="19" s="1"/>
  <c r="I238" i="19" s="1"/>
  <c r="J238" i="19" a="1"/>
  <c r="J238" i="19" s="1"/>
  <c r="G238" i="19"/>
  <c r="L237" i="19"/>
  <c r="M237" i="19" s="1"/>
  <c r="I237" i="19" s="1"/>
  <c r="J237" i="19" a="1"/>
  <c r="J237" i="19" s="1"/>
  <c r="G237" i="19"/>
  <c r="L236" i="19"/>
  <c r="M236" i="19" s="1"/>
  <c r="I236" i="19" s="1"/>
  <c r="J236" i="19" a="1"/>
  <c r="J236" i="19" s="1"/>
  <c r="G236" i="19"/>
  <c r="L235" i="19"/>
  <c r="M235" i="19" s="1"/>
  <c r="I235" i="19" s="1"/>
  <c r="J235" i="19" a="1"/>
  <c r="J235" i="19" s="1"/>
  <c r="G235" i="19"/>
  <c r="L234" i="19"/>
  <c r="M234" i="19" s="1"/>
  <c r="I234" i="19" s="1"/>
  <c r="J234" i="19" a="1"/>
  <c r="J234" i="19" s="1"/>
  <c r="G234" i="19"/>
  <c r="L233" i="19"/>
  <c r="H233" i="19" s="1"/>
  <c r="J233" i="19" a="1"/>
  <c r="J233" i="19" s="1"/>
  <c r="G233" i="19"/>
  <c r="L232" i="19"/>
  <c r="M232" i="19" s="1"/>
  <c r="I232" i="19" s="1"/>
  <c r="J232" i="19" a="1"/>
  <c r="J232" i="19" s="1"/>
  <c r="G232" i="19"/>
  <c r="L231" i="19"/>
  <c r="M231" i="19" s="1"/>
  <c r="I231" i="19" s="1"/>
  <c r="J231" i="19" a="1"/>
  <c r="J231" i="19" s="1"/>
  <c r="G231" i="19"/>
  <c r="L230" i="19"/>
  <c r="H230" i="19" s="1"/>
  <c r="J230" i="19" a="1"/>
  <c r="J230" i="19" s="1"/>
  <c r="G230" i="19"/>
  <c r="L229" i="19"/>
  <c r="H229" i="19" s="1"/>
  <c r="J229" i="19" a="1"/>
  <c r="J229" i="19" s="1"/>
  <c r="G229" i="19"/>
  <c r="J228" i="19" a="1"/>
  <c r="J228" i="19" s="1"/>
  <c r="J227" i="19" a="1"/>
  <c r="J227" i="19" s="1"/>
  <c r="F227" i="19"/>
  <c r="E227" i="19"/>
  <c r="E211" i="19" s="1"/>
  <c r="L226" i="19"/>
  <c r="H226" i="19" s="1"/>
  <c r="K226" i="19"/>
  <c r="J226" i="19" a="1"/>
  <c r="J226" i="19" s="1"/>
  <c r="L225" i="19"/>
  <c r="M225" i="19" s="1"/>
  <c r="I225" i="19" s="1"/>
  <c r="J225" i="19" a="1"/>
  <c r="J225" i="19" s="1"/>
  <c r="L224" i="19"/>
  <c r="H224" i="19" s="1"/>
  <c r="J224" i="19" a="1"/>
  <c r="J224" i="19" s="1"/>
  <c r="L223" i="19"/>
  <c r="M223" i="19" s="1"/>
  <c r="I223" i="19" s="1"/>
  <c r="K223" i="19"/>
  <c r="J223" i="19" a="1"/>
  <c r="J223" i="19" s="1"/>
  <c r="L222" i="19"/>
  <c r="H222" i="19" s="1"/>
  <c r="J222" i="19" a="1"/>
  <c r="J222" i="19" s="1"/>
  <c r="L221" i="19"/>
  <c r="M221" i="19" s="1"/>
  <c r="I221" i="19" s="1"/>
  <c r="J221" i="19" a="1"/>
  <c r="J221" i="19" s="1"/>
  <c r="L220" i="19"/>
  <c r="H220" i="19" s="1"/>
  <c r="K220" i="19"/>
  <c r="J220" i="19" a="1"/>
  <c r="J220" i="19" s="1"/>
  <c r="L219" i="19"/>
  <c r="M219" i="19" s="1"/>
  <c r="I219" i="19" s="1"/>
  <c r="J219" i="19" a="1"/>
  <c r="J219" i="19" s="1"/>
  <c r="L216" i="19"/>
  <c r="M216" i="19" s="1"/>
  <c r="I216" i="19" s="1"/>
  <c r="K216" i="19"/>
  <c r="J216" i="19" a="1"/>
  <c r="J216" i="19" s="1"/>
  <c r="L215" i="19"/>
  <c r="H215" i="19" s="1"/>
  <c r="J215" i="19" a="1"/>
  <c r="J215" i="19" s="1"/>
  <c r="L214" i="19"/>
  <c r="H214" i="19" s="1"/>
  <c r="J214" i="19" a="1"/>
  <c r="J214" i="19" s="1"/>
  <c r="L213" i="19"/>
  <c r="M213" i="19" s="1"/>
  <c r="I213" i="19" s="1"/>
  <c r="K213" i="19"/>
  <c r="J213" i="19" a="1"/>
  <c r="J213" i="19" s="1"/>
  <c r="L212" i="19"/>
  <c r="H212" i="19" s="1"/>
  <c r="K212" i="19"/>
  <c r="J212" i="19" a="1"/>
  <c r="J212" i="19" s="1"/>
  <c r="J211" i="19" a="1"/>
  <c r="J211" i="19" s="1"/>
  <c r="J210" i="19" a="1"/>
  <c r="J210" i="19" s="1"/>
  <c r="F210" i="19"/>
  <c r="F195" i="19" s="1"/>
  <c r="E210" i="19"/>
  <c r="D210" i="19"/>
  <c r="C210" i="19"/>
  <c r="C195" i="19" s="1"/>
  <c r="L209" i="19"/>
  <c r="H209" i="19" s="1"/>
  <c r="J209" i="19" a="1"/>
  <c r="J209" i="19" s="1"/>
  <c r="G209" i="19"/>
  <c r="L208" i="19"/>
  <c r="M208" i="19" s="1"/>
  <c r="I208" i="19" s="1"/>
  <c r="J208" i="19" a="1"/>
  <c r="J208" i="19" s="1"/>
  <c r="G208" i="19"/>
  <c r="L207" i="19"/>
  <c r="M207" i="19" s="1"/>
  <c r="I207" i="19" s="1"/>
  <c r="J207" i="19" a="1"/>
  <c r="J207" i="19" s="1"/>
  <c r="G207" i="19"/>
  <c r="L206" i="19"/>
  <c r="M206" i="19" s="1"/>
  <c r="I206" i="19" s="1"/>
  <c r="J206" i="19" a="1"/>
  <c r="J206" i="19" s="1"/>
  <c r="G206" i="19"/>
  <c r="L205" i="19"/>
  <c r="H205" i="19" s="1"/>
  <c r="J205" i="19" a="1"/>
  <c r="J205" i="19" s="1"/>
  <c r="G205" i="19"/>
  <c r="L204" i="19"/>
  <c r="M204" i="19" s="1"/>
  <c r="I204" i="19" s="1"/>
  <c r="J204" i="19" a="1"/>
  <c r="J204" i="19" s="1"/>
  <c r="G204" i="19"/>
  <c r="L203" i="19"/>
  <c r="H203" i="19" s="1"/>
  <c r="J203" i="19" a="1"/>
  <c r="J203" i="19" s="1"/>
  <c r="G203" i="19"/>
  <c r="L202" i="19"/>
  <c r="M202" i="19" s="1"/>
  <c r="I202" i="19" s="1"/>
  <c r="J202" i="19" a="1"/>
  <c r="J202" i="19" s="1"/>
  <c r="G202" i="19"/>
  <c r="L201" i="19"/>
  <c r="M201" i="19" s="1"/>
  <c r="I201" i="19" s="1"/>
  <c r="J201" i="19" a="1"/>
  <c r="J201" i="19" s="1"/>
  <c r="G201" i="19"/>
  <c r="L200" i="19"/>
  <c r="H200" i="19" s="1"/>
  <c r="J200" i="19" a="1"/>
  <c r="J200" i="19" s="1"/>
  <c r="G200" i="19"/>
  <c r="L199" i="19"/>
  <c r="M199" i="19" s="1"/>
  <c r="I199" i="19" s="1"/>
  <c r="J199" i="19" a="1"/>
  <c r="J199" i="19" s="1"/>
  <c r="G199" i="19"/>
  <c r="L198" i="19"/>
  <c r="H198" i="19" s="1"/>
  <c r="J198" i="19" a="1"/>
  <c r="J198" i="19" s="1"/>
  <c r="G198" i="19"/>
  <c r="L197" i="19"/>
  <c r="M197" i="19" s="1"/>
  <c r="I197" i="19" s="1"/>
  <c r="J197" i="19" a="1"/>
  <c r="J197" i="19" s="1"/>
  <c r="G197" i="19"/>
  <c r="L196" i="19"/>
  <c r="M196" i="19" s="1"/>
  <c r="I196" i="19" s="1"/>
  <c r="J196" i="19" a="1"/>
  <c r="J196" i="19" s="1"/>
  <c r="G196" i="19"/>
  <c r="J195" i="19" a="1"/>
  <c r="J195" i="19" s="1"/>
  <c r="J194" i="19" a="1"/>
  <c r="J194" i="19" s="1"/>
  <c r="F194" i="19"/>
  <c r="E194" i="19"/>
  <c r="D194" i="19"/>
  <c r="C194" i="19"/>
  <c r="L193" i="19"/>
  <c r="M193" i="19" s="1"/>
  <c r="I193" i="19" s="1"/>
  <c r="J193" i="19" a="1"/>
  <c r="J193" i="19" s="1"/>
  <c r="G193" i="19"/>
  <c r="L192" i="19"/>
  <c r="H192" i="19" s="1"/>
  <c r="J192" i="19" a="1"/>
  <c r="J192" i="19" s="1"/>
  <c r="G192" i="19"/>
  <c r="L191" i="19"/>
  <c r="M191" i="19" s="1"/>
  <c r="I191" i="19" s="1"/>
  <c r="J191" i="19" a="1"/>
  <c r="J191" i="19" s="1"/>
  <c r="G191" i="19"/>
  <c r="L190" i="19"/>
  <c r="H190" i="19" s="1"/>
  <c r="J190" i="19" a="1"/>
  <c r="J190" i="19" s="1"/>
  <c r="G190" i="19"/>
  <c r="L189" i="19"/>
  <c r="M189" i="19" s="1"/>
  <c r="I189" i="19" s="1"/>
  <c r="J189" i="19" a="1"/>
  <c r="J189" i="19" s="1"/>
  <c r="G189" i="19"/>
  <c r="L188" i="19"/>
  <c r="M188" i="19" s="1"/>
  <c r="I188" i="19" s="1"/>
  <c r="J188" i="19" a="1"/>
  <c r="J188" i="19" s="1"/>
  <c r="G188" i="19"/>
  <c r="L187" i="19"/>
  <c r="M187" i="19" s="1"/>
  <c r="I187" i="19" s="1"/>
  <c r="J187" i="19" a="1"/>
  <c r="J187" i="19" s="1"/>
  <c r="G187" i="19"/>
  <c r="L186" i="19"/>
  <c r="M186" i="19" s="1"/>
  <c r="I186" i="19" s="1"/>
  <c r="J186" i="19" a="1"/>
  <c r="J186" i="19" s="1"/>
  <c r="G186" i="19"/>
  <c r="L185" i="19"/>
  <c r="M185" i="19" s="1"/>
  <c r="I185" i="19" s="1"/>
  <c r="J185" i="19" a="1"/>
  <c r="J185" i="19" s="1"/>
  <c r="G185" i="19"/>
  <c r="L184" i="19"/>
  <c r="M184" i="19" s="1"/>
  <c r="I184" i="19" s="1"/>
  <c r="J184" i="19" a="1"/>
  <c r="J184" i="19" s="1"/>
  <c r="G184" i="19"/>
  <c r="L183" i="19"/>
  <c r="M183" i="19" s="1"/>
  <c r="I183" i="19" s="1"/>
  <c r="J183" i="19" a="1"/>
  <c r="J183" i="19" s="1"/>
  <c r="G183" i="19"/>
  <c r="L182" i="19"/>
  <c r="M182" i="19" s="1"/>
  <c r="I182" i="19" s="1"/>
  <c r="J182" i="19" a="1"/>
  <c r="J182" i="19" s="1"/>
  <c r="G182" i="19"/>
  <c r="L181" i="19"/>
  <c r="H181" i="19" s="1"/>
  <c r="J181" i="19" a="1"/>
  <c r="J181" i="19" s="1"/>
  <c r="G181" i="19"/>
  <c r="L180" i="19"/>
  <c r="M180" i="19" s="1"/>
  <c r="I180" i="19" s="1"/>
  <c r="J180" i="19" a="1"/>
  <c r="J180" i="19" s="1"/>
  <c r="G180" i="19"/>
  <c r="J179" i="19" a="1"/>
  <c r="J179" i="19" s="1"/>
  <c r="F179" i="19"/>
  <c r="E179" i="19"/>
  <c r="D179" i="19"/>
  <c r="C179" i="19"/>
  <c r="L178" i="19"/>
  <c r="M178" i="19" s="1"/>
  <c r="I178" i="19" s="1"/>
  <c r="J178" i="19" a="1"/>
  <c r="J178" i="19" s="1"/>
  <c r="G178" i="19"/>
  <c r="L177" i="19"/>
  <c r="H177" i="19" s="1"/>
  <c r="J177" i="19" a="1"/>
  <c r="J177" i="19" s="1"/>
  <c r="G177" i="19"/>
  <c r="L176" i="19"/>
  <c r="M176" i="19" s="1"/>
  <c r="I176" i="19" s="1"/>
  <c r="J176" i="19" a="1"/>
  <c r="J176" i="19" s="1"/>
  <c r="G176" i="19"/>
  <c r="L175" i="19"/>
  <c r="H175" i="19" s="1"/>
  <c r="J175" i="19" a="1"/>
  <c r="J175" i="19" s="1"/>
  <c r="G175" i="19"/>
  <c r="L174" i="19"/>
  <c r="M174" i="19" s="1"/>
  <c r="I174" i="19" s="1"/>
  <c r="J174" i="19" a="1"/>
  <c r="J174" i="19" s="1"/>
  <c r="G174" i="19"/>
  <c r="L173" i="19"/>
  <c r="M173" i="19" s="1"/>
  <c r="I173" i="19" s="1"/>
  <c r="J173" i="19" a="1"/>
  <c r="J173" i="19" s="1"/>
  <c r="G173" i="19"/>
  <c r="L172" i="19"/>
  <c r="H172" i="19" s="1"/>
  <c r="J172" i="19" a="1"/>
  <c r="J172" i="19" s="1"/>
  <c r="G172" i="19"/>
  <c r="L171" i="19"/>
  <c r="M171" i="19" s="1"/>
  <c r="I171" i="19" s="1"/>
  <c r="J171" i="19" a="1"/>
  <c r="J171" i="19" s="1"/>
  <c r="G171" i="19"/>
  <c r="L170" i="19"/>
  <c r="H170" i="19" s="1"/>
  <c r="J170" i="19" a="1"/>
  <c r="J170" i="19" s="1"/>
  <c r="G170" i="19"/>
  <c r="L169" i="19"/>
  <c r="M169" i="19" s="1"/>
  <c r="I169" i="19" s="1"/>
  <c r="J169" i="19" a="1"/>
  <c r="J169" i="19" s="1"/>
  <c r="G169" i="19"/>
  <c r="L168" i="19"/>
  <c r="M168" i="19" s="1"/>
  <c r="I168" i="19" s="1"/>
  <c r="J168" i="19" a="1"/>
  <c r="J168" i="19" s="1"/>
  <c r="G168" i="19"/>
  <c r="L167" i="19"/>
  <c r="M167" i="19" s="1"/>
  <c r="I167" i="19" s="1"/>
  <c r="J167" i="19" a="1"/>
  <c r="J167" i="19" s="1"/>
  <c r="H167" i="19"/>
  <c r="G167" i="19"/>
  <c r="L166" i="19"/>
  <c r="M166" i="19" s="1"/>
  <c r="I166" i="19" s="1"/>
  <c r="J166" i="19" a="1"/>
  <c r="J166" i="19" s="1"/>
  <c r="G166" i="19"/>
  <c r="L165" i="19"/>
  <c r="M165" i="19" s="1"/>
  <c r="I165" i="19" s="1"/>
  <c r="J165" i="19" a="1"/>
  <c r="J165" i="19" s="1"/>
  <c r="G165" i="19"/>
  <c r="L164" i="19"/>
  <c r="M164" i="19" s="1"/>
  <c r="I164" i="19" s="1"/>
  <c r="J164" i="19" a="1"/>
  <c r="J164" i="19" s="1"/>
  <c r="G164" i="19"/>
  <c r="J163" i="19" a="1"/>
  <c r="J163" i="19" s="1"/>
  <c r="F163" i="19"/>
  <c r="E163" i="19"/>
  <c r="D163" i="19"/>
  <c r="C163" i="19"/>
  <c r="L162" i="19"/>
  <c r="M162" i="19" s="1"/>
  <c r="I162" i="19" s="1"/>
  <c r="J162" i="19" a="1"/>
  <c r="J162" i="19" s="1"/>
  <c r="G162" i="19"/>
  <c r="L161" i="19"/>
  <c r="M161" i="19" s="1"/>
  <c r="I161" i="19" s="1"/>
  <c r="J161" i="19" a="1"/>
  <c r="J161" i="19" s="1"/>
  <c r="G161" i="19"/>
  <c r="L160" i="19"/>
  <c r="H160" i="19" s="1"/>
  <c r="J160" i="19" a="1"/>
  <c r="J160" i="19" s="1"/>
  <c r="G160" i="19"/>
  <c r="L159" i="19"/>
  <c r="M159" i="19" s="1"/>
  <c r="I159" i="19" s="1"/>
  <c r="J159" i="19" a="1"/>
  <c r="J159" i="19" s="1"/>
  <c r="G159" i="19"/>
  <c r="L158" i="19"/>
  <c r="M158" i="19" s="1"/>
  <c r="I158" i="19" s="1"/>
  <c r="J158" i="19" a="1"/>
  <c r="J158" i="19" s="1"/>
  <c r="H158" i="19"/>
  <c r="G158" i="19"/>
  <c r="L157" i="19"/>
  <c r="H157" i="19" s="1"/>
  <c r="J157" i="19" a="1"/>
  <c r="J157" i="19" s="1"/>
  <c r="G157" i="19"/>
  <c r="L156" i="19"/>
  <c r="M156" i="19" s="1"/>
  <c r="I156" i="19" s="1"/>
  <c r="J156" i="19" a="1"/>
  <c r="J156" i="19" s="1"/>
  <c r="G156" i="19"/>
  <c r="L155" i="19"/>
  <c r="H155" i="19" s="1"/>
  <c r="J155" i="19" a="1"/>
  <c r="J155" i="19" s="1"/>
  <c r="G155" i="19"/>
  <c r="L154" i="19"/>
  <c r="M154" i="19" s="1"/>
  <c r="I154" i="19" s="1"/>
  <c r="J154" i="19" a="1"/>
  <c r="J154" i="19" s="1"/>
  <c r="G154" i="19"/>
  <c r="L153" i="19"/>
  <c r="M153" i="19" s="1"/>
  <c r="I153" i="19" s="1"/>
  <c r="J153" i="19" a="1"/>
  <c r="J153" i="19" s="1"/>
  <c r="G153" i="19"/>
  <c r="L152" i="19"/>
  <c r="H152" i="19" s="1"/>
  <c r="J152" i="19" a="1"/>
  <c r="J152" i="19" s="1"/>
  <c r="G152" i="19"/>
  <c r="L151" i="19"/>
  <c r="M151" i="19" s="1"/>
  <c r="I151" i="19" s="1"/>
  <c r="J151" i="19" a="1"/>
  <c r="J151" i="19" s="1"/>
  <c r="G151" i="19"/>
  <c r="L150" i="19"/>
  <c r="M150" i="19" s="1"/>
  <c r="I150" i="19" s="1"/>
  <c r="J150" i="19" a="1"/>
  <c r="J150" i="19" s="1"/>
  <c r="G150" i="19"/>
  <c r="L149" i="19"/>
  <c r="M149" i="19" s="1"/>
  <c r="I149" i="19" s="1"/>
  <c r="J149" i="19" a="1"/>
  <c r="J149" i="19" s="1"/>
  <c r="G149" i="19"/>
  <c r="L148" i="19"/>
  <c r="M148" i="19" s="1"/>
  <c r="I148" i="19" s="1"/>
  <c r="J148" i="19" a="1"/>
  <c r="J148" i="19" s="1"/>
  <c r="G148" i="19"/>
  <c r="L147" i="19"/>
  <c r="M147" i="19" s="1"/>
  <c r="I147" i="19" s="1"/>
  <c r="J147" i="19" a="1"/>
  <c r="J147" i="19" s="1"/>
  <c r="G147" i="19"/>
  <c r="J146" i="19" a="1"/>
  <c r="J146" i="19" s="1"/>
  <c r="F146" i="19"/>
  <c r="E146" i="19"/>
  <c r="D146" i="19"/>
  <c r="C146" i="19"/>
  <c r="L145" i="19"/>
  <c r="M145" i="19" s="1"/>
  <c r="I145" i="19" s="1"/>
  <c r="J145" i="19" a="1"/>
  <c r="J145" i="19" s="1"/>
  <c r="G145" i="19"/>
  <c r="L144" i="19"/>
  <c r="M144" i="19" s="1"/>
  <c r="I144" i="19" s="1"/>
  <c r="J144" i="19" a="1"/>
  <c r="J144" i="19" s="1"/>
  <c r="G144" i="19"/>
  <c r="L143" i="19"/>
  <c r="M143" i="19" s="1"/>
  <c r="I143" i="19" s="1"/>
  <c r="J143" i="19" a="1"/>
  <c r="J143" i="19" s="1"/>
  <c r="G143" i="19"/>
  <c r="L142" i="19"/>
  <c r="M142" i="19" s="1"/>
  <c r="I142" i="19" s="1"/>
  <c r="J142" i="19" a="1"/>
  <c r="J142" i="19" s="1"/>
  <c r="G142" i="19"/>
  <c r="L141" i="19"/>
  <c r="M141" i="19" s="1"/>
  <c r="I141" i="19" s="1"/>
  <c r="J141" i="19" a="1"/>
  <c r="J141" i="19" s="1"/>
  <c r="G141" i="19"/>
  <c r="L140" i="19"/>
  <c r="M140" i="19" s="1"/>
  <c r="I140" i="19" s="1"/>
  <c r="J140" i="19" a="1"/>
  <c r="J140" i="19" s="1"/>
  <c r="G140" i="19"/>
  <c r="L139" i="19"/>
  <c r="H139" i="19" s="1"/>
  <c r="J139" i="19" a="1"/>
  <c r="J139" i="19" s="1"/>
  <c r="G139" i="19"/>
  <c r="L138" i="19"/>
  <c r="M138" i="19" s="1"/>
  <c r="I138" i="19" s="1"/>
  <c r="J138" i="19" a="1"/>
  <c r="J138" i="19" s="1"/>
  <c r="G138" i="19"/>
  <c r="L137" i="19"/>
  <c r="H137" i="19" s="1"/>
  <c r="J137" i="19" a="1"/>
  <c r="J137" i="19" s="1"/>
  <c r="G137" i="19"/>
  <c r="L136" i="19"/>
  <c r="M136" i="19" s="1"/>
  <c r="I136" i="19" s="1"/>
  <c r="J136" i="19" a="1"/>
  <c r="J136" i="19" s="1"/>
  <c r="G136" i="19"/>
  <c r="L135" i="19"/>
  <c r="H135" i="19" s="1"/>
  <c r="J135" i="19" a="1"/>
  <c r="J135" i="19" s="1"/>
  <c r="G135" i="19"/>
  <c r="L134" i="19"/>
  <c r="M134" i="19" s="1"/>
  <c r="I134" i="19" s="1"/>
  <c r="J134" i="19" a="1"/>
  <c r="J134" i="19" s="1"/>
  <c r="G134" i="19"/>
  <c r="L133" i="19"/>
  <c r="M133" i="19" s="1"/>
  <c r="I133" i="19" s="1"/>
  <c r="J133" i="19" a="1"/>
  <c r="J133" i="19" s="1"/>
  <c r="G133" i="19"/>
  <c r="J132" i="19" a="1"/>
  <c r="J132" i="19" s="1"/>
  <c r="F132" i="19"/>
  <c r="E132" i="19"/>
  <c r="D132" i="19"/>
  <c r="C132" i="19"/>
  <c r="L131" i="19"/>
  <c r="H131" i="19" s="1"/>
  <c r="J131" i="19" a="1"/>
  <c r="J131" i="19" s="1"/>
  <c r="G131" i="19"/>
  <c r="L130" i="19"/>
  <c r="H130" i="19" s="1"/>
  <c r="J130" i="19" a="1"/>
  <c r="J130" i="19" s="1"/>
  <c r="G130" i="19"/>
  <c r="L129" i="19"/>
  <c r="M129" i="19" s="1"/>
  <c r="I129" i="19" s="1"/>
  <c r="J129" i="19" a="1"/>
  <c r="J129" i="19" s="1"/>
  <c r="G129" i="19"/>
  <c r="L128" i="19"/>
  <c r="H128" i="19" s="1"/>
  <c r="J128" i="19" a="1"/>
  <c r="J128" i="19" s="1"/>
  <c r="G128" i="19"/>
  <c r="L127" i="19"/>
  <c r="M127" i="19" s="1"/>
  <c r="I127" i="19" s="1"/>
  <c r="J127" i="19" a="1"/>
  <c r="J127" i="19" s="1"/>
  <c r="G127" i="19"/>
  <c r="L126" i="19"/>
  <c r="H126" i="19" s="1"/>
  <c r="J126" i="19" a="1"/>
  <c r="J126" i="19" s="1"/>
  <c r="G126" i="19"/>
  <c r="L125" i="19"/>
  <c r="M125" i="19" s="1"/>
  <c r="I125" i="19" s="1"/>
  <c r="J125" i="19" a="1"/>
  <c r="J125" i="19" s="1"/>
  <c r="G125" i="19"/>
  <c r="L124" i="19"/>
  <c r="H124" i="19" s="1"/>
  <c r="J124" i="19" a="1"/>
  <c r="J124" i="19" s="1"/>
  <c r="G124" i="19"/>
  <c r="L123" i="19"/>
  <c r="M123" i="19" s="1"/>
  <c r="I123" i="19" s="1"/>
  <c r="J123" i="19" a="1"/>
  <c r="J123" i="19" s="1"/>
  <c r="G123" i="19"/>
  <c r="L122" i="19"/>
  <c r="M122" i="19" s="1"/>
  <c r="I122" i="19" s="1"/>
  <c r="J122" i="19" a="1"/>
  <c r="J122" i="19" s="1"/>
  <c r="G122" i="19"/>
  <c r="L121" i="19"/>
  <c r="M121" i="19" s="1"/>
  <c r="I121" i="19" s="1"/>
  <c r="J121" i="19" a="1"/>
  <c r="J121" i="19" s="1"/>
  <c r="G121" i="19"/>
  <c r="L120" i="19"/>
  <c r="M120" i="19" s="1"/>
  <c r="I120" i="19" s="1"/>
  <c r="J120" i="19" a="1"/>
  <c r="J120" i="19" s="1"/>
  <c r="G120" i="19"/>
  <c r="L119" i="19"/>
  <c r="M119" i="19" s="1"/>
  <c r="I119" i="19" s="1"/>
  <c r="J119" i="19" a="1"/>
  <c r="J119" i="19" s="1"/>
  <c r="G119" i="19"/>
  <c r="J118" i="19" a="1"/>
  <c r="J118" i="19" s="1"/>
  <c r="F118" i="19"/>
  <c r="E118" i="19"/>
  <c r="D118" i="19"/>
  <c r="C118" i="19"/>
  <c r="L117" i="19"/>
  <c r="M117" i="19" s="1"/>
  <c r="I117" i="19" s="1"/>
  <c r="J117" i="19" a="1"/>
  <c r="J117" i="19" s="1"/>
  <c r="H117" i="19"/>
  <c r="G117" i="19"/>
  <c r="L116" i="19"/>
  <c r="H116" i="19" s="1"/>
  <c r="J116" i="19" a="1"/>
  <c r="J116" i="19" s="1"/>
  <c r="G116" i="19"/>
  <c r="L115" i="19"/>
  <c r="M115" i="19" s="1"/>
  <c r="I115" i="19" s="1"/>
  <c r="J115" i="19" a="1"/>
  <c r="J115" i="19" s="1"/>
  <c r="G115" i="19"/>
  <c r="L114" i="19"/>
  <c r="H114" i="19" s="1"/>
  <c r="J114" i="19" a="1"/>
  <c r="J114" i="19" s="1"/>
  <c r="G114" i="19"/>
  <c r="L113" i="19"/>
  <c r="H113" i="19" s="1"/>
  <c r="J113" i="19" a="1"/>
  <c r="J113" i="19" s="1"/>
  <c r="G113" i="19"/>
  <c r="L112" i="19"/>
  <c r="M112" i="19" s="1"/>
  <c r="I112" i="19" s="1"/>
  <c r="J112" i="19" a="1"/>
  <c r="J112" i="19" s="1"/>
  <c r="H112" i="19"/>
  <c r="G112" i="19"/>
  <c r="J111" i="19" a="1"/>
  <c r="J111" i="19" s="1"/>
  <c r="J110" i="19" a="1"/>
  <c r="J110" i="19" s="1"/>
  <c r="F110" i="19"/>
  <c r="E110" i="19"/>
  <c r="D110" i="19"/>
  <c r="C110" i="19"/>
  <c r="L109" i="19"/>
  <c r="M109" i="19" s="1"/>
  <c r="I109" i="19" s="1"/>
  <c r="J109" i="19" a="1"/>
  <c r="J109" i="19" s="1"/>
  <c r="G109" i="19"/>
  <c r="L108" i="19"/>
  <c r="M108" i="19" s="1"/>
  <c r="I108" i="19" s="1"/>
  <c r="J108" i="19" a="1"/>
  <c r="J108" i="19" s="1"/>
  <c r="G108" i="19"/>
  <c r="L107" i="19"/>
  <c r="H107" i="19" s="1"/>
  <c r="J107" i="19" a="1"/>
  <c r="J107" i="19" s="1"/>
  <c r="G107" i="19"/>
  <c r="L106" i="19"/>
  <c r="M106" i="19" s="1"/>
  <c r="I106" i="19" s="1"/>
  <c r="J106" i="19" a="1"/>
  <c r="J106" i="19" s="1"/>
  <c r="G106" i="19"/>
  <c r="L105" i="19"/>
  <c r="H105" i="19" s="1"/>
  <c r="J105" i="19" a="1"/>
  <c r="J105" i="19" s="1"/>
  <c r="G105" i="19"/>
  <c r="L104" i="19"/>
  <c r="M104" i="19" s="1"/>
  <c r="I104" i="19" s="1"/>
  <c r="J104" i="19" a="1"/>
  <c r="J104" i="19" s="1"/>
  <c r="G104" i="19"/>
  <c r="L103" i="19"/>
  <c r="H103" i="19" s="1"/>
  <c r="J103" i="19" a="1"/>
  <c r="J103" i="19" s="1"/>
  <c r="G103" i="19"/>
  <c r="L102" i="19"/>
  <c r="M102" i="19" s="1"/>
  <c r="I102" i="19" s="1"/>
  <c r="J102" i="19" a="1"/>
  <c r="J102" i="19" s="1"/>
  <c r="G102" i="19"/>
  <c r="L101" i="19"/>
  <c r="M101" i="19" s="1"/>
  <c r="I101" i="19" s="1"/>
  <c r="J101" i="19" a="1"/>
  <c r="J101" i="19" s="1"/>
  <c r="G101" i="19"/>
  <c r="L100" i="19"/>
  <c r="H100" i="19" s="1"/>
  <c r="J100" i="19" a="1"/>
  <c r="J100" i="19" s="1"/>
  <c r="G100" i="19"/>
  <c r="L99" i="19"/>
  <c r="M99" i="19" s="1"/>
  <c r="I99" i="19" s="1"/>
  <c r="J99" i="19" a="1"/>
  <c r="J99" i="19" s="1"/>
  <c r="G99" i="19"/>
  <c r="L98" i="19"/>
  <c r="H98" i="19" s="1"/>
  <c r="J98" i="19" a="1"/>
  <c r="J98" i="19" s="1"/>
  <c r="G98" i="19"/>
  <c r="L97" i="19"/>
  <c r="M97" i="19" s="1"/>
  <c r="I97" i="19" s="1"/>
  <c r="J97" i="19" a="1"/>
  <c r="J97" i="19" s="1"/>
  <c r="G97" i="19"/>
  <c r="J96" i="19" a="1"/>
  <c r="J96" i="19" s="1"/>
  <c r="F96" i="19"/>
  <c r="D96" i="19"/>
  <c r="C96" i="19"/>
  <c r="L95" i="19"/>
  <c r="M95" i="19" s="1"/>
  <c r="I95" i="19" s="1"/>
  <c r="J95" i="19" a="1"/>
  <c r="J95" i="19" s="1"/>
  <c r="G95" i="19"/>
  <c r="L94" i="19"/>
  <c r="H94" i="19" s="1"/>
  <c r="J94" i="19" a="1"/>
  <c r="J94" i="19" s="1"/>
  <c r="G94" i="19"/>
  <c r="L93" i="19"/>
  <c r="M93" i="19" s="1"/>
  <c r="I93" i="19" s="1"/>
  <c r="J93" i="19" a="1"/>
  <c r="J93" i="19" s="1"/>
  <c r="G93" i="19"/>
  <c r="L92" i="19"/>
  <c r="H92" i="19" s="1"/>
  <c r="J92" i="19" a="1"/>
  <c r="J92" i="19" s="1"/>
  <c r="G92" i="19"/>
  <c r="L91" i="19"/>
  <c r="H91" i="19" s="1"/>
  <c r="J91" i="19" a="1"/>
  <c r="J91" i="19" s="1"/>
  <c r="G91" i="19"/>
  <c r="L90" i="19"/>
  <c r="M90" i="19" s="1"/>
  <c r="I90" i="19" s="1"/>
  <c r="J90" i="19" a="1"/>
  <c r="J90" i="19" s="1"/>
  <c r="G90" i="19"/>
  <c r="L89" i="19"/>
  <c r="H89" i="19" s="1"/>
  <c r="J89" i="19" a="1"/>
  <c r="J89" i="19" s="1"/>
  <c r="G89" i="19"/>
  <c r="L88" i="19"/>
  <c r="M88" i="19" s="1"/>
  <c r="I88" i="19" s="1"/>
  <c r="J88" i="19" a="1"/>
  <c r="J88" i="19" s="1"/>
  <c r="G88" i="19"/>
  <c r="L87" i="19"/>
  <c r="H87" i="19" s="1"/>
  <c r="J87" i="19" a="1"/>
  <c r="J87" i="19" s="1"/>
  <c r="G87" i="19"/>
  <c r="L86" i="19"/>
  <c r="M86" i="19" s="1"/>
  <c r="I86" i="19" s="1"/>
  <c r="J86" i="19" a="1"/>
  <c r="J86" i="19" s="1"/>
  <c r="G86" i="19"/>
  <c r="L85" i="19"/>
  <c r="H85" i="19" s="1"/>
  <c r="J85" i="19" a="1"/>
  <c r="J85" i="19" s="1"/>
  <c r="G85" i="19"/>
  <c r="L84" i="19"/>
  <c r="M84" i="19" s="1"/>
  <c r="I84" i="19" s="1"/>
  <c r="J84" i="19" a="1"/>
  <c r="J84" i="19" s="1"/>
  <c r="G84" i="19"/>
  <c r="L83" i="19"/>
  <c r="M83" i="19" s="1"/>
  <c r="I83" i="19" s="1"/>
  <c r="J83" i="19" a="1"/>
  <c r="J83" i="19" s="1"/>
  <c r="G83" i="19"/>
  <c r="J82" i="19" a="1"/>
  <c r="J82" i="19" s="1"/>
  <c r="F82" i="19"/>
  <c r="E82" i="19"/>
  <c r="D82" i="19"/>
  <c r="C82" i="19"/>
  <c r="L81" i="19"/>
  <c r="H81" i="19" s="1"/>
  <c r="J81" i="19" a="1"/>
  <c r="J81" i="19" s="1"/>
  <c r="G81" i="19"/>
  <c r="L80" i="19"/>
  <c r="M80" i="19" s="1"/>
  <c r="I80" i="19" s="1"/>
  <c r="J80" i="19" a="1"/>
  <c r="J80" i="19" s="1"/>
  <c r="G80" i="19"/>
  <c r="L79" i="19"/>
  <c r="M79" i="19" s="1"/>
  <c r="I79" i="19" s="1"/>
  <c r="J79" i="19" a="1"/>
  <c r="J79" i="19" s="1"/>
  <c r="G79" i="19"/>
  <c r="L78" i="19"/>
  <c r="M78" i="19" s="1"/>
  <c r="I78" i="19" s="1"/>
  <c r="J78" i="19" a="1"/>
  <c r="J78" i="19" s="1"/>
  <c r="G78" i="19"/>
  <c r="L77" i="19"/>
  <c r="M77" i="19" s="1"/>
  <c r="I77" i="19" s="1"/>
  <c r="J77" i="19" a="1"/>
  <c r="J77" i="19" s="1"/>
  <c r="H77" i="19"/>
  <c r="G77" i="19"/>
  <c r="L76" i="19"/>
  <c r="H76" i="19" s="1"/>
  <c r="J76" i="19" a="1"/>
  <c r="J76" i="19" s="1"/>
  <c r="G76" i="19"/>
  <c r="L75" i="19"/>
  <c r="M75" i="19" s="1"/>
  <c r="I75" i="19" s="1"/>
  <c r="J75" i="19" a="1"/>
  <c r="J75" i="19" s="1"/>
  <c r="G75" i="19"/>
  <c r="L74" i="19"/>
  <c r="H74" i="19" s="1"/>
  <c r="J74" i="19" a="1"/>
  <c r="J74" i="19" s="1"/>
  <c r="G74" i="19"/>
  <c r="L73" i="19"/>
  <c r="H73" i="19" s="1"/>
  <c r="J73" i="19" a="1"/>
  <c r="J73" i="19" s="1"/>
  <c r="G73" i="19"/>
  <c r="L72" i="19"/>
  <c r="H72" i="19" s="1"/>
  <c r="J72" i="19" a="1"/>
  <c r="J72" i="19" s="1"/>
  <c r="G72" i="19"/>
  <c r="L71" i="19"/>
  <c r="M71" i="19" s="1"/>
  <c r="I71" i="19" s="1"/>
  <c r="J71" i="19" a="1"/>
  <c r="J71" i="19" s="1"/>
  <c r="G71" i="19"/>
  <c r="L70" i="19"/>
  <c r="M70" i="19" s="1"/>
  <c r="I70" i="19" s="1"/>
  <c r="J70" i="19" a="1"/>
  <c r="J70" i="19" s="1"/>
  <c r="G70" i="19"/>
  <c r="L69" i="19"/>
  <c r="H69" i="19" s="1"/>
  <c r="J69" i="19" a="1"/>
  <c r="J69" i="19" s="1"/>
  <c r="G69" i="19"/>
  <c r="L68" i="19"/>
  <c r="M68" i="19" s="1"/>
  <c r="I68" i="19" s="1"/>
  <c r="J68" i="19" a="1"/>
  <c r="J68" i="19" s="1"/>
  <c r="G68" i="19"/>
  <c r="L67" i="19"/>
  <c r="M67" i="19" s="1"/>
  <c r="I67" i="19" s="1"/>
  <c r="J67" i="19" a="1"/>
  <c r="J67" i="19" s="1"/>
  <c r="G67" i="19"/>
  <c r="L66" i="19"/>
  <c r="M66" i="19" s="1"/>
  <c r="I66" i="19" s="1"/>
  <c r="J66" i="19" a="1"/>
  <c r="J66" i="19" s="1"/>
  <c r="G66" i="19"/>
  <c r="J65" i="19" a="1"/>
  <c r="J65" i="19" s="1"/>
  <c r="F65" i="19"/>
  <c r="E65" i="19"/>
  <c r="D65" i="19"/>
  <c r="C65" i="19"/>
  <c r="L64" i="19"/>
  <c r="M64" i="19" s="1"/>
  <c r="I64" i="19" s="1"/>
  <c r="J64" i="19" a="1"/>
  <c r="J64" i="19" s="1"/>
  <c r="G64" i="19"/>
  <c r="L63" i="19"/>
  <c r="M63" i="19" s="1"/>
  <c r="I63" i="19" s="1"/>
  <c r="J63" i="19" a="1"/>
  <c r="J63" i="19" s="1"/>
  <c r="G63" i="19"/>
  <c r="J62" i="19" a="1"/>
  <c r="J62" i="19" s="1"/>
  <c r="J61" i="19" a="1"/>
  <c r="J61" i="19" s="1"/>
  <c r="F61" i="19"/>
  <c r="E61" i="19"/>
  <c r="D61" i="19"/>
  <c r="C61" i="19"/>
  <c r="L60" i="19"/>
  <c r="H60" i="19" s="1"/>
  <c r="J60" i="19" a="1"/>
  <c r="J60" i="19" s="1"/>
  <c r="G60" i="19"/>
  <c r="L59" i="19"/>
  <c r="H59" i="19" s="1"/>
  <c r="J59" i="19" a="1"/>
  <c r="J59" i="19" s="1"/>
  <c r="G59" i="19"/>
  <c r="L58" i="19"/>
  <c r="M58" i="19" s="1"/>
  <c r="I58" i="19" s="1"/>
  <c r="J58" i="19" a="1"/>
  <c r="J58" i="19" s="1"/>
  <c r="G58" i="19"/>
  <c r="L57" i="19"/>
  <c r="H57" i="19" s="1"/>
  <c r="J57" i="19" a="1"/>
  <c r="J57" i="19" s="1"/>
  <c r="G57" i="19"/>
  <c r="L56" i="19"/>
  <c r="M56" i="19" s="1"/>
  <c r="I56" i="19" s="1"/>
  <c r="J56" i="19" a="1"/>
  <c r="J56" i="19" s="1"/>
  <c r="G56" i="19"/>
  <c r="L55" i="19"/>
  <c r="H55" i="19" s="1"/>
  <c r="J55" i="19" a="1"/>
  <c r="J55" i="19" s="1"/>
  <c r="G55" i="19"/>
  <c r="L54" i="19"/>
  <c r="M54" i="19" s="1"/>
  <c r="I54" i="19" s="1"/>
  <c r="J54" i="19" a="1"/>
  <c r="J54" i="19" s="1"/>
  <c r="G54" i="19"/>
  <c r="L53" i="19"/>
  <c r="H53" i="19" s="1"/>
  <c r="J53" i="19" a="1"/>
  <c r="J53" i="19" s="1"/>
  <c r="G53" i="19"/>
  <c r="L52" i="19"/>
  <c r="M52" i="19" s="1"/>
  <c r="I52" i="19" s="1"/>
  <c r="J52" i="19" a="1"/>
  <c r="J52" i="19" s="1"/>
  <c r="G52" i="19"/>
  <c r="L51" i="19"/>
  <c r="M51" i="19" s="1"/>
  <c r="I51" i="19" s="1"/>
  <c r="J51" i="19" a="1"/>
  <c r="J51" i="19" s="1"/>
  <c r="G51" i="19"/>
  <c r="L50" i="19"/>
  <c r="H50" i="19" s="1"/>
  <c r="J50" i="19" a="1"/>
  <c r="J50" i="19" s="1"/>
  <c r="G50" i="19"/>
  <c r="L49" i="19"/>
  <c r="M49" i="19" s="1"/>
  <c r="I49" i="19" s="1"/>
  <c r="J49" i="19" a="1"/>
  <c r="J49" i="19" s="1"/>
  <c r="G49" i="19"/>
  <c r="L48" i="19"/>
  <c r="M48" i="19" s="1"/>
  <c r="I48" i="19" s="1"/>
  <c r="J48" i="19" a="1"/>
  <c r="J48" i="19" s="1"/>
  <c r="G48" i="19"/>
  <c r="L47" i="19"/>
  <c r="H47" i="19" s="1"/>
  <c r="J47" i="19" a="1"/>
  <c r="J47" i="19" s="1"/>
  <c r="G47" i="19"/>
  <c r="L46" i="19"/>
  <c r="H46" i="19" s="1"/>
  <c r="J46" i="19" a="1"/>
  <c r="J46" i="19" s="1"/>
  <c r="G46" i="19"/>
  <c r="L45" i="19"/>
  <c r="H45" i="19" s="1"/>
  <c r="J45" i="19" a="1"/>
  <c r="J45" i="19" s="1"/>
  <c r="G45" i="19"/>
  <c r="L44" i="19"/>
  <c r="H44" i="19" s="1"/>
  <c r="J44" i="19" a="1"/>
  <c r="J44" i="19" s="1"/>
  <c r="G44" i="19"/>
  <c r="L43" i="19"/>
  <c r="M43" i="19" s="1"/>
  <c r="I43" i="19" s="1"/>
  <c r="J43" i="19" a="1"/>
  <c r="J43" i="19" s="1"/>
  <c r="G43" i="19"/>
  <c r="J42" i="19" a="1"/>
  <c r="J42" i="19" s="1"/>
  <c r="F42" i="19"/>
  <c r="E42" i="19"/>
  <c r="L41" i="19"/>
  <c r="M41" i="19" s="1"/>
  <c r="I41" i="19" s="1"/>
  <c r="J41" i="19" a="1"/>
  <c r="J41" i="19" s="1"/>
  <c r="G41" i="19"/>
  <c r="L40" i="19"/>
  <c r="H40" i="19" s="1"/>
  <c r="J40" i="19" a="1"/>
  <c r="J40" i="19" s="1"/>
  <c r="G40" i="19"/>
  <c r="L39" i="19"/>
  <c r="M39" i="19" s="1"/>
  <c r="I39" i="19" s="1"/>
  <c r="J39" i="19" a="1"/>
  <c r="J39" i="19" s="1"/>
  <c r="G39" i="19"/>
  <c r="L38" i="19"/>
  <c r="M38" i="19" s="1"/>
  <c r="I38" i="19" s="1"/>
  <c r="J38" i="19" a="1"/>
  <c r="J38" i="19" s="1"/>
  <c r="G38" i="19"/>
  <c r="L37" i="19"/>
  <c r="H37" i="19" s="1"/>
  <c r="J37" i="19" a="1"/>
  <c r="J37" i="19" s="1"/>
  <c r="G37" i="19"/>
  <c r="L36" i="19"/>
  <c r="M36" i="19" s="1"/>
  <c r="I36" i="19" s="1"/>
  <c r="J36" i="19" a="1"/>
  <c r="J36" i="19" s="1"/>
  <c r="G36" i="19"/>
  <c r="L35" i="19"/>
  <c r="H35" i="19" s="1"/>
  <c r="J35" i="19" a="1"/>
  <c r="J35" i="19" s="1"/>
  <c r="G35" i="19"/>
  <c r="L30" i="19"/>
  <c r="M30" i="19" s="1"/>
  <c r="I30" i="19" s="1"/>
  <c r="J30" i="19" a="1"/>
  <c r="J30" i="19" s="1"/>
  <c r="G30" i="19"/>
  <c r="L29" i="19"/>
  <c r="H29" i="19" s="1"/>
  <c r="J29" i="19" a="1"/>
  <c r="J29" i="19" s="1"/>
  <c r="G29" i="19"/>
  <c r="L28" i="19"/>
  <c r="M28" i="19" s="1"/>
  <c r="I28" i="19" s="1"/>
  <c r="J28" i="19" a="1"/>
  <c r="J28" i="19" s="1"/>
  <c r="G28" i="19"/>
  <c r="L27" i="19"/>
  <c r="M27" i="19" s="1"/>
  <c r="I27" i="19" s="1"/>
  <c r="J27" i="19" a="1"/>
  <c r="J27" i="19" s="1"/>
  <c r="G27" i="19"/>
  <c r="J26" i="19" a="1"/>
  <c r="J26" i="19" s="1"/>
  <c r="F26" i="19"/>
  <c r="E26" i="19"/>
  <c r="D26" i="19"/>
  <c r="C26" i="19"/>
  <c r="L25" i="19"/>
  <c r="M25" i="19" s="1"/>
  <c r="I25" i="19" s="1"/>
  <c r="J25" i="19" a="1"/>
  <c r="J25" i="19" s="1"/>
  <c r="G25" i="19"/>
  <c r="L24" i="19"/>
  <c r="M24" i="19" s="1"/>
  <c r="I24" i="19" s="1"/>
  <c r="J24" i="19" a="1"/>
  <c r="J24" i="19" s="1"/>
  <c r="G24" i="19"/>
  <c r="L23" i="19"/>
  <c r="M23" i="19" s="1"/>
  <c r="I23" i="19" s="1"/>
  <c r="J23" i="19" a="1"/>
  <c r="J23" i="19" s="1"/>
  <c r="H23" i="19"/>
  <c r="G23" i="19"/>
  <c r="L22" i="19"/>
  <c r="M22" i="19" s="1"/>
  <c r="I22" i="19" s="1"/>
  <c r="J22" i="19" a="1"/>
  <c r="J22" i="19" s="1"/>
  <c r="G22" i="19"/>
  <c r="J21" i="19" a="1"/>
  <c r="J21" i="19" s="1"/>
  <c r="J20" i="19" a="1"/>
  <c r="J20" i="19" s="1"/>
  <c r="F20" i="19"/>
  <c r="E20" i="19"/>
  <c r="E5" i="19" s="1"/>
  <c r="D20" i="19"/>
  <c r="D5" i="19" s="1"/>
  <c r="C20" i="19"/>
  <c r="C5" i="19" s="1"/>
  <c r="L19" i="19"/>
  <c r="M19" i="19" s="1"/>
  <c r="I19" i="19" s="1"/>
  <c r="J19" i="19" a="1"/>
  <c r="J19" i="19" s="1"/>
  <c r="L18" i="19"/>
  <c r="M18" i="19" s="1"/>
  <c r="I18" i="19" s="1"/>
  <c r="J18" i="19" a="1"/>
  <c r="J18" i="19" s="1"/>
  <c r="G18" i="19"/>
  <c r="L17" i="19"/>
  <c r="H17" i="19" s="1"/>
  <c r="J17" i="19" a="1"/>
  <c r="J17" i="19" s="1"/>
  <c r="G17" i="19"/>
  <c r="L16" i="19"/>
  <c r="M16" i="19" s="1"/>
  <c r="I16" i="19" s="1"/>
  <c r="J16" i="19" a="1"/>
  <c r="J16" i="19" s="1"/>
  <c r="G16" i="19"/>
  <c r="L15" i="19"/>
  <c r="H15" i="19" s="1"/>
  <c r="J15" i="19" a="1"/>
  <c r="J15" i="19" s="1"/>
  <c r="G15" i="19"/>
  <c r="L14" i="19"/>
  <c r="M14" i="19" s="1"/>
  <c r="I14" i="19" s="1"/>
  <c r="J14" i="19" a="1"/>
  <c r="J14" i="19" s="1"/>
  <c r="H14" i="19"/>
  <c r="G14" i="19"/>
  <c r="L13" i="19"/>
  <c r="H13" i="19" s="1"/>
  <c r="J13" i="19" a="1"/>
  <c r="J13" i="19" s="1"/>
  <c r="G13" i="19"/>
  <c r="L12" i="19"/>
  <c r="M12" i="19" s="1"/>
  <c r="I12" i="19" s="1"/>
  <c r="J12" i="19" a="1"/>
  <c r="J12" i="19" s="1"/>
  <c r="G12" i="19"/>
  <c r="L11" i="19"/>
  <c r="M11" i="19" s="1"/>
  <c r="I11" i="19" s="1"/>
  <c r="J11" i="19" a="1"/>
  <c r="J11" i="19" s="1"/>
  <c r="G11" i="19"/>
  <c r="L10" i="19"/>
  <c r="M10" i="19" s="1"/>
  <c r="I10" i="19" s="1"/>
  <c r="J10" i="19" a="1"/>
  <c r="J10" i="19" s="1"/>
  <c r="G10" i="19"/>
  <c r="L9" i="19"/>
  <c r="M9" i="19" s="1"/>
  <c r="I9" i="19" s="1"/>
  <c r="J9" i="19" a="1"/>
  <c r="J9" i="19" s="1"/>
  <c r="H9" i="19"/>
  <c r="G9" i="19"/>
  <c r="L8" i="19"/>
  <c r="H8" i="19" s="1"/>
  <c r="J8" i="19" a="1"/>
  <c r="J8" i="19" s="1"/>
  <c r="G8" i="19"/>
  <c r="L7" i="19"/>
  <c r="M7" i="19" s="1"/>
  <c r="I7" i="19" s="1"/>
  <c r="J7" i="19" a="1"/>
  <c r="J7" i="19" s="1"/>
  <c r="G7" i="19"/>
  <c r="L6" i="19"/>
  <c r="H6" i="19" s="1"/>
  <c r="J6" i="19" a="1"/>
  <c r="J6" i="19" s="1"/>
  <c r="G6" i="19"/>
  <c r="I4" i="19"/>
  <c r="H4" i="19"/>
  <c r="L2" i="19"/>
  <c r="M2" i="19" s="1"/>
  <c r="H2" i="19" s="1"/>
  <c r="G305" i="19" s="1"/>
  <c r="G262" i="18"/>
  <c r="J262" i="18" a="1"/>
  <c r="J262" i="18" s="1"/>
  <c r="L262" i="18"/>
  <c r="H262" i="18" s="1"/>
  <c r="M262" i="18"/>
  <c r="I262" i="18" s="1"/>
  <c r="G263" i="18"/>
  <c r="J263" i="18" a="1"/>
  <c r="J263" i="18"/>
  <c r="L263" i="18"/>
  <c r="H263" i="18" s="1"/>
  <c r="G264" i="18"/>
  <c r="J264" i="18" a="1"/>
  <c r="J264" i="18" s="1"/>
  <c r="L264" i="18"/>
  <c r="M264" i="18" s="1"/>
  <c r="I264" i="18" s="1"/>
  <c r="C271" i="18"/>
  <c r="D271" i="18"/>
  <c r="A302" i="18"/>
  <c r="E300" i="18"/>
  <c r="D300" i="18"/>
  <c r="C300" i="18"/>
  <c r="G299" i="18"/>
  <c r="F299" i="18"/>
  <c r="G298" i="18"/>
  <c r="F298" i="18"/>
  <c r="G297" i="18"/>
  <c r="F297" i="18"/>
  <c r="G296" i="18"/>
  <c r="F296" i="18"/>
  <c r="G295" i="18"/>
  <c r="F295" i="18"/>
  <c r="G294" i="18"/>
  <c r="F294" i="18"/>
  <c r="G293" i="18"/>
  <c r="F293" i="18"/>
  <c r="G292" i="18"/>
  <c r="F292" i="18"/>
  <c r="G291" i="18"/>
  <c r="F291" i="18"/>
  <c r="G290" i="18"/>
  <c r="F290" i="18"/>
  <c r="G289" i="18"/>
  <c r="F289" i="18"/>
  <c r="G288" i="18"/>
  <c r="F288" i="18"/>
  <c r="G287" i="18"/>
  <c r="F287" i="18"/>
  <c r="G286" i="18"/>
  <c r="F286" i="18"/>
  <c r="G285" i="18"/>
  <c r="F285" i="18"/>
  <c r="G284" i="18"/>
  <c r="F284" i="18"/>
  <c r="G283" i="18"/>
  <c r="F283" i="18"/>
  <c r="G282" i="18"/>
  <c r="F282" i="18"/>
  <c r="G281" i="18"/>
  <c r="F281" i="18"/>
  <c r="G280" i="18"/>
  <c r="F280" i="18"/>
  <c r="G279" i="18"/>
  <c r="F279" i="18"/>
  <c r="G278" i="18"/>
  <c r="F278" i="18"/>
  <c r="G277" i="18"/>
  <c r="F277" i="18"/>
  <c r="F271" i="18"/>
  <c r="F257" i="18" s="1"/>
  <c r="E271" i="18"/>
  <c r="E257" i="18" s="1"/>
  <c r="D257" i="18"/>
  <c r="L270" i="18"/>
  <c r="M270" i="18" s="1"/>
  <c r="I270" i="18" s="1"/>
  <c r="J270" i="18" a="1"/>
  <c r="J270" i="18" s="1"/>
  <c r="H270" i="18"/>
  <c r="G270" i="18"/>
  <c r="L269" i="18"/>
  <c r="H269" i="18" s="1"/>
  <c r="J269" i="18" a="1"/>
  <c r="J269" i="18" s="1"/>
  <c r="G269" i="18"/>
  <c r="L268" i="18"/>
  <c r="M268" i="18" s="1"/>
  <c r="I268" i="18" s="1"/>
  <c r="J268" i="18" a="1"/>
  <c r="J268" i="18" s="1"/>
  <c r="G268" i="18"/>
  <c r="L267" i="18"/>
  <c r="M267" i="18" s="1"/>
  <c r="I267" i="18" s="1"/>
  <c r="J267" i="18" a="1"/>
  <c r="J267" i="18" s="1"/>
  <c r="G267" i="18"/>
  <c r="L266" i="18"/>
  <c r="M266" i="18" s="1"/>
  <c r="I266" i="18" s="1"/>
  <c r="J266" i="18" a="1"/>
  <c r="J266" i="18" s="1"/>
  <c r="H266" i="18"/>
  <c r="G266" i="18"/>
  <c r="L265" i="18"/>
  <c r="H265" i="18" s="1"/>
  <c r="J265" i="18" a="1"/>
  <c r="J265" i="18" s="1"/>
  <c r="G265" i="18"/>
  <c r="L261" i="18"/>
  <c r="H261" i="18" s="1"/>
  <c r="J261" i="18" a="1"/>
  <c r="J261" i="18" s="1"/>
  <c r="G261" i="18"/>
  <c r="L260" i="18"/>
  <c r="M260" i="18" s="1"/>
  <c r="I260" i="18" s="1"/>
  <c r="J260" i="18" a="1"/>
  <c r="J260" i="18" s="1"/>
  <c r="G260" i="18"/>
  <c r="L259" i="18"/>
  <c r="M259" i="18" s="1"/>
  <c r="I259" i="18" s="1"/>
  <c r="J259" i="18" a="1"/>
  <c r="J259" i="18" s="1"/>
  <c r="G259" i="18"/>
  <c r="L258" i="18"/>
  <c r="M258" i="18" s="1"/>
  <c r="I258" i="18" s="1"/>
  <c r="J258" i="18" a="1"/>
  <c r="J258" i="18" s="1"/>
  <c r="G258" i="18"/>
  <c r="J257" i="18" a="1"/>
  <c r="J257" i="18" s="1"/>
  <c r="J256" i="18" a="1"/>
  <c r="J256" i="18" s="1"/>
  <c r="D256" i="18"/>
  <c r="C256" i="18"/>
  <c r="G256" i="18" s="1"/>
  <c r="L255" i="18"/>
  <c r="H255" i="18" s="1"/>
  <c r="J255" i="18" a="1"/>
  <c r="J255" i="18" s="1"/>
  <c r="G255" i="18"/>
  <c r="L254" i="18"/>
  <c r="H254" i="18" s="1"/>
  <c r="J254" i="18" a="1"/>
  <c r="J254" i="18" s="1"/>
  <c r="G254" i="18"/>
  <c r="L253" i="18"/>
  <c r="M253" i="18" s="1"/>
  <c r="I253" i="18" s="1"/>
  <c r="J253" i="18" a="1"/>
  <c r="J253" i="18" s="1"/>
  <c r="H253" i="18"/>
  <c r="G253" i="18"/>
  <c r="J252" i="18" a="1"/>
  <c r="J252" i="18" s="1"/>
  <c r="F252" i="18"/>
  <c r="F241" i="18" s="1"/>
  <c r="E252" i="18"/>
  <c r="E241" i="18" s="1"/>
  <c r="D252" i="18"/>
  <c r="C252" i="18"/>
  <c r="L252" i="18" s="1"/>
  <c r="M252" i="18" s="1"/>
  <c r="I252" i="18" s="1"/>
  <c r="L251" i="18"/>
  <c r="H251" i="18" s="1"/>
  <c r="J251" i="18" a="1"/>
  <c r="J251" i="18" s="1"/>
  <c r="G251" i="18"/>
  <c r="L250" i="18"/>
  <c r="M250" i="18" s="1"/>
  <c r="I250" i="18" s="1"/>
  <c r="J250" i="18" a="1"/>
  <c r="J250" i="18" s="1"/>
  <c r="G250" i="18"/>
  <c r="L248" i="18"/>
  <c r="M248" i="18" s="1"/>
  <c r="I248" i="18" s="1"/>
  <c r="J248" i="18" a="1"/>
  <c r="J248" i="18" s="1"/>
  <c r="H248" i="18"/>
  <c r="G248" i="18"/>
  <c r="L247" i="18"/>
  <c r="H247" i="18" s="1"/>
  <c r="J247" i="18" a="1"/>
  <c r="J247" i="18" s="1"/>
  <c r="G247" i="18"/>
  <c r="L246" i="18"/>
  <c r="M246" i="18" s="1"/>
  <c r="I246" i="18" s="1"/>
  <c r="J246" i="18" a="1"/>
  <c r="J246" i="18" s="1"/>
  <c r="G246" i="18"/>
  <c r="L245" i="18"/>
  <c r="M245" i="18" s="1"/>
  <c r="I245" i="18" s="1"/>
  <c r="J245" i="18" a="1"/>
  <c r="J245" i="18" s="1"/>
  <c r="H245" i="18"/>
  <c r="G245" i="18"/>
  <c r="J244" i="18" a="1"/>
  <c r="J244" i="18" s="1"/>
  <c r="C244" i="18"/>
  <c r="G244" i="18" s="1"/>
  <c r="L243" i="18"/>
  <c r="H243" i="18" s="1"/>
  <c r="J243" i="18" a="1"/>
  <c r="J243" i="18" s="1"/>
  <c r="G243" i="18"/>
  <c r="L242" i="18"/>
  <c r="M242" i="18" s="1"/>
  <c r="I242" i="18" s="1"/>
  <c r="J242" i="18" a="1"/>
  <c r="J242" i="18" s="1"/>
  <c r="H242" i="18"/>
  <c r="G242" i="18"/>
  <c r="J241" i="18" a="1"/>
  <c r="J241" i="18" s="1"/>
  <c r="J240" i="18" a="1"/>
  <c r="J240" i="18" s="1"/>
  <c r="F240" i="18"/>
  <c r="F226" i="18" s="1"/>
  <c r="E240" i="18"/>
  <c r="D240" i="18"/>
  <c r="C240" i="18"/>
  <c r="C226" i="18" s="1"/>
  <c r="G226" i="18" s="1"/>
  <c r="L239" i="18"/>
  <c r="M239" i="18" s="1"/>
  <c r="I239" i="18" s="1"/>
  <c r="J239" i="18" a="1"/>
  <c r="J239" i="18" s="1"/>
  <c r="G239" i="18"/>
  <c r="L238" i="18"/>
  <c r="M238" i="18" s="1"/>
  <c r="I238" i="18" s="1"/>
  <c r="J238" i="18" a="1"/>
  <c r="J238" i="18" s="1"/>
  <c r="G238" i="18"/>
  <c r="L237" i="18"/>
  <c r="M237" i="18" s="1"/>
  <c r="I237" i="18" s="1"/>
  <c r="J237" i="18" a="1"/>
  <c r="J237" i="18" s="1"/>
  <c r="H237" i="18"/>
  <c r="G237" i="18"/>
  <c r="L236" i="18"/>
  <c r="H236" i="18" s="1"/>
  <c r="J236" i="18" a="1"/>
  <c r="J236" i="18" s="1"/>
  <c r="G236" i="18"/>
  <c r="L235" i="18"/>
  <c r="H235" i="18" s="1"/>
  <c r="J235" i="18" a="1"/>
  <c r="J235" i="18" s="1"/>
  <c r="G235" i="18"/>
  <c r="L234" i="18"/>
  <c r="M234" i="18" s="1"/>
  <c r="I234" i="18" s="1"/>
  <c r="J234" i="18" a="1"/>
  <c r="J234" i="18" s="1"/>
  <c r="G234" i="18"/>
  <c r="L233" i="18"/>
  <c r="M233" i="18" s="1"/>
  <c r="I233" i="18" s="1"/>
  <c r="J233" i="18" a="1"/>
  <c r="J233" i="18" s="1"/>
  <c r="G233" i="18"/>
  <c r="L232" i="18"/>
  <c r="M232" i="18" s="1"/>
  <c r="I232" i="18" s="1"/>
  <c r="J232" i="18" a="1"/>
  <c r="J232" i="18" s="1"/>
  <c r="G232" i="18"/>
  <c r="L231" i="18"/>
  <c r="M231" i="18" s="1"/>
  <c r="I231" i="18" s="1"/>
  <c r="J231" i="18" a="1"/>
  <c r="J231" i="18" s="1"/>
  <c r="G231" i="18"/>
  <c r="L230" i="18"/>
  <c r="M230" i="18" s="1"/>
  <c r="I230" i="18" s="1"/>
  <c r="J230" i="18" a="1"/>
  <c r="J230" i="18" s="1"/>
  <c r="H230" i="18"/>
  <c r="G230" i="18"/>
  <c r="L229" i="18"/>
  <c r="H229" i="18" s="1"/>
  <c r="J229" i="18" a="1"/>
  <c r="J229" i="18" s="1"/>
  <c r="G229" i="18"/>
  <c r="L228" i="18"/>
  <c r="H228" i="18" s="1"/>
  <c r="J228" i="18" a="1"/>
  <c r="J228" i="18" s="1"/>
  <c r="G228" i="18"/>
  <c r="L227" i="18"/>
  <c r="M227" i="18" s="1"/>
  <c r="I227" i="18" s="1"/>
  <c r="J227" i="18" a="1"/>
  <c r="J227" i="18" s="1"/>
  <c r="G227" i="18"/>
  <c r="J226" i="18" a="1"/>
  <c r="J226" i="18" s="1"/>
  <c r="J225" i="18" a="1"/>
  <c r="J225" i="18" s="1"/>
  <c r="F225" i="18"/>
  <c r="F210" i="18" s="1"/>
  <c r="E225" i="18"/>
  <c r="E210" i="18" s="1"/>
  <c r="D225" i="18"/>
  <c r="D210" i="18" s="1"/>
  <c r="C225" i="18"/>
  <c r="C210" i="18" s="1"/>
  <c r="G210" i="18" s="1"/>
  <c r="L224" i="18"/>
  <c r="M224" i="18" s="1"/>
  <c r="I224" i="18" s="1"/>
  <c r="K224" i="18"/>
  <c r="J224" i="18" a="1"/>
  <c r="J224" i="18" s="1"/>
  <c r="G224" i="18"/>
  <c r="L223" i="18"/>
  <c r="M223" i="18" s="1"/>
  <c r="I223" i="18" s="1"/>
  <c r="J223" i="18" a="1"/>
  <c r="J223" i="18" s="1"/>
  <c r="G223" i="18"/>
  <c r="L222" i="18"/>
  <c r="M222" i="18" s="1"/>
  <c r="I222" i="18" s="1"/>
  <c r="J222" i="18" a="1"/>
  <c r="J222" i="18" s="1"/>
  <c r="H222" i="18"/>
  <c r="G222" i="18"/>
  <c r="L221" i="18"/>
  <c r="M221" i="18" s="1"/>
  <c r="I221" i="18" s="1"/>
  <c r="K221" i="18"/>
  <c r="J221" i="18" a="1"/>
  <c r="J221" i="18" s="1"/>
  <c r="G221" i="18"/>
  <c r="L220" i="18"/>
  <c r="M220" i="18" s="1"/>
  <c r="I220" i="18" s="1"/>
  <c r="J220" i="18" a="1"/>
  <c r="J220" i="18" s="1"/>
  <c r="G220" i="18"/>
  <c r="L219" i="18"/>
  <c r="M219" i="18" s="1"/>
  <c r="I219" i="18" s="1"/>
  <c r="J219" i="18" a="1"/>
  <c r="J219" i="18" s="1"/>
  <c r="G219" i="18"/>
  <c r="L218" i="18"/>
  <c r="H218" i="18" s="1"/>
  <c r="K218" i="18"/>
  <c r="J218" i="18" a="1"/>
  <c r="J218" i="18" s="1"/>
  <c r="G218" i="18"/>
  <c r="L217" i="18"/>
  <c r="M217" i="18" s="1"/>
  <c r="I217" i="18" s="1"/>
  <c r="J217" i="18" a="1"/>
  <c r="J217" i="18" s="1"/>
  <c r="G217" i="18"/>
  <c r="L216" i="18"/>
  <c r="M216" i="18" s="1"/>
  <c r="I216" i="18" s="1"/>
  <c r="J216" i="18" a="1"/>
  <c r="J216" i="18" s="1"/>
  <c r="G216" i="18"/>
  <c r="L215" i="18"/>
  <c r="M215" i="18" s="1"/>
  <c r="I215" i="18" s="1"/>
  <c r="K215" i="18"/>
  <c r="J215" i="18"/>
  <c r="J215" i="18" a="1"/>
  <c r="G215" i="18"/>
  <c r="L214" i="18"/>
  <c r="H214" i="18" s="1"/>
  <c r="J214" i="18" a="1"/>
  <c r="J214" i="18" s="1"/>
  <c r="G214" i="18"/>
  <c r="L213" i="18"/>
  <c r="M213" i="18" s="1"/>
  <c r="I213" i="18" s="1"/>
  <c r="J213" i="18" a="1"/>
  <c r="J213" i="18" s="1"/>
  <c r="H213" i="18"/>
  <c r="G213" i="18"/>
  <c r="L212" i="18"/>
  <c r="M212" i="18" s="1"/>
  <c r="I212" i="18" s="1"/>
  <c r="K212" i="18"/>
  <c r="J212" i="18" a="1"/>
  <c r="J212" i="18" s="1"/>
  <c r="G212" i="18"/>
  <c r="L211" i="18"/>
  <c r="M211" i="18" s="1"/>
  <c r="I211" i="18" s="1"/>
  <c r="K211" i="18"/>
  <c r="J211" i="18" a="1"/>
  <c r="J211" i="18" s="1"/>
  <c r="G211" i="18"/>
  <c r="J210" i="18" a="1"/>
  <c r="J210" i="18" s="1"/>
  <c r="J209" i="18" a="1"/>
  <c r="J209" i="18" s="1"/>
  <c r="F209" i="18"/>
  <c r="E209" i="18"/>
  <c r="D209" i="18"/>
  <c r="C209" i="18"/>
  <c r="C194" i="18" s="1"/>
  <c r="L208" i="18"/>
  <c r="M208" i="18" s="1"/>
  <c r="I208" i="18" s="1"/>
  <c r="J208" i="18" a="1"/>
  <c r="J208" i="18" s="1"/>
  <c r="G208" i="18"/>
  <c r="L207" i="18"/>
  <c r="M207" i="18" s="1"/>
  <c r="I207" i="18" s="1"/>
  <c r="J207" i="18" a="1"/>
  <c r="J207" i="18" s="1"/>
  <c r="H207" i="18"/>
  <c r="G207" i="18"/>
  <c r="L206" i="18"/>
  <c r="M206" i="18" s="1"/>
  <c r="I206" i="18" s="1"/>
  <c r="J206" i="18" a="1"/>
  <c r="J206" i="18" s="1"/>
  <c r="G206" i="18"/>
  <c r="L205" i="18"/>
  <c r="M205" i="18" s="1"/>
  <c r="I205" i="18" s="1"/>
  <c r="J205" i="18" a="1"/>
  <c r="J205" i="18" s="1"/>
  <c r="H205" i="18"/>
  <c r="G205" i="18"/>
  <c r="L204" i="18"/>
  <c r="H204" i="18" s="1"/>
  <c r="J204" i="18" a="1"/>
  <c r="J204" i="18" s="1"/>
  <c r="G204" i="18"/>
  <c r="L203" i="18"/>
  <c r="M203" i="18" s="1"/>
  <c r="I203" i="18" s="1"/>
  <c r="J203" i="18" a="1"/>
  <c r="J203" i="18" s="1"/>
  <c r="H203" i="18"/>
  <c r="G203" i="18"/>
  <c r="L202" i="18"/>
  <c r="H202" i="18" s="1"/>
  <c r="J202" i="18" a="1"/>
  <c r="J202" i="18" s="1"/>
  <c r="G202" i="18"/>
  <c r="L201" i="18"/>
  <c r="H201" i="18" s="1"/>
  <c r="J201" i="18" a="1"/>
  <c r="J201" i="18" s="1"/>
  <c r="G201" i="18"/>
  <c r="L200" i="18"/>
  <c r="M200" i="18" s="1"/>
  <c r="I200" i="18" s="1"/>
  <c r="J200" i="18" a="1"/>
  <c r="J200" i="18" s="1"/>
  <c r="G200" i="18"/>
  <c r="L199" i="18"/>
  <c r="M199" i="18" s="1"/>
  <c r="I199" i="18" s="1"/>
  <c r="J199" i="18" a="1"/>
  <c r="J199" i="18" s="1"/>
  <c r="H199" i="18"/>
  <c r="G199" i="18"/>
  <c r="L198" i="18"/>
  <c r="M198" i="18" s="1"/>
  <c r="I198" i="18" s="1"/>
  <c r="J198" i="18" a="1"/>
  <c r="J198" i="18" s="1"/>
  <c r="G198" i="18"/>
  <c r="L197" i="18"/>
  <c r="H197" i="18" s="1"/>
  <c r="J197" i="18" a="1"/>
  <c r="J197" i="18" s="1"/>
  <c r="G197" i="18"/>
  <c r="L196" i="18"/>
  <c r="M196" i="18" s="1"/>
  <c r="I196" i="18" s="1"/>
  <c r="J196" i="18" a="1"/>
  <c r="J196" i="18" s="1"/>
  <c r="H196" i="18"/>
  <c r="G196" i="18"/>
  <c r="L195" i="18"/>
  <c r="H195" i="18" s="1"/>
  <c r="J195" i="18" a="1"/>
  <c r="J195" i="18" s="1"/>
  <c r="G195" i="18"/>
  <c r="J194" i="18" a="1"/>
  <c r="J194" i="18" s="1"/>
  <c r="J193" i="18" a="1"/>
  <c r="J193" i="18" s="1"/>
  <c r="F193" i="18"/>
  <c r="E193" i="18"/>
  <c r="D193" i="18"/>
  <c r="C193" i="18"/>
  <c r="L192" i="18"/>
  <c r="M192" i="18" s="1"/>
  <c r="I192" i="18" s="1"/>
  <c r="J192" i="18" a="1"/>
  <c r="J192" i="18" s="1"/>
  <c r="G192" i="18"/>
  <c r="L191" i="18"/>
  <c r="M191" i="18" s="1"/>
  <c r="I191" i="18" s="1"/>
  <c r="J191" i="18" a="1"/>
  <c r="J191" i="18" s="1"/>
  <c r="G191" i="18"/>
  <c r="L190" i="18"/>
  <c r="M190" i="18" s="1"/>
  <c r="I190" i="18" s="1"/>
  <c r="J190" i="18" a="1"/>
  <c r="J190" i="18" s="1"/>
  <c r="H190" i="18"/>
  <c r="G190" i="18"/>
  <c r="L189" i="18"/>
  <c r="H189" i="18" s="1"/>
  <c r="J189" i="18" a="1"/>
  <c r="J189" i="18" s="1"/>
  <c r="G189" i="18"/>
  <c r="L188" i="18"/>
  <c r="M188" i="18" s="1"/>
  <c r="I188" i="18" s="1"/>
  <c r="J188" i="18" a="1"/>
  <c r="J188" i="18" s="1"/>
  <c r="H188" i="18"/>
  <c r="G188" i="18"/>
  <c r="L187" i="18"/>
  <c r="H187" i="18" s="1"/>
  <c r="J187" i="18" a="1"/>
  <c r="J187" i="18" s="1"/>
  <c r="G187" i="18"/>
  <c r="L186" i="18"/>
  <c r="M186" i="18" s="1"/>
  <c r="I186" i="18" s="1"/>
  <c r="J186" i="18" a="1"/>
  <c r="J186" i="18" s="1"/>
  <c r="G186" i="18"/>
  <c r="L185" i="18"/>
  <c r="M185" i="18" s="1"/>
  <c r="I185" i="18" s="1"/>
  <c r="J185" i="18" a="1"/>
  <c r="J185" i="18" s="1"/>
  <c r="H185" i="18"/>
  <c r="G185" i="18"/>
  <c r="L184" i="18"/>
  <c r="M184" i="18" s="1"/>
  <c r="I184" i="18" s="1"/>
  <c r="J184" i="18" a="1"/>
  <c r="J184" i="18" s="1"/>
  <c r="G184" i="18"/>
  <c r="L183" i="18"/>
  <c r="M183" i="18" s="1"/>
  <c r="I183" i="18" s="1"/>
  <c r="J183" i="18" a="1"/>
  <c r="J183" i="18" s="1"/>
  <c r="G183" i="18"/>
  <c r="L182" i="18"/>
  <c r="M182" i="18" s="1"/>
  <c r="I182" i="18" s="1"/>
  <c r="J182" i="18" a="1"/>
  <c r="J182" i="18" s="1"/>
  <c r="G182" i="18"/>
  <c r="L181" i="18"/>
  <c r="M181" i="18" s="1"/>
  <c r="I181" i="18" s="1"/>
  <c r="J181" i="18" a="1"/>
  <c r="J181" i="18" s="1"/>
  <c r="H181" i="18"/>
  <c r="G181" i="18"/>
  <c r="L180" i="18"/>
  <c r="H180" i="18" s="1"/>
  <c r="J180" i="18" a="1"/>
  <c r="J180" i="18" s="1"/>
  <c r="G180" i="18"/>
  <c r="L179" i="18"/>
  <c r="M179" i="18" s="1"/>
  <c r="I179" i="18" s="1"/>
  <c r="J179" i="18" a="1"/>
  <c r="J179" i="18" s="1"/>
  <c r="G179" i="18"/>
  <c r="J178" i="18" a="1"/>
  <c r="J178" i="18" s="1"/>
  <c r="F178" i="18"/>
  <c r="E178" i="18"/>
  <c r="D178" i="18"/>
  <c r="C178" i="18"/>
  <c r="L177" i="18"/>
  <c r="H177" i="18" s="1"/>
  <c r="J177" i="18" a="1"/>
  <c r="J177" i="18" s="1"/>
  <c r="G177" i="18"/>
  <c r="L176" i="18"/>
  <c r="H176" i="18" s="1"/>
  <c r="J176" i="18" a="1"/>
  <c r="J176" i="18" s="1"/>
  <c r="G176" i="18"/>
  <c r="L175" i="18"/>
  <c r="M175" i="18" s="1"/>
  <c r="I175" i="18" s="1"/>
  <c r="J175" i="18" a="1"/>
  <c r="J175" i="18" s="1"/>
  <c r="G175" i="18"/>
  <c r="L174" i="18"/>
  <c r="H174" i="18" s="1"/>
  <c r="J174" i="18" a="1"/>
  <c r="J174" i="18" s="1"/>
  <c r="G174" i="18"/>
  <c r="L173" i="18"/>
  <c r="H173" i="18" s="1"/>
  <c r="J173" i="18" a="1"/>
  <c r="J173" i="18" s="1"/>
  <c r="G173" i="18"/>
  <c r="L172" i="18"/>
  <c r="M172" i="18" s="1"/>
  <c r="I172" i="18" s="1"/>
  <c r="J172" i="18" a="1"/>
  <c r="J172" i="18" s="1"/>
  <c r="H172" i="18"/>
  <c r="G172" i="18"/>
  <c r="L171" i="18"/>
  <c r="M171" i="18" s="1"/>
  <c r="I171" i="18" s="1"/>
  <c r="J171" i="18" a="1"/>
  <c r="J171" i="18" s="1"/>
  <c r="G171" i="18"/>
  <c r="L170" i="18"/>
  <c r="M170" i="18" s="1"/>
  <c r="I170" i="18" s="1"/>
  <c r="J170" i="18" a="1"/>
  <c r="J170" i="18" s="1"/>
  <c r="G170" i="18"/>
  <c r="L169" i="18"/>
  <c r="H169" i="18" s="1"/>
  <c r="J169" i="18" a="1"/>
  <c r="J169" i="18" s="1"/>
  <c r="G169" i="18"/>
  <c r="L168" i="18"/>
  <c r="M168" i="18" s="1"/>
  <c r="I168" i="18" s="1"/>
  <c r="J168" i="18" a="1"/>
  <c r="J168" i="18" s="1"/>
  <c r="H168" i="18"/>
  <c r="G168" i="18"/>
  <c r="L167" i="18"/>
  <c r="H167" i="18" s="1"/>
  <c r="J167" i="18" a="1"/>
  <c r="J167" i="18" s="1"/>
  <c r="G167" i="18"/>
  <c r="L166" i="18"/>
  <c r="M166" i="18" s="1"/>
  <c r="I166" i="18" s="1"/>
  <c r="J166" i="18" a="1"/>
  <c r="J166" i="18" s="1"/>
  <c r="G166" i="18"/>
  <c r="L165" i="18"/>
  <c r="M165" i="18" s="1"/>
  <c r="I165" i="18" s="1"/>
  <c r="J165" i="18" a="1"/>
  <c r="J165" i="18" s="1"/>
  <c r="G165" i="18"/>
  <c r="L164" i="18"/>
  <c r="M164" i="18" s="1"/>
  <c r="I164" i="18" s="1"/>
  <c r="J164" i="18" a="1"/>
  <c r="J164" i="18" s="1"/>
  <c r="G164" i="18"/>
  <c r="L163" i="18"/>
  <c r="M163" i="18" s="1"/>
  <c r="I163" i="18" s="1"/>
  <c r="J163" i="18" a="1"/>
  <c r="J163" i="18" s="1"/>
  <c r="G163" i="18"/>
  <c r="J162" i="18" a="1"/>
  <c r="J162" i="18" s="1"/>
  <c r="F162" i="18"/>
  <c r="E162" i="18"/>
  <c r="D162" i="18"/>
  <c r="C162" i="18"/>
  <c r="L161" i="18"/>
  <c r="M161" i="18" s="1"/>
  <c r="I161" i="18" s="1"/>
  <c r="J161" i="18" a="1"/>
  <c r="J161" i="18" s="1"/>
  <c r="G161" i="18"/>
  <c r="L160" i="18"/>
  <c r="M160" i="18" s="1"/>
  <c r="I160" i="18" s="1"/>
  <c r="J160" i="18" a="1"/>
  <c r="J160" i="18" s="1"/>
  <c r="H160" i="18"/>
  <c r="G160" i="18"/>
  <c r="L159" i="18"/>
  <c r="M159" i="18" s="1"/>
  <c r="I159" i="18" s="1"/>
  <c r="J159" i="18" a="1"/>
  <c r="J159" i="18" s="1"/>
  <c r="G159" i="18"/>
  <c r="L158" i="18"/>
  <c r="M158" i="18" s="1"/>
  <c r="I158" i="18" s="1"/>
  <c r="J158" i="18" a="1"/>
  <c r="J158" i="18" s="1"/>
  <c r="G158" i="18"/>
  <c r="L157" i="18"/>
  <c r="M157" i="18" s="1"/>
  <c r="I157" i="18" s="1"/>
  <c r="J157" i="18" a="1"/>
  <c r="J157" i="18" s="1"/>
  <c r="G157" i="18"/>
  <c r="L156" i="18"/>
  <c r="H156" i="18" s="1"/>
  <c r="J156" i="18" a="1"/>
  <c r="J156" i="18" s="1"/>
  <c r="G156" i="18"/>
  <c r="L155" i="18"/>
  <c r="M155" i="18" s="1"/>
  <c r="I155" i="18" s="1"/>
  <c r="J155" i="18" a="1"/>
  <c r="J155" i="18" s="1"/>
  <c r="G155" i="18"/>
  <c r="L154" i="18"/>
  <c r="H154" i="18" s="1"/>
  <c r="J154" i="18" a="1"/>
  <c r="J154" i="18" s="1"/>
  <c r="G154" i="18"/>
  <c r="L153" i="18"/>
  <c r="M153" i="18" s="1"/>
  <c r="I153" i="18" s="1"/>
  <c r="J153" i="18" a="1"/>
  <c r="J153" i="18" s="1"/>
  <c r="G153" i="18"/>
  <c r="L152" i="18"/>
  <c r="M152" i="18" s="1"/>
  <c r="I152" i="18" s="1"/>
  <c r="J152" i="18" a="1"/>
  <c r="J152" i="18" s="1"/>
  <c r="G152" i="18"/>
  <c r="L151" i="18"/>
  <c r="M151" i="18" s="1"/>
  <c r="I151" i="18" s="1"/>
  <c r="J151" i="18" a="1"/>
  <c r="J151" i="18" s="1"/>
  <c r="G151" i="18"/>
  <c r="L150" i="18"/>
  <c r="M150" i="18" s="1"/>
  <c r="I150" i="18" s="1"/>
  <c r="J150" i="18" a="1"/>
  <c r="J150" i="18" s="1"/>
  <c r="H150" i="18"/>
  <c r="G150" i="18"/>
  <c r="L149" i="18"/>
  <c r="H149" i="18" s="1"/>
  <c r="J149" i="18" a="1"/>
  <c r="J149" i="18" s="1"/>
  <c r="G149" i="18"/>
  <c r="L148" i="18"/>
  <c r="H148" i="18" s="1"/>
  <c r="J148" i="18" a="1"/>
  <c r="J148" i="18" s="1"/>
  <c r="G148" i="18"/>
  <c r="L147" i="18"/>
  <c r="H147" i="18" s="1"/>
  <c r="J147" i="18" a="1"/>
  <c r="J147" i="18" s="1"/>
  <c r="G147" i="18"/>
  <c r="L146" i="18"/>
  <c r="M146" i="18" s="1"/>
  <c r="I146" i="18" s="1"/>
  <c r="J146" i="18" a="1"/>
  <c r="J146" i="18" s="1"/>
  <c r="G146" i="18"/>
  <c r="J145" i="18" a="1"/>
  <c r="J145" i="18" s="1"/>
  <c r="F145" i="18"/>
  <c r="E145" i="18"/>
  <c r="D145" i="18"/>
  <c r="C145" i="18"/>
  <c r="L144" i="18"/>
  <c r="M144" i="18" s="1"/>
  <c r="I144" i="18" s="1"/>
  <c r="J144" i="18" a="1"/>
  <c r="J144" i="18" s="1"/>
  <c r="G144" i="18"/>
  <c r="L143" i="18"/>
  <c r="H143" i="18" s="1"/>
  <c r="J143" i="18" a="1"/>
  <c r="J143" i="18" s="1"/>
  <c r="G143" i="18"/>
  <c r="L142" i="18"/>
  <c r="M142" i="18" s="1"/>
  <c r="I142" i="18" s="1"/>
  <c r="J142" i="18" a="1"/>
  <c r="J142" i="18" s="1"/>
  <c r="G142" i="18"/>
  <c r="L141" i="18"/>
  <c r="M141" i="18" s="1"/>
  <c r="I141" i="18" s="1"/>
  <c r="J141" i="18" a="1"/>
  <c r="J141" i="18" s="1"/>
  <c r="H141" i="18"/>
  <c r="G141" i="18"/>
  <c r="L140" i="18"/>
  <c r="M140" i="18" s="1"/>
  <c r="I140" i="18" s="1"/>
  <c r="J140" i="18" a="1"/>
  <c r="J140" i="18" s="1"/>
  <c r="G140" i="18"/>
  <c r="L139" i="18"/>
  <c r="M139" i="18" s="1"/>
  <c r="I139" i="18" s="1"/>
  <c r="J139" i="18" a="1"/>
  <c r="J139" i="18" s="1"/>
  <c r="H139" i="18"/>
  <c r="G139" i="18"/>
  <c r="L138" i="18"/>
  <c r="M138" i="18" s="1"/>
  <c r="I138" i="18" s="1"/>
  <c r="J138" i="18" a="1"/>
  <c r="J138" i="18" s="1"/>
  <c r="H138" i="18"/>
  <c r="G138" i="18"/>
  <c r="L137" i="18"/>
  <c r="M137" i="18" s="1"/>
  <c r="I137" i="18" s="1"/>
  <c r="J137" i="18" a="1"/>
  <c r="J137" i="18" s="1"/>
  <c r="H137" i="18"/>
  <c r="G137" i="18"/>
  <c r="L136" i="18"/>
  <c r="H136" i="18" s="1"/>
  <c r="J136" i="18" a="1"/>
  <c r="J136" i="18" s="1"/>
  <c r="G136" i="18"/>
  <c r="L135" i="18"/>
  <c r="M135" i="18" s="1"/>
  <c r="I135" i="18" s="1"/>
  <c r="J135" i="18" a="1"/>
  <c r="J135" i="18" s="1"/>
  <c r="G135" i="18"/>
  <c r="L134" i="18"/>
  <c r="H134" i="18" s="1"/>
  <c r="J134" i="18" a="1"/>
  <c r="J134" i="18" s="1"/>
  <c r="G134" i="18"/>
  <c r="L133" i="18"/>
  <c r="M133" i="18" s="1"/>
  <c r="I133" i="18" s="1"/>
  <c r="J133" i="18" a="1"/>
  <c r="J133" i="18" s="1"/>
  <c r="H133" i="18"/>
  <c r="G133" i="18"/>
  <c r="L132" i="18"/>
  <c r="M132" i="18" s="1"/>
  <c r="I132" i="18" s="1"/>
  <c r="J132" i="18" a="1"/>
  <c r="J132" i="18" s="1"/>
  <c r="H132" i="18"/>
  <c r="G132" i="18"/>
  <c r="J131" i="18" a="1"/>
  <c r="J131" i="18" s="1"/>
  <c r="F131" i="18"/>
  <c r="E131" i="18"/>
  <c r="D131" i="18"/>
  <c r="C131" i="18"/>
  <c r="L131" i="18" s="1"/>
  <c r="M131" i="18" s="1"/>
  <c r="L130" i="18"/>
  <c r="H130" i="18" s="1"/>
  <c r="J130" i="18" a="1"/>
  <c r="J130" i="18" s="1"/>
  <c r="G130" i="18"/>
  <c r="L129" i="18"/>
  <c r="M129" i="18" s="1"/>
  <c r="I129" i="18" s="1"/>
  <c r="J129" i="18" a="1"/>
  <c r="J129" i="18" s="1"/>
  <c r="H129" i="18"/>
  <c r="G129" i="18"/>
  <c r="L128" i="18"/>
  <c r="M128" i="18" s="1"/>
  <c r="I128" i="18" s="1"/>
  <c r="J128" i="18" a="1"/>
  <c r="J128" i="18" s="1"/>
  <c r="H128" i="18"/>
  <c r="G128" i="18"/>
  <c r="L127" i="18"/>
  <c r="M127" i="18" s="1"/>
  <c r="I127" i="18" s="1"/>
  <c r="J127" i="18" a="1"/>
  <c r="J127" i="18" s="1"/>
  <c r="G127" i="18"/>
  <c r="L126" i="18"/>
  <c r="M126" i="18" s="1"/>
  <c r="I126" i="18" s="1"/>
  <c r="J126" i="18" a="1"/>
  <c r="J126" i="18" s="1"/>
  <c r="H126" i="18"/>
  <c r="G126" i="18"/>
  <c r="L125" i="18"/>
  <c r="H125" i="18" s="1"/>
  <c r="J125" i="18" a="1"/>
  <c r="J125" i="18" s="1"/>
  <c r="G125" i="18"/>
  <c r="L124" i="18"/>
  <c r="H124" i="18" s="1"/>
  <c r="J124" i="18" a="1"/>
  <c r="J124" i="18" s="1"/>
  <c r="G124" i="18"/>
  <c r="L123" i="18"/>
  <c r="H123" i="18" s="1"/>
  <c r="J123" i="18" a="1"/>
  <c r="J123" i="18" s="1"/>
  <c r="G123" i="18"/>
  <c r="L122" i="18"/>
  <c r="M122" i="18" s="1"/>
  <c r="I122" i="18" s="1"/>
  <c r="J122" i="18" a="1"/>
  <c r="J122" i="18" s="1"/>
  <c r="H122" i="18"/>
  <c r="G122" i="18"/>
  <c r="L121" i="18"/>
  <c r="M121" i="18" s="1"/>
  <c r="I121" i="18" s="1"/>
  <c r="J121" i="18" a="1"/>
  <c r="J121" i="18" s="1"/>
  <c r="H121" i="18"/>
  <c r="G121" i="18"/>
  <c r="L120" i="18"/>
  <c r="M120" i="18" s="1"/>
  <c r="I120" i="18" s="1"/>
  <c r="J120" i="18" a="1"/>
  <c r="J120" i="18" s="1"/>
  <c r="G120" i="18"/>
  <c r="L119" i="18"/>
  <c r="M119" i="18" s="1"/>
  <c r="I119" i="18" s="1"/>
  <c r="J119" i="18" a="1"/>
  <c r="J119" i="18" s="1"/>
  <c r="G119" i="18"/>
  <c r="L118" i="18"/>
  <c r="M118" i="18" s="1"/>
  <c r="I118" i="18" s="1"/>
  <c r="J118" i="18" a="1"/>
  <c r="J118" i="18" s="1"/>
  <c r="H118" i="18"/>
  <c r="G118" i="18"/>
  <c r="J117" i="18" a="1"/>
  <c r="J117" i="18" s="1"/>
  <c r="F117" i="18"/>
  <c r="E117" i="18"/>
  <c r="D117" i="18"/>
  <c r="C117" i="18"/>
  <c r="L116" i="18"/>
  <c r="M116" i="18" s="1"/>
  <c r="I116" i="18" s="1"/>
  <c r="J116" i="18" a="1"/>
  <c r="J116" i="18" s="1"/>
  <c r="G116" i="18"/>
  <c r="L115" i="18"/>
  <c r="M115" i="18" s="1"/>
  <c r="I115" i="18" s="1"/>
  <c r="J115" i="18" a="1"/>
  <c r="J115" i="18" s="1"/>
  <c r="G115" i="18"/>
  <c r="L114" i="18"/>
  <c r="H114" i="18" s="1"/>
  <c r="J114" i="18" a="1"/>
  <c r="J114" i="18" s="1"/>
  <c r="G114" i="18"/>
  <c r="L113" i="18"/>
  <c r="M113" i="18" s="1"/>
  <c r="I113" i="18" s="1"/>
  <c r="J113" i="18" a="1"/>
  <c r="J113" i="18" s="1"/>
  <c r="H113" i="18"/>
  <c r="G113" i="18"/>
  <c r="L112" i="18"/>
  <c r="H112" i="18" s="1"/>
  <c r="J112" i="18" a="1"/>
  <c r="J112" i="18" s="1"/>
  <c r="G112" i="18"/>
  <c r="L111" i="18"/>
  <c r="M111" i="18" s="1"/>
  <c r="I111" i="18" s="1"/>
  <c r="J111" i="18" a="1"/>
  <c r="J111" i="18" s="1"/>
  <c r="G111" i="18"/>
  <c r="J110" i="18" a="1"/>
  <c r="J110" i="18" s="1"/>
  <c r="J109" i="18" a="1"/>
  <c r="J109" i="18" s="1"/>
  <c r="F109" i="18"/>
  <c r="E109" i="18"/>
  <c r="D109" i="18"/>
  <c r="C109" i="18"/>
  <c r="L108" i="18"/>
  <c r="M108" i="18" s="1"/>
  <c r="I108" i="18" s="1"/>
  <c r="J108" i="18" a="1"/>
  <c r="J108" i="18" s="1"/>
  <c r="H108" i="18"/>
  <c r="G108" i="18"/>
  <c r="L107" i="18"/>
  <c r="M107" i="18" s="1"/>
  <c r="I107" i="18" s="1"/>
  <c r="J107" i="18" a="1"/>
  <c r="J107" i="18" s="1"/>
  <c r="H107" i="18"/>
  <c r="G107" i="18"/>
  <c r="L106" i="18"/>
  <c r="M106" i="18" s="1"/>
  <c r="I106" i="18" s="1"/>
  <c r="J106" i="18" a="1"/>
  <c r="J106" i="18" s="1"/>
  <c r="G106" i="18"/>
  <c r="L105" i="18"/>
  <c r="M105" i="18" s="1"/>
  <c r="I105" i="18" s="1"/>
  <c r="J105" i="18" a="1"/>
  <c r="J105" i="18" s="1"/>
  <c r="H105" i="18"/>
  <c r="G105" i="18"/>
  <c r="L104" i="18"/>
  <c r="H104" i="18" s="1"/>
  <c r="J104" i="18" a="1"/>
  <c r="J104" i="18" s="1"/>
  <c r="G104" i="18"/>
  <c r="L103" i="18"/>
  <c r="M103" i="18" s="1"/>
  <c r="I103" i="18" s="1"/>
  <c r="J103" i="18" a="1"/>
  <c r="J103" i="18" s="1"/>
  <c r="G103" i="18"/>
  <c r="L102" i="18"/>
  <c r="H102" i="18" s="1"/>
  <c r="J102" i="18" a="1"/>
  <c r="J102" i="18" s="1"/>
  <c r="G102" i="18"/>
  <c r="L101" i="18"/>
  <c r="M101" i="18" s="1"/>
  <c r="I101" i="18" s="1"/>
  <c r="J101" i="18" a="1"/>
  <c r="J101" i="18" s="1"/>
  <c r="G101" i="18"/>
  <c r="L100" i="18"/>
  <c r="M100" i="18" s="1"/>
  <c r="I100" i="18" s="1"/>
  <c r="J100" i="18" a="1"/>
  <c r="J100" i="18" s="1"/>
  <c r="H100" i="18"/>
  <c r="G100" i="18"/>
  <c r="L99" i="18"/>
  <c r="M99" i="18" s="1"/>
  <c r="I99" i="18" s="1"/>
  <c r="J99" i="18" a="1"/>
  <c r="J99" i="18" s="1"/>
  <c r="H99" i="18"/>
  <c r="G99" i="18"/>
  <c r="L98" i="18"/>
  <c r="M98" i="18" s="1"/>
  <c r="I98" i="18" s="1"/>
  <c r="J98" i="18" a="1"/>
  <c r="J98" i="18" s="1"/>
  <c r="H98" i="18"/>
  <c r="G98" i="18"/>
  <c r="L97" i="18"/>
  <c r="H97" i="18" s="1"/>
  <c r="J97" i="18" a="1"/>
  <c r="J97" i="18" s="1"/>
  <c r="G97" i="18"/>
  <c r="L96" i="18"/>
  <c r="H96" i="18" s="1"/>
  <c r="J96" i="18" a="1"/>
  <c r="J96" i="18" s="1"/>
  <c r="G96" i="18"/>
  <c r="J95" i="18" a="1"/>
  <c r="J95" i="18" s="1"/>
  <c r="F95" i="18"/>
  <c r="D95" i="18"/>
  <c r="C95" i="18"/>
  <c r="G95" i="18" s="1"/>
  <c r="L94" i="18"/>
  <c r="H94" i="18" s="1"/>
  <c r="J94" i="18" a="1"/>
  <c r="J94" i="18" s="1"/>
  <c r="G94" i="18"/>
  <c r="L93" i="18"/>
  <c r="H93" i="18" s="1"/>
  <c r="J93" i="18" a="1"/>
  <c r="J93" i="18" s="1"/>
  <c r="G93" i="18"/>
  <c r="L92" i="18"/>
  <c r="M92" i="18" s="1"/>
  <c r="I92" i="18" s="1"/>
  <c r="J92" i="18" a="1"/>
  <c r="J92" i="18" s="1"/>
  <c r="G92" i="18"/>
  <c r="L91" i="18"/>
  <c r="H91" i="18" s="1"/>
  <c r="J91" i="18" a="1"/>
  <c r="J91" i="18" s="1"/>
  <c r="G91" i="18"/>
  <c r="L90" i="18"/>
  <c r="H90" i="18" s="1"/>
  <c r="J90" i="18" a="1"/>
  <c r="J90" i="18" s="1"/>
  <c r="G90" i="18"/>
  <c r="L89" i="18"/>
  <c r="M89" i="18" s="1"/>
  <c r="I89" i="18" s="1"/>
  <c r="J89" i="18" a="1"/>
  <c r="J89" i="18" s="1"/>
  <c r="G89" i="18"/>
  <c r="L88" i="18"/>
  <c r="M88" i="18" s="1"/>
  <c r="I88" i="18" s="1"/>
  <c r="J88" i="18" a="1"/>
  <c r="J88" i="18" s="1"/>
  <c r="H88" i="18"/>
  <c r="G88" i="18"/>
  <c r="L87" i="18"/>
  <c r="M87" i="18" s="1"/>
  <c r="I87" i="18" s="1"/>
  <c r="J87" i="18" a="1"/>
  <c r="J87" i="18" s="1"/>
  <c r="G87" i="18"/>
  <c r="L86" i="18"/>
  <c r="H86" i="18" s="1"/>
  <c r="J86" i="18" a="1"/>
  <c r="J86" i="18" s="1"/>
  <c r="G86" i="18"/>
  <c r="L85" i="18"/>
  <c r="M85" i="18" s="1"/>
  <c r="I85" i="18" s="1"/>
  <c r="J85" i="18" a="1"/>
  <c r="J85" i="18" s="1"/>
  <c r="G85" i="18"/>
  <c r="L84" i="18"/>
  <c r="H84" i="18" s="1"/>
  <c r="J84" i="18" a="1"/>
  <c r="J84" i="18" s="1"/>
  <c r="G84" i="18"/>
  <c r="L83" i="18"/>
  <c r="M83" i="18" s="1"/>
  <c r="I83" i="18" s="1"/>
  <c r="J83" i="18" a="1"/>
  <c r="J83" i="18" s="1"/>
  <c r="G83" i="18"/>
  <c r="L82" i="18"/>
  <c r="M82" i="18" s="1"/>
  <c r="I82" i="18" s="1"/>
  <c r="J82" i="18" a="1"/>
  <c r="J82" i="18" s="1"/>
  <c r="G82" i="18"/>
  <c r="J81" i="18" a="1"/>
  <c r="J81" i="18" s="1"/>
  <c r="F81" i="18"/>
  <c r="E81" i="18"/>
  <c r="D81" i="18"/>
  <c r="C81" i="18"/>
  <c r="L80" i="18"/>
  <c r="H80" i="18" s="1"/>
  <c r="J80" i="18" a="1"/>
  <c r="J80" i="18" s="1"/>
  <c r="G80" i="18"/>
  <c r="L79" i="18"/>
  <c r="M79" i="18" s="1"/>
  <c r="I79" i="18" s="1"/>
  <c r="J79" i="18" a="1"/>
  <c r="J79" i="18" s="1"/>
  <c r="H79" i="18"/>
  <c r="G79" i="18"/>
  <c r="L78" i="18"/>
  <c r="M78" i="18" s="1"/>
  <c r="I78" i="18" s="1"/>
  <c r="J78" i="18" a="1"/>
  <c r="J78" i="18" s="1"/>
  <c r="G78" i="18"/>
  <c r="L77" i="18"/>
  <c r="M77" i="18" s="1"/>
  <c r="I77" i="18" s="1"/>
  <c r="J77" i="18" a="1"/>
  <c r="J77" i="18" s="1"/>
  <c r="G77" i="18"/>
  <c r="L76" i="18"/>
  <c r="M76" i="18" s="1"/>
  <c r="I76" i="18" s="1"/>
  <c r="J76" i="18" a="1"/>
  <c r="J76" i="18" s="1"/>
  <c r="G76" i="18"/>
  <c r="L75" i="18"/>
  <c r="M75" i="18" s="1"/>
  <c r="I75" i="18" s="1"/>
  <c r="J75" i="18" a="1"/>
  <c r="J75" i="18" s="1"/>
  <c r="H75" i="18"/>
  <c r="G75" i="18"/>
  <c r="L74" i="18"/>
  <c r="M74" i="18" s="1"/>
  <c r="I74" i="18" s="1"/>
  <c r="J74" i="18" a="1"/>
  <c r="J74" i="18" s="1"/>
  <c r="H74" i="18"/>
  <c r="G74" i="18"/>
  <c r="L73" i="18"/>
  <c r="H73" i="18" s="1"/>
  <c r="J73" i="18" a="1"/>
  <c r="J73" i="18" s="1"/>
  <c r="G73" i="18"/>
  <c r="L72" i="18"/>
  <c r="M72" i="18" s="1"/>
  <c r="I72" i="18" s="1"/>
  <c r="J72" i="18" a="1"/>
  <c r="J72" i="18" s="1"/>
  <c r="H72" i="18"/>
  <c r="G72" i="18"/>
  <c r="L71" i="18"/>
  <c r="H71" i="18" s="1"/>
  <c r="J71" i="18" a="1"/>
  <c r="J71" i="18" s="1"/>
  <c r="G71" i="18"/>
  <c r="L70" i="18"/>
  <c r="H70" i="18" s="1"/>
  <c r="J70" i="18" a="1"/>
  <c r="J70" i="18" s="1"/>
  <c r="G70" i="18"/>
  <c r="L69" i="18"/>
  <c r="M69" i="18" s="1"/>
  <c r="I69" i="18" s="1"/>
  <c r="J69" i="18" a="1"/>
  <c r="J69" i="18" s="1"/>
  <c r="G69" i="18"/>
  <c r="L68" i="18"/>
  <c r="M68" i="18" s="1"/>
  <c r="I68" i="18" s="1"/>
  <c r="J68" i="18" a="1"/>
  <c r="J68" i="18" s="1"/>
  <c r="G68" i="18"/>
  <c r="L67" i="18"/>
  <c r="M67" i="18" s="1"/>
  <c r="I67" i="18" s="1"/>
  <c r="J67" i="18" a="1"/>
  <c r="J67" i="18" s="1"/>
  <c r="G67" i="18"/>
  <c r="L66" i="18"/>
  <c r="H66" i="18" s="1"/>
  <c r="J66" i="18" a="1"/>
  <c r="J66" i="18" s="1"/>
  <c r="G66" i="18"/>
  <c r="L65" i="18"/>
  <c r="M65" i="18" s="1"/>
  <c r="I65" i="18" s="1"/>
  <c r="J65" i="18" a="1"/>
  <c r="J65" i="18" s="1"/>
  <c r="G65" i="18"/>
  <c r="J64" i="18" a="1"/>
  <c r="J64" i="18" s="1"/>
  <c r="F64" i="18"/>
  <c r="E64" i="18"/>
  <c r="D64" i="18"/>
  <c r="L64" i="18" s="1"/>
  <c r="M64" i="18" s="1"/>
  <c r="C64" i="18"/>
  <c r="L63" i="18"/>
  <c r="M63" i="18" s="1"/>
  <c r="I63" i="18" s="1"/>
  <c r="J63" i="18" a="1"/>
  <c r="J63" i="18" s="1"/>
  <c r="G63" i="18"/>
  <c r="L62" i="18"/>
  <c r="H62" i="18" s="1"/>
  <c r="J62" i="18" a="1"/>
  <c r="J62" i="18" s="1"/>
  <c r="G62" i="18"/>
  <c r="J61" i="18" a="1"/>
  <c r="J61" i="18" s="1"/>
  <c r="J60" i="18" a="1"/>
  <c r="J60" i="18" s="1"/>
  <c r="F60" i="18"/>
  <c r="E60" i="18"/>
  <c r="D60" i="18"/>
  <c r="C60" i="18"/>
  <c r="L59" i="18"/>
  <c r="H59" i="18" s="1"/>
  <c r="J59" i="18" a="1"/>
  <c r="J59" i="18" s="1"/>
  <c r="G59" i="18"/>
  <c r="L58" i="18"/>
  <c r="H58" i="18" s="1"/>
  <c r="J58" i="18" a="1"/>
  <c r="J58" i="18" s="1"/>
  <c r="G58" i="18"/>
  <c r="L57" i="18"/>
  <c r="M57" i="18" s="1"/>
  <c r="I57" i="18" s="1"/>
  <c r="J57" i="18" a="1"/>
  <c r="J57" i="18" s="1"/>
  <c r="G57" i="18"/>
  <c r="L56" i="18"/>
  <c r="M56" i="18" s="1"/>
  <c r="I56" i="18" s="1"/>
  <c r="J56" i="18" a="1"/>
  <c r="J56" i="18" s="1"/>
  <c r="G56" i="18"/>
  <c r="L55" i="18"/>
  <c r="M55" i="18" s="1"/>
  <c r="I55" i="18" s="1"/>
  <c r="J55" i="18" a="1"/>
  <c r="J55" i="18" s="1"/>
  <c r="H55" i="18"/>
  <c r="G55" i="18"/>
  <c r="L54" i="18"/>
  <c r="H54" i="18" s="1"/>
  <c r="J54" i="18" a="1"/>
  <c r="J54" i="18" s="1"/>
  <c r="G54" i="18"/>
  <c r="L53" i="18"/>
  <c r="H53" i="18" s="1"/>
  <c r="J53" i="18" a="1"/>
  <c r="J53" i="18" s="1"/>
  <c r="G53" i="18"/>
  <c r="L52" i="18"/>
  <c r="M52" i="18" s="1"/>
  <c r="I52" i="18" s="1"/>
  <c r="J52" i="18" a="1"/>
  <c r="J52" i="18" s="1"/>
  <c r="G52" i="18"/>
  <c r="L51" i="18"/>
  <c r="M51" i="18" s="1"/>
  <c r="I51" i="18" s="1"/>
  <c r="J51" i="18" a="1"/>
  <c r="J51" i="18" s="1"/>
  <c r="G51" i="18"/>
  <c r="L50" i="18"/>
  <c r="M50" i="18" s="1"/>
  <c r="I50" i="18" s="1"/>
  <c r="J50" i="18" a="1"/>
  <c r="J50" i="18" s="1"/>
  <c r="H50" i="18"/>
  <c r="G50" i="18"/>
  <c r="L49" i="18"/>
  <c r="M49" i="18" s="1"/>
  <c r="I49" i="18" s="1"/>
  <c r="J49" i="18" a="1"/>
  <c r="J49" i="18" s="1"/>
  <c r="G49" i="18"/>
  <c r="L48" i="18"/>
  <c r="M48" i="18" s="1"/>
  <c r="I48" i="18" s="1"/>
  <c r="J48" i="18" a="1"/>
  <c r="J48" i="18" s="1"/>
  <c r="H48" i="18"/>
  <c r="G48" i="18"/>
  <c r="L47" i="18"/>
  <c r="M47" i="18" s="1"/>
  <c r="I47" i="18" s="1"/>
  <c r="J47" i="18" a="1"/>
  <c r="J47" i="18" s="1"/>
  <c r="G47" i="18"/>
  <c r="L46" i="18"/>
  <c r="H46" i="18" s="1"/>
  <c r="J46" i="18" a="1"/>
  <c r="J46" i="18" s="1"/>
  <c r="G46" i="18"/>
  <c r="L45" i="18"/>
  <c r="H45" i="18" s="1"/>
  <c r="J45" i="18" a="1"/>
  <c r="J45" i="18" s="1"/>
  <c r="G45" i="18"/>
  <c r="L44" i="18"/>
  <c r="M44" i="18" s="1"/>
  <c r="I44" i="18" s="1"/>
  <c r="J44" i="18" a="1"/>
  <c r="J44" i="18" s="1"/>
  <c r="G44" i="18"/>
  <c r="L43" i="18"/>
  <c r="M43" i="18" s="1"/>
  <c r="I43" i="18" s="1"/>
  <c r="J43" i="18" a="1"/>
  <c r="J43" i="18" s="1"/>
  <c r="G43" i="18"/>
  <c r="L42" i="18"/>
  <c r="H42" i="18" s="1"/>
  <c r="J42" i="18" a="1"/>
  <c r="J42" i="18" s="1"/>
  <c r="G42" i="18"/>
  <c r="J41" i="18" a="1"/>
  <c r="J41" i="18" s="1"/>
  <c r="F41" i="18"/>
  <c r="E41" i="18"/>
  <c r="D41" i="18"/>
  <c r="C41" i="18"/>
  <c r="L41" i="18" s="1"/>
  <c r="M41" i="18" s="1"/>
  <c r="I41" i="18" s="1"/>
  <c r="L40" i="18"/>
  <c r="M40" i="18" s="1"/>
  <c r="I40" i="18" s="1"/>
  <c r="J40" i="18" a="1"/>
  <c r="J40" i="18" s="1"/>
  <c r="G40" i="18"/>
  <c r="L39" i="18"/>
  <c r="M39" i="18" s="1"/>
  <c r="I39" i="18" s="1"/>
  <c r="J39" i="18" a="1"/>
  <c r="J39" i="18" s="1"/>
  <c r="G39" i="18"/>
  <c r="L38" i="18"/>
  <c r="H38" i="18" s="1"/>
  <c r="J38" i="18" a="1"/>
  <c r="J38" i="18" s="1"/>
  <c r="G38" i="18"/>
  <c r="L37" i="18"/>
  <c r="M37" i="18" s="1"/>
  <c r="I37" i="18" s="1"/>
  <c r="J37" i="18" a="1"/>
  <c r="J37" i="18" s="1"/>
  <c r="G37" i="18"/>
  <c r="L36" i="18"/>
  <c r="M36" i="18" s="1"/>
  <c r="I36" i="18" s="1"/>
  <c r="J36" i="18" a="1"/>
  <c r="J36" i="18" s="1"/>
  <c r="G36" i="18"/>
  <c r="L35" i="18"/>
  <c r="M35" i="18" s="1"/>
  <c r="I35" i="18" s="1"/>
  <c r="J35" i="18" a="1"/>
  <c r="J35" i="18" s="1"/>
  <c r="G35" i="18"/>
  <c r="L34" i="18"/>
  <c r="H34" i="18" s="1"/>
  <c r="J34" i="18" a="1"/>
  <c r="J34" i="18" s="1"/>
  <c r="G34" i="18"/>
  <c r="L33" i="18"/>
  <c r="M33" i="18" s="1"/>
  <c r="I33" i="18" s="1"/>
  <c r="J33" i="18" a="1"/>
  <c r="J33" i="18" s="1"/>
  <c r="H33" i="18"/>
  <c r="G33" i="18"/>
  <c r="L32" i="18"/>
  <c r="H32" i="18" s="1"/>
  <c r="J32" i="18" a="1"/>
  <c r="J32" i="18" s="1"/>
  <c r="G32" i="18"/>
  <c r="L31" i="18"/>
  <c r="M31" i="18" s="1"/>
  <c r="I31" i="18" s="1"/>
  <c r="J31" i="18" a="1"/>
  <c r="J31" i="18" s="1"/>
  <c r="G31" i="18"/>
  <c r="L30" i="18"/>
  <c r="M30" i="18" s="1"/>
  <c r="I30" i="18" s="1"/>
  <c r="J30" i="18" a="1"/>
  <c r="J30" i="18" s="1"/>
  <c r="H30" i="18"/>
  <c r="G30" i="18"/>
  <c r="L29" i="18"/>
  <c r="M29" i="18" s="1"/>
  <c r="I29" i="18" s="1"/>
  <c r="J29" i="18" a="1"/>
  <c r="J29" i="18" s="1"/>
  <c r="G29" i="18"/>
  <c r="L28" i="18"/>
  <c r="M28" i="18" s="1"/>
  <c r="I28" i="18" s="1"/>
  <c r="J28" i="18" a="1"/>
  <c r="J28" i="18" s="1"/>
  <c r="G28" i="18"/>
  <c r="L27" i="18"/>
  <c r="M27" i="18" s="1"/>
  <c r="I27" i="18" s="1"/>
  <c r="J27" i="18" a="1"/>
  <c r="J27" i="18" s="1"/>
  <c r="H27" i="18"/>
  <c r="G27" i="18"/>
  <c r="J26" i="18" a="1"/>
  <c r="J26" i="18" s="1"/>
  <c r="F26" i="18"/>
  <c r="E26" i="18"/>
  <c r="D26" i="18"/>
  <c r="C26" i="18"/>
  <c r="L25" i="18"/>
  <c r="M25" i="18" s="1"/>
  <c r="I25" i="18" s="1"/>
  <c r="J25" i="18" a="1"/>
  <c r="J25" i="18" s="1"/>
  <c r="G25" i="18"/>
  <c r="L24" i="18"/>
  <c r="M24" i="18" s="1"/>
  <c r="I24" i="18" s="1"/>
  <c r="J24" i="18" a="1"/>
  <c r="J24" i="18" s="1"/>
  <c r="G24" i="18"/>
  <c r="L23" i="18"/>
  <c r="M23" i="18" s="1"/>
  <c r="I23" i="18" s="1"/>
  <c r="J23" i="18" a="1"/>
  <c r="J23" i="18" s="1"/>
  <c r="H23" i="18"/>
  <c r="G23" i="18"/>
  <c r="L22" i="18"/>
  <c r="H22" i="18" s="1"/>
  <c r="J22" i="18" a="1"/>
  <c r="J22" i="18" s="1"/>
  <c r="G22" i="18"/>
  <c r="J21" i="18" a="1"/>
  <c r="J21" i="18" s="1"/>
  <c r="J20" i="18" a="1"/>
  <c r="J20" i="18" s="1"/>
  <c r="F20" i="18"/>
  <c r="F5" i="18" s="1"/>
  <c r="E20" i="18"/>
  <c r="D20" i="18"/>
  <c r="D5" i="18" s="1"/>
  <c r="C20" i="18"/>
  <c r="C5" i="18" s="1"/>
  <c r="G5" i="18" s="1"/>
  <c r="L19" i="18"/>
  <c r="M19" i="18" s="1"/>
  <c r="I19" i="18" s="1"/>
  <c r="J19" i="18" a="1"/>
  <c r="J19" i="18" s="1"/>
  <c r="L18" i="18"/>
  <c r="M18" i="18" s="1"/>
  <c r="I18" i="18" s="1"/>
  <c r="J18" i="18" a="1"/>
  <c r="J18" i="18" s="1"/>
  <c r="G18" i="18"/>
  <c r="L17" i="18"/>
  <c r="M17" i="18" s="1"/>
  <c r="I17" i="18" s="1"/>
  <c r="J17" i="18" a="1"/>
  <c r="J17" i="18" s="1"/>
  <c r="G17" i="18"/>
  <c r="L16" i="18"/>
  <c r="M16" i="18" s="1"/>
  <c r="I16" i="18" s="1"/>
  <c r="J16" i="18" a="1"/>
  <c r="J16" i="18" s="1"/>
  <c r="H16" i="18"/>
  <c r="G16" i="18"/>
  <c r="L15" i="18"/>
  <c r="H15" i="18" s="1"/>
  <c r="J15" i="18" a="1"/>
  <c r="J15" i="18" s="1"/>
  <c r="G15" i="18"/>
  <c r="L14" i="18"/>
  <c r="M14" i="18" s="1"/>
  <c r="I14" i="18" s="1"/>
  <c r="J14" i="18" a="1"/>
  <c r="J14" i="18" s="1"/>
  <c r="G14" i="18"/>
  <c r="L13" i="18"/>
  <c r="M13" i="18" s="1"/>
  <c r="I13" i="18" s="1"/>
  <c r="J13" i="18" a="1"/>
  <c r="J13" i="18" s="1"/>
  <c r="G13" i="18"/>
  <c r="L12" i="18"/>
  <c r="M12" i="18" s="1"/>
  <c r="I12" i="18" s="1"/>
  <c r="J12" i="18" a="1"/>
  <c r="J12" i="18" s="1"/>
  <c r="G12" i="18"/>
  <c r="L11" i="18"/>
  <c r="M11" i="18" s="1"/>
  <c r="I11" i="18" s="1"/>
  <c r="J11" i="18" a="1"/>
  <c r="J11" i="18" s="1"/>
  <c r="G11" i="18"/>
  <c r="L10" i="18"/>
  <c r="M10" i="18" s="1"/>
  <c r="I10" i="18" s="1"/>
  <c r="J10" i="18" a="1"/>
  <c r="J10" i="18" s="1"/>
  <c r="H10" i="18"/>
  <c r="G10" i="18"/>
  <c r="L9" i="18"/>
  <c r="M9" i="18" s="1"/>
  <c r="I9" i="18" s="1"/>
  <c r="J9" i="18" a="1"/>
  <c r="J9" i="18" s="1"/>
  <c r="H9" i="18"/>
  <c r="G9" i="18"/>
  <c r="L8" i="18"/>
  <c r="H8" i="18" s="1"/>
  <c r="J8" i="18" a="1"/>
  <c r="J8" i="18" s="1"/>
  <c r="G8" i="18"/>
  <c r="L7" i="18"/>
  <c r="M7" i="18" s="1"/>
  <c r="I7" i="18" s="1"/>
  <c r="J7" i="18" a="1"/>
  <c r="J7" i="18" s="1"/>
  <c r="H7" i="18"/>
  <c r="G7" i="18"/>
  <c r="L6" i="18"/>
  <c r="H6" i="18" s="1"/>
  <c r="J6" i="18" a="1"/>
  <c r="J6" i="18" s="1"/>
  <c r="G6" i="18"/>
  <c r="E5" i="18"/>
  <c r="I4" i="18"/>
  <c r="H4" i="18"/>
  <c r="L2" i="18"/>
  <c r="M2" i="18" s="1"/>
  <c r="H2" i="18" s="1"/>
  <c r="G303" i="18" s="1"/>
  <c r="F281" i="17"/>
  <c r="G281" i="17"/>
  <c r="F282" i="17"/>
  <c r="G282" i="17"/>
  <c r="F283" i="17"/>
  <c r="G283" i="17"/>
  <c r="F284" i="17"/>
  <c r="G284" i="17"/>
  <c r="F285" i="17"/>
  <c r="G285" i="17"/>
  <c r="F286" i="17"/>
  <c r="G286" i="17"/>
  <c r="F287" i="17"/>
  <c r="G287" i="17"/>
  <c r="F288" i="17"/>
  <c r="G288" i="17"/>
  <c r="F289" i="17"/>
  <c r="G289" i="17"/>
  <c r="F290" i="17"/>
  <c r="G290" i="17"/>
  <c r="F291" i="17"/>
  <c r="G291" i="17"/>
  <c r="F292" i="17"/>
  <c r="G292" i="17"/>
  <c r="F293" i="17"/>
  <c r="G293" i="17"/>
  <c r="F294" i="17"/>
  <c r="G294" i="17"/>
  <c r="F295" i="17"/>
  <c r="G295" i="17"/>
  <c r="C299" i="17"/>
  <c r="D299" i="17"/>
  <c r="E299" i="17"/>
  <c r="G46" i="17"/>
  <c r="J46" i="17" a="1"/>
  <c r="J46" i="17" s="1"/>
  <c r="L46" i="17"/>
  <c r="H46" i="17" s="1"/>
  <c r="G47" i="17"/>
  <c r="J47" i="17" a="1"/>
  <c r="J47" i="17" s="1"/>
  <c r="L47" i="17"/>
  <c r="H47" i="17" s="1"/>
  <c r="M47" i="17"/>
  <c r="I47" i="17" s="1"/>
  <c r="G48" i="17"/>
  <c r="J48" i="17" a="1"/>
  <c r="J48" i="17" s="1"/>
  <c r="L48" i="17"/>
  <c r="H48" i="17" s="1"/>
  <c r="M48" i="17"/>
  <c r="I48" i="17" s="1"/>
  <c r="G49" i="17"/>
  <c r="J49" i="17" a="1"/>
  <c r="J49" i="17" s="1"/>
  <c r="L49" i="17"/>
  <c r="H49" i="17" s="1"/>
  <c r="G50" i="17"/>
  <c r="J50" i="17" a="1"/>
  <c r="J50" i="17" s="1"/>
  <c r="L50" i="17"/>
  <c r="M50" i="17" s="1"/>
  <c r="I50" i="17" s="1"/>
  <c r="G51" i="17"/>
  <c r="J51" i="17" a="1"/>
  <c r="J51" i="17" s="1"/>
  <c r="L51" i="17"/>
  <c r="H51" i="17" s="1"/>
  <c r="G52" i="17"/>
  <c r="J52" i="17" a="1"/>
  <c r="J52" i="17" s="1"/>
  <c r="L52" i="17"/>
  <c r="M52" i="17" s="1"/>
  <c r="I52" i="17" s="1"/>
  <c r="G53" i="17"/>
  <c r="J53" i="17" a="1"/>
  <c r="J53" i="17" s="1"/>
  <c r="L53" i="17"/>
  <c r="H53" i="17" s="1"/>
  <c r="G54" i="17"/>
  <c r="J54" i="17" a="1"/>
  <c r="J54" i="17" s="1"/>
  <c r="L54" i="17"/>
  <c r="H54" i="17" s="1"/>
  <c r="C60" i="17"/>
  <c r="D60" i="17"/>
  <c r="C20" i="17"/>
  <c r="D20" i="17"/>
  <c r="E20" i="17"/>
  <c r="E5" i="17" s="1"/>
  <c r="A301" i="17"/>
  <c r="F299" i="17"/>
  <c r="G298" i="17"/>
  <c r="F298" i="17"/>
  <c r="G297" i="17"/>
  <c r="F297" i="17"/>
  <c r="G296" i="17"/>
  <c r="F296" i="17"/>
  <c r="G280" i="17"/>
  <c r="F280" i="17"/>
  <c r="G279" i="17"/>
  <c r="F279" i="17"/>
  <c r="G278" i="17"/>
  <c r="F278" i="17"/>
  <c r="G277" i="17"/>
  <c r="F277" i="17"/>
  <c r="G276" i="17"/>
  <c r="F276" i="17"/>
  <c r="F270" i="17"/>
  <c r="F257" i="17" s="1"/>
  <c r="E270" i="17"/>
  <c r="D270" i="17"/>
  <c r="D257" i="17" s="1"/>
  <c r="C270" i="17"/>
  <c r="L269" i="17"/>
  <c r="M269" i="17" s="1"/>
  <c r="I269" i="17" s="1"/>
  <c r="J269" i="17" a="1"/>
  <c r="J269" i="17" s="1"/>
  <c r="H269" i="17"/>
  <c r="G269" i="17"/>
  <c r="L268" i="17"/>
  <c r="M268" i="17" s="1"/>
  <c r="I268" i="17" s="1"/>
  <c r="J268" i="17" a="1"/>
  <c r="J268" i="17" s="1"/>
  <c r="G268" i="17"/>
  <c r="L267" i="17"/>
  <c r="H267" i="17" s="1"/>
  <c r="J267" i="17" a="1"/>
  <c r="J267" i="17" s="1"/>
  <c r="G267" i="17"/>
  <c r="L266" i="17"/>
  <c r="M266" i="17" s="1"/>
  <c r="I266" i="17" s="1"/>
  <c r="J266" i="17" a="1"/>
  <c r="J266" i="17" s="1"/>
  <c r="G266" i="17"/>
  <c r="L265" i="17"/>
  <c r="M265" i="17" s="1"/>
  <c r="I265" i="17" s="1"/>
  <c r="J265" i="17" a="1"/>
  <c r="J265" i="17" s="1"/>
  <c r="H265" i="17"/>
  <c r="G265" i="17"/>
  <c r="L264" i="17"/>
  <c r="M264" i="17" s="1"/>
  <c r="I264" i="17" s="1"/>
  <c r="J264" i="17" a="1"/>
  <c r="J264" i="17" s="1"/>
  <c r="G264" i="17"/>
  <c r="L263" i="17"/>
  <c r="M263" i="17" s="1"/>
  <c r="I263" i="17" s="1"/>
  <c r="J263" i="17" a="1"/>
  <c r="J263" i="17" s="1"/>
  <c r="G263" i="17"/>
  <c r="L262" i="17"/>
  <c r="M262" i="17" s="1"/>
  <c r="I262" i="17" s="1"/>
  <c r="J262" i="17" a="1"/>
  <c r="J262" i="17" s="1"/>
  <c r="G262" i="17"/>
  <c r="L261" i="17"/>
  <c r="M261" i="17" s="1"/>
  <c r="I261" i="17" s="1"/>
  <c r="J261" i="17" a="1"/>
  <c r="J261" i="17" s="1"/>
  <c r="G261" i="17"/>
  <c r="L260" i="17"/>
  <c r="M260" i="17" s="1"/>
  <c r="I260" i="17" s="1"/>
  <c r="J260" i="17" a="1"/>
  <c r="J260" i="17" s="1"/>
  <c r="H260" i="17"/>
  <c r="G260" i="17"/>
  <c r="L259" i="17"/>
  <c r="M259" i="17" s="1"/>
  <c r="I259" i="17" s="1"/>
  <c r="J259" i="17" a="1"/>
  <c r="J259" i="17" s="1"/>
  <c r="G259" i="17"/>
  <c r="L258" i="17"/>
  <c r="M258" i="17" s="1"/>
  <c r="I258" i="17" s="1"/>
  <c r="J258" i="17" a="1"/>
  <c r="J258" i="17" s="1"/>
  <c r="G258" i="17"/>
  <c r="J257" i="17" a="1"/>
  <c r="J257" i="17" s="1"/>
  <c r="J256" i="17" a="1"/>
  <c r="J256" i="17" s="1"/>
  <c r="D256" i="17"/>
  <c r="C256" i="17"/>
  <c r="L255" i="17"/>
  <c r="H255" i="17" s="1"/>
  <c r="J255" i="17" a="1"/>
  <c r="J255" i="17" s="1"/>
  <c r="G255" i="17"/>
  <c r="L254" i="17"/>
  <c r="H254" i="17" s="1"/>
  <c r="J254" i="17" a="1"/>
  <c r="J254" i="17" s="1"/>
  <c r="G254" i="17"/>
  <c r="L253" i="17"/>
  <c r="M253" i="17" s="1"/>
  <c r="I253" i="17" s="1"/>
  <c r="J253" i="17" a="1"/>
  <c r="J253" i="17" s="1"/>
  <c r="H253" i="17"/>
  <c r="G253" i="17"/>
  <c r="J252" i="17" a="1"/>
  <c r="J252" i="17" s="1"/>
  <c r="F252" i="17"/>
  <c r="E252" i="17"/>
  <c r="E241" i="17" s="1"/>
  <c r="D252" i="17"/>
  <c r="C252" i="17"/>
  <c r="L251" i="17"/>
  <c r="M251" i="17" s="1"/>
  <c r="I251" i="17" s="1"/>
  <c r="J251" i="17" a="1"/>
  <c r="J251" i="17" s="1"/>
  <c r="G251" i="17"/>
  <c r="L250" i="17"/>
  <c r="M250" i="17" s="1"/>
  <c r="I250" i="17" s="1"/>
  <c r="J250" i="17" a="1"/>
  <c r="J250" i="17" s="1"/>
  <c r="G250" i="17"/>
  <c r="L248" i="17"/>
  <c r="M248" i="17" s="1"/>
  <c r="I248" i="17" s="1"/>
  <c r="J248" i="17" a="1"/>
  <c r="J248" i="17" s="1"/>
  <c r="G248" i="17"/>
  <c r="L247" i="17"/>
  <c r="M247" i="17" s="1"/>
  <c r="I247" i="17" s="1"/>
  <c r="J247" i="17" a="1"/>
  <c r="J247" i="17" s="1"/>
  <c r="G247" i="17"/>
  <c r="L246" i="17"/>
  <c r="M246" i="17" s="1"/>
  <c r="I246" i="17" s="1"/>
  <c r="J246" i="17" a="1"/>
  <c r="J246" i="17" s="1"/>
  <c r="G246" i="17"/>
  <c r="L245" i="17"/>
  <c r="H245" i="17" s="1"/>
  <c r="J245" i="17" a="1"/>
  <c r="J245" i="17" s="1"/>
  <c r="G245" i="17"/>
  <c r="J244" i="17" a="1"/>
  <c r="J244" i="17" s="1"/>
  <c r="C244" i="17"/>
  <c r="G244" i="17" s="1"/>
  <c r="L243" i="17"/>
  <c r="M243" i="17" s="1"/>
  <c r="I243" i="17" s="1"/>
  <c r="J243" i="17" a="1"/>
  <c r="J243" i="17" s="1"/>
  <c r="G243" i="17"/>
  <c r="L242" i="17"/>
  <c r="M242" i="17" s="1"/>
  <c r="I242" i="17" s="1"/>
  <c r="J242" i="17" a="1"/>
  <c r="J242" i="17" s="1"/>
  <c r="H242" i="17"/>
  <c r="G242" i="17"/>
  <c r="J241" i="17" a="1"/>
  <c r="J241" i="17" s="1"/>
  <c r="J240" i="17" a="1"/>
  <c r="J240" i="17" s="1"/>
  <c r="F240" i="17"/>
  <c r="F226" i="17" s="1"/>
  <c r="D240" i="17"/>
  <c r="C240" i="17"/>
  <c r="C226" i="17" s="1"/>
  <c r="L239" i="17"/>
  <c r="M239" i="17" s="1"/>
  <c r="I239" i="17" s="1"/>
  <c r="J239" i="17" a="1"/>
  <c r="J239" i="17" s="1"/>
  <c r="G239" i="17"/>
  <c r="L238" i="17"/>
  <c r="H238" i="17" s="1"/>
  <c r="J238" i="17" a="1"/>
  <c r="J238" i="17" s="1"/>
  <c r="G238" i="17"/>
  <c r="L237" i="17"/>
  <c r="H237" i="17" s="1"/>
  <c r="J237" i="17" a="1"/>
  <c r="J237" i="17" s="1"/>
  <c r="G237" i="17"/>
  <c r="L236" i="17"/>
  <c r="M236" i="17" s="1"/>
  <c r="I236" i="17" s="1"/>
  <c r="J236" i="17" a="1"/>
  <c r="J236" i="17" s="1"/>
  <c r="G236" i="17"/>
  <c r="L235" i="17"/>
  <c r="M235" i="17" s="1"/>
  <c r="I235" i="17" s="1"/>
  <c r="J235" i="17" a="1"/>
  <c r="J235" i="17" s="1"/>
  <c r="G235" i="17"/>
  <c r="L234" i="17"/>
  <c r="M234" i="17" s="1"/>
  <c r="I234" i="17" s="1"/>
  <c r="J234" i="17" a="1"/>
  <c r="J234" i="17" s="1"/>
  <c r="G234" i="17"/>
  <c r="L233" i="17"/>
  <c r="H233" i="17" s="1"/>
  <c r="J233" i="17" a="1"/>
  <c r="J233" i="17" s="1"/>
  <c r="G233" i="17"/>
  <c r="L232" i="17"/>
  <c r="J232" i="17" a="1"/>
  <c r="J232" i="17" s="1"/>
  <c r="G232" i="17"/>
  <c r="L231" i="17"/>
  <c r="J231" i="17" a="1"/>
  <c r="J231" i="17" s="1"/>
  <c r="G231" i="17"/>
  <c r="L230" i="17"/>
  <c r="M230" i="17" s="1"/>
  <c r="I230" i="17" s="1"/>
  <c r="J230" i="17" a="1"/>
  <c r="J230" i="17" s="1"/>
  <c r="G230" i="17"/>
  <c r="L229" i="17"/>
  <c r="J229" i="17" a="1"/>
  <c r="J229" i="17" s="1"/>
  <c r="G229" i="17"/>
  <c r="L228" i="17"/>
  <c r="M228" i="17" s="1"/>
  <c r="I228" i="17" s="1"/>
  <c r="J228" i="17" a="1"/>
  <c r="J228" i="17" s="1"/>
  <c r="G228" i="17"/>
  <c r="L227" i="17"/>
  <c r="H227" i="17" s="1"/>
  <c r="J227" i="17" a="1"/>
  <c r="J227" i="17" s="1"/>
  <c r="G227" i="17"/>
  <c r="J226" i="17" a="1"/>
  <c r="J226" i="17" s="1"/>
  <c r="J225" i="17" a="1"/>
  <c r="J225" i="17" s="1"/>
  <c r="F225" i="17"/>
  <c r="F210" i="17" s="1"/>
  <c r="E225" i="17"/>
  <c r="E210" i="17" s="1"/>
  <c r="D225" i="17"/>
  <c r="D210" i="17" s="1"/>
  <c r="C225" i="17"/>
  <c r="L224" i="17"/>
  <c r="M224" i="17" s="1"/>
  <c r="I224" i="17" s="1"/>
  <c r="K224" i="17"/>
  <c r="J224" i="17" a="1"/>
  <c r="J224" i="17" s="1"/>
  <c r="G224" i="17"/>
  <c r="L223" i="17"/>
  <c r="H223" i="17" s="1"/>
  <c r="J223" i="17" a="1"/>
  <c r="J223" i="17" s="1"/>
  <c r="G223" i="17"/>
  <c r="L222" i="17"/>
  <c r="M222" i="17" s="1"/>
  <c r="I222" i="17" s="1"/>
  <c r="J222" i="17" a="1"/>
  <c r="J222" i="17" s="1"/>
  <c r="G222" i="17"/>
  <c r="L221" i="17"/>
  <c r="H221" i="17" s="1"/>
  <c r="K221" i="17"/>
  <c r="J221" i="17" a="1"/>
  <c r="J221" i="17" s="1"/>
  <c r="G221" i="17"/>
  <c r="L220" i="17"/>
  <c r="M220" i="17" s="1"/>
  <c r="I220" i="17" s="1"/>
  <c r="J220" i="17" a="1"/>
  <c r="J220" i="17" s="1"/>
  <c r="G220" i="17"/>
  <c r="L219" i="17"/>
  <c r="J219" i="17" a="1"/>
  <c r="J219" i="17" s="1"/>
  <c r="G219" i="17"/>
  <c r="L218" i="17"/>
  <c r="M218" i="17" s="1"/>
  <c r="I218" i="17" s="1"/>
  <c r="K218" i="17"/>
  <c r="J218" i="17" a="1"/>
  <c r="J218" i="17" s="1"/>
  <c r="G218" i="17"/>
  <c r="L217" i="17"/>
  <c r="H217" i="17" s="1"/>
  <c r="J217" i="17" a="1"/>
  <c r="J217" i="17" s="1"/>
  <c r="G217" i="17"/>
  <c r="L216" i="17"/>
  <c r="M216" i="17" s="1"/>
  <c r="I216" i="17" s="1"/>
  <c r="J216" i="17" a="1"/>
  <c r="J216" i="17" s="1"/>
  <c r="G216" i="17"/>
  <c r="L215" i="17"/>
  <c r="M215" i="17" s="1"/>
  <c r="I215" i="17" s="1"/>
  <c r="K215" i="17"/>
  <c r="J215" i="17" a="1"/>
  <c r="J215" i="17" s="1"/>
  <c r="G215" i="17"/>
  <c r="L214" i="17"/>
  <c r="M214" i="17" s="1"/>
  <c r="I214" i="17" s="1"/>
  <c r="J214" i="17" a="1"/>
  <c r="J214" i="17" s="1"/>
  <c r="G214" i="17"/>
  <c r="L213" i="17"/>
  <c r="M213" i="17" s="1"/>
  <c r="I213" i="17" s="1"/>
  <c r="J213" i="17" a="1"/>
  <c r="J213" i="17" s="1"/>
  <c r="G213" i="17"/>
  <c r="L212" i="17"/>
  <c r="H212" i="17" s="1"/>
  <c r="K212" i="17"/>
  <c r="J212" i="17" a="1"/>
  <c r="J212" i="17" s="1"/>
  <c r="G212" i="17"/>
  <c r="L211" i="17"/>
  <c r="M211" i="17" s="1"/>
  <c r="I211" i="17" s="1"/>
  <c r="K211" i="17"/>
  <c r="J211" i="17" a="1"/>
  <c r="J211" i="17" s="1"/>
  <c r="G211" i="17"/>
  <c r="J210" i="17" a="1"/>
  <c r="J210" i="17" s="1"/>
  <c r="J209" i="17" a="1"/>
  <c r="J209" i="17" s="1"/>
  <c r="F209" i="17"/>
  <c r="F194" i="17" s="1"/>
  <c r="E209" i="17"/>
  <c r="D209" i="17"/>
  <c r="D194" i="17" s="1"/>
  <c r="C209" i="17"/>
  <c r="L208" i="17"/>
  <c r="J208" i="17" a="1"/>
  <c r="J208" i="17" s="1"/>
  <c r="G208" i="17"/>
  <c r="L207" i="17"/>
  <c r="J207" i="17" a="1"/>
  <c r="J207" i="17" s="1"/>
  <c r="G207" i="17"/>
  <c r="L206" i="17"/>
  <c r="M206" i="17" s="1"/>
  <c r="I206" i="17" s="1"/>
  <c r="J206" i="17" a="1"/>
  <c r="J206" i="17" s="1"/>
  <c r="G206" i="17"/>
  <c r="L205" i="17"/>
  <c r="J205" i="17" a="1"/>
  <c r="J205" i="17" s="1"/>
  <c r="G205" i="17"/>
  <c r="L204" i="17"/>
  <c r="M204" i="17" s="1"/>
  <c r="I204" i="17" s="1"/>
  <c r="J204" i="17" a="1"/>
  <c r="J204" i="17" s="1"/>
  <c r="G204" i="17"/>
  <c r="L203" i="17"/>
  <c r="M203" i="17" s="1"/>
  <c r="I203" i="17" s="1"/>
  <c r="J203" i="17" a="1"/>
  <c r="J203" i="17" s="1"/>
  <c r="G203" i="17"/>
  <c r="L202" i="17"/>
  <c r="M202" i="17" s="1"/>
  <c r="I202" i="17" s="1"/>
  <c r="J202" i="17" a="1"/>
  <c r="J202" i="17" s="1"/>
  <c r="G202" i="17"/>
  <c r="L201" i="17"/>
  <c r="M201" i="17" s="1"/>
  <c r="I201" i="17" s="1"/>
  <c r="J201" i="17" a="1"/>
  <c r="J201" i="17" s="1"/>
  <c r="G201" i="17"/>
  <c r="L200" i="17"/>
  <c r="M200" i="17" s="1"/>
  <c r="I200" i="17" s="1"/>
  <c r="J200" i="17" a="1"/>
  <c r="J200" i="17" s="1"/>
  <c r="G200" i="17"/>
  <c r="L199" i="17"/>
  <c r="H199" i="17" s="1"/>
  <c r="J199" i="17" a="1"/>
  <c r="J199" i="17" s="1"/>
  <c r="G199" i="17"/>
  <c r="L198" i="17"/>
  <c r="H198" i="17" s="1"/>
  <c r="J198" i="17" a="1"/>
  <c r="J198" i="17" s="1"/>
  <c r="G198" i="17"/>
  <c r="L197" i="17"/>
  <c r="M197" i="17" s="1"/>
  <c r="I197" i="17" s="1"/>
  <c r="J197" i="17" a="1"/>
  <c r="J197" i="17" s="1"/>
  <c r="G197" i="17"/>
  <c r="L196" i="17"/>
  <c r="H196" i="17" s="1"/>
  <c r="J196" i="17" a="1"/>
  <c r="J196" i="17" s="1"/>
  <c r="G196" i="17"/>
  <c r="L195" i="17"/>
  <c r="M195" i="17" s="1"/>
  <c r="I195" i="17" s="1"/>
  <c r="J195" i="17" a="1"/>
  <c r="J195" i="17" s="1"/>
  <c r="G195" i="17"/>
  <c r="J194" i="17" a="1"/>
  <c r="J194" i="17" s="1"/>
  <c r="J193" i="17" a="1"/>
  <c r="J193" i="17" s="1"/>
  <c r="F193" i="17"/>
  <c r="E193" i="17"/>
  <c r="D193" i="17"/>
  <c r="C193" i="17"/>
  <c r="L192" i="17"/>
  <c r="M192" i="17" s="1"/>
  <c r="I192" i="17" s="1"/>
  <c r="J192" i="17" a="1"/>
  <c r="J192" i="17" s="1"/>
  <c r="H192" i="17"/>
  <c r="G192" i="17"/>
  <c r="L191" i="17"/>
  <c r="H191" i="17" s="1"/>
  <c r="J191" i="17" a="1"/>
  <c r="J191" i="17" s="1"/>
  <c r="G191" i="17"/>
  <c r="L190" i="17"/>
  <c r="H190" i="17" s="1"/>
  <c r="J190" i="17" a="1"/>
  <c r="J190" i="17" s="1"/>
  <c r="G190" i="17"/>
  <c r="L189" i="17"/>
  <c r="M189" i="17" s="1"/>
  <c r="I189" i="17" s="1"/>
  <c r="J189" i="17" a="1"/>
  <c r="J189" i="17" s="1"/>
  <c r="G189" i="17"/>
  <c r="L188" i="17"/>
  <c r="M188" i="17" s="1"/>
  <c r="I188" i="17" s="1"/>
  <c r="J188" i="17" a="1"/>
  <c r="J188" i="17" s="1"/>
  <c r="G188" i="17"/>
  <c r="L187" i="17"/>
  <c r="M187" i="17" s="1"/>
  <c r="I187" i="17" s="1"/>
  <c r="J187" i="17" a="1"/>
  <c r="J187" i="17" s="1"/>
  <c r="G187" i="17"/>
  <c r="L186" i="17"/>
  <c r="M186" i="17" s="1"/>
  <c r="I186" i="17" s="1"/>
  <c r="J186" i="17" a="1"/>
  <c r="J186" i="17" s="1"/>
  <c r="G186" i="17"/>
  <c r="L185" i="17"/>
  <c r="H185" i="17" s="1"/>
  <c r="J185" i="17" a="1"/>
  <c r="J185" i="17" s="1"/>
  <c r="G185" i="17"/>
  <c r="L184" i="17"/>
  <c r="J184" i="17" a="1"/>
  <c r="J184" i="17" s="1"/>
  <c r="G184" i="17"/>
  <c r="L183" i="17"/>
  <c r="J183" i="17" a="1"/>
  <c r="J183" i="17" s="1"/>
  <c r="G183" i="17"/>
  <c r="L182" i="17"/>
  <c r="M182" i="17" s="1"/>
  <c r="I182" i="17" s="1"/>
  <c r="J182" i="17" a="1"/>
  <c r="J182" i="17" s="1"/>
  <c r="G182" i="17"/>
  <c r="L181" i="17"/>
  <c r="J181" i="17" a="1"/>
  <c r="J181" i="17" s="1"/>
  <c r="G181" i="17"/>
  <c r="L180" i="17"/>
  <c r="M180" i="17" s="1"/>
  <c r="I180" i="17" s="1"/>
  <c r="J180" i="17" a="1"/>
  <c r="J180" i="17" s="1"/>
  <c r="H180" i="17"/>
  <c r="G180" i="17"/>
  <c r="L179" i="17"/>
  <c r="M179" i="17" s="1"/>
  <c r="I179" i="17" s="1"/>
  <c r="J179" i="17" a="1"/>
  <c r="J179" i="17" s="1"/>
  <c r="G179" i="17"/>
  <c r="J178" i="17" a="1"/>
  <c r="J178" i="17" s="1"/>
  <c r="F178" i="17"/>
  <c r="E178" i="17"/>
  <c r="D178" i="17"/>
  <c r="C178" i="17"/>
  <c r="L177" i="17"/>
  <c r="J177" i="17" a="1"/>
  <c r="J177" i="17" s="1"/>
  <c r="G177" i="17"/>
  <c r="L176" i="17"/>
  <c r="M176" i="17" s="1"/>
  <c r="I176" i="17" s="1"/>
  <c r="J176" i="17" a="1"/>
  <c r="J176" i="17" s="1"/>
  <c r="H176" i="17"/>
  <c r="G176" i="17"/>
  <c r="L175" i="17"/>
  <c r="M175" i="17" s="1"/>
  <c r="I175" i="17" s="1"/>
  <c r="J175" i="17" a="1"/>
  <c r="J175" i="17" s="1"/>
  <c r="G175" i="17"/>
  <c r="L174" i="17"/>
  <c r="M174" i="17" s="1"/>
  <c r="I174" i="17" s="1"/>
  <c r="J174" i="17" a="1"/>
  <c r="J174" i="17" s="1"/>
  <c r="G174" i="17"/>
  <c r="L173" i="17"/>
  <c r="M173" i="17" s="1"/>
  <c r="I173" i="17" s="1"/>
  <c r="J173" i="17" a="1"/>
  <c r="J173" i="17" s="1"/>
  <c r="G173" i="17"/>
  <c r="L172" i="17"/>
  <c r="M172" i="17" s="1"/>
  <c r="I172" i="17" s="1"/>
  <c r="J172" i="17" a="1"/>
  <c r="J172" i="17" s="1"/>
  <c r="H172" i="17"/>
  <c r="G172" i="17"/>
  <c r="L171" i="17"/>
  <c r="H171" i="17" s="1"/>
  <c r="J171" i="17" a="1"/>
  <c r="J171" i="17" s="1"/>
  <c r="G171" i="17"/>
  <c r="L170" i="17"/>
  <c r="H170" i="17" s="1"/>
  <c r="J170" i="17" a="1"/>
  <c r="J170" i="17" s="1"/>
  <c r="G170" i="17"/>
  <c r="L169" i="17"/>
  <c r="M169" i="17" s="1"/>
  <c r="I169" i="17" s="1"/>
  <c r="J169" i="17" a="1"/>
  <c r="J169" i="17" s="1"/>
  <c r="G169" i="17"/>
  <c r="L168" i="17"/>
  <c r="M168" i="17" s="1"/>
  <c r="I168" i="17" s="1"/>
  <c r="J168" i="17" a="1"/>
  <c r="J168" i="17" s="1"/>
  <c r="G168" i="17"/>
  <c r="L167" i="17"/>
  <c r="M167" i="17" s="1"/>
  <c r="I167" i="17" s="1"/>
  <c r="J167" i="17" a="1"/>
  <c r="J167" i="17" s="1"/>
  <c r="G167" i="17"/>
  <c r="L166" i="17"/>
  <c r="M166" i="17" s="1"/>
  <c r="I166" i="17" s="1"/>
  <c r="J166" i="17" a="1"/>
  <c r="J166" i="17" s="1"/>
  <c r="G166" i="17"/>
  <c r="L165" i="17"/>
  <c r="M165" i="17" s="1"/>
  <c r="I165" i="17" s="1"/>
  <c r="J165" i="17" a="1"/>
  <c r="J165" i="17" s="1"/>
  <c r="G165" i="17"/>
  <c r="L164" i="17"/>
  <c r="J164" i="17" a="1"/>
  <c r="J164" i="17" s="1"/>
  <c r="G164" i="17"/>
  <c r="L163" i="17"/>
  <c r="J163" i="17" a="1"/>
  <c r="J163" i="17" s="1"/>
  <c r="G163" i="17"/>
  <c r="J162" i="17" a="1"/>
  <c r="J162" i="17" s="1"/>
  <c r="F162" i="17"/>
  <c r="E162" i="17"/>
  <c r="D162" i="17"/>
  <c r="C162" i="17"/>
  <c r="L161" i="17"/>
  <c r="H161" i="17" s="1"/>
  <c r="J161" i="17" a="1"/>
  <c r="J161" i="17" s="1"/>
  <c r="G161" i="17"/>
  <c r="L160" i="17"/>
  <c r="J160" i="17" a="1"/>
  <c r="J160" i="17" s="1"/>
  <c r="G160" i="17"/>
  <c r="L159" i="17"/>
  <c r="J159" i="17" a="1"/>
  <c r="J159" i="17" s="1"/>
  <c r="G159" i="17"/>
  <c r="L158" i="17"/>
  <c r="M158" i="17" s="1"/>
  <c r="I158" i="17" s="1"/>
  <c r="J158" i="17" a="1"/>
  <c r="J158" i="17" s="1"/>
  <c r="G158" i="17"/>
  <c r="L157" i="17"/>
  <c r="J157" i="17" a="1"/>
  <c r="J157" i="17" s="1"/>
  <c r="G157" i="17"/>
  <c r="L156" i="17"/>
  <c r="M156" i="17" s="1"/>
  <c r="I156" i="17" s="1"/>
  <c r="J156" i="17" a="1"/>
  <c r="J156" i="17" s="1"/>
  <c r="G156" i="17"/>
  <c r="L155" i="17"/>
  <c r="M155" i="17" s="1"/>
  <c r="I155" i="17" s="1"/>
  <c r="J155" i="17" a="1"/>
  <c r="J155" i="17" s="1"/>
  <c r="G155" i="17"/>
  <c r="L154" i="17"/>
  <c r="M154" i="17" s="1"/>
  <c r="I154" i="17" s="1"/>
  <c r="J154" i="17" a="1"/>
  <c r="J154" i="17" s="1"/>
  <c r="G154" i="17"/>
  <c r="L153" i="17"/>
  <c r="M153" i="17" s="1"/>
  <c r="I153" i="17" s="1"/>
  <c r="J153" i="17" a="1"/>
  <c r="J153" i="17" s="1"/>
  <c r="H153" i="17"/>
  <c r="G153" i="17"/>
  <c r="L152" i="17"/>
  <c r="M152" i="17" s="1"/>
  <c r="I152" i="17" s="1"/>
  <c r="J152" i="17" a="1"/>
  <c r="J152" i="17" s="1"/>
  <c r="G152" i="17"/>
  <c r="L151" i="17"/>
  <c r="H151" i="17" s="1"/>
  <c r="J151" i="17" a="1"/>
  <c r="J151" i="17" s="1"/>
  <c r="G151" i="17"/>
  <c r="L150" i="17"/>
  <c r="H150" i="17" s="1"/>
  <c r="J150" i="17" a="1"/>
  <c r="J150" i="17" s="1"/>
  <c r="G150" i="17"/>
  <c r="L149" i="17"/>
  <c r="M149" i="17" s="1"/>
  <c r="I149" i="17" s="1"/>
  <c r="J149" i="17" a="1"/>
  <c r="J149" i="17" s="1"/>
  <c r="G149" i="17"/>
  <c r="L148" i="17"/>
  <c r="M148" i="17" s="1"/>
  <c r="I148" i="17" s="1"/>
  <c r="J148" i="17" a="1"/>
  <c r="J148" i="17" s="1"/>
  <c r="G148" i="17"/>
  <c r="L147" i="17"/>
  <c r="M147" i="17" s="1"/>
  <c r="I147" i="17" s="1"/>
  <c r="J147" i="17" a="1"/>
  <c r="J147" i="17" s="1"/>
  <c r="G147" i="17"/>
  <c r="L146" i="17"/>
  <c r="M146" i="17" s="1"/>
  <c r="I146" i="17" s="1"/>
  <c r="J146" i="17" a="1"/>
  <c r="J146" i="17" s="1"/>
  <c r="H146" i="17"/>
  <c r="G146" i="17"/>
  <c r="J145" i="17" a="1"/>
  <c r="J145" i="17" s="1"/>
  <c r="F145" i="17"/>
  <c r="E145" i="17"/>
  <c r="D145" i="17"/>
  <c r="C145" i="17"/>
  <c r="L144" i="17"/>
  <c r="M144" i="17" s="1"/>
  <c r="I144" i="17" s="1"/>
  <c r="J144" i="17" a="1"/>
  <c r="J144" i="17" s="1"/>
  <c r="G144" i="17"/>
  <c r="L143" i="17"/>
  <c r="M143" i="17" s="1"/>
  <c r="I143" i="17" s="1"/>
  <c r="J143" i="17" a="1"/>
  <c r="J143" i="17" s="1"/>
  <c r="G143" i="17"/>
  <c r="L142" i="17"/>
  <c r="H142" i="17" s="1"/>
  <c r="J142" i="17" a="1"/>
  <c r="J142" i="17" s="1"/>
  <c r="G142" i="17"/>
  <c r="L141" i="17"/>
  <c r="M141" i="17" s="1"/>
  <c r="I141" i="17" s="1"/>
  <c r="J141" i="17" a="1"/>
  <c r="J141" i="17" s="1"/>
  <c r="G141" i="17"/>
  <c r="L140" i="17"/>
  <c r="J140" i="17" a="1"/>
  <c r="J140" i="17" s="1"/>
  <c r="G140" i="17"/>
  <c r="L139" i="17"/>
  <c r="J139" i="17" a="1"/>
  <c r="J139" i="17" s="1"/>
  <c r="G139" i="17"/>
  <c r="L138" i="17"/>
  <c r="M138" i="17" s="1"/>
  <c r="I138" i="17" s="1"/>
  <c r="J138" i="17" a="1"/>
  <c r="J138" i="17" s="1"/>
  <c r="G138" i="17"/>
  <c r="L137" i="17"/>
  <c r="J137" i="17" a="1"/>
  <c r="J137" i="17" s="1"/>
  <c r="G137" i="17"/>
  <c r="L136" i="17"/>
  <c r="M136" i="17" s="1"/>
  <c r="I136" i="17" s="1"/>
  <c r="J136" i="17" a="1"/>
  <c r="J136" i="17" s="1"/>
  <c r="G136" i="17"/>
  <c r="L135" i="17"/>
  <c r="M135" i="17" s="1"/>
  <c r="I135" i="17" s="1"/>
  <c r="J135" i="17" a="1"/>
  <c r="J135" i="17" s="1"/>
  <c r="G135" i="17"/>
  <c r="L134" i="17"/>
  <c r="M134" i="17" s="1"/>
  <c r="I134" i="17" s="1"/>
  <c r="J134" i="17" a="1"/>
  <c r="J134" i="17" s="1"/>
  <c r="G134" i="17"/>
  <c r="L133" i="17"/>
  <c r="M133" i="17" s="1"/>
  <c r="I133" i="17" s="1"/>
  <c r="J133" i="17" a="1"/>
  <c r="J133" i="17" s="1"/>
  <c r="G133" i="17"/>
  <c r="L132" i="17"/>
  <c r="M132" i="17" s="1"/>
  <c r="I132" i="17" s="1"/>
  <c r="J132" i="17" a="1"/>
  <c r="J132" i="17" s="1"/>
  <c r="G132" i="17"/>
  <c r="J131" i="17" a="1"/>
  <c r="J131" i="17" s="1"/>
  <c r="F131" i="17"/>
  <c r="E131" i="17"/>
  <c r="D131" i="17"/>
  <c r="C131" i="17"/>
  <c r="L130" i="17"/>
  <c r="M130" i="17" s="1"/>
  <c r="I130" i="17" s="1"/>
  <c r="J130" i="17" a="1"/>
  <c r="J130" i="17" s="1"/>
  <c r="G130" i="17"/>
  <c r="L129" i="17"/>
  <c r="M129" i="17" s="1"/>
  <c r="I129" i="17" s="1"/>
  <c r="J129" i="17" a="1"/>
  <c r="J129" i="17" s="1"/>
  <c r="G129" i="17"/>
  <c r="L128" i="17"/>
  <c r="M128" i="17" s="1"/>
  <c r="I128" i="17" s="1"/>
  <c r="J128" i="17" a="1"/>
  <c r="J128" i="17" s="1"/>
  <c r="G128" i="17"/>
  <c r="L127" i="17"/>
  <c r="H127" i="17" s="1"/>
  <c r="J127" i="17" a="1"/>
  <c r="J127" i="17" s="1"/>
  <c r="G127" i="17"/>
  <c r="L126" i="17"/>
  <c r="H126" i="17" s="1"/>
  <c r="J126" i="17" a="1"/>
  <c r="J126" i="17" s="1"/>
  <c r="G126" i="17"/>
  <c r="L125" i="17"/>
  <c r="H125" i="17" s="1"/>
  <c r="J125" i="17" a="1"/>
  <c r="J125" i="17" s="1"/>
  <c r="G125" i="17"/>
  <c r="L124" i="17"/>
  <c r="M124" i="17" s="1"/>
  <c r="I124" i="17" s="1"/>
  <c r="J124" i="17" a="1"/>
  <c r="J124" i="17" s="1"/>
  <c r="G124" i="17"/>
  <c r="L123" i="17"/>
  <c r="M123" i="17" s="1"/>
  <c r="I123" i="17" s="1"/>
  <c r="J123" i="17" a="1"/>
  <c r="J123" i="17" s="1"/>
  <c r="G123" i="17"/>
  <c r="L122" i="17"/>
  <c r="H122" i="17" s="1"/>
  <c r="J122" i="17" a="1"/>
  <c r="J122" i="17" s="1"/>
  <c r="G122" i="17"/>
  <c r="L121" i="17"/>
  <c r="M121" i="17" s="1"/>
  <c r="I121" i="17" s="1"/>
  <c r="J121" i="17" a="1"/>
  <c r="J121" i="17" s="1"/>
  <c r="G121" i="17"/>
  <c r="L120" i="17"/>
  <c r="J120" i="17" a="1"/>
  <c r="J120" i="17" s="1"/>
  <c r="G120" i="17"/>
  <c r="L119" i="17"/>
  <c r="J119" i="17" a="1"/>
  <c r="J119" i="17" s="1"/>
  <c r="G119" i="17"/>
  <c r="L118" i="17"/>
  <c r="M118" i="17" s="1"/>
  <c r="I118" i="17" s="1"/>
  <c r="J118" i="17" a="1"/>
  <c r="J118" i="17" s="1"/>
  <c r="G118" i="17"/>
  <c r="J117" i="17" a="1"/>
  <c r="J117" i="17" s="1"/>
  <c r="F117" i="17"/>
  <c r="E117" i="17"/>
  <c r="D117" i="17"/>
  <c r="C117" i="17"/>
  <c r="L116" i="17"/>
  <c r="J116" i="17" a="1"/>
  <c r="J116" i="17" s="1"/>
  <c r="G116" i="17"/>
  <c r="L115" i="17"/>
  <c r="J115" i="17" a="1"/>
  <c r="J115" i="17" s="1"/>
  <c r="G115" i="17"/>
  <c r="L114" i="17"/>
  <c r="M114" i="17" s="1"/>
  <c r="I114" i="17" s="1"/>
  <c r="J114" i="17" a="1"/>
  <c r="J114" i="17" s="1"/>
  <c r="G114" i="17"/>
  <c r="L113" i="17"/>
  <c r="J113" i="17" a="1"/>
  <c r="J113" i="17" s="1"/>
  <c r="G113" i="17"/>
  <c r="L112" i="17"/>
  <c r="M112" i="17" s="1"/>
  <c r="I112" i="17" s="1"/>
  <c r="J112" i="17" a="1"/>
  <c r="J112" i="17" s="1"/>
  <c r="H112" i="17"/>
  <c r="G112" i="17"/>
  <c r="L111" i="17"/>
  <c r="H111" i="17" s="1"/>
  <c r="J111" i="17" a="1"/>
  <c r="J111" i="17" s="1"/>
  <c r="G111" i="17"/>
  <c r="J110" i="17" a="1"/>
  <c r="J110" i="17" s="1"/>
  <c r="J109" i="17" a="1"/>
  <c r="J109" i="17" s="1"/>
  <c r="F109" i="17"/>
  <c r="E109" i="17"/>
  <c r="D109" i="17"/>
  <c r="C109" i="17"/>
  <c r="L108" i="17"/>
  <c r="J108" i="17" a="1"/>
  <c r="J108" i="17" s="1"/>
  <c r="G108" i="17"/>
  <c r="L107" i="17"/>
  <c r="M107" i="17" s="1"/>
  <c r="I107" i="17" s="1"/>
  <c r="J107" i="17" a="1"/>
  <c r="J107" i="17" s="1"/>
  <c r="G107" i="17"/>
  <c r="L106" i="17"/>
  <c r="M106" i="17" s="1"/>
  <c r="I106" i="17" s="1"/>
  <c r="J106" i="17" a="1"/>
  <c r="J106" i="17" s="1"/>
  <c r="G106" i="17"/>
  <c r="L105" i="17"/>
  <c r="M105" i="17" s="1"/>
  <c r="I105" i="17" s="1"/>
  <c r="J105" i="17" a="1"/>
  <c r="J105" i="17" s="1"/>
  <c r="G105" i="17"/>
  <c r="L104" i="17"/>
  <c r="M104" i="17" s="1"/>
  <c r="I104" i="17" s="1"/>
  <c r="J104" i="17" a="1"/>
  <c r="J104" i="17" s="1"/>
  <c r="G104" i="17"/>
  <c r="L103" i="17"/>
  <c r="H103" i="17" s="1"/>
  <c r="J103" i="17" a="1"/>
  <c r="J103" i="17" s="1"/>
  <c r="G103" i="17"/>
  <c r="L102" i="17"/>
  <c r="M102" i="17" s="1"/>
  <c r="I102" i="17" s="1"/>
  <c r="J102" i="17" a="1"/>
  <c r="J102" i="17" s="1"/>
  <c r="G102" i="17"/>
  <c r="L101" i="17"/>
  <c r="M101" i="17" s="1"/>
  <c r="I101" i="17" s="1"/>
  <c r="J101" i="17" a="1"/>
  <c r="J101" i="17" s="1"/>
  <c r="G101" i="17"/>
  <c r="L100" i="17"/>
  <c r="H100" i="17" s="1"/>
  <c r="J100" i="17" a="1"/>
  <c r="J100" i="17" s="1"/>
  <c r="G100" i="17"/>
  <c r="L99" i="17"/>
  <c r="H99" i="17" s="1"/>
  <c r="J99" i="17" a="1"/>
  <c r="J99" i="17" s="1"/>
  <c r="G99" i="17"/>
  <c r="L98" i="17"/>
  <c r="H98" i="17" s="1"/>
  <c r="J98" i="17" a="1"/>
  <c r="J98" i="17" s="1"/>
  <c r="G98" i="17"/>
  <c r="L97" i="17"/>
  <c r="H97" i="17" s="1"/>
  <c r="J97" i="17" a="1"/>
  <c r="J97" i="17" s="1"/>
  <c r="G97" i="17"/>
  <c r="L96" i="17"/>
  <c r="M96" i="17" s="1"/>
  <c r="I96" i="17" s="1"/>
  <c r="J96" i="17" a="1"/>
  <c r="J96" i="17" s="1"/>
  <c r="G96" i="17"/>
  <c r="J95" i="17" a="1"/>
  <c r="J95" i="17" s="1"/>
  <c r="F95" i="17"/>
  <c r="D95" i="17"/>
  <c r="C95" i="17"/>
  <c r="L95" i="17" s="1"/>
  <c r="M95" i="17" s="1"/>
  <c r="I95" i="17" s="1"/>
  <c r="L94" i="17"/>
  <c r="M94" i="17" s="1"/>
  <c r="I94" i="17" s="1"/>
  <c r="J94" i="17" a="1"/>
  <c r="J94" i="17" s="1"/>
  <c r="G94" i="17"/>
  <c r="L93" i="17"/>
  <c r="M93" i="17" s="1"/>
  <c r="I93" i="17" s="1"/>
  <c r="J93" i="17" a="1"/>
  <c r="J93" i="17" s="1"/>
  <c r="G93" i="17"/>
  <c r="L92" i="17"/>
  <c r="M92" i="17" s="1"/>
  <c r="I92" i="17" s="1"/>
  <c r="J92" i="17" a="1"/>
  <c r="J92" i="17" s="1"/>
  <c r="G92" i="17"/>
  <c r="L91" i="17"/>
  <c r="M91" i="17" s="1"/>
  <c r="I91" i="17" s="1"/>
  <c r="J91" i="17" a="1"/>
  <c r="J91" i="17" s="1"/>
  <c r="G91" i="17"/>
  <c r="L90" i="17"/>
  <c r="M90" i="17" s="1"/>
  <c r="I90" i="17" s="1"/>
  <c r="J90" i="17" a="1"/>
  <c r="J90" i="17" s="1"/>
  <c r="G90" i="17"/>
  <c r="L89" i="17"/>
  <c r="M89" i="17" s="1"/>
  <c r="I89" i="17" s="1"/>
  <c r="J89" i="17" a="1"/>
  <c r="J89" i="17" s="1"/>
  <c r="G89" i="17"/>
  <c r="L88" i="17"/>
  <c r="H88" i="17" s="1"/>
  <c r="J88" i="17" a="1"/>
  <c r="J88" i="17" s="1"/>
  <c r="G88" i="17"/>
  <c r="L87" i="17"/>
  <c r="H87" i="17" s="1"/>
  <c r="J87" i="17" a="1"/>
  <c r="J87" i="17" s="1"/>
  <c r="G87" i="17"/>
  <c r="L86" i="17"/>
  <c r="M86" i="17" s="1"/>
  <c r="I86" i="17" s="1"/>
  <c r="J86" i="17" a="1"/>
  <c r="J86" i="17" s="1"/>
  <c r="G86" i="17"/>
  <c r="L85" i="17"/>
  <c r="M85" i="17" s="1"/>
  <c r="I85" i="17" s="1"/>
  <c r="J85" i="17" a="1"/>
  <c r="J85" i="17" s="1"/>
  <c r="G85" i="17"/>
  <c r="L84" i="17"/>
  <c r="J84" i="17" a="1"/>
  <c r="J84" i="17" s="1"/>
  <c r="G84" i="17"/>
  <c r="L83" i="17"/>
  <c r="M83" i="17" s="1"/>
  <c r="I83" i="17" s="1"/>
  <c r="J83" i="17" a="1"/>
  <c r="J83" i="17" s="1"/>
  <c r="G83" i="17"/>
  <c r="L82" i="17"/>
  <c r="H82" i="17" s="1"/>
  <c r="J82" i="17" a="1"/>
  <c r="J82" i="17" s="1"/>
  <c r="G82" i="17"/>
  <c r="J81" i="17" a="1"/>
  <c r="J81" i="17" s="1"/>
  <c r="F81" i="17"/>
  <c r="E81" i="17"/>
  <c r="D81" i="17"/>
  <c r="C81" i="17"/>
  <c r="L80" i="17"/>
  <c r="J80" i="17" a="1"/>
  <c r="J80" i="17" s="1"/>
  <c r="G80" i="17"/>
  <c r="L79" i="17"/>
  <c r="H79" i="17" s="1"/>
  <c r="J79" i="17" a="1"/>
  <c r="J79" i="17" s="1"/>
  <c r="G79" i="17"/>
  <c r="L78" i="17"/>
  <c r="H78" i="17" s="1"/>
  <c r="J78" i="17" a="1"/>
  <c r="J78" i="17" s="1"/>
  <c r="G78" i="17"/>
  <c r="L77" i="17"/>
  <c r="J77" i="17" a="1"/>
  <c r="J77" i="17" s="1"/>
  <c r="G77" i="17"/>
  <c r="L76" i="17"/>
  <c r="H76" i="17" s="1"/>
  <c r="J76" i="17" a="1"/>
  <c r="J76" i="17" s="1"/>
  <c r="G76" i="17"/>
  <c r="L75" i="17"/>
  <c r="M75" i="17" s="1"/>
  <c r="I75" i="17" s="1"/>
  <c r="J75" i="17" a="1"/>
  <c r="J75" i="17" s="1"/>
  <c r="G75" i="17"/>
  <c r="L74" i="17"/>
  <c r="M74" i="17" s="1"/>
  <c r="I74" i="17" s="1"/>
  <c r="J74" i="17" a="1"/>
  <c r="J74" i="17" s="1"/>
  <c r="G74" i="17"/>
  <c r="L73" i="17"/>
  <c r="M73" i="17" s="1"/>
  <c r="I73" i="17" s="1"/>
  <c r="J73" i="17" a="1"/>
  <c r="J73" i="17" s="1"/>
  <c r="G73" i="17"/>
  <c r="L72" i="17"/>
  <c r="M72" i="17" s="1"/>
  <c r="I72" i="17" s="1"/>
  <c r="J72" i="17" a="1"/>
  <c r="J72" i="17" s="1"/>
  <c r="H72" i="17"/>
  <c r="G72" i="17"/>
  <c r="L71" i="17"/>
  <c r="M71" i="17" s="1"/>
  <c r="I71" i="17" s="1"/>
  <c r="J71" i="17" a="1"/>
  <c r="J71" i="17" s="1"/>
  <c r="G71" i="17"/>
  <c r="L70" i="17"/>
  <c r="M70" i="17" s="1"/>
  <c r="I70" i="17" s="1"/>
  <c r="J70" i="17" a="1"/>
  <c r="J70" i="17" s="1"/>
  <c r="G70" i="17"/>
  <c r="L69" i="17"/>
  <c r="H69" i="17" s="1"/>
  <c r="J69" i="17" a="1"/>
  <c r="J69" i="17" s="1"/>
  <c r="G69" i="17"/>
  <c r="L68" i="17"/>
  <c r="H68" i="17" s="1"/>
  <c r="J68" i="17" a="1"/>
  <c r="J68" i="17" s="1"/>
  <c r="G68" i="17"/>
  <c r="L67" i="17"/>
  <c r="H67" i="17" s="1"/>
  <c r="J67" i="17" a="1"/>
  <c r="J67" i="17" s="1"/>
  <c r="G67" i="17"/>
  <c r="L66" i="17"/>
  <c r="M66" i="17" s="1"/>
  <c r="I66" i="17" s="1"/>
  <c r="J66" i="17" a="1"/>
  <c r="J66" i="17" s="1"/>
  <c r="G66" i="17"/>
  <c r="L65" i="17"/>
  <c r="M65" i="17" s="1"/>
  <c r="I65" i="17" s="1"/>
  <c r="J65" i="17" a="1"/>
  <c r="J65" i="17" s="1"/>
  <c r="G65" i="17"/>
  <c r="J64" i="17" a="1"/>
  <c r="J64" i="17" s="1"/>
  <c r="F64" i="17"/>
  <c r="E64" i="17"/>
  <c r="D64" i="17"/>
  <c r="C64" i="17"/>
  <c r="L63" i="17"/>
  <c r="H63" i="17" s="1"/>
  <c r="J63" i="17" a="1"/>
  <c r="J63" i="17" s="1"/>
  <c r="G63" i="17"/>
  <c r="L62" i="17"/>
  <c r="H62" i="17" s="1"/>
  <c r="J62" i="17" a="1"/>
  <c r="J62" i="17" s="1"/>
  <c r="G62" i="17"/>
  <c r="J61" i="17" a="1"/>
  <c r="J61" i="17" s="1"/>
  <c r="J60" i="17" a="1"/>
  <c r="J60" i="17" s="1"/>
  <c r="F60" i="17"/>
  <c r="E60" i="17"/>
  <c r="L59" i="17"/>
  <c r="M59" i="17" s="1"/>
  <c r="I59" i="17" s="1"/>
  <c r="J59" i="17" a="1"/>
  <c r="J59" i="17" s="1"/>
  <c r="G59" i="17"/>
  <c r="L58" i="17"/>
  <c r="M58" i="17" s="1"/>
  <c r="I58" i="17" s="1"/>
  <c r="J58" i="17" a="1"/>
  <c r="J58" i="17" s="1"/>
  <c r="G58" i="17"/>
  <c r="L57" i="17"/>
  <c r="M57" i="17" s="1"/>
  <c r="I57" i="17" s="1"/>
  <c r="J57" i="17" a="1"/>
  <c r="J57" i="17" s="1"/>
  <c r="G57" i="17"/>
  <c r="L56" i="17"/>
  <c r="H56" i="17" s="1"/>
  <c r="J56" i="17" a="1"/>
  <c r="J56" i="17" s="1"/>
  <c r="G56" i="17"/>
  <c r="L55" i="17"/>
  <c r="H55" i="17" s="1"/>
  <c r="J55" i="17" a="1"/>
  <c r="J55" i="17" s="1"/>
  <c r="G55" i="17"/>
  <c r="L45" i="17"/>
  <c r="J45" i="17" a="1"/>
  <c r="J45" i="17" s="1"/>
  <c r="G45" i="17"/>
  <c r="L44" i="17"/>
  <c r="M44" i="17" s="1"/>
  <c r="I44" i="17" s="1"/>
  <c r="J44" i="17" a="1"/>
  <c r="J44" i="17" s="1"/>
  <c r="G44" i="17"/>
  <c r="L43" i="17"/>
  <c r="M43" i="17" s="1"/>
  <c r="I43" i="17" s="1"/>
  <c r="J43" i="17" a="1"/>
  <c r="J43" i="17" s="1"/>
  <c r="G43" i="17"/>
  <c r="L42" i="17"/>
  <c r="M42" i="17" s="1"/>
  <c r="I42" i="17" s="1"/>
  <c r="J42" i="17" a="1"/>
  <c r="J42" i="17" s="1"/>
  <c r="H42" i="17"/>
  <c r="G42" i="17"/>
  <c r="J41" i="17" a="1"/>
  <c r="J41" i="17" s="1"/>
  <c r="F41" i="17"/>
  <c r="E41" i="17"/>
  <c r="D41" i="17"/>
  <c r="C41" i="17"/>
  <c r="L40" i="17"/>
  <c r="M40" i="17" s="1"/>
  <c r="I40" i="17" s="1"/>
  <c r="J40" i="17" a="1"/>
  <c r="J40" i="17" s="1"/>
  <c r="G40" i="17"/>
  <c r="L39" i="17"/>
  <c r="M39" i="17" s="1"/>
  <c r="I39" i="17" s="1"/>
  <c r="J39" i="17" a="1"/>
  <c r="J39" i="17" s="1"/>
  <c r="G39" i="17"/>
  <c r="L38" i="17"/>
  <c r="M38" i="17" s="1"/>
  <c r="I38" i="17" s="1"/>
  <c r="J38" i="17" a="1"/>
  <c r="J38" i="17" s="1"/>
  <c r="G38" i="17"/>
  <c r="L37" i="17"/>
  <c r="H37" i="17" s="1"/>
  <c r="J37" i="17" a="1"/>
  <c r="J37" i="17" s="1"/>
  <c r="G37" i="17"/>
  <c r="L36" i="17"/>
  <c r="M36" i="17" s="1"/>
  <c r="I36" i="17" s="1"/>
  <c r="J36" i="17" a="1"/>
  <c r="J36" i="17" s="1"/>
  <c r="G36" i="17"/>
  <c r="L35" i="17"/>
  <c r="M35" i="17" s="1"/>
  <c r="I35" i="17" s="1"/>
  <c r="J35" i="17" a="1"/>
  <c r="J35" i="17" s="1"/>
  <c r="G35" i="17"/>
  <c r="L34" i="17"/>
  <c r="H34" i="17" s="1"/>
  <c r="J34" i="17" a="1"/>
  <c r="J34" i="17" s="1"/>
  <c r="G34" i="17"/>
  <c r="L33" i="17"/>
  <c r="H33" i="17" s="1"/>
  <c r="J33" i="17" a="1"/>
  <c r="J33" i="17" s="1"/>
  <c r="G33" i="17"/>
  <c r="L32" i="17"/>
  <c r="M32" i="17" s="1"/>
  <c r="I32" i="17" s="1"/>
  <c r="J32" i="17" a="1"/>
  <c r="J32" i="17" s="1"/>
  <c r="H32" i="17"/>
  <c r="G32" i="17"/>
  <c r="L31" i="17"/>
  <c r="M31" i="17" s="1"/>
  <c r="I31" i="17" s="1"/>
  <c r="J31" i="17" a="1"/>
  <c r="J31" i="17" s="1"/>
  <c r="G31" i="17"/>
  <c r="L30" i="17"/>
  <c r="M30" i="17" s="1"/>
  <c r="I30" i="17" s="1"/>
  <c r="J30" i="17" a="1"/>
  <c r="J30" i="17" s="1"/>
  <c r="G30" i="17"/>
  <c r="L29" i="17"/>
  <c r="M29" i="17" s="1"/>
  <c r="I29" i="17" s="1"/>
  <c r="J29" i="17" a="1"/>
  <c r="J29" i="17" s="1"/>
  <c r="G29" i="17"/>
  <c r="L28" i="17"/>
  <c r="H28" i="17" s="1"/>
  <c r="J28" i="17" a="1"/>
  <c r="J28" i="17" s="1"/>
  <c r="G28" i="17"/>
  <c r="L27" i="17"/>
  <c r="H27" i="17" s="1"/>
  <c r="J27" i="17" a="1"/>
  <c r="J27" i="17" s="1"/>
  <c r="G27" i="17"/>
  <c r="J26" i="17" a="1"/>
  <c r="J26" i="17" s="1"/>
  <c r="F26" i="17"/>
  <c r="E26" i="17"/>
  <c r="D26" i="17"/>
  <c r="C26" i="17"/>
  <c r="L25" i="17"/>
  <c r="M25" i="17" s="1"/>
  <c r="I25" i="17" s="1"/>
  <c r="J25" i="17" a="1"/>
  <c r="J25" i="17" s="1"/>
  <c r="G25" i="17"/>
  <c r="L24" i="17"/>
  <c r="H24" i="17" s="1"/>
  <c r="J24" i="17" a="1"/>
  <c r="J24" i="17" s="1"/>
  <c r="G24" i="17"/>
  <c r="L23" i="17"/>
  <c r="H23" i="17" s="1"/>
  <c r="J23" i="17" a="1"/>
  <c r="J23" i="17" s="1"/>
  <c r="G23" i="17"/>
  <c r="L22" i="17"/>
  <c r="M22" i="17" s="1"/>
  <c r="I22" i="17" s="1"/>
  <c r="J22" i="17" a="1"/>
  <c r="J22" i="17" s="1"/>
  <c r="G22" i="17"/>
  <c r="J21" i="17" a="1"/>
  <c r="J21" i="17" s="1"/>
  <c r="J20" i="17" a="1"/>
  <c r="J20" i="17" s="1"/>
  <c r="F20" i="17"/>
  <c r="L19" i="17"/>
  <c r="M19" i="17" s="1"/>
  <c r="I19" i="17" s="1"/>
  <c r="J19" i="17" a="1"/>
  <c r="J19" i="17" s="1"/>
  <c r="L18" i="17"/>
  <c r="M18" i="17" s="1"/>
  <c r="I18" i="17" s="1"/>
  <c r="J18" i="17" a="1"/>
  <c r="J18" i="17" s="1"/>
  <c r="G18" i="17"/>
  <c r="L17" i="17"/>
  <c r="M17" i="17" s="1"/>
  <c r="I17" i="17" s="1"/>
  <c r="J17" i="17" a="1"/>
  <c r="J17" i="17" s="1"/>
  <c r="G17" i="17"/>
  <c r="L16" i="17"/>
  <c r="H16" i="17" s="1"/>
  <c r="J16" i="17" a="1"/>
  <c r="J16" i="17" s="1"/>
  <c r="G16" i="17"/>
  <c r="L15" i="17"/>
  <c r="H15" i="17" s="1"/>
  <c r="J15" i="17" a="1"/>
  <c r="J15" i="17" s="1"/>
  <c r="G15" i="17"/>
  <c r="L14" i="17"/>
  <c r="H14" i="17" s="1"/>
  <c r="J14" i="17" a="1"/>
  <c r="J14" i="17" s="1"/>
  <c r="G14" i="17"/>
  <c r="L13" i="17"/>
  <c r="M13" i="17" s="1"/>
  <c r="I13" i="17" s="1"/>
  <c r="J13" i="17" a="1"/>
  <c r="J13" i="17" s="1"/>
  <c r="G13" i="17"/>
  <c r="L12" i="17"/>
  <c r="M12" i="17" s="1"/>
  <c r="I12" i="17" s="1"/>
  <c r="J12" i="17" a="1"/>
  <c r="J12" i="17" s="1"/>
  <c r="G12" i="17"/>
  <c r="L11" i="17"/>
  <c r="M11" i="17" s="1"/>
  <c r="I11" i="17" s="1"/>
  <c r="J11" i="17" a="1"/>
  <c r="J11" i="17" s="1"/>
  <c r="G11" i="17"/>
  <c r="L10" i="17"/>
  <c r="M10" i="17" s="1"/>
  <c r="I10" i="17" s="1"/>
  <c r="J10" i="17" a="1"/>
  <c r="J10" i="17" s="1"/>
  <c r="G10" i="17"/>
  <c r="L9" i="17"/>
  <c r="H9" i="17" s="1"/>
  <c r="J9" i="17" a="1"/>
  <c r="J9" i="17" s="1"/>
  <c r="G9" i="17"/>
  <c r="L8" i="17"/>
  <c r="H8" i="17" s="1"/>
  <c r="J8" i="17" a="1"/>
  <c r="J8" i="17" s="1"/>
  <c r="G8" i="17"/>
  <c r="L7" i="17"/>
  <c r="M7" i="17" s="1"/>
  <c r="I7" i="17" s="1"/>
  <c r="J7" i="17" a="1"/>
  <c r="J7" i="17" s="1"/>
  <c r="G7" i="17"/>
  <c r="L6" i="17"/>
  <c r="M6" i="17" s="1"/>
  <c r="I6" i="17" s="1"/>
  <c r="J6" i="17" a="1"/>
  <c r="J6" i="17" s="1"/>
  <c r="G6" i="17"/>
  <c r="C5" i="17"/>
  <c r="I4" i="17"/>
  <c r="H4" i="17"/>
  <c r="L2" i="17"/>
  <c r="M2" i="17" s="1"/>
  <c r="H2" i="17" s="1"/>
  <c r="G302" i="17" s="1"/>
  <c r="E79" i="16"/>
  <c r="C291" i="16"/>
  <c r="F281" i="16"/>
  <c r="G281" i="16"/>
  <c r="F282" i="16"/>
  <c r="G282" i="16"/>
  <c r="F283" i="16"/>
  <c r="G283" i="16"/>
  <c r="F284" i="16"/>
  <c r="G284" i="16"/>
  <c r="F285" i="16"/>
  <c r="G285" i="16"/>
  <c r="F286" i="16"/>
  <c r="G286" i="16"/>
  <c r="F287" i="16"/>
  <c r="G287" i="16"/>
  <c r="F288" i="16"/>
  <c r="G288" i="16"/>
  <c r="F289" i="16"/>
  <c r="G289" i="16"/>
  <c r="F290" i="16"/>
  <c r="G290" i="16"/>
  <c r="C250" i="16"/>
  <c r="D250" i="16"/>
  <c r="G152" i="16"/>
  <c r="J152" i="16" a="1"/>
  <c r="J152" i="16" s="1"/>
  <c r="L152" i="16"/>
  <c r="H152" i="16" s="1"/>
  <c r="G153" i="16"/>
  <c r="J153" i="16" a="1"/>
  <c r="J153" i="16" s="1"/>
  <c r="L153" i="16"/>
  <c r="H153" i="16" s="1"/>
  <c r="G154" i="16"/>
  <c r="J154" i="16" a="1"/>
  <c r="J154" i="16" s="1"/>
  <c r="L154" i="16"/>
  <c r="H154" i="16" s="1"/>
  <c r="G155" i="16"/>
  <c r="J155" i="16" a="1"/>
  <c r="J155" i="16" s="1"/>
  <c r="L155" i="16"/>
  <c r="H155" i="16" s="1"/>
  <c r="G156" i="16"/>
  <c r="J156" i="16" a="1"/>
  <c r="J156" i="16" s="1"/>
  <c r="L156" i="16"/>
  <c r="H156" i="16" s="1"/>
  <c r="M156" i="16"/>
  <c r="I156" i="16" s="1"/>
  <c r="G157" i="16"/>
  <c r="J157" i="16" a="1"/>
  <c r="J157" i="16" s="1"/>
  <c r="L157" i="16"/>
  <c r="H157" i="16" s="1"/>
  <c r="H66" i="22" l="1"/>
  <c r="H263" i="22"/>
  <c r="G264" i="22"/>
  <c r="H216" i="22"/>
  <c r="E312" i="22"/>
  <c r="G42" i="19"/>
  <c r="M32" i="19"/>
  <c r="I32" i="19" s="1"/>
  <c r="L96" i="19"/>
  <c r="H96" i="19" s="1"/>
  <c r="M217" i="19"/>
  <c r="I217" i="19" s="1"/>
  <c r="H193" i="19"/>
  <c r="H51" i="19"/>
  <c r="H268" i="19"/>
  <c r="L258" i="19"/>
  <c r="M258" i="19" s="1"/>
  <c r="I258" i="19" s="1"/>
  <c r="M31" i="19"/>
  <c r="I31" i="19" s="1"/>
  <c r="L110" i="19"/>
  <c r="M110" i="19" s="1"/>
  <c r="I110" i="19" s="1"/>
  <c r="L254" i="19"/>
  <c r="H254" i="19" s="1"/>
  <c r="H223" i="19"/>
  <c r="H248" i="19"/>
  <c r="H247" i="22"/>
  <c r="H26" i="22"/>
  <c r="M251" i="22"/>
  <c r="I251" i="22" s="1"/>
  <c r="E279" i="22"/>
  <c r="G113" i="22"/>
  <c r="H264" i="22"/>
  <c r="H278" i="22"/>
  <c r="H248" i="22"/>
  <c r="H198" i="22"/>
  <c r="H167" i="22"/>
  <c r="L113" i="22"/>
  <c r="M113" i="22" s="1"/>
  <c r="I113" i="22" s="1"/>
  <c r="H150" i="22"/>
  <c r="H112" i="22"/>
  <c r="H98" i="22"/>
  <c r="D312" i="22"/>
  <c r="H62" i="22"/>
  <c r="F279" i="22"/>
  <c r="H232" i="22"/>
  <c r="H233" i="22"/>
  <c r="H121" i="22"/>
  <c r="G248" i="22"/>
  <c r="G233" i="22"/>
  <c r="M135" i="22"/>
  <c r="I135" i="22" s="1"/>
  <c r="H135" i="22"/>
  <c r="H199" i="22"/>
  <c r="M83" i="22"/>
  <c r="I83" i="22" s="1"/>
  <c r="H83" i="22"/>
  <c r="D279" i="22"/>
  <c r="H183" i="22"/>
  <c r="M183" i="22"/>
  <c r="I183" i="22" s="1"/>
  <c r="M20" i="22"/>
  <c r="I20" i="22" s="1"/>
  <c r="H20" i="22"/>
  <c r="M215" i="22"/>
  <c r="I215" i="22" s="1"/>
  <c r="H215" i="22"/>
  <c r="H259" i="22"/>
  <c r="M259" i="22"/>
  <c r="I259" i="22" s="1"/>
  <c r="L63" i="22"/>
  <c r="M63" i="22" s="1"/>
  <c r="I63" i="22" s="1"/>
  <c r="L5" i="22"/>
  <c r="C312" i="22"/>
  <c r="F312" i="22" s="1"/>
  <c r="G5" i="22"/>
  <c r="C279" i="22"/>
  <c r="G21" i="22"/>
  <c r="L21" i="22"/>
  <c r="G135" i="21"/>
  <c r="H65" i="21"/>
  <c r="M256" i="21"/>
  <c r="I256" i="21" s="1"/>
  <c r="M258" i="21"/>
  <c r="I258" i="21" s="1"/>
  <c r="H271" i="21"/>
  <c r="H277" i="21"/>
  <c r="H231" i="21"/>
  <c r="H153" i="21"/>
  <c r="M56" i="21"/>
  <c r="I56" i="21" s="1"/>
  <c r="H105" i="21"/>
  <c r="H110" i="21"/>
  <c r="L263" i="21"/>
  <c r="M263" i="21" s="1"/>
  <c r="I263" i="21" s="1"/>
  <c r="H99" i="21"/>
  <c r="H253" i="21"/>
  <c r="H203" i="21"/>
  <c r="H27" i="21"/>
  <c r="H188" i="21"/>
  <c r="H193" i="21"/>
  <c r="H155" i="21"/>
  <c r="H84" i="21"/>
  <c r="H197" i="21"/>
  <c r="H19" i="21"/>
  <c r="H132" i="21"/>
  <c r="H227" i="21"/>
  <c r="H71" i="21"/>
  <c r="H76" i="21"/>
  <c r="L183" i="21"/>
  <c r="M183" i="21" s="1"/>
  <c r="I183" i="21" s="1"/>
  <c r="H267" i="21"/>
  <c r="H23" i="21"/>
  <c r="L98" i="21"/>
  <c r="M98" i="21" s="1"/>
  <c r="I98" i="21" s="1"/>
  <c r="H276" i="21"/>
  <c r="H8" i="21"/>
  <c r="H149" i="21"/>
  <c r="H103" i="21"/>
  <c r="H179" i="21"/>
  <c r="H268" i="21"/>
  <c r="H225" i="21"/>
  <c r="H12" i="21"/>
  <c r="H17" i="21"/>
  <c r="H80" i="21"/>
  <c r="H234" i="21"/>
  <c r="H239" i="21"/>
  <c r="H244" i="21"/>
  <c r="H249" i="21"/>
  <c r="H61" i="21"/>
  <c r="L66" i="21"/>
  <c r="H66" i="21" s="1"/>
  <c r="H250" i="21"/>
  <c r="M59" i="21"/>
  <c r="I59" i="21" s="1"/>
  <c r="H257" i="21"/>
  <c r="H15" i="21"/>
  <c r="H67" i="21"/>
  <c r="H127" i="21"/>
  <c r="H136" i="21"/>
  <c r="H246" i="21"/>
  <c r="H40" i="21"/>
  <c r="H166" i="21"/>
  <c r="H170" i="21"/>
  <c r="H175" i="21"/>
  <c r="H57" i="21"/>
  <c r="H78" i="21"/>
  <c r="L83" i="21"/>
  <c r="M83" i="21" s="1"/>
  <c r="I83" i="21" s="1"/>
  <c r="H108" i="21"/>
  <c r="H128" i="21"/>
  <c r="H195" i="21"/>
  <c r="H270" i="21"/>
  <c r="H36" i="21"/>
  <c r="H157" i="21"/>
  <c r="H162" i="21"/>
  <c r="L167" i="21"/>
  <c r="H167" i="21" s="1"/>
  <c r="H200" i="21"/>
  <c r="M58" i="21"/>
  <c r="I58" i="21" s="1"/>
  <c r="G198" i="21"/>
  <c r="H44" i="21"/>
  <c r="L232" i="21"/>
  <c r="H232" i="21" s="1"/>
  <c r="H241" i="21"/>
  <c r="L259" i="21"/>
  <c r="H82" i="21"/>
  <c r="H92" i="21"/>
  <c r="H97" i="21"/>
  <c r="H159" i="21"/>
  <c r="H211" i="21"/>
  <c r="H273" i="21"/>
  <c r="G98" i="21"/>
  <c r="M180" i="21"/>
  <c r="I180" i="21" s="1"/>
  <c r="H168" i="21"/>
  <c r="H192" i="21"/>
  <c r="K216" i="21"/>
  <c r="H220" i="21"/>
  <c r="M255" i="21"/>
  <c r="I255" i="21" s="1"/>
  <c r="M77" i="21"/>
  <c r="I77" i="21" s="1"/>
  <c r="M173" i="21"/>
  <c r="I173" i="21" s="1"/>
  <c r="D21" i="21"/>
  <c r="H10" i="21"/>
  <c r="H69" i="21"/>
  <c r="H164" i="21"/>
  <c r="H172" i="21"/>
  <c r="M184" i="21"/>
  <c r="I184" i="21" s="1"/>
  <c r="H237" i="21"/>
  <c r="L278" i="21"/>
  <c r="M278" i="21" s="1"/>
  <c r="I278" i="21" s="1"/>
  <c r="E21" i="21"/>
  <c r="G216" i="21"/>
  <c r="G42" i="21"/>
  <c r="H265" i="21"/>
  <c r="G26" i="21"/>
  <c r="C63" i="21"/>
  <c r="M120" i="21"/>
  <c r="I120" i="21" s="1"/>
  <c r="M133" i="21"/>
  <c r="I133" i="21" s="1"/>
  <c r="L198" i="21"/>
  <c r="H198" i="21" s="1"/>
  <c r="G233" i="21"/>
  <c r="H274" i="21"/>
  <c r="F307" i="21"/>
  <c r="M9" i="21"/>
  <c r="I9" i="21" s="1"/>
  <c r="D63" i="21"/>
  <c r="C113" i="21"/>
  <c r="L247" i="21"/>
  <c r="M247" i="21" s="1"/>
  <c r="I247" i="21" s="1"/>
  <c r="M219" i="21"/>
  <c r="I219" i="21" s="1"/>
  <c r="M104" i="21"/>
  <c r="I104" i="21" s="1"/>
  <c r="H88" i="21"/>
  <c r="H125" i="21"/>
  <c r="H134" i="21"/>
  <c r="H190" i="21"/>
  <c r="M242" i="21"/>
  <c r="I242" i="21" s="1"/>
  <c r="H261" i="21"/>
  <c r="L20" i="21"/>
  <c r="H20" i="21" s="1"/>
  <c r="H25" i="21"/>
  <c r="H29" i="21"/>
  <c r="G62" i="21"/>
  <c r="H138" i="21"/>
  <c r="H148" i="21"/>
  <c r="H152" i="21"/>
  <c r="H182" i="21"/>
  <c r="H186" i="21"/>
  <c r="H218" i="21"/>
  <c r="H252" i="21"/>
  <c r="G5" i="21"/>
  <c r="M60" i="21"/>
  <c r="I60" i="21" s="1"/>
  <c r="M116" i="21"/>
  <c r="I116" i="21" s="1"/>
  <c r="M64" i="21"/>
  <c r="I64" i="21" s="1"/>
  <c r="M81" i="21"/>
  <c r="I81" i="21" s="1"/>
  <c r="M171" i="21"/>
  <c r="I171" i="21" s="1"/>
  <c r="M202" i="21"/>
  <c r="I202" i="21" s="1"/>
  <c r="M236" i="21"/>
  <c r="I236" i="21" s="1"/>
  <c r="M163" i="21"/>
  <c r="I163" i="21" s="1"/>
  <c r="M79" i="21"/>
  <c r="I79" i="21" s="1"/>
  <c r="M16" i="21"/>
  <c r="I16" i="21" s="1"/>
  <c r="M28" i="21"/>
  <c r="I28" i="21" s="1"/>
  <c r="M31" i="21"/>
  <c r="I31" i="21" s="1"/>
  <c r="M194" i="21"/>
  <c r="I194" i="21" s="1"/>
  <c r="M68" i="21"/>
  <c r="I68" i="21" s="1"/>
  <c r="G259" i="21"/>
  <c r="M139" i="21"/>
  <c r="I139" i="21" s="1"/>
  <c r="M30" i="21"/>
  <c r="I30" i="21" s="1"/>
  <c r="M89" i="21"/>
  <c r="I89" i="21" s="1"/>
  <c r="M212" i="21"/>
  <c r="I212" i="21" s="1"/>
  <c r="M228" i="21"/>
  <c r="I228" i="21" s="1"/>
  <c r="G247" i="21"/>
  <c r="M74" i="21"/>
  <c r="I74" i="21" s="1"/>
  <c r="G232" i="21"/>
  <c r="M266" i="21"/>
  <c r="I266" i="21" s="1"/>
  <c r="M109" i="21"/>
  <c r="I109" i="21" s="1"/>
  <c r="F113" i="21"/>
  <c r="M235" i="21"/>
  <c r="I235" i="21" s="1"/>
  <c r="M272" i="21"/>
  <c r="I272" i="21" s="1"/>
  <c r="M35" i="21"/>
  <c r="I35" i="21" s="1"/>
  <c r="M151" i="21"/>
  <c r="I151" i="21" s="1"/>
  <c r="M174" i="21"/>
  <c r="I174" i="21" s="1"/>
  <c r="M191" i="21"/>
  <c r="I191" i="21" s="1"/>
  <c r="M223" i="21"/>
  <c r="I223" i="21" s="1"/>
  <c r="M269" i="21"/>
  <c r="I269" i="21" s="1"/>
  <c r="M13" i="21"/>
  <c r="I13" i="21" s="1"/>
  <c r="M217" i="21"/>
  <c r="I217" i="21" s="1"/>
  <c r="M106" i="21"/>
  <c r="I106" i="21" s="1"/>
  <c r="M117" i="21"/>
  <c r="I117" i="21" s="1"/>
  <c r="D5" i="21"/>
  <c r="L5" i="21" s="1"/>
  <c r="M5" i="21" s="1"/>
  <c r="I5" i="21" s="1"/>
  <c r="M262" i="21"/>
  <c r="I262" i="21" s="1"/>
  <c r="H34" i="21"/>
  <c r="M41" i="21"/>
  <c r="I41" i="21" s="1"/>
  <c r="L62" i="21"/>
  <c r="M62" i="21" s="1"/>
  <c r="I62" i="21" s="1"/>
  <c r="G66" i="21"/>
  <c r="M93" i="21"/>
  <c r="I93" i="21" s="1"/>
  <c r="M111" i="21"/>
  <c r="I111" i="21" s="1"/>
  <c r="E113" i="21"/>
  <c r="G167" i="21"/>
  <c r="C248" i="21"/>
  <c r="M226" i="21"/>
  <c r="I226" i="21" s="1"/>
  <c r="F21" i="21"/>
  <c r="M229" i="21"/>
  <c r="I229" i="21" s="1"/>
  <c r="M114" i="21"/>
  <c r="I114" i="21" s="1"/>
  <c r="C21" i="21"/>
  <c r="M11" i="21"/>
  <c r="I11" i="21" s="1"/>
  <c r="M24" i="21"/>
  <c r="I24" i="21" s="1"/>
  <c r="M72" i="21"/>
  <c r="I72" i="21" s="1"/>
  <c r="H38" i="21"/>
  <c r="L42" i="21"/>
  <c r="H42" i="21" s="1"/>
  <c r="M85" i="21"/>
  <c r="I85" i="21" s="1"/>
  <c r="H90" i="21"/>
  <c r="M100" i="21"/>
  <c r="I100" i="21" s="1"/>
  <c r="G112" i="21"/>
  <c r="M129" i="21"/>
  <c r="I129" i="21" s="1"/>
  <c r="G150" i="21"/>
  <c r="H177" i="21"/>
  <c r="H213" i="21"/>
  <c r="G251" i="21"/>
  <c r="M154" i="21"/>
  <c r="I154" i="21" s="1"/>
  <c r="M165" i="21"/>
  <c r="I165" i="21" s="1"/>
  <c r="M201" i="21"/>
  <c r="I201" i="21" s="1"/>
  <c r="M137" i="21"/>
  <c r="I137" i="21" s="1"/>
  <c r="M158" i="21"/>
  <c r="I158" i="21" s="1"/>
  <c r="G20" i="21"/>
  <c r="M254" i="21"/>
  <c r="I254" i="21" s="1"/>
  <c r="M39" i="21"/>
  <c r="I39" i="21" s="1"/>
  <c r="M95" i="21"/>
  <c r="I95" i="21" s="1"/>
  <c r="M124" i="21"/>
  <c r="I124" i="21" s="1"/>
  <c r="L26" i="21"/>
  <c r="H26" i="21" s="1"/>
  <c r="M32" i="21"/>
  <c r="I32" i="21" s="1"/>
  <c r="M230" i="21"/>
  <c r="I230" i="21" s="1"/>
  <c r="M240" i="21"/>
  <c r="I240" i="21" s="1"/>
  <c r="M189" i="21"/>
  <c r="I189" i="21" s="1"/>
  <c r="G83" i="21"/>
  <c r="H94" i="21"/>
  <c r="M187" i="21"/>
  <c r="I187" i="21" s="1"/>
  <c r="C264" i="21"/>
  <c r="M178" i="21"/>
  <c r="I178" i="21" s="1"/>
  <c r="M214" i="21"/>
  <c r="I214" i="21" s="1"/>
  <c r="M43" i="21"/>
  <c r="I43" i="21" s="1"/>
  <c r="L135" i="21"/>
  <c r="M135" i="21" s="1"/>
  <c r="I135" i="21" s="1"/>
  <c r="G183" i="21"/>
  <c r="M221" i="21"/>
  <c r="I221" i="21" s="1"/>
  <c r="M122" i="21"/>
  <c r="I122" i="21" s="1"/>
  <c r="M160" i="21"/>
  <c r="I160" i="21" s="1"/>
  <c r="M169" i="21"/>
  <c r="I169" i="21" s="1"/>
  <c r="M6" i="21"/>
  <c r="I6" i="21" s="1"/>
  <c r="M45" i="21"/>
  <c r="I45" i="21" s="1"/>
  <c r="H86" i="21"/>
  <c r="F63" i="21"/>
  <c r="H101" i="21"/>
  <c r="E63" i="21"/>
  <c r="M126" i="21"/>
  <c r="I126" i="21" s="1"/>
  <c r="H130" i="21"/>
  <c r="M245" i="21"/>
  <c r="I245" i="21" s="1"/>
  <c r="M260" i="21"/>
  <c r="I260" i="21" s="1"/>
  <c r="H275" i="21"/>
  <c r="G199" i="21"/>
  <c r="M150" i="21"/>
  <c r="I150" i="21" s="1"/>
  <c r="H150" i="21"/>
  <c r="M73" i="21"/>
  <c r="I73" i="21" s="1"/>
  <c r="H73" i="21"/>
  <c r="M14" i="21"/>
  <c r="I14" i="21" s="1"/>
  <c r="M33" i="21"/>
  <c r="I33" i="21" s="1"/>
  <c r="L112" i="21"/>
  <c r="M112" i="21" s="1"/>
  <c r="I112" i="21" s="1"/>
  <c r="L121" i="21"/>
  <c r="M121" i="21" s="1"/>
  <c r="I121" i="21" s="1"/>
  <c r="K215" i="21"/>
  <c r="M243" i="21"/>
  <c r="I243" i="21" s="1"/>
  <c r="G121" i="21"/>
  <c r="L216" i="21"/>
  <c r="L215" i="21"/>
  <c r="M215" i="21" s="1"/>
  <c r="I215" i="21" s="1"/>
  <c r="H18" i="21"/>
  <c r="H37" i="21"/>
  <c r="H70" i="21"/>
  <c r="H91" i="21"/>
  <c r="H102" i="21"/>
  <c r="H131" i="21"/>
  <c r="H156" i="21"/>
  <c r="H176" i="21"/>
  <c r="H196" i="21"/>
  <c r="H204" i="21"/>
  <c r="H238" i="21"/>
  <c r="D113" i="21"/>
  <c r="L233" i="21"/>
  <c r="M233" i="21" s="1"/>
  <c r="I233" i="21" s="1"/>
  <c r="M7" i="21"/>
  <c r="I7" i="21" s="1"/>
  <c r="M22" i="21"/>
  <c r="I22" i="21" s="1"/>
  <c r="M46" i="21"/>
  <c r="I46" i="21" s="1"/>
  <c r="H75" i="21"/>
  <c r="H96" i="21"/>
  <c r="H107" i="21"/>
  <c r="H115" i="21"/>
  <c r="H140" i="21"/>
  <c r="H161" i="21"/>
  <c r="H181" i="21"/>
  <c r="H185" i="21"/>
  <c r="H224" i="21"/>
  <c r="H251" i="21"/>
  <c r="G263" i="21"/>
  <c r="G278" i="21"/>
  <c r="D199" i="21"/>
  <c r="L199" i="21" s="1"/>
  <c r="M199" i="21" s="1"/>
  <c r="I199" i="21" s="1"/>
  <c r="G215" i="21"/>
  <c r="C259" i="20"/>
  <c r="L259" i="20" s="1"/>
  <c r="H37" i="20"/>
  <c r="H116" i="20"/>
  <c r="L146" i="20"/>
  <c r="M146" i="20" s="1"/>
  <c r="H13" i="20"/>
  <c r="H18" i="20"/>
  <c r="H102" i="20"/>
  <c r="H107" i="20"/>
  <c r="H240" i="20"/>
  <c r="H77" i="20"/>
  <c r="L132" i="20"/>
  <c r="M132" i="20" s="1"/>
  <c r="H207" i="20"/>
  <c r="C195" i="20"/>
  <c r="H78" i="20"/>
  <c r="H113" i="20"/>
  <c r="L26" i="20"/>
  <c r="M26" i="20" s="1"/>
  <c r="I26" i="20" s="1"/>
  <c r="H83" i="20"/>
  <c r="D21" i="20"/>
  <c r="G163" i="20"/>
  <c r="H11" i="20"/>
  <c r="H247" i="20"/>
  <c r="L227" i="20"/>
  <c r="H227" i="20" s="1"/>
  <c r="H252" i="20"/>
  <c r="H234" i="20"/>
  <c r="H241" i="20"/>
  <c r="H213" i="20"/>
  <c r="H218" i="20"/>
  <c r="H198" i="20"/>
  <c r="H204" i="20"/>
  <c r="H200" i="20"/>
  <c r="H205" i="20"/>
  <c r="H185" i="20"/>
  <c r="H190" i="20"/>
  <c r="H186" i="20"/>
  <c r="H177" i="20"/>
  <c r="H157" i="20"/>
  <c r="H142" i="20"/>
  <c r="H138" i="20"/>
  <c r="H143" i="20"/>
  <c r="H128" i="20"/>
  <c r="H119" i="20"/>
  <c r="L110" i="20"/>
  <c r="M110" i="20" s="1"/>
  <c r="I110" i="20" s="1"/>
  <c r="H100" i="20"/>
  <c r="L96" i="20"/>
  <c r="M96" i="20" s="1"/>
  <c r="I96" i="20" s="1"/>
  <c r="M51" i="20"/>
  <c r="I51" i="20" s="1"/>
  <c r="L42" i="20"/>
  <c r="M42" i="20" s="1"/>
  <c r="I42" i="20" s="1"/>
  <c r="H7" i="20"/>
  <c r="F302" i="20"/>
  <c r="H32" i="20"/>
  <c r="H10" i="20"/>
  <c r="L118" i="20"/>
  <c r="M118" i="20" s="1"/>
  <c r="H121" i="20"/>
  <c r="H201" i="20"/>
  <c r="H237" i="20"/>
  <c r="H260" i="20"/>
  <c r="H14" i="20"/>
  <c r="H19" i="20"/>
  <c r="H24" i="20"/>
  <c r="H80" i="20"/>
  <c r="H84" i="20"/>
  <c r="H89" i="20"/>
  <c r="H126" i="20"/>
  <c r="H159" i="20"/>
  <c r="H187" i="20"/>
  <c r="H33" i="20"/>
  <c r="H104" i="20"/>
  <c r="H233" i="20"/>
  <c r="H265" i="20"/>
  <c r="H71" i="20"/>
  <c r="H150" i="20"/>
  <c r="H224" i="20"/>
  <c r="F21" i="20"/>
  <c r="G20" i="20"/>
  <c r="H50" i="20"/>
  <c r="L82" i="20"/>
  <c r="M82" i="20" s="1"/>
  <c r="I82" i="20" s="1"/>
  <c r="H136" i="20"/>
  <c r="H153" i="20"/>
  <c r="H165" i="20"/>
  <c r="H209" i="20"/>
  <c r="H16" i="20"/>
  <c r="H108" i="20"/>
  <c r="H170" i="20"/>
  <c r="M137" i="20"/>
  <c r="I137" i="20" s="1"/>
  <c r="E21" i="20"/>
  <c r="M270" i="20"/>
  <c r="I270" i="20" s="1"/>
  <c r="H29" i="20"/>
  <c r="H74" i="20"/>
  <c r="H91" i="20"/>
  <c r="D62" i="20"/>
  <c r="M97" i="20"/>
  <c r="I97" i="20" s="1"/>
  <c r="M34" i="20"/>
  <c r="I34" i="20" s="1"/>
  <c r="E62" i="20"/>
  <c r="M79" i="20"/>
  <c r="I79" i="20" s="1"/>
  <c r="M76" i="20"/>
  <c r="I76" i="20" s="1"/>
  <c r="H70" i="20"/>
  <c r="H87" i="20"/>
  <c r="H105" i="20"/>
  <c r="H117" i="20"/>
  <c r="H162" i="20"/>
  <c r="H166" i="20"/>
  <c r="H17" i="20"/>
  <c r="M25" i="20"/>
  <c r="I25" i="20" s="1"/>
  <c r="H109" i="20"/>
  <c r="H129" i="20"/>
  <c r="H133" i="20"/>
  <c r="H141" i="20"/>
  <c r="H184" i="20"/>
  <c r="H231" i="20"/>
  <c r="L258" i="20"/>
  <c r="M258" i="20" s="1"/>
  <c r="I258" i="20" s="1"/>
  <c r="H266" i="20"/>
  <c r="M249" i="20"/>
  <c r="I249" i="20" s="1"/>
  <c r="L20" i="20"/>
  <c r="M20" i="20" s="1"/>
  <c r="I20" i="20" s="1"/>
  <c r="M114" i="20"/>
  <c r="I114" i="20" s="1"/>
  <c r="M206" i="20"/>
  <c r="I206" i="20" s="1"/>
  <c r="M192" i="20"/>
  <c r="I192" i="20" s="1"/>
  <c r="H22" i="20"/>
  <c r="M54" i="20"/>
  <c r="I54" i="20" s="1"/>
  <c r="H59" i="20"/>
  <c r="F111" i="20"/>
  <c r="L210" i="20"/>
  <c r="M210" i="20" s="1"/>
  <c r="I210" i="20" s="1"/>
  <c r="M46" i="20"/>
  <c r="I46" i="20" s="1"/>
  <c r="M86" i="20"/>
  <c r="I86" i="20" s="1"/>
  <c r="M94" i="20"/>
  <c r="I94" i="20" s="1"/>
  <c r="M140" i="20"/>
  <c r="I140" i="20" s="1"/>
  <c r="M172" i="20"/>
  <c r="I172" i="20" s="1"/>
  <c r="E111" i="20"/>
  <c r="G179" i="20"/>
  <c r="M271" i="20"/>
  <c r="I271" i="20" s="1"/>
  <c r="M66" i="20"/>
  <c r="I66" i="20" s="1"/>
  <c r="G132" i="20"/>
  <c r="G259" i="20"/>
  <c r="H183" i="20"/>
  <c r="H208" i="20"/>
  <c r="C211" i="20"/>
  <c r="G211" i="20" s="1"/>
  <c r="H221" i="20"/>
  <c r="G227" i="20"/>
  <c r="M28" i="20"/>
  <c r="I28" i="20" s="1"/>
  <c r="M181" i="20"/>
  <c r="I181" i="20" s="1"/>
  <c r="M261" i="20"/>
  <c r="I261" i="20" s="1"/>
  <c r="M112" i="20"/>
  <c r="I112" i="20" s="1"/>
  <c r="L163" i="20"/>
  <c r="M163" i="20" s="1"/>
  <c r="I163" i="20" s="1"/>
  <c r="C5" i="20"/>
  <c r="G5" i="20" s="1"/>
  <c r="H9" i="20"/>
  <c r="H42" i="20"/>
  <c r="H55" i="20"/>
  <c r="F62" i="20"/>
  <c r="H101" i="20"/>
  <c r="G110" i="20"/>
  <c r="H147" i="20"/>
  <c r="H167" i="20"/>
  <c r="M158" i="20"/>
  <c r="I158" i="20" s="1"/>
  <c r="M264" i="20"/>
  <c r="I264" i="20" s="1"/>
  <c r="M31" i="20"/>
  <c r="I31" i="20" s="1"/>
  <c r="G61" i="20"/>
  <c r="H38" i="20"/>
  <c r="H164" i="20"/>
  <c r="G194" i="20"/>
  <c r="C243" i="20"/>
  <c r="G243" i="20" s="1"/>
  <c r="M267" i="20"/>
  <c r="I267" i="20" s="1"/>
  <c r="M49" i="20"/>
  <c r="I49" i="20" s="1"/>
  <c r="M152" i="20"/>
  <c r="I152" i="20" s="1"/>
  <c r="L179" i="20"/>
  <c r="M179" i="20" s="1"/>
  <c r="I179" i="20" s="1"/>
  <c r="G118" i="20"/>
  <c r="G210" i="20"/>
  <c r="L65" i="20"/>
  <c r="M65" i="20" s="1"/>
  <c r="I65" i="20" s="1"/>
  <c r="H90" i="20"/>
  <c r="H239" i="20"/>
  <c r="L254" i="20"/>
  <c r="H254" i="20" s="1"/>
  <c r="M12" i="20"/>
  <c r="I12" i="20" s="1"/>
  <c r="M176" i="20"/>
  <c r="I176" i="20" s="1"/>
  <c r="M223" i="20"/>
  <c r="I223" i="20" s="1"/>
  <c r="M15" i="20"/>
  <c r="I15" i="20" s="1"/>
  <c r="H52" i="20"/>
  <c r="H69" i="20"/>
  <c r="H98" i="20"/>
  <c r="H123" i="20"/>
  <c r="H161" i="20"/>
  <c r="H225" i="20"/>
  <c r="M259" i="20"/>
  <c r="I259" i="20" s="1"/>
  <c r="H259" i="20"/>
  <c r="L228" i="20"/>
  <c r="M228" i="20" s="1"/>
  <c r="I228" i="20" s="1"/>
  <c r="H146" i="20"/>
  <c r="M194" i="20"/>
  <c r="I194" i="20" s="1"/>
  <c r="H194" i="20"/>
  <c r="H118" i="20"/>
  <c r="I118" i="20"/>
  <c r="M44" i="20"/>
  <c r="I44" i="20" s="1"/>
  <c r="H44" i="20"/>
  <c r="I146" i="20"/>
  <c r="M273" i="20"/>
  <c r="I273" i="20" s="1"/>
  <c r="H273" i="20"/>
  <c r="L195" i="20"/>
  <c r="M195" i="20" s="1"/>
  <c r="I195" i="20" s="1"/>
  <c r="G228" i="20"/>
  <c r="H253" i="20"/>
  <c r="H257" i="20"/>
  <c r="M127" i="20"/>
  <c r="I127" i="20" s="1"/>
  <c r="H130" i="20"/>
  <c r="H134" i="20"/>
  <c r="M151" i="20"/>
  <c r="I151" i="20" s="1"/>
  <c r="H154" i="20"/>
  <c r="M171" i="20"/>
  <c r="I171" i="20" s="1"/>
  <c r="H174" i="20"/>
  <c r="M191" i="20"/>
  <c r="I191" i="20" s="1"/>
  <c r="M199" i="20"/>
  <c r="I199" i="20" s="1"/>
  <c r="H202" i="20"/>
  <c r="H212" i="20"/>
  <c r="H214" i="20"/>
  <c r="M222" i="20"/>
  <c r="I222" i="20" s="1"/>
  <c r="M232" i="20"/>
  <c r="I232" i="20" s="1"/>
  <c r="H235" i="20"/>
  <c r="M36" i="20"/>
  <c r="I36" i="20" s="1"/>
  <c r="M56" i="20"/>
  <c r="I56" i="20" s="1"/>
  <c r="M64" i="20"/>
  <c r="I64" i="20" s="1"/>
  <c r="M68" i="20"/>
  <c r="I68" i="20" s="1"/>
  <c r="G82" i="20"/>
  <c r="M88" i="20"/>
  <c r="I88" i="20" s="1"/>
  <c r="M99" i="20"/>
  <c r="I99" i="20" s="1"/>
  <c r="M8" i="20"/>
  <c r="I8" i="20" s="1"/>
  <c r="M23" i="20"/>
  <c r="I23" i="20" s="1"/>
  <c r="M27" i="20"/>
  <c r="I27" i="20" s="1"/>
  <c r="M47" i="20"/>
  <c r="I47" i="20" s="1"/>
  <c r="M75" i="20"/>
  <c r="I75" i="20" s="1"/>
  <c r="M95" i="20"/>
  <c r="I95" i="20" s="1"/>
  <c r="M106" i="20"/>
  <c r="I106" i="20" s="1"/>
  <c r="C111" i="20"/>
  <c r="M125" i="20"/>
  <c r="I125" i="20" s="1"/>
  <c r="M145" i="20"/>
  <c r="I145" i="20" s="1"/>
  <c r="M149" i="20"/>
  <c r="I149" i="20" s="1"/>
  <c r="M169" i="20"/>
  <c r="I169" i="20" s="1"/>
  <c r="M189" i="20"/>
  <c r="I189" i="20" s="1"/>
  <c r="M197" i="20"/>
  <c r="I197" i="20" s="1"/>
  <c r="M220" i="20"/>
  <c r="I220" i="20" s="1"/>
  <c r="M230" i="20"/>
  <c r="I230" i="20" s="1"/>
  <c r="M245" i="20"/>
  <c r="I245" i="20" s="1"/>
  <c r="H57" i="20"/>
  <c r="M93" i="20"/>
  <c r="I93" i="20" s="1"/>
  <c r="I132" i="20"/>
  <c r="G26" i="20"/>
  <c r="M216" i="20"/>
  <c r="I216" i="20" s="1"/>
  <c r="G242" i="20"/>
  <c r="G246" i="20"/>
  <c r="M6" i="20"/>
  <c r="I6" i="20" s="1"/>
  <c r="D111" i="20"/>
  <c r="D5" i="20"/>
  <c r="G65" i="20"/>
  <c r="G96" i="20"/>
  <c r="E211" i="20"/>
  <c r="H124" i="20"/>
  <c r="H144" i="20"/>
  <c r="H148" i="20"/>
  <c r="H168" i="20"/>
  <c r="H188" i="20"/>
  <c r="H196" i="20"/>
  <c r="H217" i="20"/>
  <c r="H229" i="20"/>
  <c r="H244" i="20"/>
  <c r="L61" i="20"/>
  <c r="H81" i="20"/>
  <c r="H85" i="20"/>
  <c r="H40" i="20"/>
  <c r="H60" i="20"/>
  <c r="H72" i="20"/>
  <c r="H92" i="20"/>
  <c r="H103" i="20"/>
  <c r="H131" i="20"/>
  <c r="H135" i="20"/>
  <c r="G146" i="20"/>
  <c r="H155" i="20"/>
  <c r="H175" i="20"/>
  <c r="H203" i="20"/>
  <c r="H215" i="20"/>
  <c r="H236" i="20"/>
  <c r="G258" i="20"/>
  <c r="M41" i="20"/>
  <c r="I41" i="20" s="1"/>
  <c r="M45" i="20"/>
  <c r="I45" i="20" s="1"/>
  <c r="M73" i="20"/>
  <c r="I73" i="20" s="1"/>
  <c r="G273" i="20"/>
  <c r="G42" i="20"/>
  <c r="C62" i="20"/>
  <c r="C21" i="20"/>
  <c r="H173" i="20"/>
  <c r="H193" i="20"/>
  <c r="L242" i="20"/>
  <c r="M242" i="20" s="1"/>
  <c r="I242" i="20" s="1"/>
  <c r="L246" i="20"/>
  <c r="G254" i="20"/>
  <c r="F195" i="20"/>
  <c r="H225" i="19"/>
  <c r="H165" i="19"/>
  <c r="H156" i="19"/>
  <c r="H185" i="19"/>
  <c r="H236" i="19"/>
  <c r="F302" i="19"/>
  <c r="H221" i="19"/>
  <c r="H234" i="19"/>
  <c r="H24" i="19"/>
  <c r="H129" i="19"/>
  <c r="H219" i="19"/>
  <c r="H115" i="19"/>
  <c r="G179" i="19"/>
  <c r="H75" i="19"/>
  <c r="H95" i="19"/>
  <c r="H174" i="19"/>
  <c r="G194" i="19"/>
  <c r="H235" i="19"/>
  <c r="H255" i="19"/>
  <c r="H216" i="19"/>
  <c r="H140" i="19"/>
  <c r="H250" i="19"/>
  <c r="H267" i="19"/>
  <c r="H269" i="19"/>
  <c r="H264" i="19"/>
  <c r="H256" i="19"/>
  <c r="H232" i="19"/>
  <c r="M218" i="19"/>
  <c r="I218" i="19" s="1"/>
  <c r="H52" i="19"/>
  <c r="H28" i="19"/>
  <c r="H33" i="19"/>
  <c r="L118" i="19"/>
  <c r="M118" i="19" s="1"/>
  <c r="I118" i="19" s="1"/>
  <c r="H38" i="19"/>
  <c r="H109" i="19"/>
  <c r="H143" i="19"/>
  <c r="H153" i="19"/>
  <c r="H262" i="19"/>
  <c r="H202" i="19"/>
  <c r="H207" i="19"/>
  <c r="H182" i="19"/>
  <c r="H187" i="19"/>
  <c r="H164" i="19"/>
  <c r="H178" i="19"/>
  <c r="H154" i="19"/>
  <c r="H159" i="19"/>
  <c r="H147" i="19"/>
  <c r="H161" i="19"/>
  <c r="H120" i="19"/>
  <c r="H121" i="19"/>
  <c r="H106" i="19"/>
  <c r="H102" i="19"/>
  <c r="H108" i="19"/>
  <c r="H93" i="19"/>
  <c r="H48" i="19"/>
  <c r="H58" i="19"/>
  <c r="H49" i="19"/>
  <c r="H184" i="19"/>
  <c r="H231" i="19"/>
  <c r="H78" i="19"/>
  <c r="H134" i="19"/>
  <c r="H162" i="19"/>
  <c r="H176" i="19"/>
  <c r="H204" i="19"/>
  <c r="H260" i="19"/>
  <c r="M215" i="19"/>
  <c r="I215" i="19" s="1"/>
  <c r="M233" i="19"/>
  <c r="I233" i="19" s="1"/>
  <c r="H84" i="19"/>
  <c r="M229" i="19"/>
  <c r="I229" i="19" s="1"/>
  <c r="H22" i="19"/>
  <c r="H71" i="19"/>
  <c r="H80" i="19"/>
  <c r="L146" i="19"/>
  <c r="M146" i="19" s="1"/>
  <c r="I146" i="19" s="1"/>
  <c r="H186" i="19"/>
  <c r="H201" i="19"/>
  <c r="H266" i="19"/>
  <c r="H270" i="19"/>
  <c r="H27" i="19"/>
  <c r="H30" i="19"/>
  <c r="H41" i="19"/>
  <c r="H7" i="19"/>
  <c r="G20" i="19"/>
  <c r="H18" i="19"/>
  <c r="L20" i="19"/>
  <c r="M20" i="19" s="1"/>
  <c r="I20" i="19" s="1"/>
  <c r="E111" i="19"/>
  <c r="H141" i="19"/>
  <c r="G146" i="19"/>
  <c r="M257" i="19"/>
  <c r="I257" i="19" s="1"/>
  <c r="M29" i="19"/>
  <c r="I29" i="19" s="1"/>
  <c r="E62" i="19"/>
  <c r="H208" i="19"/>
  <c r="C243" i="19"/>
  <c r="L243" i="19" s="1"/>
  <c r="H243" i="19" s="1"/>
  <c r="M130" i="19"/>
  <c r="I130" i="19" s="1"/>
  <c r="H90" i="19"/>
  <c r="M212" i="19"/>
  <c r="I212" i="19" s="1"/>
  <c r="M222" i="19"/>
  <c r="I222" i="19" s="1"/>
  <c r="C62" i="19"/>
  <c r="H265" i="19"/>
  <c r="M47" i="19"/>
  <c r="I47" i="19" s="1"/>
  <c r="M91" i="19"/>
  <c r="I91" i="19" s="1"/>
  <c r="H138" i="19"/>
  <c r="G227" i="19"/>
  <c r="C111" i="19"/>
  <c r="H25" i="19"/>
  <c r="M50" i="19"/>
  <c r="I50" i="19" s="1"/>
  <c r="M116" i="19"/>
  <c r="I116" i="19" s="1"/>
  <c r="H173" i="19"/>
  <c r="M214" i="19"/>
  <c r="I214" i="19" s="1"/>
  <c r="G65" i="19"/>
  <c r="M107" i="19"/>
  <c r="I107" i="19" s="1"/>
  <c r="M131" i="19"/>
  <c r="I131" i="19" s="1"/>
  <c r="M139" i="19"/>
  <c r="I139" i="19" s="1"/>
  <c r="M160" i="19"/>
  <c r="I160" i="19" s="1"/>
  <c r="M203" i="19"/>
  <c r="I203" i="19" s="1"/>
  <c r="C21" i="19"/>
  <c r="L82" i="19"/>
  <c r="M82" i="19" s="1"/>
  <c r="I82" i="19" s="1"/>
  <c r="G254" i="19"/>
  <c r="M261" i="19"/>
  <c r="I261" i="19" s="1"/>
  <c r="M59" i="19"/>
  <c r="I59" i="19" s="1"/>
  <c r="M76" i="19"/>
  <c r="I76" i="19" s="1"/>
  <c r="M40" i="19"/>
  <c r="I40" i="19" s="1"/>
  <c r="H10" i="19"/>
  <c r="D21" i="19"/>
  <c r="G96" i="19"/>
  <c r="M103" i="19"/>
  <c r="I103" i="19" s="1"/>
  <c r="M135" i="19"/>
  <c r="I135" i="19" s="1"/>
  <c r="H263" i="19"/>
  <c r="M73" i="19"/>
  <c r="I73" i="19" s="1"/>
  <c r="G246" i="19"/>
  <c r="M114" i="19"/>
  <c r="I114" i="19" s="1"/>
  <c r="M175" i="19"/>
  <c r="I175" i="19" s="1"/>
  <c r="L246" i="19"/>
  <c r="M246" i="19" s="1"/>
  <c r="I246" i="19" s="1"/>
  <c r="M92" i="19"/>
  <c r="I92" i="19" s="1"/>
  <c r="M155" i="19"/>
  <c r="I155" i="19" s="1"/>
  <c r="K210" i="19"/>
  <c r="G118" i="19"/>
  <c r="E21" i="19"/>
  <c r="M72" i="19"/>
  <c r="I72" i="19" s="1"/>
  <c r="F62" i="19"/>
  <c r="H101" i="19"/>
  <c r="H119" i="19"/>
  <c r="H122" i="19"/>
  <c r="H133" i="19"/>
  <c r="G163" i="19"/>
  <c r="G132" i="19"/>
  <c r="M60" i="19"/>
  <c r="I60" i="19" s="1"/>
  <c r="F21" i="19"/>
  <c r="G61" i="19"/>
  <c r="H70" i="19"/>
  <c r="H104" i="19"/>
  <c r="H136" i="19"/>
  <c r="H166" i="19"/>
  <c r="H180" i="19"/>
  <c r="M244" i="19"/>
  <c r="I244" i="19" s="1"/>
  <c r="L210" i="19"/>
  <c r="M210" i="19" s="1"/>
  <c r="I210" i="19" s="1"/>
  <c r="M44" i="19"/>
  <c r="I44" i="19" s="1"/>
  <c r="L65" i="19"/>
  <c r="H65" i="19" s="1"/>
  <c r="D62" i="19"/>
  <c r="H142" i="19"/>
  <c r="F111" i="19"/>
  <c r="H183" i="19"/>
  <c r="M249" i="19"/>
  <c r="I249" i="19" s="1"/>
  <c r="M253" i="19"/>
  <c r="I253" i="19" s="1"/>
  <c r="M45" i="19"/>
  <c r="I45" i="19" s="1"/>
  <c r="L132" i="19"/>
  <c r="M132" i="19" s="1"/>
  <c r="I132" i="19" s="1"/>
  <c r="L42" i="19"/>
  <c r="H42" i="19" s="1"/>
  <c r="H79" i="19"/>
  <c r="H83" i="19"/>
  <c r="L194" i="19"/>
  <c r="M194" i="19" s="1"/>
  <c r="I194" i="19" s="1"/>
  <c r="H206" i="19"/>
  <c r="M226" i="19"/>
  <c r="I226" i="19" s="1"/>
  <c r="M252" i="19"/>
  <c r="I252" i="19" s="1"/>
  <c r="M209" i="19"/>
  <c r="I209" i="19" s="1"/>
  <c r="M8" i="19"/>
  <c r="I8" i="19" s="1"/>
  <c r="L179" i="19"/>
  <c r="M179" i="19" s="1"/>
  <c r="I179" i="19" s="1"/>
  <c r="H11" i="19"/>
  <c r="L61" i="19"/>
  <c r="M61" i="19" s="1"/>
  <c r="I61" i="19" s="1"/>
  <c r="G110" i="19"/>
  <c r="H123" i="19"/>
  <c r="L227" i="19"/>
  <c r="M227" i="19" s="1"/>
  <c r="I227" i="19" s="1"/>
  <c r="K211" i="19"/>
  <c r="L259" i="19"/>
  <c r="G259" i="19"/>
  <c r="L211" i="19"/>
  <c r="M211" i="19" s="1"/>
  <c r="I211" i="19" s="1"/>
  <c r="M254" i="19"/>
  <c r="I254" i="19" s="1"/>
  <c r="L228" i="19"/>
  <c r="M228" i="19" s="1"/>
  <c r="I228" i="19" s="1"/>
  <c r="G228" i="19"/>
  <c r="H258" i="19"/>
  <c r="H144" i="19"/>
  <c r="H148" i="19"/>
  <c r="H168" i="19"/>
  <c r="H188" i="19"/>
  <c r="H196" i="19"/>
  <c r="F211" i="19"/>
  <c r="G211" i="19" s="1"/>
  <c r="H237" i="19"/>
  <c r="M17" i="19"/>
  <c r="I17" i="19" s="1"/>
  <c r="M37" i="19"/>
  <c r="I37" i="19" s="1"/>
  <c r="M57" i="19"/>
  <c r="I57" i="19" s="1"/>
  <c r="M69" i="19"/>
  <c r="I69" i="19" s="1"/>
  <c r="M89" i="19"/>
  <c r="I89" i="19" s="1"/>
  <c r="M100" i="19"/>
  <c r="I100" i="19" s="1"/>
  <c r="M128" i="19"/>
  <c r="I128" i="19" s="1"/>
  <c r="M152" i="19"/>
  <c r="I152" i="19" s="1"/>
  <c r="L163" i="19"/>
  <c r="M163" i="19" s="1"/>
  <c r="I163" i="19" s="1"/>
  <c r="M172" i="19"/>
  <c r="I172" i="19" s="1"/>
  <c r="M192" i="19"/>
  <c r="I192" i="19" s="1"/>
  <c r="M200" i="19"/>
  <c r="I200" i="19" s="1"/>
  <c r="M224" i="19"/>
  <c r="I224" i="19" s="1"/>
  <c r="M241" i="19"/>
  <c r="I241" i="19" s="1"/>
  <c r="M230" i="19"/>
  <c r="I230" i="19" s="1"/>
  <c r="M245" i="19"/>
  <c r="I245" i="19" s="1"/>
  <c r="M13" i="19"/>
  <c r="I13" i="19" s="1"/>
  <c r="H16" i="19"/>
  <c r="G26" i="19"/>
  <c r="H36" i="19"/>
  <c r="M53" i="19"/>
  <c r="I53" i="19" s="1"/>
  <c r="H56" i="19"/>
  <c r="H64" i="19"/>
  <c r="H68" i="19"/>
  <c r="M81" i="19"/>
  <c r="I81" i="19" s="1"/>
  <c r="M85" i="19"/>
  <c r="I85" i="19" s="1"/>
  <c r="H88" i="19"/>
  <c r="M96" i="19"/>
  <c r="I96" i="19" s="1"/>
  <c r="H99" i="19"/>
  <c r="M124" i="19"/>
  <c r="I124" i="19" s="1"/>
  <c r="H127" i="19"/>
  <c r="H151" i="19"/>
  <c r="H171" i="19"/>
  <c r="H191" i="19"/>
  <c r="D195" i="19"/>
  <c r="H199" i="19"/>
  <c r="G210" i="19"/>
  <c r="H240" i="19"/>
  <c r="M272" i="19"/>
  <c r="I272" i="19" s="1"/>
  <c r="M87" i="19"/>
  <c r="I87" i="19" s="1"/>
  <c r="M157" i="19"/>
  <c r="I157" i="19" s="1"/>
  <c r="H110" i="19"/>
  <c r="E195" i="19"/>
  <c r="H54" i="19"/>
  <c r="H66" i="19"/>
  <c r="H86" i="19"/>
  <c r="H97" i="19"/>
  <c r="H125" i="19"/>
  <c r="H145" i="19"/>
  <c r="H149" i="19"/>
  <c r="H169" i="19"/>
  <c r="H189" i="19"/>
  <c r="H197" i="19"/>
  <c r="H238" i="19"/>
  <c r="M126" i="19"/>
  <c r="I126" i="19" s="1"/>
  <c r="M247" i="19"/>
  <c r="I247" i="19" s="1"/>
  <c r="M94" i="19"/>
  <c r="I94" i="19" s="1"/>
  <c r="M105" i="19"/>
  <c r="I105" i="19" s="1"/>
  <c r="M113" i="19"/>
  <c r="I113" i="19" s="1"/>
  <c r="G242" i="19"/>
  <c r="F5" i="19"/>
  <c r="G5" i="19" s="1"/>
  <c r="G195" i="19"/>
  <c r="M15" i="19"/>
  <c r="I15" i="19" s="1"/>
  <c r="M55" i="19"/>
  <c r="I55" i="19" s="1"/>
  <c r="M198" i="19"/>
  <c r="I198" i="19" s="1"/>
  <c r="M6" i="19"/>
  <c r="I6" i="19" s="1"/>
  <c r="M46" i="19"/>
  <c r="I46" i="19" s="1"/>
  <c r="G258" i="19"/>
  <c r="H271" i="19"/>
  <c r="M35" i="19"/>
  <c r="I35" i="19" s="1"/>
  <c r="M205" i="19"/>
  <c r="I205" i="19" s="1"/>
  <c r="M220" i="19"/>
  <c r="I220" i="19" s="1"/>
  <c r="L26" i="19"/>
  <c r="M26" i="19" s="1"/>
  <c r="I26" i="19" s="1"/>
  <c r="H39" i="19"/>
  <c r="H43" i="19"/>
  <c r="G82" i="19"/>
  <c r="G273" i="19"/>
  <c r="M98" i="19"/>
  <c r="I98" i="19" s="1"/>
  <c r="M170" i="19"/>
  <c r="I170" i="19" s="1"/>
  <c r="M190" i="19"/>
  <c r="I190" i="19" s="1"/>
  <c r="M239" i="19"/>
  <c r="I239" i="19" s="1"/>
  <c r="M74" i="19"/>
  <c r="I74" i="19" s="1"/>
  <c r="H12" i="19"/>
  <c r="L242" i="19"/>
  <c r="M242" i="19" s="1"/>
  <c r="I242" i="19" s="1"/>
  <c r="M137" i="19"/>
  <c r="I137" i="19" s="1"/>
  <c r="M177" i="19"/>
  <c r="I177" i="19" s="1"/>
  <c r="M181" i="19"/>
  <c r="I181" i="19" s="1"/>
  <c r="H19" i="19"/>
  <c r="L5" i="19"/>
  <c r="M5" i="19" s="1"/>
  <c r="I5" i="19" s="1"/>
  <c r="D111" i="19"/>
  <c r="L273" i="19"/>
  <c r="M273" i="19" s="1"/>
  <c r="I273" i="19" s="1"/>
  <c r="H63" i="19"/>
  <c r="H67" i="19"/>
  <c r="H150" i="19"/>
  <c r="H264" i="18"/>
  <c r="H12" i="18"/>
  <c r="H35" i="18"/>
  <c r="H44" i="18"/>
  <c r="H40" i="18"/>
  <c r="H49" i="18"/>
  <c r="H92" i="18"/>
  <c r="H120" i="18"/>
  <c r="H151" i="18"/>
  <c r="H170" i="18"/>
  <c r="H217" i="18"/>
  <c r="H231" i="18"/>
  <c r="H246" i="18"/>
  <c r="M263" i="18"/>
  <c r="I263" i="18" s="1"/>
  <c r="H14" i="18"/>
  <c r="H24" i="18"/>
  <c r="H37" i="18"/>
  <c r="H28" i="18"/>
  <c r="L20" i="18"/>
  <c r="M20" i="18" s="1"/>
  <c r="I20" i="18" s="1"/>
  <c r="H259" i="18"/>
  <c r="H127" i="18"/>
  <c r="G178" i="18"/>
  <c r="H25" i="18"/>
  <c r="H140" i="18"/>
  <c r="L145" i="18"/>
  <c r="M145" i="18" s="1"/>
  <c r="I145" i="18" s="1"/>
  <c r="H192" i="18"/>
  <c r="H57" i="18"/>
  <c r="H76" i="18"/>
  <c r="L81" i="18"/>
  <c r="M81" i="18" s="1"/>
  <c r="I81" i="18" s="1"/>
  <c r="H164" i="18"/>
  <c r="H250" i="18"/>
  <c r="G117" i="18"/>
  <c r="M177" i="18"/>
  <c r="I177" i="18" s="1"/>
  <c r="M254" i="18"/>
  <c r="I254" i="18" s="1"/>
  <c r="M62" i="18"/>
  <c r="I62" i="18" s="1"/>
  <c r="M169" i="18"/>
  <c r="I169" i="18" s="1"/>
  <c r="M173" i="18"/>
  <c r="I173" i="18" s="1"/>
  <c r="F300" i="18"/>
  <c r="M34" i="18"/>
  <c r="I34" i="18" s="1"/>
  <c r="H115" i="18"/>
  <c r="H119" i="18"/>
  <c r="H175" i="18"/>
  <c r="H179" i="18"/>
  <c r="G193" i="18"/>
  <c r="M197" i="18"/>
  <c r="I197" i="18" s="1"/>
  <c r="H206" i="18"/>
  <c r="H223" i="18"/>
  <c r="M124" i="18"/>
  <c r="I124" i="18" s="1"/>
  <c r="M58" i="18"/>
  <c r="I58" i="18" s="1"/>
  <c r="M38" i="18"/>
  <c r="I38" i="18" s="1"/>
  <c r="M42" i="18"/>
  <c r="I42" i="18" s="1"/>
  <c r="H47" i="18"/>
  <c r="H51" i="18"/>
  <c r="H78" i="18"/>
  <c r="H82" i="18"/>
  <c r="H87" i="18"/>
  <c r="H144" i="18"/>
  <c r="H158" i="18"/>
  <c r="H171" i="18"/>
  <c r="H184" i="18"/>
  <c r="H219" i="18"/>
  <c r="H267" i="18"/>
  <c r="H233" i="18"/>
  <c r="H227" i="18"/>
  <c r="H238" i="18"/>
  <c r="H234" i="18"/>
  <c r="M189" i="18"/>
  <c r="I189" i="18" s="1"/>
  <c r="H152" i="18"/>
  <c r="H157" i="18"/>
  <c r="H161" i="18"/>
  <c r="M148" i="18"/>
  <c r="I148" i="18" s="1"/>
  <c r="H153" i="18"/>
  <c r="L162" i="18"/>
  <c r="M162" i="18" s="1"/>
  <c r="I162" i="18" s="1"/>
  <c r="H101" i="18"/>
  <c r="M96" i="18"/>
  <c r="I96" i="18" s="1"/>
  <c r="M86" i="18"/>
  <c r="I86" i="18" s="1"/>
  <c r="H85" i="18"/>
  <c r="H89" i="18"/>
  <c r="M90" i="18"/>
  <c r="I90" i="18" s="1"/>
  <c r="H68" i="18"/>
  <c r="M66" i="18"/>
  <c r="I66" i="18" s="1"/>
  <c r="H65" i="18"/>
  <c r="H41" i="18"/>
  <c r="H20" i="18"/>
  <c r="M236" i="18"/>
  <c r="I236" i="18" s="1"/>
  <c r="G26" i="18"/>
  <c r="L178" i="18"/>
  <c r="M178" i="18" s="1"/>
  <c r="I178" i="18" s="1"/>
  <c r="H220" i="18"/>
  <c r="H17" i="18"/>
  <c r="G20" i="18"/>
  <c r="H31" i="18"/>
  <c r="H116" i="18"/>
  <c r="H165" i="18"/>
  <c r="H182" i="18"/>
  <c r="H81" i="18"/>
  <c r="M8" i="18"/>
  <c r="I8" i="18" s="1"/>
  <c r="M265" i="18"/>
  <c r="I265" i="18" s="1"/>
  <c r="G41" i="18"/>
  <c r="H260" i="18"/>
  <c r="M114" i="18"/>
  <c r="I114" i="18" s="1"/>
  <c r="M22" i="18"/>
  <c r="I22" i="18" s="1"/>
  <c r="G209" i="18"/>
  <c r="M54" i="18"/>
  <c r="I54" i="18" s="1"/>
  <c r="H63" i="18"/>
  <c r="H69" i="18"/>
  <c r="H83" i="18"/>
  <c r="G145" i="18"/>
  <c r="H155" i="18"/>
  <c r="H200" i="18"/>
  <c r="L271" i="18"/>
  <c r="M271" i="18" s="1"/>
  <c r="I271" i="18" s="1"/>
  <c r="M261" i="18"/>
  <c r="I261" i="18" s="1"/>
  <c r="L95" i="18"/>
  <c r="M95" i="18" s="1"/>
  <c r="I95" i="18" s="1"/>
  <c r="G109" i="18"/>
  <c r="E110" i="18"/>
  <c r="L193" i="18"/>
  <c r="M193" i="18" s="1"/>
  <c r="I193" i="18" s="1"/>
  <c r="H221" i="18"/>
  <c r="M15" i="18"/>
  <c r="I15" i="18" s="1"/>
  <c r="M229" i="18"/>
  <c r="I229" i="18" s="1"/>
  <c r="M94" i="18"/>
  <c r="I94" i="18" s="1"/>
  <c r="M125" i="18"/>
  <c r="I125" i="18" s="1"/>
  <c r="M201" i="18"/>
  <c r="I201" i="18" s="1"/>
  <c r="H11" i="18"/>
  <c r="H18" i="18"/>
  <c r="H56" i="18"/>
  <c r="L60" i="18"/>
  <c r="M60" i="18" s="1"/>
  <c r="I60" i="18" s="1"/>
  <c r="H106" i="18"/>
  <c r="H135" i="18"/>
  <c r="F110" i="18"/>
  <c r="H183" i="18"/>
  <c r="H215" i="18"/>
  <c r="H232" i="18"/>
  <c r="H239" i="18"/>
  <c r="H258" i="18"/>
  <c r="M46" i="18"/>
  <c r="I46" i="18" s="1"/>
  <c r="M53" i="18"/>
  <c r="I53" i="18" s="1"/>
  <c r="C61" i="18"/>
  <c r="M70" i="18"/>
  <c r="I70" i="18" s="1"/>
  <c r="H178" i="18"/>
  <c r="M247" i="18"/>
  <c r="I247" i="18" s="1"/>
  <c r="M269" i="18"/>
  <c r="I269" i="18" s="1"/>
  <c r="G64" i="18"/>
  <c r="H103" i="18"/>
  <c r="M149" i="18"/>
  <c r="I149" i="18" s="1"/>
  <c r="D61" i="18"/>
  <c r="M97" i="18"/>
  <c r="I97" i="18" s="1"/>
  <c r="H36" i="18"/>
  <c r="H64" i="18"/>
  <c r="H159" i="18"/>
  <c r="H191" i="18"/>
  <c r="H212" i="18"/>
  <c r="H19" i="18"/>
  <c r="H29" i="18"/>
  <c r="H67" i="18"/>
  <c r="H77" i="18"/>
  <c r="H111" i="18"/>
  <c r="H163" i="18"/>
  <c r="H198" i="18"/>
  <c r="H208" i="18"/>
  <c r="H268" i="18"/>
  <c r="H252" i="18"/>
  <c r="H131" i="18"/>
  <c r="I64" i="18"/>
  <c r="L210" i="18"/>
  <c r="M210" i="18" s="1"/>
  <c r="K210" i="18"/>
  <c r="I210" i="18"/>
  <c r="H142" i="18"/>
  <c r="H146" i="18"/>
  <c r="H166" i="18"/>
  <c r="H186" i="18"/>
  <c r="C21" i="18"/>
  <c r="L26" i="18"/>
  <c r="M26" i="18" s="1"/>
  <c r="I26" i="18" s="1"/>
  <c r="G81" i="18"/>
  <c r="L109" i="18"/>
  <c r="M109" i="18" s="1"/>
  <c r="I109" i="18" s="1"/>
  <c r="L117" i="18"/>
  <c r="M117" i="18" s="1"/>
  <c r="I117" i="18" s="1"/>
  <c r="K209" i="18"/>
  <c r="H211" i="18"/>
  <c r="H224" i="18"/>
  <c r="L225" i="18"/>
  <c r="M225" i="18" s="1"/>
  <c r="I225" i="18" s="1"/>
  <c r="M73" i="18"/>
  <c r="I73" i="18" s="1"/>
  <c r="M136" i="18"/>
  <c r="I136" i="18" s="1"/>
  <c r="M156" i="18"/>
  <c r="I156" i="18" s="1"/>
  <c r="M176" i="18"/>
  <c r="I176" i="18" s="1"/>
  <c r="M180" i="18"/>
  <c r="I180" i="18" s="1"/>
  <c r="M204" i="18"/>
  <c r="I204" i="18" s="1"/>
  <c r="M80" i="18"/>
  <c r="I80" i="18" s="1"/>
  <c r="M187" i="18"/>
  <c r="I187" i="18" s="1"/>
  <c r="D194" i="18"/>
  <c r="M91" i="18"/>
  <c r="I91" i="18" s="1"/>
  <c r="M102" i="18"/>
  <c r="I102" i="18" s="1"/>
  <c r="M154" i="18"/>
  <c r="I154" i="18" s="1"/>
  <c r="G240" i="18"/>
  <c r="M251" i="18"/>
  <c r="I251" i="18" s="1"/>
  <c r="D21" i="18"/>
  <c r="G60" i="18"/>
  <c r="G131" i="18"/>
  <c r="L209" i="18"/>
  <c r="M209" i="18" s="1"/>
  <c r="I209" i="18" s="1"/>
  <c r="L240" i="18"/>
  <c r="M240" i="18" s="1"/>
  <c r="I240" i="18" s="1"/>
  <c r="L244" i="18"/>
  <c r="G252" i="18"/>
  <c r="M6" i="18"/>
  <c r="I6" i="18" s="1"/>
  <c r="M45" i="18"/>
  <c r="I45" i="18" s="1"/>
  <c r="E61" i="18"/>
  <c r="M93" i="18"/>
  <c r="I93" i="18" s="1"/>
  <c r="M112" i="18"/>
  <c r="I112" i="18" s="1"/>
  <c r="M218" i="18"/>
  <c r="I218" i="18" s="1"/>
  <c r="M228" i="18"/>
  <c r="I228" i="18" s="1"/>
  <c r="M243" i="18"/>
  <c r="I243" i="18" s="1"/>
  <c r="M104" i="18"/>
  <c r="I104" i="18" s="1"/>
  <c r="M32" i="18"/>
  <c r="I32" i="18" s="1"/>
  <c r="F61" i="18"/>
  <c r="M123" i="18"/>
  <c r="I123" i="18" s="1"/>
  <c r="M195" i="18"/>
  <c r="I195" i="18" s="1"/>
  <c r="M71" i="18"/>
  <c r="I71" i="18" s="1"/>
  <c r="M174" i="18"/>
  <c r="I174" i="18" s="1"/>
  <c r="L5" i="18"/>
  <c r="M5" i="18" s="1"/>
  <c r="I5" i="18" s="1"/>
  <c r="E21" i="18"/>
  <c r="G162" i="18"/>
  <c r="F21" i="18"/>
  <c r="D110" i="18"/>
  <c r="I131" i="18"/>
  <c r="L194" i="18"/>
  <c r="M194" i="18" s="1"/>
  <c r="D226" i="18"/>
  <c r="C241" i="18"/>
  <c r="E226" i="18"/>
  <c r="L256" i="18"/>
  <c r="M256" i="18" s="1"/>
  <c r="I256" i="18" s="1"/>
  <c r="M84" i="18"/>
  <c r="I84" i="18" s="1"/>
  <c r="M143" i="18"/>
  <c r="I143" i="18" s="1"/>
  <c r="M147" i="18"/>
  <c r="I147" i="18" s="1"/>
  <c r="M167" i="18"/>
  <c r="I167" i="18" s="1"/>
  <c r="G225" i="18"/>
  <c r="M235" i="18"/>
  <c r="I235" i="18" s="1"/>
  <c r="M59" i="18"/>
  <c r="I59" i="18" s="1"/>
  <c r="M130" i="18"/>
  <c r="I130" i="18" s="1"/>
  <c r="M134" i="18"/>
  <c r="I134" i="18" s="1"/>
  <c r="E194" i="18"/>
  <c r="M202" i="18"/>
  <c r="I202" i="18" s="1"/>
  <c r="M214" i="18"/>
  <c r="I214" i="18" s="1"/>
  <c r="M255" i="18"/>
  <c r="I255" i="18" s="1"/>
  <c r="F194" i="18"/>
  <c r="G194" i="18" s="1"/>
  <c r="C110" i="18"/>
  <c r="H13" i="18"/>
  <c r="H52" i="18"/>
  <c r="H216" i="18"/>
  <c r="C257" i="18"/>
  <c r="H39" i="18"/>
  <c r="H43" i="18"/>
  <c r="G271" i="18"/>
  <c r="H22" i="17"/>
  <c r="H188" i="17"/>
  <c r="H228" i="17"/>
  <c r="G209" i="17"/>
  <c r="H7" i="17"/>
  <c r="H17" i="17"/>
  <c r="M46" i="17"/>
  <c r="I46" i="17" s="1"/>
  <c r="G109" i="17"/>
  <c r="H104" i="17"/>
  <c r="G145" i="17"/>
  <c r="H13" i="17"/>
  <c r="H169" i="17"/>
  <c r="H261" i="17"/>
  <c r="G225" i="17"/>
  <c r="M49" i="17"/>
  <c r="I49" i="17" s="1"/>
  <c r="G26" i="17"/>
  <c r="H86" i="17"/>
  <c r="H186" i="17"/>
  <c r="H236" i="17"/>
  <c r="L270" i="17"/>
  <c r="M270" i="17" s="1"/>
  <c r="G64" i="17"/>
  <c r="H124" i="17"/>
  <c r="M125" i="17"/>
  <c r="I125" i="17" s="1"/>
  <c r="H50" i="17"/>
  <c r="H25" i="17"/>
  <c r="H129" i="17"/>
  <c r="H264" i="17"/>
  <c r="M53" i="17"/>
  <c r="I53" i="17" s="1"/>
  <c r="H248" i="17"/>
  <c r="H243" i="17"/>
  <c r="H204" i="17"/>
  <c r="H213" i="17"/>
  <c r="H179" i="17"/>
  <c r="H189" i="17"/>
  <c r="H165" i="17"/>
  <c r="H175" i="17"/>
  <c r="H166" i="17"/>
  <c r="H96" i="17"/>
  <c r="H101" i="17"/>
  <c r="H102" i="17"/>
  <c r="H107" i="17"/>
  <c r="H92" i="17"/>
  <c r="C61" i="17"/>
  <c r="H83" i="17"/>
  <c r="H93" i="17"/>
  <c r="D61" i="17"/>
  <c r="M54" i="17"/>
  <c r="I54" i="17" s="1"/>
  <c r="H52" i="17"/>
  <c r="M51" i="17"/>
  <c r="I51" i="17" s="1"/>
  <c r="H57" i="17"/>
  <c r="C194" i="17"/>
  <c r="G194" i="17" s="1"/>
  <c r="H89" i="17"/>
  <c r="H121" i="17"/>
  <c r="H149" i="17"/>
  <c r="M122" i="17"/>
  <c r="I122" i="17" s="1"/>
  <c r="M99" i="17"/>
  <c r="I99" i="17" s="1"/>
  <c r="G252" i="17"/>
  <c r="C257" i="17"/>
  <c r="G257" i="17" s="1"/>
  <c r="M68" i="17"/>
  <c r="I68" i="17" s="1"/>
  <c r="H263" i="17"/>
  <c r="H94" i="17"/>
  <c r="H173" i="17"/>
  <c r="H215" i="17"/>
  <c r="M254" i="17"/>
  <c r="I254" i="17" s="1"/>
  <c r="H268" i="17"/>
  <c r="G95" i="17"/>
  <c r="M161" i="17"/>
  <c r="I161" i="17" s="1"/>
  <c r="H29" i="17"/>
  <c r="H66" i="17"/>
  <c r="H90" i="17"/>
  <c r="H155" i="17"/>
  <c r="L178" i="17"/>
  <c r="H178" i="17" s="1"/>
  <c r="H43" i="17"/>
  <c r="H38" i="17"/>
  <c r="H35" i="17"/>
  <c r="H31" i="17"/>
  <c r="H10" i="17"/>
  <c r="H6" i="17"/>
  <c r="H136" i="17"/>
  <c r="H141" i="17"/>
  <c r="M237" i="17"/>
  <c r="I237" i="17" s="1"/>
  <c r="H247" i="17"/>
  <c r="H70" i="17"/>
  <c r="H132" i="17"/>
  <c r="L193" i="17"/>
  <c r="M193" i="17" s="1"/>
  <c r="I193" i="17" s="1"/>
  <c r="H197" i="17"/>
  <c r="L256" i="17"/>
  <c r="M256" i="17" s="1"/>
  <c r="I256" i="17" s="1"/>
  <c r="M223" i="17"/>
  <c r="I223" i="17" s="1"/>
  <c r="M56" i="17"/>
  <c r="I56" i="17" s="1"/>
  <c r="H12" i="17"/>
  <c r="M62" i="17"/>
  <c r="I62" i="17" s="1"/>
  <c r="H133" i="17"/>
  <c r="H203" i="17"/>
  <c r="H58" i="17"/>
  <c r="G117" i="17"/>
  <c r="H130" i="17"/>
  <c r="H144" i="17"/>
  <c r="G226" i="17"/>
  <c r="H250" i="17"/>
  <c r="H262" i="17"/>
  <c r="H18" i="17"/>
  <c r="H36" i="17"/>
  <c r="E61" i="17"/>
  <c r="H152" i="17"/>
  <c r="H174" i="17"/>
  <c r="H200" i="17"/>
  <c r="H214" i="17"/>
  <c r="H266" i="17"/>
  <c r="G20" i="17"/>
  <c r="H73" i="17"/>
  <c r="H135" i="17"/>
  <c r="F241" i="17"/>
  <c r="H246" i="17"/>
  <c r="H259" i="17"/>
  <c r="M100" i="17"/>
  <c r="I100" i="17" s="1"/>
  <c r="M103" i="17"/>
  <c r="I103" i="17" s="1"/>
  <c r="M196" i="17"/>
  <c r="I196" i="17" s="1"/>
  <c r="M190" i="17"/>
  <c r="I190" i="17" s="1"/>
  <c r="M98" i="17"/>
  <c r="I98" i="17" s="1"/>
  <c r="L64" i="17"/>
  <c r="M64" i="17" s="1"/>
  <c r="I64" i="17" s="1"/>
  <c r="H105" i="17"/>
  <c r="L109" i="17"/>
  <c r="H109" i="17" s="1"/>
  <c r="M212" i="17"/>
  <c r="I212" i="17" s="1"/>
  <c r="M227" i="17"/>
  <c r="I227" i="17" s="1"/>
  <c r="M245" i="17"/>
  <c r="I245" i="17" s="1"/>
  <c r="M267" i="17"/>
  <c r="I267" i="17" s="1"/>
  <c r="H30" i="17"/>
  <c r="H85" i="17"/>
  <c r="M87" i="17"/>
  <c r="I87" i="17" s="1"/>
  <c r="M127" i="17"/>
  <c r="I127" i="17" s="1"/>
  <c r="L131" i="17"/>
  <c r="M131" i="17" s="1"/>
  <c r="I131" i="17" s="1"/>
  <c r="M185" i="17"/>
  <c r="I185" i="17" s="1"/>
  <c r="M191" i="17"/>
  <c r="I191" i="17" s="1"/>
  <c r="H201" i="17"/>
  <c r="H230" i="17"/>
  <c r="H234" i="17"/>
  <c r="M111" i="17"/>
  <c r="I111" i="17" s="1"/>
  <c r="G41" i="17"/>
  <c r="M126" i="17"/>
  <c r="I126" i="17" s="1"/>
  <c r="H19" i="17"/>
  <c r="H65" i="17"/>
  <c r="H74" i="17"/>
  <c r="L41" i="17"/>
  <c r="M41" i="17" s="1"/>
  <c r="I41" i="17" s="1"/>
  <c r="M97" i="17"/>
  <c r="I97" i="17" s="1"/>
  <c r="M171" i="17"/>
  <c r="I171" i="17" s="1"/>
  <c r="M199" i="17"/>
  <c r="I199" i="17" s="1"/>
  <c r="M69" i="17"/>
  <c r="I69" i="17" s="1"/>
  <c r="M23" i="17"/>
  <c r="I23" i="17" s="1"/>
  <c r="L26" i="17"/>
  <c r="H26" i="17" s="1"/>
  <c r="H40" i="17"/>
  <c r="H59" i="17"/>
  <c r="H71" i="17"/>
  <c r="H91" i="17"/>
  <c r="H128" i="17"/>
  <c r="H134" i="17"/>
  <c r="H168" i="17"/>
  <c r="M170" i="17"/>
  <c r="I170" i="17" s="1"/>
  <c r="K209" i="17"/>
  <c r="G240" i="17"/>
  <c r="M79" i="17"/>
  <c r="I79" i="17" s="1"/>
  <c r="M142" i="17"/>
  <c r="I142" i="17" s="1"/>
  <c r="M151" i="17"/>
  <c r="I151" i="17" s="1"/>
  <c r="F21" i="17"/>
  <c r="L225" i="17"/>
  <c r="M225" i="17" s="1"/>
  <c r="I225" i="17" s="1"/>
  <c r="M233" i="17"/>
  <c r="I233" i="17" s="1"/>
  <c r="F110" i="17"/>
  <c r="H148" i="17"/>
  <c r="M150" i="17"/>
  <c r="I150" i="17" s="1"/>
  <c r="C210" i="17"/>
  <c r="K210" i="17" s="1"/>
  <c r="M34" i="17"/>
  <c r="I34" i="17" s="1"/>
  <c r="M255" i="17"/>
  <c r="I255" i="17" s="1"/>
  <c r="M221" i="17"/>
  <c r="I221" i="17" s="1"/>
  <c r="M238" i="17"/>
  <c r="I238" i="17" s="1"/>
  <c r="G178" i="17"/>
  <c r="M198" i="17"/>
  <c r="I198" i="17" s="1"/>
  <c r="L252" i="17"/>
  <c r="M252" i="17" s="1"/>
  <c r="I252" i="17" s="1"/>
  <c r="H258" i="17"/>
  <c r="M37" i="17"/>
  <c r="I37" i="17" s="1"/>
  <c r="D21" i="17"/>
  <c r="M88" i="17"/>
  <c r="I88" i="17" s="1"/>
  <c r="H95" i="17"/>
  <c r="H154" i="17"/>
  <c r="H202" i="17"/>
  <c r="H224" i="17"/>
  <c r="H229" i="17"/>
  <c r="M229" i="17"/>
  <c r="I229" i="17" s="1"/>
  <c r="M27" i="17"/>
  <c r="I27" i="17" s="1"/>
  <c r="M140" i="17"/>
  <c r="I140" i="17" s="1"/>
  <c r="H140" i="17"/>
  <c r="H219" i="17"/>
  <c r="M219" i="17"/>
  <c r="I219" i="17" s="1"/>
  <c r="H159" i="17"/>
  <c r="M159" i="17"/>
  <c r="I159" i="17" s="1"/>
  <c r="M16" i="17"/>
  <c r="I16" i="17" s="1"/>
  <c r="M67" i="17"/>
  <c r="I67" i="17" s="1"/>
  <c r="H157" i="17"/>
  <c r="M157" i="17"/>
  <c r="I157" i="17" s="1"/>
  <c r="H183" i="17"/>
  <c r="M183" i="17"/>
  <c r="I183" i="17" s="1"/>
  <c r="L117" i="17"/>
  <c r="M117" i="17" s="1"/>
  <c r="I117" i="17" s="1"/>
  <c r="M184" i="17"/>
  <c r="I184" i="17" s="1"/>
  <c r="H184" i="17"/>
  <c r="H119" i="17"/>
  <c r="M119" i="17"/>
  <c r="I119" i="17" s="1"/>
  <c r="M108" i="17"/>
  <c r="I108" i="17" s="1"/>
  <c r="H108" i="17"/>
  <c r="M120" i="17"/>
  <c r="I120" i="17" s="1"/>
  <c r="H120" i="17"/>
  <c r="H113" i="17"/>
  <c r="M113" i="17"/>
  <c r="I113" i="17" s="1"/>
  <c r="F61" i="17"/>
  <c r="H163" i="17"/>
  <c r="M163" i="17"/>
  <c r="I163" i="17" s="1"/>
  <c r="M82" i="17"/>
  <c r="I82" i="17" s="1"/>
  <c r="M116" i="17"/>
  <c r="I116" i="17" s="1"/>
  <c r="H116" i="17"/>
  <c r="M9" i="17"/>
  <c r="I9" i="17" s="1"/>
  <c r="G81" i="17"/>
  <c r="D5" i="17"/>
  <c r="M33" i="17"/>
  <c r="I33" i="17" s="1"/>
  <c r="H39" i="17"/>
  <c r="F5" i="17"/>
  <c r="G5" i="17" s="1"/>
  <c r="C21" i="17"/>
  <c r="M28" i="17"/>
  <c r="I28" i="17" s="1"/>
  <c r="H44" i="17"/>
  <c r="M78" i="17"/>
  <c r="I78" i="17" s="1"/>
  <c r="D110" i="17"/>
  <c r="H137" i="17"/>
  <c r="M137" i="17"/>
  <c r="I137" i="17" s="1"/>
  <c r="H156" i="17"/>
  <c r="M160" i="17"/>
  <c r="I160" i="17" s="1"/>
  <c r="H160" i="17"/>
  <c r="M14" i="17"/>
  <c r="I14" i="17" s="1"/>
  <c r="M45" i="17"/>
  <c r="I45" i="17" s="1"/>
  <c r="H45" i="17"/>
  <c r="M15" i="17"/>
  <c r="I15" i="17" s="1"/>
  <c r="L20" i="17"/>
  <c r="M20" i="17" s="1"/>
  <c r="I20" i="17" s="1"/>
  <c r="L60" i="17"/>
  <c r="M60" i="17" s="1"/>
  <c r="I60" i="17" s="1"/>
  <c r="G60" i="17"/>
  <c r="M84" i="17"/>
  <c r="I84" i="17" s="1"/>
  <c r="H84" i="17"/>
  <c r="E110" i="17"/>
  <c r="H207" i="17"/>
  <c r="M207" i="17"/>
  <c r="I207" i="17" s="1"/>
  <c r="H211" i="17"/>
  <c r="H231" i="17"/>
  <c r="M231" i="17"/>
  <c r="I231" i="17" s="1"/>
  <c r="H270" i="17"/>
  <c r="M232" i="17"/>
  <c r="I232" i="17" s="1"/>
  <c r="H232" i="17"/>
  <c r="M24" i="17"/>
  <c r="I24" i="17" s="1"/>
  <c r="H139" i="17"/>
  <c r="M139" i="17"/>
  <c r="I139" i="17" s="1"/>
  <c r="M63" i="17"/>
  <c r="I63" i="17" s="1"/>
  <c r="H205" i="17"/>
  <c r="M205" i="17"/>
  <c r="I205" i="17" s="1"/>
  <c r="M77" i="17"/>
  <c r="I77" i="17" s="1"/>
  <c r="H77" i="17"/>
  <c r="I270" i="17"/>
  <c r="M208" i="17"/>
  <c r="I208" i="17" s="1"/>
  <c r="H208" i="17"/>
  <c r="M8" i="17"/>
  <c r="I8" i="17" s="1"/>
  <c r="L162" i="17"/>
  <c r="M162" i="17" s="1"/>
  <c r="I162" i="17" s="1"/>
  <c r="G162" i="17"/>
  <c r="M76" i="17"/>
  <c r="I76" i="17" s="1"/>
  <c r="M55" i="17"/>
  <c r="I55" i="17" s="1"/>
  <c r="M80" i="17"/>
  <c r="I80" i="17" s="1"/>
  <c r="H80" i="17"/>
  <c r="H11" i="17"/>
  <c r="E21" i="17"/>
  <c r="L81" i="17"/>
  <c r="M81" i="17" s="1"/>
  <c r="I81" i="17" s="1"/>
  <c r="L145" i="17"/>
  <c r="M145" i="17" s="1"/>
  <c r="I145" i="17" s="1"/>
  <c r="M164" i="17"/>
  <c r="I164" i="17" s="1"/>
  <c r="H164" i="17"/>
  <c r="H177" i="17"/>
  <c r="M177" i="17"/>
  <c r="I177" i="17" s="1"/>
  <c r="H181" i="17"/>
  <c r="M181" i="17"/>
  <c r="I181" i="17" s="1"/>
  <c r="H115" i="17"/>
  <c r="M115" i="17"/>
  <c r="I115" i="17" s="1"/>
  <c r="G256" i="17"/>
  <c r="G131" i="17"/>
  <c r="L209" i="17"/>
  <c r="L244" i="17"/>
  <c r="C110" i="17"/>
  <c r="M217" i="17"/>
  <c r="I217" i="17" s="1"/>
  <c r="H222" i="17"/>
  <c r="H239" i="17"/>
  <c r="H75" i="17"/>
  <c r="H106" i="17"/>
  <c r="H114" i="17"/>
  <c r="H118" i="17"/>
  <c r="H138" i="17"/>
  <c r="H158" i="17"/>
  <c r="H182" i="17"/>
  <c r="G193" i="17"/>
  <c r="H206" i="17"/>
  <c r="H220" i="17"/>
  <c r="D226" i="17"/>
  <c r="C241" i="17"/>
  <c r="H218" i="17"/>
  <c r="H123" i="17"/>
  <c r="H143" i="17"/>
  <c r="H147" i="17"/>
  <c r="H167" i="17"/>
  <c r="H187" i="17"/>
  <c r="H195" i="17"/>
  <c r="H216" i="17"/>
  <c r="H235" i="17"/>
  <c r="H251" i="17"/>
  <c r="E257" i="17"/>
  <c r="G270" i="17"/>
  <c r="E194" i="17"/>
  <c r="M153" i="16"/>
  <c r="I153" i="16" s="1"/>
  <c r="M157" i="16"/>
  <c r="I157" i="16" s="1"/>
  <c r="M154" i="16"/>
  <c r="I154" i="16" s="1"/>
  <c r="M152" i="16"/>
  <c r="I152" i="16" s="1"/>
  <c r="M155" i="16"/>
  <c r="I155" i="16" s="1"/>
  <c r="G67" i="16"/>
  <c r="J67" i="16" a="1"/>
  <c r="J67" i="16" s="1"/>
  <c r="L67" i="16"/>
  <c r="H67" i="16" s="1"/>
  <c r="G68" i="16"/>
  <c r="J68" i="16" a="1"/>
  <c r="J68" i="16"/>
  <c r="L68" i="16"/>
  <c r="H68" i="16" s="1"/>
  <c r="G69" i="16"/>
  <c r="J69" i="16" a="1"/>
  <c r="J69" i="16" s="1"/>
  <c r="L69" i="16"/>
  <c r="M69" i="16" s="1"/>
  <c r="I69" i="16" s="1"/>
  <c r="C79" i="16"/>
  <c r="D79" i="16"/>
  <c r="A298" i="16"/>
  <c r="E296" i="16"/>
  <c r="D296" i="16"/>
  <c r="C296" i="16"/>
  <c r="G295" i="16"/>
  <c r="F295" i="16"/>
  <c r="G294" i="16"/>
  <c r="F294" i="16"/>
  <c r="G293" i="16"/>
  <c r="F293" i="16"/>
  <c r="G292" i="16"/>
  <c r="F292" i="16"/>
  <c r="G291" i="16"/>
  <c r="F291" i="16"/>
  <c r="G280" i="16"/>
  <c r="F280" i="16"/>
  <c r="G279" i="16"/>
  <c r="F279" i="16"/>
  <c r="G278" i="16"/>
  <c r="F278" i="16"/>
  <c r="G277" i="16"/>
  <c r="F277" i="16"/>
  <c r="G276" i="16"/>
  <c r="F276" i="16"/>
  <c r="G275" i="16"/>
  <c r="F275" i="16"/>
  <c r="G274" i="16"/>
  <c r="F274" i="16"/>
  <c r="F268" i="16"/>
  <c r="E268" i="16"/>
  <c r="D268" i="16"/>
  <c r="D255" i="16" s="1"/>
  <c r="C268" i="16"/>
  <c r="C255" i="16" s="1"/>
  <c r="L267" i="16"/>
  <c r="M267" i="16" s="1"/>
  <c r="I267" i="16" s="1"/>
  <c r="J267" i="16" a="1"/>
  <c r="J267" i="16" s="1"/>
  <c r="G267" i="16"/>
  <c r="L266" i="16"/>
  <c r="H266" i="16" s="1"/>
  <c r="J266" i="16" a="1"/>
  <c r="J266" i="16" s="1"/>
  <c r="G266" i="16"/>
  <c r="L265" i="16"/>
  <c r="M265" i="16" s="1"/>
  <c r="I265" i="16" s="1"/>
  <c r="J265" i="16" a="1"/>
  <c r="J265" i="16" s="1"/>
  <c r="G265" i="16"/>
  <c r="L264" i="16"/>
  <c r="M264" i="16" s="1"/>
  <c r="I264" i="16" s="1"/>
  <c r="J264" i="16" a="1"/>
  <c r="J264" i="16" s="1"/>
  <c r="G264" i="16"/>
  <c r="L263" i="16"/>
  <c r="M263" i="16" s="1"/>
  <c r="I263" i="16" s="1"/>
  <c r="J263" i="16" a="1"/>
  <c r="J263" i="16" s="1"/>
  <c r="G263" i="16"/>
  <c r="L262" i="16"/>
  <c r="M262" i="16" s="1"/>
  <c r="I262" i="16" s="1"/>
  <c r="J262" i="16" a="1"/>
  <c r="J262" i="16" s="1"/>
  <c r="G262" i="16"/>
  <c r="L261" i="16"/>
  <c r="M261" i="16" s="1"/>
  <c r="I261" i="16" s="1"/>
  <c r="J261" i="16" a="1"/>
  <c r="J261" i="16" s="1"/>
  <c r="H261" i="16"/>
  <c r="G261" i="16"/>
  <c r="L260" i="16"/>
  <c r="M260" i="16" s="1"/>
  <c r="I260" i="16" s="1"/>
  <c r="J260" i="16" a="1"/>
  <c r="J260" i="16" s="1"/>
  <c r="G260" i="16"/>
  <c r="L259" i="16"/>
  <c r="M259" i="16" s="1"/>
  <c r="I259" i="16" s="1"/>
  <c r="J259" i="16" a="1"/>
  <c r="J259" i="16" s="1"/>
  <c r="G259" i="16"/>
  <c r="L258" i="16"/>
  <c r="M258" i="16" s="1"/>
  <c r="I258" i="16" s="1"/>
  <c r="J258" i="16" a="1"/>
  <c r="J258" i="16" s="1"/>
  <c r="G258" i="16"/>
  <c r="L257" i="16"/>
  <c r="M257" i="16" s="1"/>
  <c r="I257" i="16" s="1"/>
  <c r="J257" i="16" a="1"/>
  <c r="J257" i="16" s="1"/>
  <c r="G257" i="16"/>
  <c r="L256" i="16"/>
  <c r="M256" i="16" s="1"/>
  <c r="I256" i="16" s="1"/>
  <c r="J256" i="16" a="1"/>
  <c r="J256" i="16" s="1"/>
  <c r="H256" i="16"/>
  <c r="G256" i="16"/>
  <c r="J255" i="16" a="1"/>
  <c r="J255" i="16" s="1"/>
  <c r="J254" i="16" a="1"/>
  <c r="J254" i="16" s="1"/>
  <c r="D254" i="16"/>
  <c r="C254" i="16"/>
  <c r="G254" i="16" s="1"/>
  <c r="L253" i="16"/>
  <c r="H253" i="16" s="1"/>
  <c r="J253" i="16" a="1"/>
  <c r="J253" i="16" s="1"/>
  <c r="G253" i="16"/>
  <c r="L252" i="16"/>
  <c r="H252" i="16" s="1"/>
  <c r="J252" i="16" a="1"/>
  <c r="J252" i="16" s="1"/>
  <c r="G252" i="16"/>
  <c r="L251" i="16"/>
  <c r="M251" i="16" s="1"/>
  <c r="I251" i="16" s="1"/>
  <c r="J251" i="16" a="1"/>
  <c r="J251" i="16" s="1"/>
  <c r="G251" i="16"/>
  <c r="J250" i="16" a="1"/>
  <c r="J250" i="16" s="1"/>
  <c r="F250" i="16"/>
  <c r="F239" i="16" s="1"/>
  <c r="E250" i="16"/>
  <c r="E239" i="16" s="1"/>
  <c r="L249" i="16"/>
  <c r="H249" i="16" s="1"/>
  <c r="J249" i="16" a="1"/>
  <c r="J249" i="16" s="1"/>
  <c r="G249" i="16"/>
  <c r="L248" i="16"/>
  <c r="H248" i="16" s="1"/>
  <c r="J248" i="16" a="1"/>
  <c r="J248" i="16" s="1"/>
  <c r="G248" i="16"/>
  <c r="L246" i="16"/>
  <c r="M246" i="16" s="1"/>
  <c r="I246" i="16" s="1"/>
  <c r="J246" i="16" a="1"/>
  <c r="J246" i="16" s="1"/>
  <c r="G246" i="16"/>
  <c r="L245" i="16"/>
  <c r="M245" i="16" s="1"/>
  <c r="I245" i="16" s="1"/>
  <c r="J245" i="16" a="1"/>
  <c r="J245" i="16" s="1"/>
  <c r="G245" i="16"/>
  <c r="L244" i="16"/>
  <c r="H244" i="16" s="1"/>
  <c r="J244" i="16" a="1"/>
  <c r="J244" i="16" s="1"/>
  <c r="G244" i="16"/>
  <c r="L243" i="16"/>
  <c r="M243" i="16" s="1"/>
  <c r="I243" i="16" s="1"/>
  <c r="J243" i="16" a="1"/>
  <c r="J243" i="16" s="1"/>
  <c r="G243" i="16"/>
  <c r="J242" i="16" a="1"/>
  <c r="J242" i="16" s="1"/>
  <c r="C242" i="16"/>
  <c r="L241" i="16"/>
  <c r="H241" i="16" s="1"/>
  <c r="J241" i="16" a="1"/>
  <c r="J241" i="16" s="1"/>
  <c r="G241" i="16"/>
  <c r="L240" i="16"/>
  <c r="J240" i="16" a="1"/>
  <c r="J240" i="16" s="1"/>
  <c r="G240" i="16"/>
  <c r="J239" i="16" a="1"/>
  <c r="J239" i="16" s="1"/>
  <c r="J238" i="16" a="1"/>
  <c r="J238" i="16" s="1"/>
  <c r="F238" i="16"/>
  <c r="F224" i="16" s="1"/>
  <c r="E238" i="16"/>
  <c r="E224" i="16" s="1"/>
  <c r="D238" i="16"/>
  <c r="C238" i="16"/>
  <c r="C224" i="16" s="1"/>
  <c r="L237" i="16"/>
  <c r="M237" i="16" s="1"/>
  <c r="I237" i="16" s="1"/>
  <c r="J237" i="16" a="1"/>
  <c r="J237" i="16" s="1"/>
  <c r="G237" i="16"/>
  <c r="L236" i="16"/>
  <c r="M236" i="16" s="1"/>
  <c r="I236" i="16" s="1"/>
  <c r="J236" i="16" a="1"/>
  <c r="J236" i="16" s="1"/>
  <c r="G236" i="16"/>
  <c r="L235" i="16"/>
  <c r="M235" i="16" s="1"/>
  <c r="I235" i="16" s="1"/>
  <c r="J235" i="16" a="1"/>
  <c r="J235" i="16" s="1"/>
  <c r="G235" i="16"/>
  <c r="L234" i="16"/>
  <c r="M234" i="16" s="1"/>
  <c r="I234" i="16" s="1"/>
  <c r="J234" i="16" a="1"/>
  <c r="J234" i="16" s="1"/>
  <c r="G234" i="16"/>
  <c r="L233" i="16"/>
  <c r="H233" i="16" s="1"/>
  <c r="J233" i="16" a="1"/>
  <c r="J233" i="16" s="1"/>
  <c r="G233" i="16"/>
  <c r="L232" i="16"/>
  <c r="M232" i="16" s="1"/>
  <c r="I232" i="16" s="1"/>
  <c r="J232" i="16" a="1"/>
  <c r="J232" i="16" s="1"/>
  <c r="G232" i="16"/>
  <c r="L231" i="16"/>
  <c r="H231" i="16" s="1"/>
  <c r="J231" i="16" a="1"/>
  <c r="J231" i="16" s="1"/>
  <c r="G231" i="16"/>
  <c r="L230" i="16"/>
  <c r="J230" i="16" a="1"/>
  <c r="J230" i="16" s="1"/>
  <c r="G230" i="16"/>
  <c r="L229" i="16"/>
  <c r="M229" i="16" s="1"/>
  <c r="I229" i="16" s="1"/>
  <c r="J229" i="16" a="1"/>
  <c r="J229" i="16" s="1"/>
  <c r="G229" i="16"/>
  <c r="L228" i="16"/>
  <c r="M228" i="16" s="1"/>
  <c r="I228" i="16" s="1"/>
  <c r="J228" i="16" a="1"/>
  <c r="J228" i="16" s="1"/>
  <c r="G228" i="16"/>
  <c r="L227" i="16"/>
  <c r="M227" i="16" s="1"/>
  <c r="I227" i="16" s="1"/>
  <c r="J227" i="16" a="1"/>
  <c r="J227" i="16" s="1"/>
  <c r="G227" i="16"/>
  <c r="L226" i="16"/>
  <c r="M226" i="16" s="1"/>
  <c r="I226" i="16" s="1"/>
  <c r="J226" i="16" a="1"/>
  <c r="J226" i="16" s="1"/>
  <c r="G226" i="16"/>
  <c r="L225" i="16"/>
  <c r="J225" i="16" a="1"/>
  <c r="J225" i="16" s="1"/>
  <c r="G225" i="16"/>
  <c r="J224" i="16" a="1"/>
  <c r="J224" i="16" s="1"/>
  <c r="J223" i="16" a="1"/>
  <c r="J223" i="16" s="1"/>
  <c r="F223" i="16"/>
  <c r="F208" i="16" s="1"/>
  <c r="E223" i="16"/>
  <c r="D223" i="16"/>
  <c r="D208" i="16" s="1"/>
  <c r="C223" i="16"/>
  <c r="C208" i="16" s="1"/>
  <c r="L222" i="16"/>
  <c r="K222" i="16"/>
  <c r="J222" i="16" a="1"/>
  <c r="J222" i="16" s="1"/>
  <c r="G222" i="16"/>
  <c r="L221" i="16"/>
  <c r="M221" i="16" s="1"/>
  <c r="I221" i="16" s="1"/>
  <c r="J221" i="16" a="1"/>
  <c r="J221" i="16" s="1"/>
  <c r="G221" i="16"/>
  <c r="L220" i="16"/>
  <c r="M220" i="16" s="1"/>
  <c r="I220" i="16" s="1"/>
  <c r="J220" i="16" a="1"/>
  <c r="J220" i="16" s="1"/>
  <c r="G220" i="16"/>
  <c r="L219" i="16"/>
  <c r="H219" i="16" s="1"/>
  <c r="K219" i="16"/>
  <c r="J219" i="16" a="1"/>
  <c r="J219" i="16" s="1"/>
  <c r="G219" i="16"/>
  <c r="L218" i="16"/>
  <c r="M218" i="16" s="1"/>
  <c r="I218" i="16" s="1"/>
  <c r="J218" i="16" a="1"/>
  <c r="J218" i="16" s="1"/>
  <c r="G218" i="16"/>
  <c r="L217" i="16"/>
  <c r="M217" i="16" s="1"/>
  <c r="I217" i="16" s="1"/>
  <c r="J217" i="16" a="1"/>
  <c r="J217" i="16" s="1"/>
  <c r="G217" i="16"/>
  <c r="L216" i="16"/>
  <c r="M216" i="16" s="1"/>
  <c r="I216" i="16" s="1"/>
  <c r="K216" i="16"/>
  <c r="J216" i="16" a="1"/>
  <c r="J216" i="16" s="1"/>
  <c r="G216" i="16"/>
  <c r="L215" i="16"/>
  <c r="M215" i="16" s="1"/>
  <c r="I215" i="16" s="1"/>
  <c r="J215" i="16" a="1"/>
  <c r="J215" i="16" s="1"/>
  <c r="G215" i="16"/>
  <c r="L214" i="16"/>
  <c r="H214" i="16" s="1"/>
  <c r="J214" i="16" a="1"/>
  <c r="J214" i="16" s="1"/>
  <c r="G214" i="16"/>
  <c r="L213" i="16"/>
  <c r="M213" i="16" s="1"/>
  <c r="I213" i="16" s="1"/>
  <c r="K213" i="16"/>
  <c r="J213" i="16" a="1"/>
  <c r="J213" i="16" s="1"/>
  <c r="G213" i="16"/>
  <c r="L212" i="16"/>
  <c r="J212" i="16" a="1"/>
  <c r="J212" i="16" s="1"/>
  <c r="G212" i="16"/>
  <c r="L211" i="16"/>
  <c r="M211" i="16" s="1"/>
  <c r="I211" i="16" s="1"/>
  <c r="J211" i="16" a="1"/>
  <c r="J211" i="16" s="1"/>
  <c r="G211" i="16"/>
  <c r="L210" i="16"/>
  <c r="K210" i="16"/>
  <c r="J210" i="16" a="1"/>
  <c r="J210" i="16" s="1"/>
  <c r="G210" i="16"/>
  <c r="L209" i="16"/>
  <c r="M209" i="16" s="1"/>
  <c r="I209" i="16" s="1"/>
  <c r="K209" i="16"/>
  <c r="J209" i="16" a="1"/>
  <c r="J209" i="16" s="1"/>
  <c r="G209" i="16"/>
  <c r="J208" i="16" a="1"/>
  <c r="J208" i="16" s="1"/>
  <c r="J207" i="16" a="1"/>
  <c r="J207" i="16" s="1"/>
  <c r="F207" i="16"/>
  <c r="F192" i="16" s="1"/>
  <c r="E207" i="16"/>
  <c r="E192" i="16" s="1"/>
  <c r="D207" i="16"/>
  <c r="D192" i="16" s="1"/>
  <c r="C207" i="16"/>
  <c r="L206" i="16"/>
  <c r="J206" i="16" a="1"/>
  <c r="J206" i="16" s="1"/>
  <c r="G206" i="16"/>
  <c r="L205" i="16"/>
  <c r="M205" i="16" s="1"/>
  <c r="I205" i="16" s="1"/>
  <c r="J205" i="16" a="1"/>
  <c r="J205" i="16" s="1"/>
  <c r="G205" i="16"/>
  <c r="L204" i="16"/>
  <c r="M204" i="16" s="1"/>
  <c r="I204" i="16" s="1"/>
  <c r="J204" i="16" a="1"/>
  <c r="J204" i="16" s="1"/>
  <c r="G204" i="16"/>
  <c r="L203" i="16"/>
  <c r="J203" i="16" a="1"/>
  <c r="J203" i="16" s="1"/>
  <c r="G203" i="16"/>
  <c r="L202" i="16"/>
  <c r="H202" i="16" s="1"/>
  <c r="J202" i="16" a="1"/>
  <c r="J202" i="16" s="1"/>
  <c r="G202" i="16"/>
  <c r="L201" i="16"/>
  <c r="J201" i="16" a="1"/>
  <c r="J201" i="16" s="1"/>
  <c r="G201" i="16"/>
  <c r="L200" i="16"/>
  <c r="J200" i="16" a="1"/>
  <c r="J200" i="16" s="1"/>
  <c r="G200" i="16"/>
  <c r="L199" i="16"/>
  <c r="M199" i="16" s="1"/>
  <c r="I199" i="16" s="1"/>
  <c r="J199" i="16" a="1"/>
  <c r="J199" i="16" s="1"/>
  <c r="G199" i="16"/>
  <c r="L198" i="16"/>
  <c r="M198" i="16" s="1"/>
  <c r="I198" i="16" s="1"/>
  <c r="J198" i="16" a="1"/>
  <c r="J198" i="16" s="1"/>
  <c r="G198" i="16"/>
  <c r="L197" i="16"/>
  <c r="M197" i="16" s="1"/>
  <c r="I197" i="16" s="1"/>
  <c r="J197" i="16" a="1"/>
  <c r="J197" i="16" s="1"/>
  <c r="G197" i="16"/>
  <c r="L196" i="16"/>
  <c r="M196" i="16" s="1"/>
  <c r="I196" i="16" s="1"/>
  <c r="J196" i="16" a="1"/>
  <c r="J196" i="16" s="1"/>
  <c r="G196" i="16"/>
  <c r="L195" i="16"/>
  <c r="M195" i="16" s="1"/>
  <c r="I195" i="16" s="1"/>
  <c r="J195" i="16" a="1"/>
  <c r="J195" i="16" s="1"/>
  <c r="G195" i="16"/>
  <c r="L194" i="16"/>
  <c r="M194" i="16" s="1"/>
  <c r="I194" i="16" s="1"/>
  <c r="J194" i="16" a="1"/>
  <c r="J194" i="16" s="1"/>
  <c r="G194" i="16"/>
  <c r="L193" i="16"/>
  <c r="M193" i="16" s="1"/>
  <c r="I193" i="16" s="1"/>
  <c r="J193" i="16" a="1"/>
  <c r="J193" i="16" s="1"/>
  <c r="G193" i="16"/>
  <c r="J192" i="16" a="1"/>
  <c r="J192" i="16" s="1"/>
  <c r="J191" i="16" a="1"/>
  <c r="J191" i="16" s="1"/>
  <c r="F191" i="16"/>
  <c r="E191" i="16"/>
  <c r="D191" i="16"/>
  <c r="C191" i="16"/>
  <c r="L190" i="16"/>
  <c r="M190" i="16" s="1"/>
  <c r="I190" i="16" s="1"/>
  <c r="J190" i="16" a="1"/>
  <c r="J190" i="16" s="1"/>
  <c r="G190" i="16"/>
  <c r="L189" i="16"/>
  <c r="M189" i="16" s="1"/>
  <c r="I189" i="16" s="1"/>
  <c r="J189" i="16" a="1"/>
  <c r="J189" i="16" s="1"/>
  <c r="G189" i="16"/>
  <c r="L188" i="16"/>
  <c r="M188" i="16" s="1"/>
  <c r="I188" i="16" s="1"/>
  <c r="J188" i="16" a="1"/>
  <c r="J188" i="16" s="1"/>
  <c r="G188" i="16"/>
  <c r="L187" i="16"/>
  <c r="M187" i="16" s="1"/>
  <c r="I187" i="16" s="1"/>
  <c r="J187" i="16" a="1"/>
  <c r="J187" i="16" s="1"/>
  <c r="G187" i="16"/>
  <c r="L186" i="16"/>
  <c r="M186" i="16" s="1"/>
  <c r="I186" i="16" s="1"/>
  <c r="J186" i="16" a="1"/>
  <c r="J186" i="16" s="1"/>
  <c r="G186" i="16"/>
  <c r="L185" i="16"/>
  <c r="M185" i="16" s="1"/>
  <c r="I185" i="16" s="1"/>
  <c r="J185" i="16" a="1"/>
  <c r="J185" i="16" s="1"/>
  <c r="G185" i="16"/>
  <c r="L184" i="16"/>
  <c r="H184" i="16" s="1"/>
  <c r="J184" i="16" a="1"/>
  <c r="J184" i="16" s="1"/>
  <c r="G184" i="16"/>
  <c r="L183" i="16"/>
  <c r="M183" i="16" s="1"/>
  <c r="I183" i="16" s="1"/>
  <c r="J183" i="16" a="1"/>
  <c r="J183" i="16" s="1"/>
  <c r="G183" i="16"/>
  <c r="L182" i="16"/>
  <c r="H182" i="16" s="1"/>
  <c r="J182" i="16" a="1"/>
  <c r="J182" i="16" s="1"/>
  <c r="G182" i="16"/>
  <c r="L181" i="16"/>
  <c r="M181" i="16" s="1"/>
  <c r="I181" i="16" s="1"/>
  <c r="J181" i="16" a="1"/>
  <c r="J181" i="16" s="1"/>
  <c r="G181" i="16"/>
  <c r="L180" i="16"/>
  <c r="M180" i="16" s="1"/>
  <c r="I180" i="16" s="1"/>
  <c r="J180" i="16" a="1"/>
  <c r="J180" i="16" s="1"/>
  <c r="G180" i="16"/>
  <c r="L179" i="16"/>
  <c r="J179" i="16" a="1"/>
  <c r="J179" i="16" s="1"/>
  <c r="G179" i="16"/>
  <c r="L178" i="16"/>
  <c r="M178" i="16" s="1"/>
  <c r="I178" i="16" s="1"/>
  <c r="J178" i="16" a="1"/>
  <c r="J178" i="16" s="1"/>
  <c r="G178" i="16"/>
  <c r="L177" i="16"/>
  <c r="M177" i="16" s="1"/>
  <c r="I177" i="16" s="1"/>
  <c r="J177" i="16" a="1"/>
  <c r="J177" i="16" s="1"/>
  <c r="G177" i="16"/>
  <c r="J176" i="16" a="1"/>
  <c r="J176" i="16" s="1"/>
  <c r="F176" i="16"/>
  <c r="E176" i="16"/>
  <c r="D176" i="16"/>
  <c r="C176" i="16"/>
  <c r="L175" i="16"/>
  <c r="J175" i="16" a="1"/>
  <c r="J175" i="16" s="1"/>
  <c r="G175" i="16"/>
  <c r="L174" i="16"/>
  <c r="M174" i="16" s="1"/>
  <c r="I174" i="16" s="1"/>
  <c r="J174" i="16" a="1"/>
  <c r="J174" i="16" s="1"/>
  <c r="G174" i="16"/>
  <c r="L173" i="16"/>
  <c r="M173" i="16" s="1"/>
  <c r="I173" i="16" s="1"/>
  <c r="J173" i="16" a="1"/>
  <c r="J173" i="16" s="1"/>
  <c r="G173" i="16"/>
  <c r="L172" i="16"/>
  <c r="J172" i="16" a="1"/>
  <c r="J172" i="16" s="1"/>
  <c r="G172" i="16"/>
  <c r="L171" i="16"/>
  <c r="M171" i="16" s="1"/>
  <c r="I171" i="16" s="1"/>
  <c r="J171" i="16" a="1"/>
  <c r="J171" i="16" s="1"/>
  <c r="G171" i="16"/>
  <c r="L170" i="16"/>
  <c r="H170" i="16" s="1"/>
  <c r="J170" i="16" a="1"/>
  <c r="J170" i="16" s="1"/>
  <c r="G170" i="16"/>
  <c r="L169" i="16"/>
  <c r="M169" i="16" s="1"/>
  <c r="I169" i="16" s="1"/>
  <c r="J169" i="16" a="1"/>
  <c r="J169" i="16" s="1"/>
  <c r="G169" i="16"/>
  <c r="L168" i="16"/>
  <c r="M168" i="16" s="1"/>
  <c r="I168" i="16" s="1"/>
  <c r="J168" i="16" a="1"/>
  <c r="J168" i="16" s="1"/>
  <c r="G168" i="16"/>
  <c r="L167" i="16"/>
  <c r="M167" i="16" s="1"/>
  <c r="I167" i="16" s="1"/>
  <c r="J167" i="16" a="1"/>
  <c r="J167" i="16" s="1"/>
  <c r="G167" i="16"/>
  <c r="L166" i="16"/>
  <c r="H166" i="16" s="1"/>
  <c r="J166" i="16" a="1"/>
  <c r="J166" i="16" s="1"/>
  <c r="G166" i="16"/>
  <c r="L165" i="16"/>
  <c r="M165" i="16" s="1"/>
  <c r="I165" i="16" s="1"/>
  <c r="J165" i="16" a="1"/>
  <c r="J165" i="16" s="1"/>
  <c r="G165" i="16"/>
  <c r="L164" i="16"/>
  <c r="M164" i="16" s="1"/>
  <c r="I164" i="16" s="1"/>
  <c r="J164" i="16" a="1"/>
  <c r="J164" i="16" s="1"/>
  <c r="G164" i="16"/>
  <c r="L163" i="16"/>
  <c r="M163" i="16" s="1"/>
  <c r="I163" i="16" s="1"/>
  <c r="J163" i="16" a="1"/>
  <c r="J163" i="16" s="1"/>
  <c r="G163" i="16"/>
  <c r="L162" i="16"/>
  <c r="H162" i="16" s="1"/>
  <c r="J162" i="16" a="1"/>
  <c r="J162" i="16" s="1"/>
  <c r="G162" i="16"/>
  <c r="L161" i="16"/>
  <c r="M161" i="16" s="1"/>
  <c r="I161" i="16" s="1"/>
  <c r="J161" i="16" a="1"/>
  <c r="J161" i="16" s="1"/>
  <c r="G161" i="16"/>
  <c r="J160" i="16" a="1"/>
  <c r="J160" i="16" s="1"/>
  <c r="F160" i="16"/>
  <c r="E160" i="16"/>
  <c r="D160" i="16"/>
  <c r="C160" i="16"/>
  <c r="L159" i="16"/>
  <c r="H159" i="16" s="1"/>
  <c r="J159" i="16" a="1"/>
  <c r="J159" i="16" s="1"/>
  <c r="G159" i="16"/>
  <c r="L158" i="16"/>
  <c r="H158" i="16" s="1"/>
  <c r="J158" i="16" a="1"/>
  <c r="J158" i="16" s="1"/>
  <c r="G158" i="16"/>
  <c r="L151" i="16"/>
  <c r="J151" i="16" a="1"/>
  <c r="J151" i="16" s="1"/>
  <c r="G151" i="16"/>
  <c r="L150" i="16"/>
  <c r="M150" i="16" s="1"/>
  <c r="I150" i="16" s="1"/>
  <c r="J150" i="16" a="1"/>
  <c r="J150" i="16" s="1"/>
  <c r="G150" i="16"/>
  <c r="L149" i="16"/>
  <c r="M149" i="16" s="1"/>
  <c r="I149" i="16" s="1"/>
  <c r="J149" i="16" a="1"/>
  <c r="J149" i="16" s="1"/>
  <c r="G149" i="16"/>
  <c r="L148" i="16"/>
  <c r="M148" i="16" s="1"/>
  <c r="I148" i="16" s="1"/>
  <c r="J148" i="16" a="1"/>
  <c r="J148" i="16" s="1"/>
  <c r="G148" i="16"/>
  <c r="L147" i="16"/>
  <c r="M147" i="16" s="1"/>
  <c r="I147" i="16" s="1"/>
  <c r="J147" i="16" a="1"/>
  <c r="J147" i="16" s="1"/>
  <c r="G147" i="16"/>
  <c r="L146" i="16"/>
  <c r="M146" i="16" s="1"/>
  <c r="I146" i="16" s="1"/>
  <c r="J146" i="16" a="1"/>
  <c r="J146" i="16" s="1"/>
  <c r="G146" i="16"/>
  <c r="L145" i="16"/>
  <c r="M145" i="16" s="1"/>
  <c r="I145" i="16" s="1"/>
  <c r="J145" i="16" a="1"/>
  <c r="J145" i="16" s="1"/>
  <c r="G145" i="16"/>
  <c r="L144" i="16"/>
  <c r="M144" i="16" s="1"/>
  <c r="I144" i="16" s="1"/>
  <c r="J144" i="16" a="1"/>
  <c r="J144" i="16" s="1"/>
  <c r="G144" i="16"/>
  <c r="J143" i="16" a="1"/>
  <c r="J143" i="16" s="1"/>
  <c r="F143" i="16"/>
  <c r="E143" i="16"/>
  <c r="D143" i="16"/>
  <c r="C143" i="16"/>
  <c r="L142" i="16"/>
  <c r="M142" i="16" s="1"/>
  <c r="I142" i="16" s="1"/>
  <c r="J142" i="16" a="1"/>
  <c r="J142" i="16" s="1"/>
  <c r="G142" i="16"/>
  <c r="L141" i="16"/>
  <c r="M141" i="16" s="1"/>
  <c r="I141" i="16" s="1"/>
  <c r="J141" i="16" a="1"/>
  <c r="J141" i="16" s="1"/>
  <c r="G141" i="16"/>
  <c r="L140" i="16"/>
  <c r="M140" i="16" s="1"/>
  <c r="I140" i="16" s="1"/>
  <c r="J140" i="16" a="1"/>
  <c r="J140" i="16" s="1"/>
  <c r="G140" i="16"/>
  <c r="L139" i="16"/>
  <c r="H139" i="16" s="1"/>
  <c r="J139" i="16" a="1"/>
  <c r="J139" i="16" s="1"/>
  <c r="G139" i="16"/>
  <c r="L138" i="16"/>
  <c r="M138" i="16" s="1"/>
  <c r="I138" i="16" s="1"/>
  <c r="J138" i="16" a="1"/>
  <c r="J138" i="16" s="1"/>
  <c r="G138" i="16"/>
  <c r="L137" i="16"/>
  <c r="H137" i="16" s="1"/>
  <c r="J137" i="16" a="1"/>
  <c r="J137" i="16" s="1"/>
  <c r="G137" i="16"/>
  <c r="L136" i="16"/>
  <c r="M136" i="16" s="1"/>
  <c r="I136" i="16" s="1"/>
  <c r="J136" i="16" a="1"/>
  <c r="J136" i="16" s="1"/>
  <c r="G136" i="16"/>
  <c r="L135" i="16"/>
  <c r="M135" i="16" s="1"/>
  <c r="I135" i="16" s="1"/>
  <c r="J135" i="16" a="1"/>
  <c r="J135" i="16" s="1"/>
  <c r="G135" i="16"/>
  <c r="L134" i="16"/>
  <c r="J134" i="16" a="1"/>
  <c r="J134" i="16" s="1"/>
  <c r="G134" i="16"/>
  <c r="L133" i="16"/>
  <c r="M133" i="16" s="1"/>
  <c r="I133" i="16" s="1"/>
  <c r="J133" i="16" a="1"/>
  <c r="J133" i="16" s="1"/>
  <c r="G133" i="16"/>
  <c r="L132" i="16"/>
  <c r="M132" i="16" s="1"/>
  <c r="I132" i="16" s="1"/>
  <c r="J132" i="16" a="1"/>
  <c r="J132" i="16" s="1"/>
  <c r="G132" i="16"/>
  <c r="L131" i="16"/>
  <c r="J131" i="16" a="1"/>
  <c r="J131" i="16" s="1"/>
  <c r="G131" i="16"/>
  <c r="L130" i="16"/>
  <c r="M130" i="16" s="1"/>
  <c r="I130" i="16" s="1"/>
  <c r="J130" i="16" a="1"/>
  <c r="J130" i="16" s="1"/>
  <c r="H130" i="16"/>
  <c r="G130" i="16"/>
  <c r="J129" i="16" a="1"/>
  <c r="J129" i="16" s="1"/>
  <c r="F129" i="16"/>
  <c r="E129" i="16"/>
  <c r="D129" i="16"/>
  <c r="C129" i="16"/>
  <c r="L128" i="16"/>
  <c r="M128" i="16" s="1"/>
  <c r="I128" i="16" s="1"/>
  <c r="J128" i="16" a="1"/>
  <c r="J128" i="16" s="1"/>
  <c r="G128" i="16"/>
  <c r="L127" i="16"/>
  <c r="J127" i="16" a="1"/>
  <c r="J127" i="16" s="1"/>
  <c r="G127" i="16"/>
  <c r="L126" i="16"/>
  <c r="M126" i="16" s="1"/>
  <c r="I126" i="16" s="1"/>
  <c r="J126" i="16" a="1"/>
  <c r="J126" i="16" s="1"/>
  <c r="G126" i="16"/>
  <c r="L125" i="16"/>
  <c r="H125" i="16" s="1"/>
  <c r="J125" i="16" a="1"/>
  <c r="J125" i="16" s="1"/>
  <c r="G125" i="16"/>
  <c r="L124" i="16"/>
  <c r="M124" i="16" s="1"/>
  <c r="I124" i="16" s="1"/>
  <c r="J124" i="16" a="1"/>
  <c r="J124" i="16" s="1"/>
  <c r="G124" i="16"/>
  <c r="L123" i="16"/>
  <c r="M123" i="16" s="1"/>
  <c r="I123" i="16" s="1"/>
  <c r="J123" i="16" a="1"/>
  <c r="J123" i="16" s="1"/>
  <c r="G123" i="16"/>
  <c r="L122" i="16"/>
  <c r="M122" i="16" s="1"/>
  <c r="I122" i="16" s="1"/>
  <c r="J122" i="16" a="1"/>
  <c r="J122" i="16" s="1"/>
  <c r="G122" i="16"/>
  <c r="L121" i="16"/>
  <c r="M121" i="16" s="1"/>
  <c r="I121" i="16" s="1"/>
  <c r="J121" i="16" a="1"/>
  <c r="J121" i="16" s="1"/>
  <c r="G121" i="16"/>
  <c r="L120" i="16"/>
  <c r="M120" i="16" s="1"/>
  <c r="I120" i="16" s="1"/>
  <c r="J120" i="16" a="1"/>
  <c r="J120" i="16" s="1"/>
  <c r="G120" i="16"/>
  <c r="L119" i="16"/>
  <c r="H119" i="16" s="1"/>
  <c r="J119" i="16" a="1"/>
  <c r="J119" i="16" s="1"/>
  <c r="G119" i="16"/>
  <c r="L118" i="16"/>
  <c r="H118" i="16" s="1"/>
  <c r="J118" i="16" a="1"/>
  <c r="J118" i="16" s="1"/>
  <c r="G118" i="16"/>
  <c r="L117" i="16"/>
  <c r="H117" i="16" s="1"/>
  <c r="J117" i="16" a="1"/>
  <c r="J117" i="16" s="1"/>
  <c r="G117" i="16"/>
  <c r="L116" i="16"/>
  <c r="M116" i="16" s="1"/>
  <c r="I116" i="16" s="1"/>
  <c r="J116" i="16" a="1"/>
  <c r="J116" i="16" s="1"/>
  <c r="G116" i="16"/>
  <c r="J115" i="16" a="1"/>
  <c r="J115" i="16" s="1"/>
  <c r="F115" i="16"/>
  <c r="E115" i="16"/>
  <c r="D115" i="16"/>
  <c r="C115" i="16"/>
  <c r="L114" i="16"/>
  <c r="M114" i="16" s="1"/>
  <c r="I114" i="16" s="1"/>
  <c r="J114" i="16" a="1"/>
  <c r="J114" i="16" s="1"/>
  <c r="G114" i="16"/>
  <c r="L113" i="16"/>
  <c r="H113" i="16" s="1"/>
  <c r="J113" i="16" a="1"/>
  <c r="J113" i="16" s="1"/>
  <c r="G113" i="16"/>
  <c r="L112" i="16"/>
  <c r="M112" i="16" s="1"/>
  <c r="I112" i="16" s="1"/>
  <c r="J112" i="16" a="1"/>
  <c r="J112" i="16" s="1"/>
  <c r="G112" i="16"/>
  <c r="L111" i="16"/>
  <c r="M111" i="16" s="1"/>
  <c r="I111" i="16" s="1"/>
  <c r="J111" i="16" a="1"/>
  <c r="J111" i="16" s="1"/>
  <c r="G111" i="16"/>
  <c r="L110" i="16"/>
  <c r="J110" i="16" a="1"/>
  <c r="J110" i="16" s="1"/>
  <c r="G110" i="16"/>
  <c r="L109" i="16"/>
  <c r="M109" i="16" s="1"/>
  <c r="I109" i="16" s="1"/>
  <c r="J109" i="16" a="1"/>
  <c r="J109" i="16" s="1"/>
  <c r="G109" i="16"/>
  <c r="J108" i="16" a="1"/>
  <c r="J108" i="16" s="1"/>
  <c r="J107" i="16" a="1"/>
  <c r="J107" i="16" s="1"/>
  <c r="F107" i="16"/>
  <c r="E107" i="16"/>
  <c r="D107" i="16"/>
  <c r="C107" i="16"/>
  <c r="L106" i="16"/>
  <c r="H106" i="16" s="1"/>
  <c r="J106" i="16" a="1"/>
  <c r="J106" i="16" s="1"/>
  <c r="G106" i="16"/>
  <c r="L105" i="16"/>
  <c r="H105" i="16" s="1"/>
  <c r="J105" i="16" a="1"/>
  <c r="J105" i="16" s="1"/>
  <c r="G105" i="16"/>
  <c r="L104" i="16"/>
  <c r="M104" i="16" s="1"/>
  <c r="I104" i="16" s="1"/>
  <c r="J104" i="16" a="1"/>
  <c r="J104" i="16" s="1"/>
  <c r="G104" i="16"/>
  <c r="L103" i="16"/>
  <c r="M103" i="16" s="1"/>
  <c r="I103" i="16" s="1"/>
  <c r="J103" i="16" a="1"/>
  <c r="J103" i="16" s="1"/>
  <c r="G103" i="16"/>
  <c r="L102" i="16"/>
  <c r="J102" i="16" a="1"/>
  <c r="J102" i="16" s="1"/>
  <c r="G102" i="16"/>
  <c r="L101" i="16"/>
  <c r="H101" i="16" s="1"/>
  <c r="J101" i="16" a="1"/>
  <c r="J101" i="16" s="1"/>
  <c r="G101" i="16"/>
  <c r="L100" i="16"/>
  <c r="M100" i="16" s="1"/>
  <c r="I100" i="16" s="1"/>
  <c r="J100" i="16" a="1"/>
  <c r="J100" i="16" s="1"/>
  <c r="G100" i="16"/>
  <c r="L99" i="16"/>
  <c r="J99" i="16" a="1"/>
  <c r="J99" i="16" s="1"/>
  <c r="G99" i="16"/>
  <c r="L98" i="16"/>
  <c r="H98" i="16" s="1"/>
  <c r="J98" i="16" a="1"/>
  <c r="J98" i="16" s="1"/>
  <c r="G98" i="16"/>
  <c r="L97" i="16"/>
  <c r="M97" i="16" s="1"/>
  <c r="I97" i="16" s="1"/>
  <c r="J97" i="16" a="1"/>
  <c r="J97" i="16" s="1"/>
  <c r="G97" i="16"/>
  <c r="L96" i="16"/>
  <c r="M96" i="16" s="1"/>
  <c r="I96" i="16" s="1"/>
  <c r="J96" i="16" a="1"/>
  <c r="J96" i="16" s="1"/>
  <c r="G96" i="16"/>
  <c r="L95" i="16"/>
  <c r="M95" i="16" s="1"/>
  <c r="I95" i="16" s="1"/>
  <c r="J95" i="16" a="1"/>
  <c r="J95" i="16" s="1"/>
  <c r="G95" i="16"/>
  <c r="L94" i="16"/>
  <c r="M94" i="16" s="1"/>
  <c r="I94" i="16" s="1"/>
  <c r="J94" i="16" a="1"/>
  <c r="J94" i="16" s="1"/>
  <c r="G94" i="16"/>
  <c r="J93" i="16" a="1"/>
  <c r="J93" i="16" s="1"/>
  <c r="F93" i="16"/>
  <c r="D93" i="16"/>
  <c r="C93" i="16"/>
  <c r="L92" i="16"/>
  <c r="M92" i="16" s="1"/>
  <c r="I92" i="16" s="1"/>
  <c r="J92" i="16" a="1"/>
  <c r="J92" i="16" s="1"/>
  <c r="G92" i="16"/>
  <c r="L91" i="16"/>
  <c r="J91" i="16" a="1"/>
  <c r="J91" i="16" s="1"/>
  <c r="G91" i="16"/>
  <c r="L90" i="16"/>
  <c r="M90" i="16" s="1"/>
  <c r="I90" i="16" s="1"/>
  <c r="J90" i="16" a="1"/>
  <c r="J90" i="16" s="1"/>
  <c r="G90" i="16"/>
  <c r="L89" i="16"/>
  <c r="M89" i="16" s="1"/>
  <c r="I89" i="16" s="1"/>
  <c r="J89" i="16" a="1"/>
  <c r="J89" i="16" s="1"/>
  <c r="G89" i="16"/>
  <c r="L88" i="16"/>
  <c r="J88" i="16" a="1"/>
  <c r="J88" i="16" s="1"/>
  <c r="G88" i="16"/>
  <c r="L87" i="16"/>
  <c r="M87" i="16" s="1"/>
  <c r="I87" i="16" s="1"/>
  <c r="J87" i="16" a="1"/>
  <c r="J87" i="16" s="1"/>
  <c r="G87" i="16"/>
  <c r="L86" i="16"/>
  <c r="H86" i="16" s="1"/>
  <c r="J86" i="16" a="1"/>
  <c r="J86" i="16" s="1"/>
  <c r="G86" i="16"/>
  <c r="L85" i="16"/>
  <c r="M85" i="16" s="1"/>
  <c r="I85" i="16" s="1"/>
  <c r="J85" i="16" a="1"/>
  <c r="J85" i="16" s="1"/>
  <c r="G85" i="16"/>
  <c r="L84" i="16"/>
  <c r="M84" i="16" s="1"/>
  <c r="I84" i="16" s="1"/>
  <c r="J84" i="16" a="1"/>
  <c r="J84" i="16" s="1"/>
  <c r="H84" i="16"/>
  <c r="G84" i="16"/>
  <c r="L83" i="16"/>
  <c r="M83" i="16" s="1"/>
  <c r="I83" i="16" s="1"/>
  <c r="J83" i="16" a="1"/>
  <c r="J83" i="16" s="1"/>
  <c r="G83" i="16"/>
  <c r="L82" i="16"/>
  <c r="H82" i="16" s="1"/>
  <c r="J82" i="16" a="1"/>
  <c r="J82" i="16" s="1"/>
  <c r="G82" i="16"/>
  <c r="L81" i="16"/>
  <c r="M81" i="16" s="1"/>
  <c r="I81" i="16" s="1"/>
  <c r="J81" i="16" a="1"/>
  <c r="J81" i="16" s="1"/>
  <c r="G81" i="16"/>
  <c r="L80" i="16"/>
  <c r="H80" i="16" s="1"/>
  <c r="J80" i="16" a="1"/>
  <c r="J80" i="16" s="1"/>
  <c r="G80" i="16"/>
  <c r="J79" i="16" a="1"/>
  <c r="J79" i="16" s="1"/>
  <c r="F79" i="16"/>
  <c r="L78" i="16"/>
  <c r="M78" i="16" s="1"/>
  <c r="I78" i="16" s="1"/>
  <c r="J78" i="16" a="1"/>
  <c r="J78" i="16" s="1"/>
  <c r="G78" i="16"/>
  <c r="L77" i="16"/>
  <c r="J77" i="16" a="1"/>
  <c r="J77" i="16" s="1"/>
  <c r="G77" i="16"/>
  <c r="L76" i="16"/>
  <c r="M76" i="16" s="1"/>
  <c r="I76" i="16" s="1"/>
  <c r="J76" i="16" a="1"/>
  <c r="J76" i="16" s="1"/>
  <c r="G76" i="16"/>
  <c r="L75" i="16"/>
  <c r="M75" i="16" s="1"/>
  <c r="I75" i="16" s="1"/>
  <c r="J75" i="16" a="1"/>
  <c r="J75" i="16" s="1"/>
  <c r="G75" i="16"/>
  <c r="L74" i="16"/>
  <c r="M74" i="16" s="1"/>
  <c r="I74" i="16" s="1"/>
  <c r="J74" i="16" a="1"/>
  <c r="J74" i="16" s="1"/>
  <c r="G74" i="16"/>
  <c r="L73" i="16"/>
  <c r="M73" i="16" s="1"/>
  <c r="I73" i="16" s="1"/>
  <c r="J73" i="16" a="1"/>
  <c r="J73" i="16" s="1"/>
  <c r="G73" i="16"/>
  <c r="L72" i="16"/>
  <c r="H72" i="16" s="1"/>
  <c r="J72" i="16" a="1"/>
  <c r="J72" i="16" s="1"/>
  <c r="G72" i="16"/>
  <c r="L71" i="16"/>
  <c r="M71" i="16" s="1"/>
  <c r="I71" i="16" s="1"/>
  <c r="J71" i="16" a="1"/>
  <c r="J71" i="16" s="1"/>
  <c r="G71" i="16"/>
  <c r="L70" i="16"/>
  <c r="M70" i="16" s="1"/>
  <c r="I70" i="16" s="1"/>
  <c r="J70" i="16" a="1"/>
  <c r="J70" i="16" s="1"/>
  <c r="G70" i="16"/>
  <c r="L66" i="16"/>
  <c r="H66" i="16" s="1"/>
  <c r="J66" i="16" a="1"/>
  <c r="J66" i="16" s="1"/>
  <c r="G66" i="16"/>
  <c r="L65" i="16"/>
  <c r="M65" i="16" s="1"/>
  <c r="I65" i="16" s="1"/>
  <c r="J65" i="16" a="1"/>
  <c r="J65" i="16" s="1"/>
  <c r="G65" i="16"/>
  <c r="L64" i="16"/>
  <c r="M64" i="16" s="1"/>
  <c r="I64" i="16" s="1"/>
  <c r="J64" i="16" a="1"/>
  <c r="J64" i="16" s="1"/>
  <c r="G64" i="16"/>
  <c r="L63" i="16"/>
  <c r="J63" i="16" a="1"/>
  <c r="J63" i="16" s="1"/>
  <c r="G63" i="16"/>
  <c r="J62" i="16" a="1"/>
  <c r="J62" i="16" s="1"/>
  <c r="F62" i="16"/>
  <c r="E62" i="16"/>
  <c r="E59" i="16" s="1"/>
  <c r="D62" i="16"/>
  <c r="C62" i="16"/>
  <c r="L61" i="16"/>
  <c r="M61" i="16" s="1"/>
  <c r="I61" i="16" s="1"/>
  <c r="J61" i="16" a="1"/>
  <c r="J61" i="16" s="1"/>
  <c r="G61" i="16"/>
  <c r="L60" i="16"/>
  <c r="M60" i="16" s="1"/>
  <c r="I60" i="16" s="1"/>
  <c r="J60" i="16" a="1"/>
  <c r="J60" i="16" s="1"/>
  <c r="G60" i="16"/>
  <c r="J59" i="16" a="1"/>
  <c r="J59" i="16" s="1"/>
  <c r="J58" i="16" a="1"/>
  <c r="J58" i="16" s="1"/>
  <c r="F58" i="16"/>
  <c r="E58" i="16"/>
  <c r="D58" i="16"/>
  <c r="C58" i="16"/>
  <c r="L57" i="16"/>
  <c r="M57" i="16" s="1"/>
  <c r="I57" i="16" s="1"/>
  <c r="J57" i="16" a="1"/>
  <c r="J57" i="16" s="1"/>
  <c r="G57" i="16"/>
  <c r="L56" i="16"/>
  <c r="H56" i="16" s="1"/>
  <c r="J56" i="16" a="1"/>
  <c r="J56" i="16" s="1"/>
  <c r="G56" i="16"/>
  <c r="L55" i="16"/>
  <c r="H55" i="16" s="1"/>
  <c r="J55" i="16" a="1"/>
  <c r="J55" i="16" s="1"/>
  <c r="G55" i="16"/>
  <c r="L54" i="16"/>
  <c r="H54" i="16" s="1"/>
  <c r="J54" i="16" a="1"/>
  <c r="J54" i="16" s="1"/>
  <c r="G54" i="16"/>
  <c r="L53" i="16"/>
  <c r="M53" i="16" s="1"/>
  <c r="I53" i="16" s="1"/>
  <c r="J53" i="16" a="1"/>
  <c r="J53" i="16" s="1"/>
  <c r="G53" i="16"/>
  <c r="L52" i="16"/>
  <c r="M52" i="16" s="1"/>
  <c r="I52" i="16" s="1"/>
  <c r="J52" i="16" a="1"/>
  <c r="J52" i="16" s="1"/>
  <c r="G52" i="16"/>
  <c r="L51" i="16"/>
  <c r="J51" i="16" a="1"/>
  <c r="J51" i="16" s="1"/>
  <c r="G51" i="16"/>
  <c r="L50" i="16"/>
  <c r="M50" i="16" s="1"/>
  <c r="I50" i="16" s="1"/>
  <c r="J50" i="16" a="1"/>
  <c r="J50" i="16" s="1"/>
  <c r="G50" i="16"/>
  <c r="L49" i="16"/>
  <c r="M49" i="16" s="1"/>
  <c r="I49" i="16" s="1"/>
  <c r="J49" i="16" a="1"/>
  <c r="J49" i="16" s="1"/>
  <c r="G49" i="16"/>
  <c r="L48" i="16"/>
  <c r="J48" i="16" a="1"/>
  <c r="J48" i="16" s="1"/>
  <c r="G48" i="16"/>
  <c r="L47" i="16"/>
  <c r="H47" i="16" s="1"/>
  <c r="J47" i="16" a="1"/>
  <c r="J47" i="16" s="1"/>
  <c r="G47" i="16"/>
  <c r="L46" i="16"/>
  <c r="M46" i="16" s="1"/>
  <c r="I46" i="16" s="1"/>
  <c r="J46" i="16" a="1"/>
  <c r="J46" i="16" s="1"/>
  <c r="G46" i="16"/>
  <c r="L45" i="16"/>
  <c r="M45" i="16" s="1"/>
  <c r="I45" i="16" s="1"/>
  <c r="J45" i="16" a="1"/>
  <c r="J45" i="16" s="1"/>
  <c r="G45" i="16"/>
  <c r="L44" i="16"/>
  <c r="M44" i="16" s="1"/>
  <c r="I44" i="16" s="1"/>
  <c r="J44" i="16" a="1"/>
  <c r="J44" i="16" s="1"/>
  <c r="G44" i="16"/>
  <c r="L43" i="16"/>
  <c r="M43" i="16" s="1"/>
  <c r="I43" i="16" s="1"/>
  <c r="J43" i="16" a="1"/>
  <c r="J43" i="16" s="1"/>
  <c r="G43" i="16"/>
  <c r="L42" i="16"/>
  <c r="H42" i="16" s="1"/>
  <c r="J42" i="16" a="1"/>
  <c r="J42" i="16" s="1"/>
  <c r="G42" i="16"/>
  <c r="J41" i="16" a="1"/>
  <c r="J41" i="16" s="1"/>
  <c r="F41" i="16"/>
  <c r="E41" i="16"/>
  <c r="D41" i="16"/>
  <c r="C41" i="16"/>
  <c r="L40" i="16"/>
  <c r="M40" i="16" s="1"/>
  <c r="I40" i="16" s="1"/>
  <c r="J40" i="16" a="1"/>
  <c r="J40" i="16" s="1"/>
  <c r="G40" i="16"/>
  <c r="L39" i="16"/>
  <c r="H39" i="16" s="1"/>
  <c r="J39" i="16" a="1"/>
  <c r="J39" i="16" s="1"/>
  <c r="G39" i="16"/>
  <c r="L38" i="16"/>
  <c r="M38" i="16" s="1"/>
  <c r="I38" i="16" s="1"/>
  <c r="J38" i="16" a="1"/>
  <c r="J38" i="16" s="1"/>
  <c r="G38" i="16"/>
  <c r="L37" i="16"/>
  <c r="M37" i="16" s="1"/>
  <c r="I37" i="16" s="1"/>
  <c r="J37" i="16" a="1"/>
  <c r="J37" i="16" s="1"/>
  <c r="G37" i="16"/>
  <c r="L36" i="16"/>
  <c r="H36" i="16" s="1"/>
  <c r="J36" i="16" a="1"/>
  <c r="J36" i="16" s="1"/>
  <c r="G36" i="16"/>
  <c r="L35" i="16"/>
  <c r="M35" i="16" s="1"/>
  <c r="I35" i="16" s="1"/>
  <c r="J35" i="16" a="1"/>
  <c r="J35" i="16" s="1"/>
  <c r="G35" i="16"/>
  <c r="L34" i="16"/>
  <c r="H34" i="16" s="1"/>
  <c r="J34" i="16" a="1"/>
  <c r="J34" i="16" s="1"/>
  <c r="G34" i="16"/>
  <c r="L33" i="16"/>
  <c r="M33" i="16" s="1"/>
  <c r="I33" i="16" s="1"/>
  <c r="J33" i="16" a="1"/>
  <c r="J33" i="16" s="1"/>
  <c r="G33" i="16"/>
  <c r="L32" i="16"/>
  <c r="M32" i="16" s="1"/>
  <c r="I32" i="16" s="1"/>
  <c r="J32" i="16" a="1"/>
  <c r="J32" i="16" s="1"/>
  <c r="G32" i="16"/>
  <c r="L31" i="16"/>
  <c r="J31" i="16" a="1"/>
  <c r="J31" i="16" s="1"/>
  <c r="G31" i="16"/>
  <c r="L30" i="16"/>
  <c r="M30" i="16" s="1"/>
  <c r="I30" i="16" s="1"/>
  <c r="J30" i="16" a="1"/>
  <c r="J30" i="16" s="1"/>
  <c r="G30" i="16"/>
  <c r="L29" i="16"/>
  <c r="H29" i="16" s="1"/>
  <c r="J29" i="16" a="1"/>
  <c r="J29" i="16" s="1"/>
  <c r="G29" i="16"/>
  <c r="L28" i="16"/>
  <c r="J28" i="16" a="1"/>
  <c r="J28" i="16" s="1"/>
  <c r="G28" i="16"/>
  <c r="L27" i="16"/>
  <c r="M27" i="16" s="1"/>
  <c r="I27" i="16" s="1"/>
  <c r="J27" i="16" a="1"/>
  <c r="J27" i="16" s="1"/>
  <c r="G27" i="16"/>
  <c r="J26" i="16" a="1"/>
  <c r="J26" i="16" s="1"/>
  <c r="F26" i="16"/>
  <c r="E26" i="16"/>
  <c r="D26" i="16"/>
  <c r="C26" i="16"/>
  <c r="L25" i="16"/>
  <c r="M25" i="16" s="1"/>
  <c r="I25" i="16" s="1"/>
  <c r="J25" i="16" a="1"/>
  <c r="J25" i="16" s="1"/>
  <c r="G25" i="16"/>
  <c r="L24" i="16"/>
  <c r="J24" i="16" a="1"/>
  <c r="J24" i="16" s="1"/>
  <c r="G24" i="16"/>
  <c r="L23" i="16"/>
  <c r="M23" i="16" s="1"/>
  <c r="I23" i="16" s="1"/>
  <c r="J23" i="16" a="1"/>
  <c r="J23" i="16" s="1"/>
  <c r="G23" i="16"/>
  <c r="L22" i="16"/>
  <c r="M22" i="16" s="1"/>
  <c r="I22" i="16" s="1"/>
  <c r="J22" i="16" a="1"/>
  <c r="J22" i="16" s="1"/>
  <c r="G22" i="16"/>
  <c r="J21" i="16" a="1"/>
  <c r="J21" i="16" s="1"/>
  <c r="J20" i="16" a="1"/>
  <c r="J20" i="16" s="1"/>
  <c r="F20" i="16"/>
  <c r="F5" i="16" s="1"/>
  <c r="E20" i="16"/>
  <c r="E5" i="16" s="1"/>
  <c r="D20" i="16"/>
  <c r="D5" i="16" s="1"/>
  <c r="C20" i="16"/>
  <c r="C5" i="16" s="1"/>
  <c r="L19" i="16"/>
  <c r="J19" i="16" a="1"/>
  <c r="J19" i="16" s="1"/>
  <c r="L18" i="16"/>
  <c r="H18" i="16" s="1"/>
  <c r="J18" i="16" a="1"/>
  <c r="J18" i="16" s="1"/>
  <c r="G18" i="16"/>
  <c r="L17" i="16"/>
  <c r="H17" i="16" s="1"/>
  <c r="J17" i="16" a="1"/>
  <c r="J17" i="16" s="1"/>
  <c r="G17" i="16"/>
  <c r="L16" i="16"/>
  <c r="M16" i="16" s="1"/>
  <c r="I16" i="16" s="1"/>
  <c r="J16" i="16" a="1"/>
  <c r="J16" i="16" s="1"/>
  <c r="G16" i="16"/>
  <c r="L15" i="16"/>
  <c r="H15" i="16" s="1"/>
  <c r="J15" i="16" a="1"/>
  <c r="J15" i="16" s="1"/>
  <c r="G15" i="16"/>
  <c r="L14" i="16"/>
  <c r="M14" i="16" s="1"/>
  <c r="I14" i="16" s="1"/>
  <c r="J14" i="16" a="1"/>
  <c r="J14" i="16" s="1"/>
  <c r="G14" i="16"/>
  <c r="L13" i="16"/>
  <c r="M13" i="16" s="1"/>
  <c r="I13" i="16" s="1"/>
  <c r="J13" i="16" a="1"/>
  <c r="J13" i="16" s="1"/>
  <c r="G13" i="16"/>
  <c r="L12" i="16"/>
  <c r="J12" i="16" a="1"/>
  <c r="J12" i="16" s="1"/>
  <c r="G12" i="16"/>
  <c r="L11" i="16"/>
  <c r="M11" i="16" s="1"/>
  <c r="I11" i="16" s="1"/>
  <c r="J11" i="16" a="1"/>
  <c r="J11" i="16" s="1"/>
  <c r="G11" i="16"/>
  <c r="L10" i="16"/>
  <c r="H10" i="16" s="1"/>
  <c r="J10" i="16" a="1"/>
  <c r="J10" i="16" s="1"/>
  <c r="G10" i="16"/>
  <c r="L9" i="16"/>
  <c r="J9" i="16" a="1"/>
  <c r="J9" i="16" s="1"/>
  <c r="G9" i="16"/>
  <c r="L8" i="16"/>
  <c r="M8" i="16" s="1"/>
  <c r="I8" i="16" s="1"/>
  <c r="J8" i="16" a="1"/>
  <c r="J8" i="16" s="1"/>
  <c r="G8" i="16"/>
  <c r="L7" i="16"/>
  <c r="H7" i="16" s="1"/>
  <c r="J7" i="16" a="1"/>
  <c r="J7" i="16" s="1"/>
  <c r="G7" i="16"/>
  <c r="L6" i="16"/>
  <c r="M6" i="16" s="1"/>
  <c r="I6" i="16" s="1"/>
  <c r="J6" i="16" a="1"/>
  <c r="J6" i="16" s="1"/>
  <c r="G6" i="16"/>
  <c r="I4" i="16"/>
  <c r="H4" i="16"/>
  <c r="L2" i="16"/>
  <c r="M2" i="16" s="1"/>
  <c r="H2" i="16" s="1"/>
  <c r="G299" i="16" s="1"/>
  <c r="F277" i="15"/>
  <c r="G277" i="15"/>
  <c r="F278" i="15"/>
  <c r="G278" i="15"/>
  <c r="F279" i="15"/>
  <c r="G279" i="15"/>
  <c r="F280" i="15"/>
  <c r="G280" i="15"/>
  <c r="F281" i="15"/>
  <c r="G281" i="15"/>
  <c r="F282" i="15"/>
  <c r="G282" i="15"/>
  <c r="C292" i="15"/>
  <c r="D292" i="15"/>
  <c r="E292" i="15"/>
  <c r="G195" i="15"/>
  <c r="J195" i="15" a="1"/>
  <c r="J195" i="15" s="1"/>
  <c r="L195" i="15"/>
  <c r="H195" i="15" s="1"/>
  <c r="G196" i="15"/>
  <c r="J196" i="15" a="1"/>
  <c r="J196" i="15" s="1"/>
  <c r="L196" i="15"/>
  <c r="H196" i="15" s="1"/>
  <c r="M196" i="15"/>
  <c r="I196" i="15" s="1"/>
  <c r="G197" i="15"/>
  <c r="J197" i="15" a="1"/>
  <c r="J197" i="15" s="1"/>
  <c r="L197" i="15"/>
  <c r="H197" i="15" s="1"/>
  <c r="M197" i="15"/>
  <c r="I197" i="15" s="1"/>
  <c r="G198" i="15"/>
  <c r="J198" i="15" a="1"/>
  <c r="J198" i="15" s="1"/>
  <c r="L198" i="15"/>
  <c r="H198" i="15" s="1"/>
  <c r="G199" i="15"/>
  <c r="J199" i="15" a="1"/>
  <c r="J199" i="15" s="1"/>
  <c r="L199" i="15"/>
  <c r="M199" i="15" s="1"/>
  <c r="I199" i="15" s="1"/>
  <c r="C205" i="15"/>
  <c r="D205" i="15"/>
  <c r="D190" i="15" s="1"/>
  <c r="G96" i="15"/>
  <c r="J96" i="15" a="1"/>
  <c r="J96" i="15" s="1"/>
  <c r="L96" i="15"/>
  <c r="H96" i="15" s="1"/>
  <c r="G97" i="15"/>
  <c r="J97" i="15" a="1"/>
  <c r="J97" i="15" s="1"/>
  <c r="L97" i="15"/>
  <c r="H97" i="15" s="1"/>
  <c r="G98" i="15"/>
  <c r="J98" i="15" a="1"/>
  <c r="J98" i="15" s="1"/>
  <c r="L98" i="15"/>
  <c r="H98" i="15" s="1"/>
  <c r="G99" i="15"/>
  <c r="J99" i="15" a="1"/>
  <c r="J99" i="15" s="1"/>
  <c r="L99" i="15"/>
  <c r="H99" i="15" s="1"/>
  <c r="G100" i="15"/>
  <c r="J100" i="15" a="1"/>
  <c r="J100" i="15" s="1"/>
  <c r="L100" i="15"/>
  <c r="M100" i="15" s="1"/>
  <c r="I100" i="15" s="1"/>
  <c r="C106" i="15"/>
  <c r="D106" i="15"/>
  <c r="G67" i="15"/>
  <c r="J67" i="15" a="1"/>
  <c r="J67" i="15" s="1"/>
  <c r="L67" i="15"/>
  <c r="H67" i="15" s="1"/>
  <c r="G68" i="15"/>
  <c r="J68" i="15" a="1"/>
  <c r="J68" i="15" s="1"/>
  <c r="L68" i="15"/>
  <c r="H68" i="15" s="1"/>
  <c r="G69" i="15"/>
  <c r="J69" i="15" a="1"/>
  <c r="J69" i="15" s="1"/>
  <c r="L69" i="15"/>
  <c r="M69" i="15" s="1"/>
  <c r="I69" i="15" s="1"/>
  <c r="G70" i="15"/>
  <c r="J70" i="15" a="1"/>
  <c r="J70" i="15" s="1"/>
  <c r="L70" i="15"/>
  <c r="H70" i="15" s="1"/>
  <c r="G71" i="15"/>
  <c r="J71" i="15" a="1"/>
  <c r="J71" i="15" s="1"/>
  <c r="L71" i="15"/>
  <c r="H71" i="15" s="1"/>
  <c r="G72" i="15"/>
  <c r="J72" i="15" a="1"/>
  <c r="J72" i="15" s="1"/>
  <c r="L72" i="15"/>
  <c r="H72" i="15" s="1"/>
  <c r="G63" i="15"/>
  <c r="G64" i="15"/>
  <c r="G65" i="15"/>
  <c r="G66" i="15"/>
  <c r="G73" i="15"/>
  <c r="G74" i="15"/>
  <c r="G75" i="15"/>
  <c r="G76" i="15"/>
  <c r="G77" i="15"/>
  <c r="C78" i="15"/>
  <c r="D78" i="15"/>
  <c r="J53" i="15" a="1"/>
  <c r="J53" i="15" s="1"/>
  <c r="L53" i="15"/>
  <c r="M53" i="15" s="1"/>
  <c r="I53" i="15" s="1"/>
  <c r="J54" i="15" a="1"/>
  <c r="J54" i="15" s="1"/>
  <c r="L54" i="15"/>
  <c r="M54" i="15" s="1"/>
  <c r="I54" i="15" s="1"/>
  <c r="G45" i="15"/>
  <c r="J45" i="15" a="1"/>
  <c r="J45" i="15" s="1"/>
  <c r="L45" i="15"/>
  <c r="H45" i="15" s="1"/>
  <c r="G46" i="15"/>
  <c r="J46" i="15" a="1"/>
  <c r="J46" i="15" s="1"/>
  <c r="L46" i="15"/>
  <c r="H46" i="15" s="1"/>
  <c r="G47" i="15"/>
  <c r="J47" i="15" a="1"/>
  <c r="J47" i="15" s="1"/>
  <c r="L47" i="15"/>
  <c r="M47" i="15" s="1"/>
  <c r="I47" i="15" s="1"/>
  <c r="G48" i="15"/>
  <c r="J48" i="15" a="1"/>
  <c r="J48" i="15" s="1"/>
  <c r="L48" i="15"/>
  <c r="H48" i="15" s="1"/>
  <c r="M48" i="15"/>
  <c r="I48" i="15" s="1"/>
  <c r="G49" i="15"/>
  <c r="J49" i="15" a="1"/>
  <c r="J49" i="15" s="1"/>
  <c r="L49" i="15"/>
  <c r="M49" i="15" s="1"/>
  <c r="I49" i="15" s="1"/>
  <c r="G50" i="15"/>
  <c r="J50" i="15" a="1"/>
  <c r="J50" i="15" s="1"/>
  <c r="L50" i="15"/>
  <c r="H50" i="15" s="1"/>
  <c r="G51" i="15"/>
  <c r="J51" i="15" a="1"/>
  <c r="J51" i="15" s="1"/>
  <c r="L51" i="15"/>
  <c r="M51" i="15" s="1"/>
  <c r="I51" i="15" s="1"/>
  <c r="C58" i="15"/>
  <c r="D58" i="15"/>
  <c r="J14" i="15" a="1"/>
  <c r="J14" i="15" s="1"/>
  <c r="L14" i="15"/>
  <c r="H14" i="15" s="1"/>
  <c r="J15" i="15" a="1"/>
  <c r="J15" i="15" s="1"/>
  <c r="L15" i="15"/>
  <c r="H15" i="15" s="1"/>
  <c r="J16" i="15" a="1"/>
  <c r="J16" i="15" s="1"/>
  <c r="L16" i="15"/>
  <c r="M16" i="15" s="1"/>
  <c r="I16" i="15" s="1"/>
  <c r="J17" i="15" a="1"/>
  <c r="J17" i="15" s="1"/>
  <c r="L17" i="15"/>
  <c r="H17" i="15" s="1"/>
  <c r="M17" i="15"/>
  <c r="I17" i="15" s="1"/>
  <c r="J18" i="15" a="1"/>
  <c r="J18" i="15" s="1"/>
  <c r="L18" i="15"/>
  <c r="H18" i="15" s="1"/>
  <c r="J19" i="15" a="1"/>
  <c r="J19" i="15" s="1"/>
  <c r="L19" i="15"/>
  <c r="M19" i="15" s="1"/>
  <c r="I19" i="15" s="1"/>
  <c r="A294" i="15"/>
  <c r="G291" i="15"/>
  <c r="F291" i="15"/>
  <c r="G290" i="15"/>
  <c r="F290" i="15"/>
  <c r="G289" i="15"/>
  <c r="F289" i="15"/>
  <c r="G288" i="15"/>
  <c r="F288" i="15"/>
  <c r="G287" i="15"/>
  <c r="F287" i="15"/>
  <c r="G286" i="15"/>
  <c r="F286" i="15"/>
  <c r="G285" i="15"/>
  <c r="F285" i="15"/>
  <c r="G284" i="15"/>
  <c r="F284" i="15"/>
  <c r="G283" i="15"/>
  <c r="F283" i="15"/>
  <c r="G276" i="15"/>
  <c r="F276" i="15"/>
  <c r="G275" i="15"/>
  <c r="F275" i="15"/>
  <c r="G274" i="15"/>
  <c r="F274" i="15"/>
  <c r="G273" i="15"/>
  <c r="F273" i="15"/>
  <c r="G272" i="15"/>
  <c r="F272" i="15"/>
  <c r="G271" i="15"/>
  <c r="F271" i="15"/>
  <c r="F265" i="15"/>
  <c r="F252" i="15" s="1"/>
  <c r="E265" i="15"/>
  <c r="E252" i="15" s="1"/>
  <c r="D265" i="15"/>
  <c r="C265" i="15"/>
  <c r="C252" i="15" s="1"/>
  <c r="L264" i="15"/>
  <c r="H264" i="15" s="1"/>
  <c r="J264" i="15" a="1"/>
  <c r="J264" i="15" s="1"/>
  <c r="G264" i="15"/>
  <c r="L263" i="15"/>
  <c r="J263" i="15" a="1"/>
  <c r="J263" i="15" s="1"/>
  <c r="G263" i="15"/>
  <c r="L262" i="15"/>
  <c r="H262" i="15" s="1"/>
  <c r="J262" i="15" a="1"/>
  <c r="J262" i="15" s="1"/>
  <c r="G262" i="15"/>
  <c r="L261" i="15"/>
  <c r="H261" i="15" s="1"/>
  <c r="J261" i="15" a="1"/>
  <c r="J261" i="15" s="1"/>
  <c r="G261" i="15"/>
  <c r="L260" i="15"/>
  <c r="H260" i="15" s="1"/>
  <c r="J260" i="15" a="1"/>
  <c r="J260" i="15" s="1"/>
  <c r="G260" i="15"/>
  <c r="L259" i="15"/>
  <c r="M259" i="15" s="1"/>
  <c r="I259" i="15" s="1"/>
  <c r="J259" i="15" a="1"/>
  <c r="J259" i="15" s="1"/>
  <c r="G259" i="15"/>
  <c r="L258" i="15"/>
  <c r="M258" i="15" s="1"/>
  <c r="I258" i="15" s="1"/>
  <c r="J258" i="15" a="1"/>
  <c r="J258" i="15" s="1"/>
  <c r="G258" i="15"/>
  <c r="L257" i="15"/>
  <c r="M257" i="15" s="1"/>
  <c r="I257" i="15" s="1"/>
  <c r="J257" i="15" a="1"/>
  <c r="J257" i="15" s="1"/>
  <c r="G257" i="15"/>
  <c r="L256" i="15"/>
  <c r="M256" i="15" s="1"/>
  <c r="I256" i="15" s="1"/>
  <c r="J256" i="15" a="1"/>
  <c r="J256" i="15" s="1"/>
  <c r="G256" i="15"/>
  <c r="L255" i="15"/>
  <c r="H255" i="15" s="1"/>
  <c r="J255" i="15" a="1"/>
  <c r="J255" i="15" s="1"/>
  <c r="G255" i="15"/>
  <c r="L254" i="15"/>
  <c r="M254" i="15" s="1"/>
  <c r="I254" i="15" s="1"/>
  <c r="J254" i="15" a="1"/>
  <c r="J254" i="15" s="1"/>
  <c r="G254" i="15"/>
  <c r="L253" i="15"/>
  <c r="J253" i="15" a="1"/>
  <c r="J253" i="15" s="1"/>
  <c r="G253" i="15"/>
  <c r="J252" i="15" a="1"/>
  <c r="J252" i="15" s="1"/>
  <c r="J251" i="15" a="1"/>
  <c r="J251" i="15" s="1"/>
  <c r="D251" i="15"/>
  <c r="C251" i="15"/>
  <c r="L250" i="15"/>
  <c r="M250" i="15" s="1"/>
  <c r="I250" i="15" s="1"/>
  <c r="J250" i="15" a="1"/>
  <c r="J250" i="15" s="1"/>
  <c r="G250" i="15"/>
  <c r="L249" i="15"/>
  <c r="J249" i="15" a="1"/>
  <c r="J249" i="15" s="1"/>
  <c r="G249" i="15"/>
  <c r="L248" i="15"/>
  <c r="M248" i="15" s="1"/>
  <c r="I248" i="15" s="1"/>
  <c r="J248" i="15" a="1"/>
  <c r="J248" i="15" s="1"/>
  <c r="G248" i="15"/>
  <c r="J247" i="15" a="1"/>
  <c r="J247" i="15" s="1"/>
  <c r="F247" i="15"/>
  <c r="F237" i="15" s="1"/>
  <c r="E247" i="15"/>
  <c r="D247" i="15"/>
  <c r="C247" i="15"/>
  <c r="L246" i="15"/>
  <c r="H246" i="15" s="1"/>
  <c r="J246" i="15" a="1"/>
  <c r="J246" i="15" s="1"/>
  <c r="G246" i="15"/>
  <c r="L245" i="15"/>
  <c r="H245" i="15" s="1"/>
  <c r="J245" i="15" a="1"/>
  <c r="J245" i="15" s="1"/>
  <c r="G245" i="15"/>
  <c r="L244" i="15"/>
  <c r="H244" i="15" s="1"/>
  <c r="J244" i="15" a="1"/>
  <c r="J244" i="15" s="1"/>
  <c r="G244" i="15"/>
  <c r="L243" i="15"/>
  <c r="J243" i="15" a="1"/>
  <c r="J243" i="15" s="1"/>
  <c r="G243" i="15"/>
  <c r="L242" i="15"/>
  <c r="J242" i="15" a="1"/>
  <c r="J242" i="15" s="1"/>
  <c r="G242" i="15"/>
  <c r="L241" i="15"/>
  <c r="H241" i="15" s="1"/>
  <c r="J241" i="15" a="1"/>
  <c r="J241" i="15" s="1"/>
  <c r="G241" i="15"/>
  <c r="J240" i="15" a="1"/>
  <c r="J240" i="15" s="1"/>
  <c r="C240" i="15"/>
  <c r="G240" i="15" s="1"/>
  <c r="L239" i="15"/>
  <c r="M239" i="15" s="1"/>
  <c r="I239" i="15" s="1"/>
  <c r="J239" i="15" a="1"/>
  <c r="J239" i="15" s="1"/>
  <c r="G239" i="15"/>
  <c r="L238" i="15"/>
  <c r="M238" i="15" s="1"/>
  <c r="I238" i="15" s="1"/>
  <c r="J238" i="15" a="1"/>
  <c r="J238" i="15" s="1"/>
  <c r="G238" i="15"/>
  <c r="J237" i="15" a="1"/>
  <c r="J237" i="15" s="1"/>
  <c r="J236" i="15" a="1"/>
  <c r="J236" i="15" s="1"/>
  <c r="F236" i="15"/>
  <c r="F222" i="15" s="1"/>
  <c r="E236" i="15"/>
  <c r="E222" i="15" s="1"/>
  <c r="D236" i="15"/>
  <c r="D222" i="15" s="1"/>
  <c r="C236" i="15"/>
  <c r="L235" i="15"/>
  <c r="J235" i="15" a="1"/>
  <c r="J235" i="15" s="1"/>
  <c r="G235" i="15"/>
  <c r="L234" i="15"/>
  <c r="J234" i="15" a="1"/>
  <c r="J234" i="15" s="1"/>
  <c r="G234" i="15"/>
  <c r="L233" i="15"/>
  <c r="H233" i="15" s="1"/>
  <c r="J233" i="15" a="1"/>
  <c r="J233" i="15" s="1"/>
  <c r="G233" i="15"/>
  <c r="L232" i="15"/>
  <c r="M232" i="15" s="1"/>
  <c r="I232" i="15" s="1"/>
  <c r="J232" i="15" a="1"/>
  <c r="J232" i="15" s="1"/>
  <c r="G232" i="15"/>
  <c r="L231" i="15"/>
  <c r="M231" i="15" s="1"/>
  <c r="I231" i="15" s="1"/>
  <c r="J231" i="15" a="1"/>
  <c r="J231" i="15" s="1"/>
  <c r="G231" i="15"/>
  <c r="L230" i="15"/>
  <c r="H230" i="15" s="1"/>
  <c r="J230" i="15" a="1"/>
  <c r="J230" i="15" s="1"/>
  <c r="G230" i="15"/>
  <c r="L229" i="15"/>
  <c r="M229" i="15" s="1"/>
  <c r="I229" i="15" s="1"/>
  <c r="J229" i="15" a="1"/>
  <c r="J229" i="15" s="1"/>
  <c r="G229" i="15"/>
  <c r="L228" i="15"/>
  <c r="H228" i="15" s="1"/>
  <c r="J228" i="15" a="1"/>
  <c r="J228" i="15" s="1"/>
  <c r="G228" i="15"/>
  <c r="L227" i="15"/>
  <c r="H227" i="15" s="1"/>
  <c r="J227" i="15" a="1"/>
  <c r="J227" i="15" s="1"/>
  <c r="G227" i="15"/>
  <c r="L226" i="15"/>
  <c r="H226" i="15" s="1"/>
  <c r="J226" i="15" a="1"/>
  <c r="J226" i="15" s="1"/>
  <c r="G226" i="15"/>
  <c r="L225" i="15"/>
  <c r="M225" i="15" s="1"/>
  <c r="I225" i="15" s="1"/>
  <c r="J225" i="15" a="1"/>
  <c r="J225" i="15" s="1"/>
  <c r="G225" i="15"/>
  <c r="L224" i="15"/>
  <c r="M224" i="15" s="1"/>
  <c r="I224" i="15" s="1"/>
  <c r="J224" i="15" a="1"/>
  <c r="J224" i="15" s="1"/>
  <c r="G224" i="15"/>
  <c r="L223" i="15"/>
  <c r="M223" i="15" s="1"/>
  <c r="I223" i="15" s="1"/>
  <c r="J223" i="15" a="1"/>
  <c r="J223" i="15" s="1"/>
  <c r="G223" i="15"/>
  <c r="J222" i="15" a="1"/>
  <c r="J222" i="15" s="1"/>
  <c r="J221" i="15" a="1"/>
  <c r="J221" i="15" s="1"/>
  <c r="F221" i="15"/>
  <c r="F206" i="15" s="1"/>
  <c r="E221" i="15"/>
  <c r="E206" i="15" s="1"/>
  <c r="D221" i="15"/>
  <c r="C221" i="15"/>
  <c r="C206" i="15" s="1"/>
  <c r="L220" i="15"/>
  <c r="H220" i="15" s="1"/>
  <c r="K220" i="15"/>
  <c r="J220" i="15" a="1"/>
  <c r="J220" i="15" s="1"/>
  <c r="G220" i="15"/>
  <c r="L219" i="15"/>
  <c r="M219" i="15" s="1"/>
  <c r="I219" i="15" s="1"/>
  <c r="J219" i="15" a="1"/>
  <c r="J219" i="15" s="1"/>
  <c r="G219" i="15"/>
  <c r="L218" i="15"/>
  <c r="M218" i="15" s="1"/>
  <c r="I218" i="15" s="1"/>
  <c r="J218" i="15" a="1"/>
  <c r="J218" i="15" s="1"/>
  <c r="G218" i="15"/>
  <c r="L217" i="15"/>
  <c r="M217" i="15" s="1"/>
  <c r="I217" i="15" s="1"/>
  <c r="K217" i="15"/>
  <c r="J217" i="15" a="1"/>
  <c r="J217" i="15" s="1"/>
  <c r="G217" i="15"/>
  <c r="L216" i="15"/>
  <c r="H216" i="15" s="1"/>
  <c r="J216" i="15" a="1"/>
  <c r="J216" i="15" s="1"/>
  <c r="G216" i="15"/>
  <c r="L215" i="15"/>
  <c r="M215" i="15" s="1"/>
  <c r="I215" i="15" s="1"/>
  <c r="J215" i="15" a="1"/>
  <c r="J215" i="15" s="1"/>
  <c r="G215" i="15"/>
  <c r="L214" i="15"/>
  <c r="M214" i="15" s="1"/>
  <c r="I214" i="15" s="1"/>
  <c r="K214" i="15"/>
  <c r="J214" i="15" a="1"/>
  <c r="J214" i="15" s="1"/>
  <c r="G214" i="15"/>
  <c r="L213" i="15"/>
  <c r="M213" i="15" s="1"/>
  <c r="I213" i="15" s="1"/>
  <c r="J213" i="15" a="1"/>
  <c r="J213" i="15" s="1"/>
  <c r="G213" i="15"/>
  <c r="L212" i="15"/>
  <c r="M212" i="15" s="1"/>
  <c r="I212" i="15" s="1"/>
  <c r="J212" i="15" a="1"/>
  <c r="J212" i="15" s="1"/>
  <c r="G212" i="15"/>
  <c r="L211" i="15"/>
  <c r="M211" i="15" s="1"/>
  <c r="I211" i="15" s="1"/>
  <c r="K211" i="15"/>
  <c r="J211" i="15" a="1"/>
  <c r="J211" i="15" s="1"/>
  <c r="G211" i="15"/>
  <c r="L210" i="15"/>
  <c r="M210" i="15" s="1"/>
  <c r="I210" i="15" s="1"/>
  <c r="J210" i="15" a="1"/>
  <c r="J210" i="15" s="1"/>
  <c r="G210" i="15"/>
  <c r="L209" i="15"/>
  <c r="J209" i="15" a="1"/>
  <c r="J209" i="15" s="1"/>
  <c r="G209" i="15"/>
  <c r="L208" i="15"/>
  <c r="H208" i="15" s="1"/>
  <c r="K208" i="15"/>
  <c r="J208" i="15" a="1"/>
  <c r="J208" i="15" s="1"/>
  <c r="G208" i="15"/>
  <c r="L207" i="15"/>
  <c r="H207" i="15" s="1"/>
  <c r="K207" i="15"/>
  <c r="J207" i="15" a="1"/>
  <c r="J207" i="15" s="1"/>
  <c r="G207" i="15"/>
  <c r="J206" i="15" a="1"/>
  <c r="J206" i="15" s="1"/>
  <c r="J205" i="15" a="1"/>
  <c r="J205" i="15" s="1"/>
  <c r="F205" i="15"/>
  <c r="F190" i="15" s="1"/>
  <c r="E205" i="15"/>
  <c r="E190" i="15" s="1"/>
  <c r="L204" i="15"/>
  <c r="H204" i="15" s="1"/>
  <c r="J204" i="15" a="1"/>
  <c r="J204" i="15" s="1"/>
  <c r="G204" i="15"/>
  <c r="L203" i="15"/>
  <c r="M203" i="15" s="1"/>
  <c r="I203" i="15" s="1"/>
  <c r="J203" i="15" a="1"/>
  <c r="J203" i="15" s="1"/>
  <c r="G203" i="15"/>
  <c r="L202" i="15"/>
  <c r="H202" i="15" s="1"/>
  <c r="J202" i="15" a="1"/>
  <c r="J202" i="15" s="1"/>
  <c r="G202" i="15"/>
  <c r="L201" i="15"/>
  <c r="M201" i="15" s="1"/>
  <c r="I201" i="15" s="1"/>
  <c r="J201" i="15" a="1"/>
  <c r="J201" i="15" s="1"/>
  <c r="G201" i="15"/>
  <c r="L200" i="15"/>
  <c r="M200" i="15" s="1"/>
  <c r="I200" i="15" s="1"/>
  <c r="J200" i="15" a="1"/>
  <c r="J200" i="15" s="1"/>
  <c r="G200" i="15"/>
  <c r="L194" i="15"/>
  <c r="M194" i="15" s="1"/>
  <c r="I194" i="15" s="1"/>
  <c r="J194" i="15" a="1"/>
  <c r="J194" i="15" s="1"/>
  <c r="H194" i="15"/>
  <c r="G194" i="15"/>
  <c r="L193" i="15"/>
  <c r="J193" i="15" a="1"/>
  <c r="J193" i="15" s="1"/>
  <c r="G193" i="15"/>
  <c r="L192" i="15"/>
  <c r="M192" i="15" s="1"/>
  <c r="I192" i="15" s="1"/>
  <c r="J192" i="15" a="1"/>
  <c r="J192" i="15" s="1"/>
  <c r="G192" i="15"/>
  <c r="L191" i="15"/>
  <c r="M191" i="15" s="1"/>
  <c r="I191" i="15" s="1"/>
  <c r="J191" i="15" a="1"/>
  <c r="J191" i="15" s="1"/>
  <c r="G191" i="15"/>
  <c r="J190" i="15" a="1"/>
  <c r="J190" i="15" s="1"/>
  <c r="J189" i="15" a="1"/>
  <c r="J189" i="15" s="1"/>
  <c r="F189" i="15"/>
  <c r="E189" i="15"/>
  <c r="D189" i="15"/>
  <c r="C189" i="15"/>
  <c r="L188" i="15"/>
  <c r="H188" i="15" s="1"/>
  <c r="J188" i="15" a="1"/>
  <c r="J188" i="15" s="1"/>
  <c r="G188" i="15"/>
  <c r="L187" i="15"/>
  <c r="M187" i="15" s="1"/>
  <c r="I187" i="15" s="1"/>
  <c r="J187" i="15" a="1"/>
  <c r="J187" i="15" s="1"/>
  <c r="G187" i="15"/>
  <c r="L186" i="15"/>
  <c r="M186" i="15" s="1"/>
  <c r="I186" i="15" s="1"/>
  <c r="J186" i="15" a="1"/>
  <c r="J186" i="15" s="1"/>
  <c r="G186" i="15"/>
  <c r="L185" i="15"/>
  <c r="J185" i="15" a="1"/>
  <c r="J185" i="15" s="1"/>
  <c r="G185" i="15"/>
  <c r="L184" i="15"/>
  <c r="J184" i="15" a="1"/>
  <c r="J184" i="15" s="1"/>
  <c r="G184" i="15"/>
  <c r="L183" i="15"/>
  <c r="M183" i="15" s="1"/>
  <c r="I183" i="15" s="1"/>
  <c r="J183" i="15" a="1"/>
  <c r="J183" i="15" s="1"/>
  <c r="G183" i="15"/>
  <c r="L182" i="15"/>
  <c r="M182" i="15" s="1"/>
  <c r="I182" i="15" s="1"/>
  <c r="J182" i="15" a="1"/>
  <c r="J182" i="15" s="1"/>
  <c r="G182" i="15"/>
  <c r="L181" i="15"/>
  <c r="H181" i="15" s="1"/>
  <c r="J181" i="15" a="1"/>
  <c r="J181" i="15" s="1"/>
  <c r="G181" i="15"/>
  <c r="L180" i="15"/>
  <c r="M180" i="15" s="1"/>
  <c r="I180" i="15" s="1"/>
  <c r="J180" i="15" a="1"/>
  <c r="J180" i="15" s="1"/>
  <c r="G180" i="15"/>
  <c r="L179" i="15"/>
  <c r="J179" i="15" a="1"/>
  <c r="J179" i="15" s="1"/>
  <c r="G179" i="15"/>
  <c r="L178" i="15"/>
  <c r="M178" i="15" s="1"/>
  <c r="I178" i="15" s="1"/>
  <c r="J178" i="15" a="1"/>
  <c r="J178" i="15" s="1"/>
  <c r="G178" i="15"/>
  <c r="L177" i="15"/>
  <c r="H177" i="15" s="1"/>
  <c r="J177" i="15" a="1"/>
  <c r="J177" i="15" s="1"/>
  <c r="G177" i="15"/>
  <c r="L176" i="15"/>
  <c r="M176" i="15" s="1"/>
  <c r="I176" i="15" s="1"/>
  <c r="J176" i="15" a="1"/>
  <c r="J176" i="15" s="1"/>
  <c r="H176" i="15"/>
  <c r="G176" i="15"/>
  <c r="L175" i="15"/>
  <c r="M175" i="15" s="1"/>
  <c r="I175" i="15" s="1"/>
  <c r="J175" i="15" a="1"/>
  <c r="J175" i="15" s="1"/>
  <c r="G175" i="15"/>
  <c r="J174" i="15" a="1"/>
  <c r="J174" i="15" s="1"/>
  <c r="F174" i="15"/>
  <c r="E174" i="15"/>
  <c r="D174" i="15"/>
  <c r="C174" i="15"/>
  <c r="L173" i="15"/>
  <c r="H173" i="15" s="1"/>
  <c r="J173" i="15" a="1"/>
  <c r="J173" i="15" s="1"/>
  <c r="G173" i="15"/>
  <c r="L172" i="15"/>
  <c r="M172" i="15" s="1"/>
  <c r="J172" i="15" a="1"/>
  <c r="J172" i="15" s="1"/>
  <c r="I172" i="15"/>
  <c r="H172" i="15"/>
  <c r="G172" i="15"/>
  <c r="L171" i="15"/>
  <c r="H171" i="15" s="1"/>
  <c r="J171" i="15" a="1"/>
  <c r="J171" i="15" s="1"/>
  <c r="G171" i="15"/>
  <c r="L170" i="15"/>
  <c r="M170" i="15" s="1"/>
  <c r="I170" i="15" s="1"/>
  <c r="J170" i="15" a="1"/>
  <c r="J170" i="15" s="1"/>
  <c r="G170" i="15"/>
  <c r="L169" i="15"/>
  <c r="M169" i="15" s="1"/>
  <c r="I169" i="15" s="1"/>
  <c r="J169" i="15" a="1"/>
  <c r="J169" i="15" s="1"/>
  <c r="G169" i="15"/>
  <c r="L168" i="15"/>
  <c r="H168" i="15" s="1"/>
  <c r="J168" i="15" a="1"/>
  <c r="J168" i="15" s="1"/>
  <c r="G168" i="15"/>
  <c r="L167" i="15"/>
  <c r="M167" i="15" s="1"/>
  <c r="I167" i="15" s="1"/>
  <c r="J167" i="15" a="1"/>
  <c r="J167" i="15" s="1"/>
  <c r="H167" i="15"/>
  <c r="G167" i="15"/>
  <c r="L166" i="15"/>
  <c r="M166" i="15" s="1"/>
  <c r="I166" i="15" s="1"/>
  <c r="J166" i="15" a="1"/>
  <c r="J166" i="15" s="1"/>
  <c r="G166" i="15"/>
  <c r="L165" i="15"/>
  <c r="J165" i="15" a="1"/>
  <c r="J165" i="15" s="1"/>
  <c r="G165" i="15"/>
  <c r="L164" i="15"/>
  <c r="H164" i="15" s="1"/>
  <c r="J164" i="15" a="1"/>
  <c r="J164" i="15" s="1"/>
  <c r="G164" i="15"/>
  <c r="L163" i="15"/>
  <c r="M163" i="15" s="1"/>
  <c r="I163" i="15" s="1"/>
  <c r="J163" i="15" a="1"/>
  <c r="J163" i="15" s="1"/>
  <c r="G163" i="15"/>
  <c r="L162" i="15"/>
  <c r="M162" i="15" s="1"/>
  <c r="J162" i="15" a="1"/>
  <c r="J162" i="15" s="1"/>
  <c r="I162" i="15"/>
  <c r="G162" i="15"/>
  <c r="L161" i="15"/>
  <c r="H161" i="15" s="1"/>
  <c r="J161" i="15" a="1"/>
  <c r="J161" i="15" s="1"/>
  <c r="G161" i="15"/>
  <c r="L160" i="15"/>
  <c r="M160" i="15" s="1"/>
  <c r="I160" i="15" s="1"/>
  <c r="J160" i="15" a="1"/>
  <c r="J160" i="15" s="1"/>
  <c r="G160" i="15"/>
  <c r="L159" i="15"/>
  <c r="H159" i="15" s="1"/>
  <c r="J159" i="15" a="1"/>
  <c r="J159" i="15" s="1"/>
  <c r="G159" i="15"/>
  <c r="J158" i="15" a="1"/>
  <c r="J158" i="15" s="1"/>
  <c r="F158" i="15"/>
  <c r="E158" i="15"/>
  <c r="D158" i="15"/>
  <c r="C158" i="15"/>
  <c r="L157" i="15"/>
  <c r="M157" i="15" s="1"/>
  <c r="I157" i="15" s="1"/>
  <c r="J157" i="15" a="1"/>
  <c r="J157" i="15" s="1"/>
  <c r="G157" i="15"/>
  <c r="L156" i="15"/>
  <c r="M156" i="15" s="1"/>
  <c r="I156" i="15" s="1"/>
  <c r="J156" i="15" a="1"/>
  <c r="J156" i="15" s="1"/>
  <c r="G156" i="15"/>
  <c r="L155" i="15"/>
  <c r="H155" i="15" s="1"/>
  <c r="J155" i="15" a="1"/>
  <c r="J155" i="15" s="1"/>
  <c r="G155" i="15"/>
  <c r="L154" i="15"/>
  <c r="H154" i="15" s="1"/>
  <c r="J154" i="15" a="1"/>
  <c r="J154" i="15" s="1"/>
  <c r="G154" i="15"/>
  <c r="L153" i="15"/>
  <c r="H153" i="15" s="1"/>
  <c r="J153" i="15" a="1"/>
  <c r="J153" i="15" s="1"/>
  <c r="G153" i="15"/>
  <c r="L152" i="15"/>
  <c r="M152" i="15" s="1"/>
  <c r="I152" i="15" s="1"/>
  <c r="J152" i="15" a="1"/>
  <c r="J152" i="15" s="1"/>
  <c r="G152" i="15"/>
  <c r="L151" i="15"/>
  <c r="M151" i="15" s="1"/>
  <c r="I151" i="15" s="1"/>
  <c r="J151" i="15" a="1"/>
  <c r="J151" i="15" s="1"/>
  <c r="G151" i="15"/>
  <c r="L150" i="15"/>
  <c r="M150" i="15" s="1"/>
  <c r="I150" i="15" s="1"/>
  <c r="J150" i="15" a="1"/>
  <c r="J150" i="15" s="1"/>
  <c r="G150" i="15"/>
  <c r="L149" i="15"/>
  <c r="M149" i="15" s="1"/>
  <c r="I149" i="15" s="1"/>
  <c r="J149" i="15" a="1"/>
  <c r="J149" i="15" s="1"/>
  <c r="G149" i="15"/>
  <c r="L148" i="15"/>
  <c r="J148" i="15" a="1"/>
  <c r="J148" i="15" s="1"/>
  <c r="G148" i="15"/>
  <c r="L147" i="15"/>
  <c r="M147" i="15" s="1"/>
  <c r="I147" i="15" s="1"/>
  <c r="J147" i="15" a="1"/>
  <c r="J147" i="15" s="1"/>
  <c r="G147" i="15"/>
  <c r="L146" i="15"/>
  <c r="H146" i="15" s="1"/>
  <c r="J146" i="15" a="1"/>
  <c r="J146" i="15" s="1"/>
  <c r="G146" i="15"/>
  <c r="L145" i="15"/>
  <c r="J145" i="15" a="1"/>
  <c r="J145" i="15" s="1"/>
  <c r="G145" i="15"/>
  <c r="L144" i="15"/>
  <c r="M144" i="15" s="1"/>
  <c r="I144" i="15" s="1"/>
  <c r="J144" i="15" a="1"/>
  <c r="J144" i="15" s="1"/>
  <c r="G144" i="15"/>
  <c r="L143" i="15"/>
  <c r="H143" i="15" s="1"/>
  <c r="J143" i="15" a="1"/>
  <c r="J143" i="15" s="1"/>
  <c r="G143" i="15"/>
  <c r="J142" i="15" a="1"/>
  <c r="J142" i="15" s="1"/>
  <c r="F142" i="15"/>
  <c r="E142" i="15"/>
  <c r="D142" i="15"/>
  <c r="C142" i="15"/>
  <c r="L141" i="15"/>
  <c r="J141" i="15" a="1"/>
  <c r="J141" i="15" s="1"/>
  <c r="G141" i="15"/>
  <c r="L140" i="15"/>
  <c r="H140" i="15" s="1"/>
  <c r="J140" i="15" a="1"/>
  <c r="J140" i="15" s="1"/>
  <c r="G140" i="15"/>
  <c r="L139" i="15"/>
  <c r="M139" i="15" s="1"/>
  <c r="I139" i="15" s="1"/>
  <c r="J139" i="15" a="1"/>
  <c r="J139" i="15" s="1"/>
  <c r="G139" i="15"/>
  <c r="L138" i="15"/>
  <c r="M138" i="15" s="1"/>
  <c r="I138" i="15" s="1"/>
  <c r="J138" i="15" a="1"/>
  <c r="J138" i="15" s="1"/>
  <c r="G138" i="15"/>
  <c r="L137" i="15"/>
  <c r="H137" i="15" s="1"/>
  <c r="J137" i="15" a="1"/>
  <c r="J137" i="15" s="1"/>
  <c r="G137" i="15"/>
  <c r="L136" i="15"/>
  <c r="H136" i="15" s="1"/>
  <c r="J136" i="15" a="1"/>
  <c r="J136" i="15" s="1"/>
  <c r="G136" i="15"/>
  <c r="L135" i="15"/>
  <c r="H135" i="15" s="1"/>
  <c r="J135" i="15" a="1"/>
  <c r="J135" i="15" s="1"/>
  <c r="G135" i="15"/>
  <c r="L134" i="15"/>
  <c r="M134" i="15" s="1"/>
  <c r="I134" i="15" s="1"/>
  <c r="J134" i="15" a="1"/>
  <c r="J134" i="15" s="1"/>
  <c r="G134" i="15"/>
  <c r="L133" i="15"/>
  <c r="J133" i="15" a="1"/>
  <c r="J133" i="15" s="1"/>
  <c r="G133" i="15"/>
  <c r="L132" i="15"/>
  <c r="M132" i="15" s="1"/>
  <c r="J132" i="15" a="1"/>
  <c r="J132" i="15" s="1"/>
  <c r="I132" i="15"/>
  <c r="G132" i="15"/>
  <c r="L131" i="15"/>
  <c r="M131" i="15" s="1"/>
  <c r="I131" i="15" s="1"/>
  <c r="J131" i="15" a="1"/>
  <c r="J131" i="15" s="1"/>
  <c r="G131" i="15"/>
  <c r="L130" i="15"/>
  <c r="M130" i="15" s="1"/>
  <c r="I130" i="15" s="1"/>
  <c r="J130" i="15" a="1"/>
  <c r="J130" i="15" s="1"/>
  <c r="G130" i="15"/>
  <c r="L129" i="15"/>
  <c r="M129" i="15" s="1"/>
  <c r="I129" i="15" s="1"/>
  <c r="J129" i="15" a="1"/>
  <c r="J129" i="15" s="1"/>
  <c r="G129" i="15"/>
  <c r="J128" i="15" a="1"/>
  <c r="J128" i="15" s="1"/>
  <c r="F128" i="15"/>
  <c r="E128" i="15"/>
  <c r="D128" i="15"/>
  <c r="C128" i="15"/>
  <c r="L127" i="15"/>
  <c r="H127" i="15" s="1"/>
  <c r="J127" i="15" a="1"/>
  <c r="J127" i="15" s="1"/>
  <c r="G127" i="15"/>
  <c r="L126" i="15"/>
  <c r="M126" i="15" s="1"/>
  <c r="I126" i="15" s="1"/>
  <c r="J126" i="15" a="1"/>
  <c r="J126" i="15" s="1"/>
  <c r="G126" i="15"/>
  <c r="L125" i="15"/>
  <c r="M125" i="15" s="1"/>
  <c r="I125" i="15" s="1"/>
  <c r="J125" i="15" a="1"/>
  <c r="J125" i="15" s="1"/>
  <c r="G125" i="15"/>
  <c r="L124" i="15"/>
  <c r="H124" i="15" s="1"/>
  <c r="J124" i="15" a="1"/>
  <c r="J124" i="15" s="1"/>
  <c r="G124" i="15"/>
  <c r="L123" i="15"/>
  <c r="M123" i="15" s="1"/>
  <c r="I123" i="15" s="1"/>
  <c r="J123" i="15" a="1"/>
  <c r="J123" i="15" s="1"/>
  <c r="G123" i="15"/>
  <c r="L122" i="15"/>
  <c r="M122" i="15" s="1"/>
  <c r="I122" i="15" s="1"/>
  <c r="J122" i="15" a="1"/>
  <c r="J122" i="15" s="1"/>
  <c r="G122" i="15"/>
  <c r="L121" i="15"/>
  <c r="H121" i="15" s="1"/>
  <c r="J121" i="15" a="1"/>
  <c r="J121" i="15" s="1"/>
  <c r="G121" i="15"/>
  <c r="L120" i="15"/>
  <c r="M120" i="15" s="1"/>
  <c r="I120" i="15" s="1"/>
  <c r="J120" i="15" a="1"/>
  <c r="J120" i="15" s="1"/>
  <c r="G120" i="15"/>
  <c r="L119" i="15"/>
  <c r="M119" i="15" s="1"/>
  <c r="I119" i="15" s="1"/>
  <c r="J119" i="15" a="1"/>
  <c r="J119" i="15" s="1"/>
  <c r="G119" i="15"/>
  <c r="L118" i="15"/>
  <c r="M118" i="15" s="1"/>
  <c r="I118" i="15" s="1"/>
  <c r="J118" i="15" a="1"/>
  <c r="J118" i="15" s="1"/>
  <c r="G118" i="15"/>
  <c r="L117" i="15"/>
  <c r="M117" i="15" s="1"/>
  <c r="I117" i="15" s="1"/>
  <c r="J117" i="15" a="1"/>
  <c r="J117" i="15" s="1"/>
  <c r="H117" i="15"/>
  <c r="G117" i="15"/>
  <c r="L116" i="15"/>
  <c r="M116" i="15" s="1"/>
  <c r="I116" i="15" s="1"/>
  <c r="J116" i="15" a="1"/>
  <c r="J116" i="15" s="1"/>
  <c r="G116" i="15"/>
  <c r="L115" i="15"/>
  <c r="H115" i="15" s="1"/>
  <c r="J115" i="15" a="1"/>
  <c r="J115" i="15" s="1"/>
  <c r="G115" i="15"/>
  <c r="J114" i="15" a="1"/>
  <c r="J114" i="15" s="1"/>
  <c r="F114" i="15"/>
  <c r="E114" i="15"/>
  <c r="D114" i="15"/>
  <c r="C114" i="15"/>
  <c r="L113" i="15"/>
  <c r="M113" i="15" s="1"/>
  <c r="I113" i="15" s="1"/>
  <c r="J113" i="15" a="1"/>
  <c r="J113" i="15" s="1"/>
  <c r="G113" i="15"/>
  <c r="L112" i="15"/>
  <c r="M112" i="15" s="1"/>
  <c r="I112" i="15" s="1"/>
  <c r="J112" i="15" a="1"/>
  <c r="J112" i="15" s="1"/>
  <c r="G112" i="15"/>
  <c r="L111" i="15"/>
  <c r="H111" i="15" s="1"/>
  <c r="J111" i="15" a="1"/>
  <c r="J111" i="15" s="1"/>
  <c r="G111" i="15"/>
  <c r="L110" i="15"/>
  <c r="M110" i="15" s="1"/>
  <c r="I110" i="15" s="1"/>
  <c r="J110" i="15" a="1"/>
  <c r="J110" i="15" s="1"/>
  <c r="G110" i="15"/>
  <c r="L109" i="15"/>
  <c r="H109" i="15" s="1"/>
  <c r="J109" i="15" a="1"/>
  <c r="J109" i="15" s="1"/>
  <c r="G109" i="15"/>
  <c r="L108" i="15"/>
  <c r="M108" i="15" s="1"/>
  <c r="I108" i="15" s="1"/>
  <c r="J108" i="15" a="1"/>
  <c r="J108" i="15" s="1"/>
  <c r="G108" i="15"/>
  <c r="J107" i="15" a="1"/>
  <c r="J107" i="15" s="1"/>
  <c r="J106" i="15" a="1"/>
  <c r="J106" i="15" s="1"/>
  <c r="F106" i="15"/>
  <c r="E106" i="15"/>
  <c r="L105" i="15"/>
  <c r="H105" i="15" s="1"/>
  <c r="J105" i="15" a="1"/>
  <c r="J105" i="15" s="1"/>
  <c r="G105" i="15"/>
  <c r="L104" i="15"/>
  <c r="M104" i="15" s="1"/>
  <c r="I104" i="15" s="1"/>
  <c r="J104" i="15" a="1"/>
  <c r="J104" i="15" s="1"/>
  <c r="G104" i="15"/>
  <c r="L103" i="15"/>
  <c r="H103" i="15" s="1"/>
  <c r="J103" i="15" a="1"/>
  <c r="J103" i="15" s="1"/>
  <c r="G103" i="15"/>
  <c r="L102" i="15"/>
  <c r="M102" i="15" s="1"/>
  <c r="I102" i="15" s="1"/>
  <c r="J102" i="15" a="1"/>
  <c r="J102" i="15" s="1"/>
  <c r="G102" i="15"/>
  <c r="L101" i="15"/>
  <c r="J101" i="15" a="1"/>
  <c r="J101" i="15" s="1"/>
  <c r="G101" i="15"/>
  <c r="L95" i="15"/>
  <c r="M95" i="15" s="1"/>
  <c r="I95" i="15" s="1"/>
  <c r="J95" i="15" a="1"/>
  <c r="J95" i="15" s="1"/>
  <c r="G95" i="15"/>
  <c r="L94" i="15"/>
  <c r="M94" i="15" s="1"/>
  <c r="I94" i="15" s="1"/>
  <c r="J94" i="15" a="1"/>
  <c r="J94" i="15" s="1"/>
  <c r="G94" i="15"/>
  <c r="L93" i="15"/>
  <c r="H93" i="15" s="1"/>
  <c r="J93" i="15" a="1"/>
  <c r="J93" i="15" s="1"/>
  <c r="G93" i="15"/>
  <c r="J92" i="15" a="1"/>
  <c r="J92" i="15" s="1"/>
  <c r="F92" i="15"/>
  <c r="D92" i="15"/>
  <c r="C92" i="15"/>
  <c r="L91" i="15"/>
  <c r="H91" i="15" s="1"/>
  <c r="J91" i="15" a="1"/>
  <c r="J91" i="15" s="1"/>
  <c r="G91" i="15"/>
  <c r="L90" i="15"/>
  <c r="J90" i="15" a="1"/>
  <c r="J90" i="15" s="1"/>
  <c r="G90" i="15"/>
  <c r="L89" i="15"/>
  <c r="H89" i="15" s="1"/>
  <c r="J89" i="15" a="1"/>
  <c r="J89" i="15" s="1"/>
  <c r="G89" i="15"/>
  <c r="L88" i="15"/>
  <c r="M88" i="15" s="1"/>
  <c r="I88" i="15" s="1"/>
  <c r="J88" i="15" a="1"/>
  <c r="J88" i="15" s="1"/>
  <c r="G88" i="15"/>
  <c r="L87" i="15"/>
  <c r="H87" i="15" s="1"/>
  <c r="J87" i="15" a="1"/>
  <c r="J87" i="15" s="1"/>
  <c r="G87" i="15"/>
  <c r="L86" i="15"/>
  <c r="M86" i="15" s="1"/>
  <c r="I86" i="15" s="1"/>
  <c r="J86" i="15" a="1"/>
  <c r="J86" i="15" s="1"/>
  <c r="G86" i="15"/>
  <c r="L85" i="15"/>
  <c r="M85" i="15" s="1"/>
  <c r="I85" i="15" s="1"/>
  <c r="J85" i="15" a="1"/>
  <c r="J85" i="15" s="1"/>
  <c r="G85" i="15"/>
  <c r="L84" i="15"/>
  <c r="M84" i="15" s="1"/>
  <c r="I84" i="15" s="1"/>
  <c r="J84" i="15" a="1"/>
  <c r="J84" i="15" s="1"/>
  <c r="G84" i="15"/>
  <c r="L83" i="15"/>
  <c r="H83" i="15" s="1"/>
  <c r="J83" i="15" a="1"/>
  <c r="J83" i="15" s="1"/>
  <c r="G83" i="15"/>
  <c r="L82" i="15"/>
  <c r="H82" i="15" s="1"/>
  <c r="J82" i="15" a="1"/>
  <c r="J82" i="15" s="1"/>
  <c r="G82" i="15"/>
  <c r="L81" i="15"/>
  <c r="H81" i="15" s="1"/>
  <c r="J81" i="15" a="1"/>
  <c r="J81" i="15" s="1"/>
  <c r="G81" i="15"/>
  <c r="L80" i="15"/>
  <c r="M80" i="15" s="1"/>
  <c r="I80" i="15" s="1"/>
  <c r="J80" i="15" a="1"/>
  <c r="J80" i="15" s="1"/>
  <c r="G80" i="15"/>
  <c r="L79" i="15"/>
  <c r="M79" i="15" s="1"/>
  <c r="I79" i="15" s="1"/>
  <c r="J79" i="15" a="1"/>
  <c r="J79" i="15" s="1"/>
  <c r="G79" i="15"/>
  <c r="J78" i="15" a="1"/>
  <c r="J78" i="15" s="1"/>
  <c r="F78" i="15"/>
  <c r="L77" i="15"/>
  <c r="M77" i="15" s="1"/>
  <c r="I77" i="15" s="1"/>
  <c r="J77" i="15" a="1"/>
  <c r="J77" i="15" s="1"/>
  <c r="L76" i="15"/>
  <c r="H76" i="15" s="1"/>
  <c r="J76" i="15" a="1"/>
  <c r="J76" i="15" s="1"/>
  <c r="L75" i="15"/>
  <c r="H75" i="15" s="1"/>
  <c r="J75" i="15" a="1"/>
  <c r="J75" i="15" s="1"/>
  <c r="L74" i="15"/>
  <c r="M74" i="15" s="1"/>
  <c r="I74" i="15" s="1"/>
  <c r="J74" i="15" a="1"/>
  <c r="J74" i="15" s="1"/>
  <c r="L73" i="15"/>
  <c r="H73" i="15" s="1"/>
  <c r="J73" i="15" a="1"/>
  <c r="J73" i="15" s="1"/>
  <c r="L66" i="15"/>
  <c r="M66" i="15" s="1"/>
  <c r="I66" i="15" s="1"/>
  <c r="J66" i="15" a="1"/>
  <c r="J66" i="15" s="1"/>
  <c r="L65" i="15"/>
  <c r="M65" i="15" s="1"/>
  <c r="I65" i="15" s="1"/>
  <c r="J65" i="15" a="1"/>
  <c r="J65" i="15" s="1"/>
  <c r="L64" i="15"/>
  <c r="H64" i="15" s="1"/>
  <c r="J64" i="15" a="1"/>
  <c r="J64" i="15" s="1"/>
  <c r="L63" i="15"/>
  <c r="H63" i="15" s="1"/>
  <c r="J63" i="15" a="1"/>
  <c r="J63" i="15" s="1"/>
  <c r="J62" i="15" a="1"/>
  <c r="J62" i="15" s="1"/>
  <c r="F62" i="15"/>
  <c r="E62" i="15"/>
  <c r="D62" i="15"/>
  <c r="C62" i="15"/>
  <c r="L61" i="15"/>
  <c r="M61" i="15" s="1"/>
  <c r="I61" i="15" s="1"/>
  <c r="J61" i="15" a="1"/>
  <c r="J61" i="15" s="1"/>
  <c r="G61" i="15"/>
  <c r="L60" i="15"/>
  <c r="M60" i="15" s="1"/>
  <c r="I60" i="15" s="1"/>
  <c r="J60" i="15" a="1"/>
  <c r="J60" i="15" s="1"/>
  <c r="G60" i="15"/>
  <c r="J59" i="15" a="1"/>
  <c r="J59" i="15" s="1"/>
  <c r="J58" i="15" a="1"/>
  <c r="J58" i="15" s="1"/>
  <c r="F58" i="15"/>
  <c r="E58" i="15"/>
  <c r="L57" i="15"/>
  <c r="H57" i="15" s="1"/>
  <c r="J57" i="15" a="1"/>
  <c r="J57" i="15" s="1"/>
  <c r="G57" i="15"/>
  <c r="L56" i="15"/>
  <c r="M56" i="15" s="1"/>
  <c r="I56" i="15" s="1"/>
  <c r="J56" i="15" a="1"/>
  <c r="J56" i="15" s="1"/>
  <c r="G56" i="15"/>
  <c r="L55" i="15"/>
  <c r="M55" i="15" s="1"/>
  <c r="I55" i="15" s="1"/>
  <c r="J55" i="15" a="1"/>
  <c r="J55" i="15" s="1"/>
  <c r="H55" i="15"/>
  <c r="G55" i="15"/>
  <c r="G54" i="15"/>
  <c r="G53" i="15"/>
  <c r="L52" i="15"/>
  <c r="M52" i="15" s="1"/>
  <c r="I52" i="15" s="1"/>
  <c r="J52" i="15" a="1"/>
  <c r="J52" i="15" s="1"/>
  <c r="G52" i="15"/>
  <c r="L44" i="15"/>
  <c r="M44" i="15" s="1"/>
  <c r="I44" i="15" s="1"/>
  <c r="J44" i="15" a="1"/>
  <c r="J44" i="15" s="1"/>
  <c r="G44" i="15"/>
  <c r="L43" i="15"/>
  <c r="M43" i="15" s="1"/>
  <c r="I43" i="15" s="1"/>
  <c r="J43" i="15" a="1"/>
  <c r="J43" i="15" s="1"/>
  <c r="G43" i="15"/>
  <c r="L42" i="15"/>
  <c r="M42" i="15" s="1"/>
  <c r="I42" i="15" s="1"/>
  <c r="J42" i="15" a="1"/>
  <c r="J42" i="15" s="1"/>
  <c r="G42" i="15"/>
  <c r="J41" i="15" a="1"/>
  <c r="J41" i="15" s="1"/>
  <c r="F41" i="15"/>
  <c r="E41" i="15"/>
  <c r="D41" i="15"/>
  <c r="C41" i="15"/>
  <c r="L40" i="15"/>
  <c r="M40" i="15" s="1"/>
  <c r="I40" i="15" s="1"/>
  <c r="J40" i="15" a="1"/>
  <c r="J40" i="15" s="1"/>
  <c r="G40" i="15"/>
  <c r="L39" i="15"/>
  <c r="M39" i="15" s="1"/>
  <c r="I39" i="15" s="1"/>
  <c r="J39" i="15" a="1"/>
  <c r="J39" i="15" s="1"/>
  <c r="G39" i="15"/>
  <c r="L38" i="15"/>
  <c r="M38" i="15" s="1"/>
  <c r="I38" i="15" s="1"/>
  <c r="J38" i="15" a="1"/>
  <c r="J38" i="15" s="1"/>
  <c r="G38" i="15"/>
  <c r="L37" i="15"/>
  <c r="H37" i="15" s="1"/>
  <c r="J37" i="15" a="1"/>
  <c r="J37" i="15" s="1"/>
  <c r="G37" i="15"/>
  <c r="L36" i="15"/>
  <c r="H36" i="15" s="1"/>
  <c r="J36" i="15" a="1"/>
  <c r="J36" i="15" s="1"/>
  <c r="G36" i="15"/>
  <c r="L35" i="15"/>
  <c r="H35" i="15" s="1"/>
  <c r="J35" i="15" a="1"/>
  <c r="J35" i="15" s="1"/>
  <c r="G35" i="15"/>
  <c r="L34" i="15"/>
  <c r="M34" i="15" s="1"/>
  <c r="I34" i="15" s="1"/>
  <c r="J34" i="15" a="1"/>
  <c r="J34" i="15" s="1"/>
  <c r="G34" i="15"/>
  <c r="L33" i="15"/>
  <c r="M33" i="15" s="1"/>
  <c r="I33" i="15" s="1"/>
  <c r="J33" i="15" a="1"/>
  <c r="J33" i="15" s="1"/>
  <c r="G33" i="15"/>
  <c r="L32" i="15"/>
  <c r="M32" i="15" s="1"/>
  <c r="I32" i="15" s="1"/>
  <c r="J32" i="15" a="1"/>
  <c r="J32" i="15" s="1"/>
  <c r="G32" i="15"/>
  <c r="L31" i="15"/>
  <c r="H31" i="15" s="1"/>
  <c r="J31" i="15" a="1"/>
  <c r="J31" i="15" s="1"/>
  <c r="G31" i="15"/>
  <c r="L30" i="15"/>
  <c r="M30" i="15" s="1"/>
  <c r="I30" i="15" s="1"/>
  <c r="J30" i="15" a="1"/>
  <c r="J30" i="15" s="1"/>
  <c r="G30" i="15"/>
  <c r="L29" i="15"/>
  <c r="H29" i="15" s="1"/>
  <c r="J29" i="15" a="1"/>
  <c r="J29" i="15" s="1"/>
  <c r="G29" i="15"/>
  <c r="L28" i="15"/>
  <c r="H28" i="15" s="1"/>
  <c r="J28" i="15" a="1"/>
  <c r="J28" i="15" s="1"/>
  <c r="G28" i="15"/>
  <c r="L27" i="15"/>
  <c r="H27" i="15" s="1"/>
  <c r="J27" i="15" a="1"/>
  <c r="J27" i="15" s="1"/>
  <c r="G27" i="15"/>
  <c r="J26" i="15" a="1"/>
  <c r="J26" i="15" s="1"/>
  <c r="F26" i="15"/>
  <c r="E26" i="15"/>
  <c r="D26" i="15"/>
  <c r="C26" i="15"/>
  <c r="L25" i="15"/>
  <c r="H25" i="15" s="1"/>
  <c r="J25" i="15" a="1"/>
  <c r="J25" i="15" s="1"/>
  <c r="G25" i="15"/>
  <c r="L24" i="15"/>
  <c r="M24" i="15" s="1"/>
  <c r="I24" i="15" s="1"/>
  <c r="J24" i="15" a="1"/>
  <c r="J24" i="15" s="1"/>
  <c r="G24" i="15"/>
  <c r="L23" i="15"/>
  <c r="H23" i="15" s="1"/>
  <c r="J23" i="15" a="1"/>
  <c r="J23" i="15" s="1"/>
  <c r="G23" i="15"/>
  <c r="L22" i="15"/>
  <c r="M22" i="15" s="1"/>
  <c r="I22" i="15" s="1"/>
  <c r="J22" i="15" a="1"/>
  <c r="J22" i="15" s="1"/>
  <c r="G22" i="15"/>
  <c r="J21" i="15" a="1"/>
  <c r="J21" i="15" s="1"/>
  <c r="J20" i="15" a="1"/>
  <c r="J20" i="15" s="1"/>
  <c r="F20" i="15"/>
  <c r="E20" i="15"/>
  <c r="D20" i="15"/>
  <c r="C20" i="15"/>
  <c r="C5" i="15" s="1"/>
  <c r="G18" i="15"/>
  <c r="G17" i="15"/>
  <c r="G16" i="15"/>
  <c r="G15" i="15"/>
  <c r="G14" i="15"/>
  <c r="L13" i="15"/>
  <c r="M13" i="15" s="1"/>
  <c r="I13" i="15" s="1"/>
  <c r="J13" i="15" a="1"/>
  <c r="J13" i="15" s="1"/>
  <c r="G13" i="15"/>
  <c r="L12" i="15"/>
  <c r="M12" i="15" s="1"/>
  <c r="I12" i="15" s="1"/>
  <c r="J12" i="15" a="1"/>
  <c r="J12" i="15" s="1"/>
  <c r="G12" i="15"/>
  <c r="L11" i="15"/>
  <c r="M11" i="15" s="1"/>
  <c r="I11" i="15" s="1"/>
  <c r="J11" i="15" a="1"/>
  <c r="J11" i="15" s="1"/>
  <c r="G11" i="15"/>
  <c r="L10" i="15"/>
  <c r="M10" i="15" s="1"/>
  <c r="I10" i="15" s="1"/>
  <c r="J10" i="15" a="1"/>
  <c r="J10" i="15" s="1"/>
  <c r="G10" i="15"/>
  <c r="L9" i="15"/>
  <c r="H9" i="15" s="1"/>
  <c r="J9" i="15" a="1"/>
  <c r="J9" i="15" s="1"/>
  <c r="G9" i="15"/>
  <c r="L8" i="15"/>
  <c r="H8" i="15" s="1"/>
  <c r="J8" i="15" a="1"/>
  <c r="J8" i="15" s="1"/>
  <c r="G8" i="15"/>
  <c r="L7" i="15"/>
  <c r="M7" i="15" s="1"/>
  <c r="I7" i="15" s="1"/>
  <c r="J7" i="15" a="1"/>
  <c r="J7" i="15" s="1"/>
  <c r="G7" i="15"/>
  <c r="L6" i="15"/>
  <c r="H6" i="15" s="1"/>
  <c r="J6" i="15" a="1"/>
  <c r="J6" i="15" s="1"/>
  <c r="G6" i="15"/>
  <c r="I4" i="15"/>
  <c r="H4" i="15"/>
  <c r="L2" i="15"/>
  <c r="M2" i="15" s="1"/>
  <c r="H2" i="15" s="1"/>
  <c r="G295" i="15" s="1"/>
  <c r="F269" i="14"/>
  <c r="G269" i="14"/>
  <c r="F270" i="14"/>
  <c r="G270" i="14"/>
  <c r="F271" i="14"/>
  <c r="G271" i="14"/>
  <c r="F272" i="14"/>
  <c r="G272" i="14"/>
  <c r="F273" i="14"/>
  <c r="G273" i="14"/>
  <c r="F274" i="14"/>
  <c r="G274" i="14"/>
  <c r="F275" i="14"/>
  <c r="G275" i="14"/>
  <c r="F276" i="14"/>
  <c r="G276" i="14"/>
  <c r="F277" i="14"/>
  <c r="G277" i="14"/>
  <c r="C285" i="14"/>
  <c r="D285" i="14"/>
  <c r="E285" i="14"/>
  <c r="F285" i="14" s="1"/>
  <c r="G159" i="14"/>
  <c r="J159" i="14" a="1"/>
  <c r="J159" i="14" s="1"/>
  <c r="L159" i="14"/>
  <c r="H159" i="14" s="1"/>
  <c r="G160" i="14"/>
  <c r="J160" i="14" a="1"/>
  <c r="J160" i="14" s="1"/>
  <c r="L160" i="14"/>
  <c r="H160" i="14" s="1"/>
  <c r="M160" i="14"/>
  <c r="I160" i="14" s="1"/>
  <c r="G161" i="14"/>
  <c r="J161" i="14" a="1"/>
  <c r="J161" i="14" s="1"/>
  <c r="L161" i="14"/>
  <c r="M161" i="14" s="1"/>
  <c r="I161" i="14" s="1"/>
  <c r="G162" i="14"/>
  <c r="J162" i="14" a="1"/>
  <c r="J162" i="14"/>
  <c r="L162" i="14"/>
  <c r="H162" i="14" s="1"/>
  <c r="G155" i="14"/>
  <c r="G156" i="14"/>
  <c r="G157" i="14"/>
  <c r="G158" i="14"/>
  <c r="H158" i="14"/>
  <c r="G163" i="14"/>
  <c r="G164" i="14"/>
  <c r="G165" i="14"/>
  <c r="G166" i="14"/>
  <c r="G167" i="14"/>
  <c r="G168" i="14"/>
  <c r="G169" i="14"/>
  <c r="C170" i="14"/>
  <c r="D170" i="14"/>
  <c r="A287" i="14"/>
  <c r="G284" i="14"/>
  <c r="F284" i="14"/>
  <c r="G283" i="14"/>
  <c r="F283" i="14"/>
  <c r="G282" i="14"/>
  <c r="F282" i="14"/>
  <c r="G281" i="14"/>
  <c r="F281" i="14"/>
  <c r="G280" i="14"/>
  <c r="F280" i="14"/>
  <c r="G279" i="14"/>
  <c r="F279" i="14"/>
  <c r="G278" i="14"/>
  <c r="F278" i="14"/>
  <c r="G268" i="14"/>
  <c r="F268" i="14"/>
  <c r="G267" i="14"/>
  <c r="F267" i="14"/>
  <c r="G266" i="14"/>
  <c r="F266" i="14"/>
  <c r="F260" i="14"/>
  <c r="F247" i="14" s="1"/>
  <c r="E260" i="14"/>
  <c r="E247" i="14" s="1"/>
  <c r="D260" i="14"/>
  <c r="D247" i="14" s="1"/>
  <c r="C260" i="14"/>
  <c r="L259" i="14"/>
  <c r="M259" i="14" s="1"/>
  <c r="I259" i="14" s="1"/>
  <c r="J259" i="14" a="1"/>
  <c r="J259" i="14" s="1"/>
  <c r="G259" i="14"/>
  <c r="L258" i="14"/>
  <c r="M258" i="14" s="1"/>
  <c r="I258" i="14" s="1"/>
  <c r="J258" i="14" a="1"/>
  <c r="J258" i="14" s="1"/>
  <c r="G258" i="14"/>
  <c r="L257" i="14"/>
  <c r="M257" i="14" s="1"/>
  <c r="I257" i="14" s="1"/>
  <c r="J257" i="14" a="1"/>
  <c r="J257" i="14" s="1"/>
  <c r="G257" i="14"/>
  <c r="L256" i="14"/>
  <c r="M256" i="14" s="1"/>
  <c r="I256" i="14" s="1"/>
  <c r="J256" i="14" a="1"/>
  <c r="J256" i="14" s="1"/>
  <c r="G256" i="14"/>
  <c r="L255" i="14"/>
  <c r="M255" i="14" s="1"/>
  <c r="I255" i="14" s="1"/>
  <c r="J255" i="14" a="1"/>
  <c r="J255" i="14" s="1"/>
  <c r="G255" i="14"/>
  <c r="L254" i="14"/>
  <c r="H254" i="14" s="1"/>
  <c r="J254" i="14" a="1"/>
  <c r="J254" i="14" s="1"/>
  <c r="G254" i="14"/>
  <c r="L253" i="14"/>
  <c r="M253" i="14" s="1"/>
  <c r="I253" i="14" s="1"/>
  <c r="J253" i="14" a="1"/>
  <c r="J253" i="14" s="1"/>
  <c r="H253" i="14"/>
  <c r="G253" i="14"/>
  <c r="L252" i="14"/>
  <c r="M252" i="14" s="1"/>
  <c r="I252" i="14" s="1"/>
  <c r="J252" i="14" a="1"/>
  <c r="J252" i="14" s="1"/>
  <c r="G252" i="14"/>
  <c r="L251" i="14"/>
  <c r="H251" i="14" s="1"/>
  <c r="J251" i="14" a="1"/>
  <c r="J251" i="14" s="1"/>
  <c r="G251" i="14"/>
  <c r="L250" i="14"/>
  <c r="M250" i="14" s="1"/>
  <c r="I250" i="14" s="1"/>
  <c r="J250" i="14" a="1"/>
  <c r="J250" i="14" s="1"/>
  <c r="H250" i="14"/>
  <c r="G250" i="14"/>
  <c r="L249" i="14"/>
  <c r="M249" i="14" s="1"/>
  <c r="I249" i="14" s="1"/>
  <c r="J249" i="14" a="1"/>
  <c r="J249" i="14" s="1"/>
  <c r="G249" i="14"/>
  <c r="L248" i="14"/>
  <c r="M248" i="14" s="1"/>
  <c r="I248" i="14" s="1"/>
  <c r="J248" i="14" a="1"/>
  <c r="J248" i="14" s="1"/>
  <c r="H248" i="14"/>
  <c r="G248" i="14"/>
  <c r="J247" i="14" a="1"/>
  <c r="J247" i="14" s="1"/>
  <c r="J246" i="14" a="1"/>
  <c r="J246" i="14" s="1"/>
  <c r="D246" i="14"/>
  <c r="C246" i="14"/>
  <c r="G246" i="14" s="1"/>
  <c r="L245" i="14"/>
  <c r="H245" i="14" s="1"/>
  <c r="J245" i="14" a="1"/>
  <c r="J245" i="14" s="1"/>
  <c r="G245" i="14"/>
  <c r="L244" i="14"/>
  <c r="M244" i="14" s="1"/>
  <c r="I244" i="14" s="1"/>
  <c r="J244" i="14" a="1"/>
  <c r="J244" i="14" s="1"/>
  <c r="H244" i="14"/>
  <c r="G244" i="14"/>
  <c r="L243" i="14"/>
  <c r="M243" i="14" s="1"/>
  <c r="J243" i="14" a="1"/>
  <c r="J243" i="14" s="1"/>
  <c r="I243" i="14"/>
  <c r="H243" i="14"/>
  <c r="G243" i="14"/>
  <c r="J242" i="14" a="1"/>
  <c r="J242" i="14" s="1"/>
  <c r="F242" i="14"/>
  <c r="F232" i="14" s="1"/>
  <c r="E242" i="14"/>
  <c r="E232" i="14" s="1"/>
  <c r="D242" i="14"/>
  <c r="C242" i="14"/>
  <c r="L241" i="14"/>
  <c r="H241" i="14" s="1"/>
  <c r="J241" i="14" a="1"/>
  <c r="J241" i="14" s="1"/>
  <c r="G241" i="14"/>
  <c r="L240" i="14"/>
  <c r="M240" i="14" s="1"/>
  <c r="I240" i="14" s="1"/>
  <c r="J240" i="14" a="1"/>
  <c r="J240" i="14" s="1"/>
  <c r="H240" i="14"/>
  <c r="G240" i="14"/>
  <c r="L239" i="14"/>
  <c r="M239" i="14" s="1"/>
  <c r="J239" i="14" a="1"/>
  <c r="J239" i="14" s="1"/>
  <c r="I239" i="14"/>
  <c r="G239" i="14"/>
  <c r="L238" i="14"/>
  <c r="H238" i="14" s="1"/>
  <c r="J238" i="14" a="1"/>
  <c r="J238" i="14" s="1"/>
  <c r="G238" i="14"/>
  <c r="L237" i="14"/>
  <c r="M237" i="14" s="1"/>
  <c r="I237" i="14" s="1"/>
  <c r="J237" i="14" a="1"/>
  <c r="J237" i="14" s="1"/>
  <c r="G237" i="14"/>
  <c r="L236" i="14"/>
  <c r="M236" i="14" s="1"/>
  <c r="I236" i="14" s="1"/>
  <c r="J236" i="14" a="1"/>
  <c r="J236" i="14" s="1"/>
  <c r="H236" i="14"/>
  <c r="G236" i="14"/>
  <c r="J235" i="14" a="1"/>
  <c r="J235" i="14" s="1"/>
  <c r="C235" i="14"/>
  <c r="L234" i="14"/>
  <c r="M234" i="14" s="1"/>
  <c r="I234" i="14" s="1"/>
  <c r="J234" i="14" a="1"/>
  <c r="J234" i="14" s="1"/>
  <c r="G234" i="14"/>
  <c r="L233" i="14"/>
  <c r="M233" i="14" s="1"/>
  <c r="I233" i="14" s="1"/>
  <c r="J233" i="14" a="1"/>
  <c r="J233" i="14" s="1"/>
  <c r="G233" i="14"/>
  <c r="J232" i="14" a="1"/>
  <c r="J232" i="14" s="1"/>
  <c r="J231" i="14" a="1"/>
  <c r="J231" i="14" s="1"/>
  <c r="F231" i="14"/>
  <c r="E231" i="14"/>
  <c r="E217" i="14" s="1"/>
  <c r="D231" i="14"/>
  <c r="C231" i="14"/>
  <c r="C217" i="14" s="1"/>
  <c r="L230" i="14"/>
  <c r="H230" i="14" s="1"/>
  <c r="J230" i="14" a="1"/>
  <c r="J230" i="14" s="1"/>
  <c r="G230" i="14"/>
  <c r="L229" i="14"/>
  <c r="H229" i="14" s="1"/>
  <c r="J229" i="14" a="1"/>
  <c r="J229" i="14" s="1"/>
  <c r="G229" i="14"/>
  <c r="L228" i="14"/>
  <c r="M228" i="14" s="1"/>
  <c r="I228" i="14" s="1"/>
  <c r="J228" i="14" a="1"/>
  <c r="J228" i="14" s="1"/>
  <c r="G228" i="14"/>
  <c r="L227" i="14"/>
  <c r="M227" i="14" s="1"/>
  <c r="I227" i="14" s="1"/>
  <c r="J227" i="14" a="1"/>
  <c r="J227" i="14" s="1"/>
  <c r="G227" i="14"/>
  <c r="L226" i="14"/>
  <c r="H226" i="14" s="1"/>
  <c r="J226" i="14" a="1"/>
  <c r="J226" i="14" s="1"/>
  <c r="G226" i="14"/>
  <c r="L225" i="14"/>
  <c r="M225" i="14" s="1"/>
  <c r="I225" i="14" s="1"/>
  <c r="J225" i="14" a="1"/>
  <c r="J225" i="14" s="1"/>
  <c r="H225" i="14"/>
  <c r="G225" i="14"/>
  <c r="L224" i="14"/>
  <c r="H224" i="14" s="1"/>
  <c r="J224" i="14" a="1"/>
  <c r="J224" i="14" s="1"/>
  <c r="G224" i="14"/>
  <c r="L223" i="14"/>
  <c r="H223" i="14" s="1"/>
  <c r="J223" i="14" a="1"/>
  <c r="J223" i="14" s="1"/>
  <c r="G223" i="14"/>
  <c r="L222" i="14"/>
  <c r="M222" i="14" s="1"/>
  <c r="I222" i="14" s="1"/>
  <c r="J222" i="14" a="1"/>
  <c r="J222" i="14" s="1"/>
  <c r="G222" i="14"/>
  <c r="L221" i="14"/>
  <c r="H221" i="14" s="1"/>
  <c r="J221" i="14" a="1"/>
  <c r="J221" i="14" s="1"/>
  <c r="G221" i="14"/>
  <c r="L220" i="14"/>
  <c r="M220" i="14" s="1"/>
  <c r="J220" i="14" a="1"/>
  <c r="J220" i="14" s="1"/>
  <c r="I220" i="14"/>
  <c r="H220" i="14"/>
  <c r="G220" i="14"/>
  <c r="L219" i="14"/>
  <c r="H219" i="14" s="1"/>
  <c r="J219" i="14" a="1"/>
  <c r="J219" i="14" s="1"/>
  <c r="G219" i="14"/>
  <c r="L218" i="14"/>
  <c r="M218" i="14" s="1"/>
  <c r="I218" i="14" s="1"/>
  <c r="J218" i="14" a="1"/>
  <c r="J218" i="14" s="1"/>
  <c r="G218" i="14"/>
  <c r="J217" i="14" a="1"/>
  <c r="J217" i="14" s="1"/>
  <c r="J216" i="14" a="1"/>
  <c r="J216" i="14" s="1"/>
  <c r="F216" i="14"/>
  <c r="E216" i="14"/>
  <c r="D216" i="14"/>
  <c r="D201" i="14" s="1"/>
  <c r="C216" i="14"/>
  <c r="C201" i="14" s="1"/>
  <c r="L215" i="14"/>
  <c r="M215" i="14" s="1"/>
  <c r="I215" i="14" s="1"/>
  <c r="K215" i="14"/>
  <c r="J215" i="14" a="1"/>
  <c r="J215" i="14" s="1"/>
  <c r="G215" i="14"/>
  <c r="L214" i="14"/>
  <c r="J214" i="14" a="1"/>
  <c r="J214" i="14" s="1"/>
  <c r="G214" i="14"/>
  <c r="L213" i="14"/>
  <c r="J213" i="14" a="1"/>
  <c r="J213" i="14" s="1"/>
  <c r="G213" i="14"/>
  <c r="L212" i="14"/>
  <c r="M212" i="14" s="1"/>
  <c r="I212" i="14" s="1"/>
  <c r="K212" i="14"/>
  <c r="J212" i="14" a="1"/>
  <c r="J212" i="14" s="1"/>
  <c r="G212" i="14"/>
  <c r="L211" i="14"/>
  <c r="H211" i="14" s="1"/>
  <c r="J211" i="14" a="1"/>
  <c r="J211" i="14" s="1"/>
  <c r="G211" i="14"/>
  <c r="L210" i="14"/>
  <c r="M210" i="14" s="1"/>
  <c r="J210" i="14" a="1"/>
  <c r="J210" i="14" s="1"/>
  <c r="I210" i="14"/>
  <c r="H210" i="14"/>
  <c r="G210" i="14"/>
  <c r="L209" i="14"/>
  <c r="H209" i="14" s="1"/>
  <c r="K209" i="14"/>
  <c r="J209" i="14" a="1"/>
  <c r="J209" i="14" s="1"/>
  <c r="G209" i="14"/>
  <c r="L208" i="14"/>
  <c r="M208" i="14" s="1"/>
  <c r="I208" i="14" s="1"/>
  <c r="J208" i="14" a="1"/>
  <c r="J208" i="14" s="1"/>
  <c r="G208" i="14"/>
  <c r="L207" i="14"/>
  <c r="M207" i="14" s="1"/>
  <c r="I207" i="14" s="1"/>
  <c r="J207" i="14" a="1"/>
  <c r="J207" i="14" s="1"/>
  <c r="G207" i="14"/>
  <c r="L206" i="14"/>
  <c r="M206" i="14" s="1"/>
  <c r="I206" i="14" s="1"/>
  <c r="K206" i="14"/>
  <c r="J206" i="14" a="1"/>
  <c r="J206" i="14" s="1"/>
  <c r="H206" i="14"/>
  <c r="G206" i="14"/>
  <c r="L205" i="14"/>
  <c r="H205" i="14" s="1"/>
  <c r="J205" i="14" a="1"/>
  <c r="J205" i="14" s="1"/>
  <c r="G205" i="14"/>
  <c r="L204" i="14"/>
  <c r="M204" i="14" s="1"/>
  <c r="I204" i="14" s="1"/>
  <c r="J204" i="14" a="1"/>
  <c r="J204" i="14" s="1"/>
  <c r="H204" i="14"/>
  <c r="G204" i="14"/>
  <c r="L203" i="14"/>
  <c r="M203" i="14" s="1"/>
  <c r="I203" i="14" s="1"/>
  <c r="K203" i="14"/>
  <c r="J203" i="14" a="1"/>
  <c r="J203" i="14" s="1"/>
  <c r="G203" i="14"/>
  <c r="L202" i="14"/>
  <c r="M202" i="14" s="1"/>
  <c r="I202" i="14" s="1"/>
  <c r="K202" i="14"/>
  <c r="J202" i="14" a="1"/>
  <c r="J202" i="14" s="1"/>
  <c r="H202" i="14"/>
  <c r="G202" i="14"/>
  <c r="J201" i="14" a="1"/>
  <c r="J201" i="14" s="1"/>
  <c r="J200" i="14" a="1"/>
  <c r="J200" i="14" s="1"/>
  <c r="F200" i="14"/>
  <c r="F186" i="14" s="1"/>
  <c r="E200" i="14"/>
  <c r="D200" i="14"/>
  <c r="C200" i="14"/>
  <c r="C186" i="14" s="1"/>
  <c r="L199" i="14"/>
  <c r="H199" i="14" s="1"/>
  <c r="J199" i="14" a="1"/>
  <c r="J199" i="14" s="1"/>
  <c r="G199" i="14"/>
  <c r="L198" i="14"/>
  <c r="M198" i="14" s="1"/>
  <c r="I198" i="14" s="1"/>
  <c r="J198" i="14" a="1"/>
  <c r="J198" i="14" s="1"/>
  <c r="G198" i="14"/>
  <c r="L197" i="14"/>
  <c r="H197" i="14" s="1"/>
  <c r="J197" i="14" a="1"/>
  <c r="J197" i="14" s="1"/>
  <c r="G197" i="14"/>
  <c r="L196" i="14"/>
  <c r="M196" i="14" s="1"/>
  <c r="I196" i="14" s="1"/>
  <c r="J196" i="14" a="1"/>
  <c r="J196" i="14" s="1"/>
  <c r="G196" i="14"/>
  <c r="L195" i="14"/>
  <c r="M195" i="14" s="1"/>
  <c r="I195" i="14" s="1"/>
  <c r="J195" i="14" a="1"/>
  <c r="J195" i="14" s="1"/>
  <c r="G195" i="14"/>
  <c r="L194" i="14"/>
  <c r="M194" i="14" s="1"/>
  <c r="I194" i="14" s="1"/>
  <c r="J194" i="14" a="1"/>
  <c r="J194" i="14" s="1"/>
  <c r="G194" i="14"/>
  <c r="L193" i="14"/>
  <c r="H193" i="14" s="1"/>
  <c r="J193" i="14" a="1"/>
  <c r="J193" i="14" s="1"/>
  <c r="G193" i="14"/>
  <c r="L192" i="14"/>
  <c r="H192" i="14" s="1"/>
  <c r="J192" i="14" a="1"/>
  <c r="J192" i="14" s="1"/>
  <c r="G192" i="14"/>
  <c r="L191" i="14"/>
  <c r="M191" i="14" s="1"/>
  <c r="I191" i="14" s="1"/>
  <c r="J191" i="14" a="1"/>
  <c r="J191" i="14" s="1"/>
  <c r="G191" i="14"/>
  <c r="L190" i="14"/>
  <c r="J190" i="14" a="1"/>
  <c r="J190" i="14" s="1"/>
  <c r="G190" i="14"/>
  <c r="L189" i="14"/>
  <c r="H189" i="14" s="1"/>
  <c r="J189" i="14" a="1"/>
  <c r="J189" i="14" s="1"/>
  <c r="G189" i="14"/>
  <c r="L188" i="14"/>
  <c r="M188" i="14" s="1"/>
  <c r="I188" i="14" s="1"/>
  <c r="J188" i="14" a="1"/>
  <c r="J188" i="14" s="1"/>
  <c r="H188" i="14"/>
  <c r="G188" i="14"/>
  <c r="L187" i="14"/>
  <c r="M187" i="14" s="1"/>
  <c r="I187" i="14" s="1"/>
  <c r="J187" i="14" a="1"/>
  <c r="J187" i="14" s="1"/>
  <c r="G187" i="14"/>
  <c r="J186" i="14" a="1"/>
  <c r="J186" i="14" s="1"/>
  <c r="J185" i="14" a="1"/>
  <c r="J185" i="14" s="1"/>
  <c r="F185" i="14"/>
  <c r="E185" i="14"/>
  <c r="D185" i="14"/>
  <c r="C185" i="14"/>
  <c r="L184" i="14"/>
  <c r="H184" i="14" s="1"/>
  <c r="J184" i="14" a="1"/>
  <c r="J184" i="14" s="1"/>
  <c r="G184" i="14"/>
  <c r="L183" i="14"/>
  <c r="M183" i="14" s="1"/>
  <c r="J183" i="14" a="1"/>
  <c r="J183" i="14" s="1"/>
  <c r="I183" i="14"/>
  <c r="G183" i="14"/>
  <c r="L182" i="14"/>
  <c r="J182" i="14" a="1"/>
  <c r="J182" i="14" s="1"/>
  <c r="G182" i="14"/>
  <c r="L181" i="14"/>
  <c r="H181" i="14" s="1"/>
  <c r="J181" i="14" a="1"/>
  <c r="J181" i="14" s="1"/>
  <c r="G181" i="14"/>
  <c r="L180" i="14"/>
  <c r="M180" i="14" s="1"/>
  <c r="I180" i="14" s="1"/>
  <c r="J180" i="14" a="1"/>
  <c r="J180" i="14" s="1"/>
  <c r="G180" i="14"/>
  <c r="L179" i="14"/>
  <c r="M179" i="14" s="1"/>
  <c r="I179" i="14" s="1"/>
  <c r="J179" i="14" a="1"/>
  <c r="J179" i="14" s="1"/>
  <c r="H179" i="14"/>
  <c r="G179" i="14"/>
  <c r="L178" i="14"/>
  <c r="H178" i="14" s="1"/>
  <c r="J178" i="14" a="1"/>
  <c r="J178" i="14" s="1"/>
  <c r="G178" i="14"/>
  <c r="L177" i="14"/>
  <c r="M177" i="14" s="1"/>
  <c r="I177" i="14" s="1"/>
  <c r="J177" i="14" a="1"/>
  <c r="J177" i="14" s="1"/>
  <c r="G177" i="14"/>
  <c r="L176" i="14"/>
  <c r="H176" i="14" s="1"/>
  <c r="J176" i="14" a="1"/>
  <c r="J176" i="14" s="1"/>
  <c r="G176" i="14"/>
  <c r="L175" i="14"/>
  <c r="M175" i="14" s="1"/>
  <c r="I175" i="14" s="1"/>
  <c r="J175" i="14" a="1"/>
  <c r="J175" i="14" s="1"/>
  <c r="G175" i="14"/>
  <c r="L174" i="14"/>
  <c r="M174" i="14" s="1"/>
  <c r="I174" i="14" s="1"/>
  <c r="J174" i="14" a="1"/>
  <c r="J174" i="14" s="1"/>
  <c r="H174" i="14"/>
  <c r="G174" i="14"/>
  <c r="L173" i="14"/>
  <c r="M173" i="14" s="1"/>
  <c r="I173" i="14" s="1"/>
  <c r="J173" i="14" a="1"/>
  <c r="J173" i="14" s="1"/>
  <c r="G173" i="14"/>
  <c r="L172" i="14"/>
  <c r="M172" i="14" s="1"/>
  <c r="I172" i="14" s="1"/>
  <c r="J172" i="14" a="1"/>
  <c r="J172" i="14" s="1"/>
  <c r="G172" i="14"/>
  <c r="L171" i="14"/>
  <c r="H171" i="14" s="1"/>
  <c r="J171" i="14" a="1"/>
  <c r="J171" i="14" s="1"/>
  <c r="G171" i="14"/>
  <c r="J170" i="14" a="1"/>
  <c r="J170" i="14" s="1"/>
  <c r="F170" i="14"/>
  <c r="E170" i="14"/>
  <c r="L169" i="14"/>
  <c r="H169" i="14" s="1"/>
  <c r="J169" i="14" a="1"/>
  <c r="J169" i="14" s="1"/>
  <c r="L168" i="14"/>
  <c r="M168" i="14" s="1"/>
  <c r="I168" i="14" s="1"/>
  <c r="J168" i="14" a="1"/>
  <c r="J168" i="14" s="1"/>
  <c r="L167" i="14"/>
  <c r="M167" i="14" s="1"/>
  <c r="I167" i="14" s="1"/>
  <c r="J167" i="14" a="1"/>
  <c r="J167" i="14" s="1"/>
  <c r="L166" i="14"/>
  <c r="M166" i="14" s="1"/>
  <c r="I166" i="14" s="1"/>
  <c r="J166" i="14" a="1"/>
  <c r="J166" i="14" s="1"/>
  <c r="L165" i="14"/>
  <c r="H165" i="14" s="1"/>
  <c r="J165" i="14" a="1"/>
  <c r="J165" i="14" s="1"/>
  <c r="L164" i="14"/>
  <c r="H164" i="14" s="1"/>
  <c r="J164" i="14" a="1"/>
  <c r="J164" i="14" s="1"/>
  <c r="L163" i="14"/>
  <c r="M163" i="14" s="1"/>
  <c r="I163" i="14" s="1"/>
  <c r="J163" i="14" a="1"/>
  <c r="J163" i="14" s="1"/>
  <c r="L158" i="14"/>
  <c r="M158" i="14" s="1"/>
  <c r="I158" i="14" s="1"/>
  <c r="J158" i="14" a="1"/>
  <c r="J158" i="14" s="1"/>
  <c r="L157" i="14"/>
  <c r="H157" i="14" s="1"/>
  <c r="J157" i="14" a="1"/>
  <c r="J157" i="14" s="1"/>
  <c r="L156" i="14"/>
  <c r="M156" i="14" s="1"/>
  <c r="I156" i="14" s="1"/>
  <c r="J156" i="14" a="1"/>
  <c r="J156" i="14" s="1"/>
  <c r="L155" i="14"/>
  <c r="M155" i="14" s="1"/>
  <c r="J155" i="14" a="1"/>
  <c r="J155" i="14" s="1"/>
  <c r="I155" i="14"/>
  <c r="J154" i="14" a="1"/>
  <c r="J154" i="14" s="1"/>
  <c r="F154" i="14"/>
  <c r="E154" i="14"/>
  <c r="D154" i="14"/>
  <c r="C154" i="14"/>
  <c r="L153" i="14"/>
  <c r="M153" i="14" s="1"/>
  <c r="I153" i="14" s="1"/>
  <c r="J153" i="14" a="1"/>
  <c r="J153" i="14" s="1"/>
  <c r="G153" i="14"/>
  <c r="L152" i="14"/>
  <c r="M152" i="14" s="1"/>
  <c r="I152" i="14" s="1"/>
  <c r="J152" i="14" a="1"/>
  <c r="J152" i="14" s="1"/>
  <c r="G152" i="14"/>
  <c r="L151" i="14"/>
  <c r="M151" i="14" s="1"/>
  <c r="I151" i="14" s="1"/>
  <c r="J151" i="14" a="1"/>
  <c r="J151" i="14" s="1"/>
  <c r="G151" i="14"/>
  <c r="L150" i="14"/>
  <c r="H150" i="14" s="1"/>
  <c r="J150" i="14" a="1"/>
  <c r="J150" i="14" s="1"/>
  <c r="G150" i="14"/>
  <c r="L149" i="14"/>
  <c r="H149" i="14" s="1"/>
  <c r="J149" i="14" a="1"/>
  <c r="J149" i="14" s="1"/>
  <c r="G149" i="14"/>
  <c r="L148" i="14"/>
  <c r="M148" i="14" s="1"/>
  <c r="I148" i="14" s="1"/>
  <c r="J148" i="14" a="1"/>
  <c r="J148" i="14" s="1"/>
  <c r="G148" i="14"/>
  <c r="L147" i="14"/>
  <c r="M147" i="14" s="1"/>
  <c r="I147" i="14" s="1"/>
  <c r="J147" i="14" a="1"/>
  <c r="J147" i="14" s="1"/>
  <c r="G147" i="14"/>
  <c r="L146" i="14"/>
  <c r="M146" i="14" s="1"/>
  <c r="I146" i="14" s="1"/>
  <c r="J146" i="14" a="1"/>
  <c r="J146" i="14" s="1"/>
  <c r="G146" i="14"/>
  <c r="L145" i="14"/>
  <c r="M145" i="14" s="1"/>
  <c r="I145" i="14" s="1"/>
  <c r="J145" i="14" a="1"/>
  <c r="J145" i="14" s="1"/>
  <c r="G145" i="14"/>
  <c r="L144" i="14"/>
  <c r="H144" i="14" s="1"/>
  <c r="J144" i="14" a="1"/>
  <c r="J144" i="14" s="1"/>
  <c r="G144" i="14"/>
  <c r="L143" i="14"/>
  <c r="M143" i="14" s="1"/>
  <c r="I143" i="14" s="1"/>
  <c r="J143" i="14" a="1"/>
  <c r="J143" i="14" s="1"/>
  <c r="G143" i="14"/>
  <c r="L142" i="14"/>
  <c r="M142" i="14" s="1"/>
  <c r="I142" i="14" s="1"/>
  <c r="J142" i="14" a="1"/>
  <c r="J142" i="14" s="1"/>
  <c r="G142" i="14"/>
  <c r="L141" i="14"/>
  <c r="J141" i="14" a="1"/>
  <c r="J141" i="14" s="1"/>
  <c r="G141" i="14"/>
  <c r="L140" i="14"/>
  <c r="M140" i="14" s="1"/>
  <c r="I140" i="14" s="1"/>
  <c r="J140" i="14" a="1"/>
  <c r="J140" i="14" s="1"/>
  <c r="G140" i="14"/>
  <c r="L139" i="14"/>
  <c r="M139" i="14" s="1"/>
  <c r="I139" i="14" s="1"/>
  <c r="J139" i="14" a="1"/>
  <c r="J139" i="14" s="1"/>
  <c r="G139" i="14"/>
  <c r="J138" i="14" a="1"/>
  <c r="J138" i="14" s="1"/>
  <c r="F138" i="14"/>
  <c r="E138" i="14"/>
  <c r="D138" i="14"/>
  <c r="C138" i="14"/>
  <c r="L137" i="14"/>
  <c r="J137" i="14" a="1"/>
  <c r="J137" i="14" s="1"/>
  <c r="G137" i="14"/>
  <c r="L136" i="14"/>
  <c r="M136" i="14" s="1"/>
  <c r="I136" i="14" s="1"/>
  <c r="J136" i="14" a="1"/>
  <c r="J136" i="14" s="1"/>
  <c r="G136" i="14"/>
  <c r="L135" i="14"/>
  <c r="M135" i="14" s="1"/>
  <c r="I135" i="14" s="1"/>
  <c r="J135" i="14" a="1"/>
  <c r="J135" i="14" s="1"/>
  <c r="H135" i="14"/>
  <c r="G135" i="14"/>
  <c r="L134" i="14"/>
  <c r="M134" i="14" s="1"/>
  <c r="I134" i="14" s="1"/>
  <c r="J134" i="14" a="1"/>
  <c r="J134" i="14" s="1"/>
  <c r="G134" i="14"/>
  <c r="L133" i="14"/>
  <c r="M133" i="14" s="1"/>
  <c r="I133" i="14" s="1"/>
  <c r="J133" i="14" a="1"/>
  <c r="J133" i="14" s="1"/>
  <c r="G133" i="14"/>
  <c r="L132" i="14"/>
  <c r="H132" i="14" s="1"/>
  <c r="J132" i="14" a="1"/>
  <c r="J132" i="14" s="1"/>
  <c r="G132" i="14"/>
  <c r="L131" i="14"/>
  <c r="M131" i="14" s="1"/>
  <c r="I131" i="14" s="1"/>
  <c r="J131" i="14" a="1"/>
  <c r="J131" i="14" s="1"/>
  <c r="H131" i="14"/>
  <c r="G131" i="14"/>
  <c r="L130" i="14"/>
  <c r="M130" i="14" s="1"/>
  <c r="I130" i="14" s="1"/>
  <c r="J130" i="14" a="1"/>
  <c r="J130" i="14" s="1"/>
  <c r="G130" i="14"/>
  <c r="L129" i="14"/>
  <c r="H129" i="14" s="1"/>
  <c r="J129" i="14" a="1"/>
  <c r="J129" i="14" s="1"/>
  <c r="G129" i="14"/>
  <c r="L128" i="14"/>
  <c r="M128" i="14" s="1"/>
  <c r="I128" i="14" s="1"/>
  <c r="J128" i="14" a="1"/>
  <c r="J128" i="14" s="1"/>
  <c r="G128" i="14"/>
  <c r="L127" i="14"/>
  <c r="H127" i="14" s="1"/>
  <c r="J127" i="14" a="1"/>
  <c r="J127" i="14" s="1"/>
  <c r="G127" i="14"/>
  <c r="L126" i="14"/>
  <c r="M126" i="14" s="1"/>
  <c r="I126" i="14" s="1"/>
  <c r="J126" i="14" a="1"/>
  <c r="J126" i="14" s="1"/>
  <c r="G126" i="14"/>
  <c r="L125" i="14"/>
  <c r="M125" i="14" s="1"/>
  <c r="I125" i="14" s="1"/>
  <c r="J125" i="14" a="1"/>
  <c r="J125" i="14" s="1"/>
  <c r="G125" i="14"/>
  <c r="J124" i="14" a="1"/>
  <c r="J124" i="14" s="1"/>
  <c r="F124" i="14"/>
  <c r="E124" i="14"/>
  <c r="D124" i="14"/>
  <c r="C124" i="14"/>
  <c r="L123" i="14"/>
  <c r="M123" i="14" s="1"/>
  <c r="I123" i="14" s="1"/>
  <c r="J123" i="14" a="1"/>
  <c r="J123" i="14" s="1"/>
  <c r="G123" i="14"/>
  <c r="L122" i="14"/>
  <c r="M122" i="14" s="1"/>
  <c r="I122" i="14" s="1"/>
  <c r="J122" i="14" a="1"/>
  <c r="J122" i="14" s="1"/>
  <c r="H122" i="14"/>
  <c r="G122" i="14"/>
  <c r="L121" i="14"/>
  <c r="M121" i="14" s="1"/>
  <c r="I121" i="14" s="1"/>
  <c r="J121" i="14" a="1"/>
  <c r="J121" i="14" s="1"/>
  <c r="G121" i="14"/>
  <c r="L120" i="14"/>
  <c r="H120" i="14" s="1"/>
  <c r="J120" i="14" a="1"/>
  <c r="J120" i="14" s="1"/>
  <c r="G120" i="14"/>
  <c r="L119" i="14"/>
  <c r="M119" i="14" s="1"/>
  <c r="I119" i="14" s="1"/>
  <c r="J119" i="14" a="1"/>
  <c r="J119" i="14" s="1"/>
  <c r="G119" i="14"/>
  <c r="L118" i="14"/>
  <c r="M118" i="14" s="1"/>
  <c r="J118" i="14" a="1"/>
  <c r="J118" i="14" s="1"/>
  <c r="I118" i="14"/>
  <c r="H118" i="14"/>
  <c r="G118" i="14"/>
  <c r="L117" i="14"/>
  <c r="J117" i="14" a="1"/>
  <c r="J117" i="14" s="1"/>
  <c r="G117" i="14"/>
  <c r="L116" i="14"/>
  <c r="M116" i="14" s="1"/>
  <c r="I116" i="14" s="1"/>
  <c r="J116" i="14" a="1"/>
  <c r="J116" i="14" s="1"/>
  <c r="G116" i="14"/>
  <c r="L115" i="14"/>
  <c r="M115" i="14" s="1"/>
  <c r="I115" i="14" s="1"/>
  <c r="J115" i="14" a="1"/>
  <c r="J115" i="14" s="1"/>
  <c r="G115" i="14"/>
  <c r="L114" i="14"/>
  <c r="M114" i="14" s="1"/>
  <c r="I114" i="14" s="1"/>
  <c r="J114" i="14" a="1"/>
  <c r="J114" i="14" s="1"/>
  <c r="G114" i="14"/>
  <c r="L113" i="14"/>
  <c r="M113" i="14" s="1"/>
  <c r="I113" i="14" s="1"/>
  <c r="J113" i="14" a="1"/>
  <c r="J113" i="14" s="1"/>
  <c r="H113" i="14"/>
  <c r="G113" i="14"/>
  <c r="L112" i="14"/>
  <c r="H112" i="14" s="1"/>
  <c r="J112" i="14" a="1"/>
  <c r="J112" i="14" s="1"/>
  <c r="G112" i="14"/>
  <c r="L111" i="14"/>
  <c r="M111" i="14" s="1"/>
  <c r="I111" i="14" s="1"/>
  <c r="J111" i="14" a="1"/>
  <c r="J111" i="14" s="1"/>
  <c r="H111" i="14"/>
  <c r="G111" i="14"/>
  <c r="J110" i="14" a="1"/>
  <c r="J110" i="14" s="1"/>
  <c r="F110" i="14"/>
  <c r="E110" i="14"/>
  <c r="D110" i="14"/>
  <c r="C110" i="14"/>
  <c r="L109" i="14"/>
  <c r="H109" i="14" s="1"/>
  <c r="J109" i="14" a="1"/>
  <c r="J109" i="14" s="1"/>
  <c r="G109" i="14"/>
  <c r="L108" i="14"/>
  <c r="M108" i="14" s="1"/>
  <c r="I108" i="14" s="1"/>
  <c r="J108" i="14" a="1"/>
  <c r="J108" i="14" s="1"/>
  <c r="H108" i="14"/>
  <c r="G108" i="14"/>
  <c r="L107" i="14"/>
  <c r="H107" i="14" s="1"/>
  <c r="J107" i="14" a="1"/>
  <c r="J107" i="14" s="1"/>
  <c r="G107" i="14"/>
  <c r="L106" i="14"/>
  <c r="M106" i="14" s="1"/>
  <c r="I106" i="14" s="1"/>
  <c r="J106" i="14" a="1"/>
  <c r="J106" i="14" s="1"/>
  <c r="G106" i="14"/>
  <c r="L105" i="14"/>
  <c r="H105" i="14" s="1"/>
  <c r="J105" i="14" a="1"/>
  <c r="J105" i="14" s="1"/>
  <c r="G105" i="14"/>
  <c r="L104" i="14"/>
  <c r="M104" i="14" s="1"/>
  <c r="I104" i="14" s="1"/>
  <c r="J104" i="14" a="1"/>
  <c r="J104" i="14" s="1"/>
  <c r="H104" i="14"/>
  <c r="G104" i="14"/>
  <c r="J103" i="14" a="1"/>
  <c r="J103" i="14" s="1"/>
  <c r="J102" i="14" a="1"/>
  <c r="J102" i="14" s="1"/>
  <c r="F102" i="14"/>
  <c r="E102" i="14"/>
  <c r="D102" i="14"/>
  <c r="C102" i="14"/>
  <c r="L101" i="14"/>
  <c r="H101" i="14" s="1"/>
  <c r="J101" i="14" a="1"/>
  <c r="J101" i="14" s="1"/>
  <c r="G101" i="14"/>
  <c r="L100" i="14"/>
  <c r="H100" i="14" s="1"/>
  <c r="J100" i="14" a="1"/>
  <c r="J100" i="14" s="1"/>
  <c r="G100" i="14"/>
  <c r="L99" i="14"/>
  <c r="M99" i="14" s="1"/>
  <c r="I99" i="14" s="1"/>
  <c r="J99" i="14" a="1"/>
  <c r="J99" i="14" s="1"/>
  <c r="G99" i="14"/>
  <c r="L98" i="14"/>
  <c r="M98" i="14" s="1"/>
  <c r="I98" i="14" s="1"/>
  <c r="J98" i="14" a="1"/>
  <c r="J98" i="14" s="1"/>
  <c r="H98" i="14"/>
  <c r="G98" i="14"/>
  <c r="L97" i="14"/>
  <c r="H97" i="14" s="1"/>
  <c r="J97" i="14" a="1"/>
  <c r="J97" i="14" s="1"/>
  <c r="G97" i="14"/>
  <c r="L96" i="14"/>
  <c r="H96" i="14" s="1"/>
  <c r="J96" i="14" a="1"/>
  <c r="J96" i="14" s="1"/>
  <c r="G96" i="14"/>
  <c r="L95" i="14"/>
  <c r="M95" i="14" s="1"/>
  <c r="I95" i="14" s="1"/>
  <c r="J95" i="14" a="1"/>
  <c r="J95" i="14" s="1"/>
  <c r="G95" i="14"/>
  <c r="L94" i="14"/>
  <c r="H94" i="14" s="1"/>
  <c r="J94" i="14" a="1"/>
  <c r="J94" i="14" s="1"/>
  <c r="G94" i="14"/>
  <c r="L93" i="14"/>
  <c r="H93" i="14" s="1"/>
  <c r="J93" i="14" a="1"/>
  <c r="J93" i="14" s="1"/>
  <c r="G93" i="14"/>
  <c r="L92" i="14"/>
  <c r="J92" i="14" a="1"/>
  <c r="J92" i="14" s="1"/>
  <c r="G92" i="14"/>
  <c r="L91" i="14"/>
  <c r="M91" i="14" s="1"/>
  <c r="I91" i="14" s="1"/>
  <c r="J91" i="14" a="1"/>
  <c r="J91" i="14" s="1"/>
  <c r="H91" i="14"/>
  <c r="G91" i="14"/>
  <c r="L90" i="14"/>
  <c r="M90" i="14" s="1"/>
  <c r="I90" i="14" s="1"/>
  <c r="J90" i="14" a="1"/>
  <c r="J90" i="14" s="1"/>
  <c r="G90" i="14"/>
  <c r="J89" i="14" a="1"/>
  <c r="J89" i="14" s="1"/>
  <c r="F89" i="14"/>
  <c r="D89" i="14"/>
  <c r="C89" i="14"/>
  <c r="L88" i="14"/>
  <c r="M88" i="14" s="1"/>
  <c r="I88" i="14" s="1"/>
  <c r="J88" i="14" a="1"/>
  <c r="J88" i="14" s="1"/>
  <c r="H88" i="14"/>
  <c r="G88" i="14"/>
  <c r="L87" i="14"/>
  <c r="H87" i="14" s="1"/>
  <c r="J87" i="14" a="1"/>
  <c r="J87" i="14" s="1"/>
  <c r="G87" i="14"/>
  <c r="L86" i="14"/>
  <c r="M86" i="14" s="1"/>
  <c r="I86" i="14" s="1"/>
  <c r="J86" i="14" a="1"/>
  <c r="J86" i="14" s="1"/>
  <c r="G86" i="14"/>
  <c r="L85" i="14"/>
  <c r="H85" i="14" s="1"/>
  <c r="J85" i="14" a="1"/>
  <c r="J85" i="14" s="1"/>
  <c r="G85" i="14"/>
  <c r="L84" i="14"/>
  <c r="H84" i="14" s="1"/>
  <c r="J84" i="14" a="1"/>
  <c r="J84" i="14" s="1"/>
  <c r="G84" i="14"/>
  <c r="L83" i="14"/>
  <c r="M83" i="14" s="1"/>
  <c r="I83" i="14" s="1"/>
  <c r="J83" i="14" a="1"/>
  <c r="J83" i="14" s="1"/>
  <c r="G83" i="14"/>
  <c r="L82" i="14"/>
  <c r="M82" i="14" s="1"/>
  <c r="I82" i="14" s="1"/>
  <c r="J82" i="14" a="1"/>
  <c r="J82" i="14" s="1"/>
  <c r="G82" i="14"/>
  <c r="L81" i="14"/>
  <c r="H81" i="14" s="1"/>
  <c r="J81" i="14" a="1"/>
  <c r="J81" i="14" s="1"/>
  <c r="G81" i="14"/>
  <c r="L80" i="14"/>
  <c r="M80" i="14" s="1"/>
  <c r="I80" i="14" s="1"/>
  <c r="J80" i="14" a="1"/>
  <c r="J80" i="14" s="1"/>
  <c r="G80" i="14"/>
  <c r="L79" i="14"/>
  <c r="M79" i="14" s="1"/>
  <c r="I79" i="14" s="1"/>
  <c r="J79" i="14" a="1"/>
  <c r="J79" i="14" s="1"/>
  <c r="H79" i="14"/>
  <c r="G79" i="14"/>
  <c r="L78" i="14"/>
  <c r="J78" i="14" a="1"/>
  <c r="J78" i="14" s="1"/>
  <c r="G78" i="14"/>
  <c r="L77" i="14"/>
  <c r="M77" i="14" s="1"/>
  <c r="I77" i="14" s="1"/>
  <c r="J77" i="14" a="1"/>
  <c r="J77" i="14" s="1"/>
  <c r="G77" i="14"/>
  <c r="L76" i="14"/>
  <c r="M76" i="14" s="1"/>
  <c r="I76" i="14" s="1"/>
  <c r="J76" i="14" a="1"/>
  <c r="J76" i="14" s="1"/>
  <c r="G76" i="14"/>
  <c r="J75" i="14" a="1"/>
  <c r="J75" i="14" s="1"/>
  <c r="F75" i="14"/>
  <c r="D75" i="14"/>
  <c r="C75" i="14"/>
  <c r="L74" i="14"/>
  <c r="M74" i="14" s="1"/>
  <c r="I74" i="14" s="1"/>
  <c r="J74" i="14" a="1"/>
  <c r="J74" i="14" s="1"/>
  <c r="G74" i="14"/>
  <c r="L73" i="14"/>
  <c r="M73" i="14" s="1"/>
  <c r="I73" i="14" s="1"/>
  <c r="J73" i="14" a="1"/>
  <c r="J73" i="14" s="1"/>
  <c r="G73" i="14"/>
  <c r="L72" i="14"/>
  <c r="H72" i="14" s="1"/>
  <c r="J72" i="14" a="1"/>
  <c r="J72" i="14" s="1"/>
  <c r="G72" i="14"/>
  <c r="L71" i="14"/>
  <c r="H71" i="14" s="1"/>
  <c r="J71" i="14" a="1"/>
  <c r="J71" i="14" s="1"/>
  <c r="G71" i="14"/>
  <c r="L70" i="14"/>
  <c r="H70" i="14" s="1"/>
  <c r="J70" i="14" a="1"/>
  <c r="J70" i="14" s="1"/>
  <c r="G70" i="14"/>
  <c r="L69" i="14"/>
  <c r="M69" i="14" s="1"/>
  <c r="I69" i="14" s="1"/>
  <c r="J69" i="14" a="1"/>
  <c r="J69" i="14" s="1"/>
  <c r="G69" i="14"/>
  <c r="L68" i="14"/>
  <c r="M68" i="14" s="1"/>
  <c r="I68" i="14" s="1"/>
  <c r="J68" i="14" a="1"/>
  <c r="J68" i="14" s="1"/>
  <c r="G68" i="14"/>
  <c r="L67" i="14"/>
  <c r="J67" i="14" a="1"/>
  <c r="J67" i="14" s="1"/>
  <c r="G67" i="14"/>
  <c r="L66" i="14"/>
  <c r="M66" i="14" s="1"/>
  <c r="I66" i="14" s="1"/>
  <c r="J66" i="14" a="1"/>
  <c r="J66" i="14" s="1"/>
  <c r="G66" i="14"/>
  <c r="L65" i="14"/>
  <c r="M65" i="14" s="1"/>
  <c r="I65" i="14" s="1"/>
  <c r="J65" i="14" a="1"/>
  <c r="J65" i="14" s="1"/>
  <c r="G65" i="14"/>
  <c r="L64" i="14"/>
  <c r="M64" i="14" s="1"/>
  <c r="I64" i="14" s="1"/>
  <c r="J64" i="14" a="1"/>
  <c r="J64" i="14" s="1"/>
  <c r="G64" i="14"/>
  <c r="L63" i="14"/>
  <c r="M63" i="14" s="1"/>
  <c r="I63" i="14" s="1"/>
  <c r="J63" i="14" a="1"/>
  <c r="J63" i="14" s="1"/>
  <c r="G63" i="14"/>
  <c r="L62" i="14"/>
  <c r="M62" i="14" s="1"/>
  <c r="I62" i="14" s="1"/>
  <c r="J62" i="14" a="1"/>
  <c r="J62" i="14" s="1"/>
  <c r="G62" i="14"/>
  <c r="L61" i="14"/>
  <c r="H61" i="14" s="1"/>
  <c r="J61" i="14" a="1"/>
  <c r="J61" i="14" s="1"/>
  <c r="G61" i="14"/>
  <c r="J60" i="14" a="1"/>
  <c r="J60" i="14" s="1"/>
  <c r="F60" i="14"/>
  <c r="E60" i="14"/>
  <c r="D60" i="14"/>
  <c r="C60" i="14"/>
  <c r="L59" i="14"/>
  <c r="H59" i="14" s="1"/>
  <c r="J59" i="14" a="1"/>
  <c r="J59" i="14" s="1"/>
  <c r="G59" i="14"/>
  <c r="L58" i="14"/>
  <c r="M58" i="14" s="1"/>
  <c r="I58" i="14" s="1"/>
  <c r="J58" i="14" a="1"/>
  <c r="J58" i="14" s="1"/>
  <c r="G58" i="14"/>
  <c r="J57" i="14" a="1"/>
  <c r="J57" i="14" s="1"/>
  <c r="J56" i="14" a="1"/>
  <c r="J56" i="14" s="1"/>
  <c r="F56" i="14"/>
  <c r="E56" i="14"/>
  <c r="D56" i="14"/>
  <c r="C56" i="14"/>
  <c r="L55" i="14"/>
  <c r="J55" i="14" a="1"/>
  <c r="J55" i="14" s="1"/>
  <c r="G55" i="14"/>
  <c r="L54" i="14"/>
  <c r="M54" i="14" s="1"/>
  <c r="I54" i="14" s="1"/>
  <c r="J54" i="14" a="1"/>
  <c r="J54" i="14" s="1"/>
  <c r="G54" i="14"/>
  <c r="L53" i="14"/>
  <c r="M53" i="14" s="1"/>
  <c r="I53" i="14" s="1"/>
  <c r="J53" i="14" a="1"/>
  <c r="J53" i="14" s="1"/>
  <c r="H53" i="14"/>
  <c r="G53" i="14"/>
  <c r="L52" i="14"/>
  <c r="M52" i="14" s="1"/>
  <c r="I52" i="14" s="1"/>
  <c r="J52" i="14" a="1"/>
  <c r="J52" i="14" s="1"/>
  <c r="G52" i="14"/>
  <c r="L51" i="14"/>
  <c r="M51" i="14" s="1"/>
  <c r="I51" i="14" s="1"/>
  <c r="J51" i="14" a="1"/>
  <c r="J51" i="14" s="1"/>
  <c r="G51" i="14"/>
  <c r="L50" i="14"/>
  <c r="M50" i="14" s="1"/>
  <c r="I50" i="14" s="1"/>
  <c r="J50" i="14" a="1"/>
  <c r="J50" i="14" s="1"/>
  <c r="G50" i="14"/>
  <c r="L49" i="14"/>
  <c r="H49" i="14" s="1"/>
  <c r="J49" i="14" a="1"/>
  <c r="J49" i="14" s="1"/>
  <c r="G49" i="14"/>
  <c r="L48" i="14"/>
  <c r="M48" i="14" s="1"/>
  <c r="I48" i="14" s="1"/>
  <c r="J48" i="14" a="1"/>
  <c r="J48" i="14" s="1"/>
  <c r="H48" i="14"/>
  <c r="G48" i="14"/>
  <c r="L47" i="14"/>
  <c r="M47" i="14" s="1"/>
  <c r="I47" i="14" s="1"/>
  <c r="J47" i="14" a="1"/>
  <c r="J47" i="14" s="1"/>
  <c r="H47" i="14"/>
  <c r="G47" i="14"/>
  <c r="L46" i="14"/>
  <c r="H46" i="14" s="1"/>
  <c r="J46" i="14" a="1"/>
  <c r="J46" i="14" s="1"/>
  <c r="G46" i="14"/>
  <c r="L45" i="14"/>
  <c r="M45" i="14" s="1"/>
  <c r="I45" i="14" s="1"/>
  <c r="J45" i="14" a="1"/>
  <c r="J45" i="14" s="1"/>
  <c r="G45" i="14"/>
  <c r="L44" i="14"/>
  <c r="M44" i="14" s="1"/>
  <c r="I44" i="14" s="1"/>
  <c r="J44" i="14" a="1"/>
  <c r="J44" i="14" s="1"/>
  <c r="G44" i="14"/>
  <c r="L43" i="14"/>
  <c r="H43" i="14" s="1"/>
  <c r="J43" i="14" a="1"/>
  <c r="J43" i="14" s="1"/>
  <c r="G43" i="14"/>
  <c r="L42" i="14"/>
  <c r="H42" i="14" s="1"/>
  <c r="J42" i="14" a="1"/>
  <c r="J42" i="14" s="1"/>
  <c r="G42" i="14"/>
  <c r="J41" i="14" a="1"/>
  <c r="J41" i="14" s="1"/>
  <c r="F41" i="14"/>
  <c r="E41" i="14"/>
  <c r="D41" i="14"/>
  <c r="C41" i="14"/>
  <c r="L40" i="14"/>
  <c r="H40" i="14" s="1"/>
  <c r="J40" i="14" a="1"/>
  <c r="J40" i="14" s="1"/>
  <c r="G40" i="14"/>
  <c r="L39" i="14"/>
  <c r="M39" i="14" s="1"/>
  <c r="I39" i="14" s="1"/>
  <c r="J39" i="14" a="1"/>
  <c r="J39" i="14" s="1"/>
  <c r="G39" i="14"/>
  <c r="L38" i="14"/>
  <c r="H38" i="14" s="1"/>
  <c r="J38" i="14" a="1"/>
  <c r="J38" i="14" s="1"/>
  <c r="G38" i="14"/>
  <c r="L37" i="14"/>
  <c r="H37" i="14" s="1"/>
  <c r="J37" i="14" a="1"/>
  <c r="J37" i="14" s="1"/>
  <c r="G37" i="14"/>
  <c r="L36" i="14"/>
  <c r="M36" i="14" s="1"/>
  <c r="I36" i="14" s="1"/>
  <c r="J36" i="14" a="1"/>
  <c r="J36" i="14" s="1"/>
  <c r="G36" i="14"/>
  <c r="L35" i="14"/>
  <c r="J35" i="14" a="1"/>
  <c r="J35" i="14" s="1"/>
  <c r="G35" i="14"/>
  <c r="L34" i="14"/>
  <c r="H34" i="14" s="1"/>
  <c r="J34" i="14" a="1"/>
  <c r="J34" i="14" s="1"/>
  <c r="G34" i="14"/>
  <c r="L33" i="14"/>
  <c r="M33" i="14" s="1"/>
  <c r="J33" i="14" a="1"/>
  <c r="J33" i="14" s="1"/>
  <c r="I33" i="14"/>
  <c r="G33" i="14"/>
  <c r="L32" i="14"/>
  <c r="J32" i="14" a="1"/>
  <c r="J32" i="14" s="1"/>
  <c r="G32" i="14"/>
  <c r="L31" i="14"/>
  <c r="M31" i="14" s="1"/>
  <c r="I31" i="14" s="1"/>
  <c r="J31" i="14" a="1"/>
  <c r="J31" i="14" s="1"/>
  <c r="H31" i="14"/>
  <c r="G31" i="14"/>
  <c r="L30" i="14"/>
  <c r="M30" i="14" s="1"/>
  <c r="I30" i="14" s="1"/>
  <c r="J30" i="14" a="1"/>
  <c r="J30" i="14" s="1"/>
  <c r="G30" i="14"/>
  <c r="L29" i="14"/>
  <c r="M29" i="14" s="1"/>
  <c r="I29" i="14" s="1"/>
  <c r="J29" i="14" a="1"/>
  <c r="J29" i="14" s="1"/>
  <c r="G29" i="14"/>
  <c r="L28" i="14"/>
  <c r="M28" i="14" s="1"/>
  <c r="I28" i="14" s="1"/>
  <c r="J28" i="14" a="1"/>
  <c r="J28" i="14" s="1"/>
  <c r="G28" i="14"/>
  <c r="L27" i="14"/>
  <c r="M27" i="14" s="1"/>
  <c r="I27" i="14" s="1"/>
  <c r="J27" i="14" a="1"/>
  <c r="J27" i="14" s="1"/>
  <c r="G27" i="14"/>
  <c r="J26" i="14" a="1"/>
  <c r="J26" i="14" s="1"/>
  <c r="F26" i="14"/>
  <c r="E26" i="14"/>
  <c r="D26" i="14"/>
  <c r="C26" i="14"/>
  <c r="L25" i="14"/>
  <c r="H25" i="14" s="1"/>
  <c r="J25" i="14" a="1"/>
  <c r="J25" i="14" s="1"/>
  <c r="G25" i="14"/>
  <c r="L24" i="14"/>
  <c r="H24" i="14" s="1"/>
  <c r="J24" i="14" a="1"/>
  <c r="J24" i="14" s="1"/>
  <c r="G24" i="14"/>
  <c r="L23" i="14"/>
  <c r="M23" i="14" s="1"/>
  <c r="I23" i="14" s="1"/>
  <c r="J23" i="14" a="1"/>
  <c r="J23" i="14" s="1"/>
  <c r="G23" i="14"/>
  <c r="L22" i="14"/>
  <c r="M22" i="14" s="1"/>
  <c r="I22" i="14" s="1"/>
  <c r="J22" i="14" a="1"/>
  <c r="J22" i="14" s="1"/>
  <c r="G22" i="14"/>
  <c r="J21" i="14" a="1"/>
  <c r="J21" i="14" s="1"/>
  <c r="J20" i="14" a="1"/>
  <c r="J20" i="14" s="1"/>
  <c r="F20" i="14"/>
  <c r="F5" i="14" s="1"/>
  <c r="E20" i="14"/>
  <c r="E5" i="14" s="1"/>
  <c r="D20" i="14"/>
  <c r="D5" i="14" s="1"/>
  <c r="C20" i="14"/>
  <c r="L18" i="14"/>
  <c r="M18" i="14" s="1"/>
  <c r="I18" i="14" s="1"/>
  <c r="J18" i="14" a="1"/>
  <c r="J18" i="14" s="1"/>
  <c r="H18" i="14"/>
  <c r="G18" i="14"/>
  <c r="L17" i="14"/>
  <c r="M17" i="14" s="1"/>
  <c r="I17" i="14" s="1"/>
  <c r="J17" i="14" a="1"/>
  <c r="J17" i="14" s="1"/>
  <c r="G17" i="14"/>
  <c r="L16" i="14"/>
  <c r="H16" i="14" s="1"/>
  <c r="J16" i="14" a="1"/>
  <c r="J16" i="14" s="1"/>
  <c r="G16" i="14"/>
  <c r="L15" i="14"/>
  <c r="M15" i="14" s="1"/>
  <c r="I15" i="14" s="1"/>
  <c r="J15" i="14" a="1"/>
  <c r="J15" i="14" s="1"/>
  <c r="G15" i="14"/>
  <c r="L14" i="14"/>
  <c r="M14" i="14" s="1"/>
  <c r="I14" i="14" s="1"/>
  <c r="J14" i="14" a="1"/>
  <c r="J14" i="14" s="1"/>
  <c r="H14" i="14"/>
  <c r="G14" i="14"/>
  <c r="L13" i="14"/>
  <c r="M13" i="14" s="1"/>
  <c r="I13" i="14" s="1"/>
  <c r="J13" i="14" a="1"/>
  <c r="J13" i="14" s="1"/>
  <c r="G13" i="14"/>
  <c r="L12" i="14"/>
  <c r="M12" i="14" s="1"/>
  <c r="I12" i="14" s="1"/>
  <c r="J12" i="14" a="1"/>
  <c r="J12" i="14" s="1"/>
  <c r="G12" i="14"/>
  <c r="L11" i="14"/>
  <c r="H11" i="14" s="1"/>
  <c r="J11" i="14" a="1"/>
  <c r="J11" i="14" s="1"/>
  <c r="G11" i="14"/>
  <c r="L10" i="14"/>
  <c r="H10" i="14" s="1"/>
  <c r="J10" i="14" a="1"/>
  <c r="J10" i="14" s="1"/>
  <c r="G10" i="14"/>
  <c r="L9" i="14"/>
  <c r="H9" i="14" s="1"/>
  <c r="J9" i="14" a="1"/>
  <c r="J9" i="14" s="1"/>
  <c r="G9" i="14"/>
  <c r="L8" i="14"/>
  <c r="M8" i="14" s="1"/>
  <c r="I8" i="14" s="1"/>
  <c r="J8" i="14" a="1"/>
  <c r="J8" i="14" s="1"/>
  <c r="G8" i="14"/>
  <c r="L7" i="14"/>
  <c r="J7" i="14" a="1"/>
  <c r="J7" i="14" s="1"/>
  <c r="G7" i="14"/>
  <c r="L6" i="14"/>
  <c r="H6" i="14" s="1"/>
  <c r="J6" i="14" a="1"/>
  <c r="J6" i="14" s="1"/>
  <c r="G6" i="14"/>
  <c r="I4" i="14"/>
  <c r="H4" i="14"/>
  <c r="L2" i="14"/>
  <c r="M2" i="14" s="1"/>
  <c r="H2" i="14" s="1"/>
  <c r="G288" i="14" s="1"/>
  <c r="L22" i="13"/>
  <c r="M22" i="13" s="1"/>
  <c r="L23" i="13"/>
  <c r="M23" i="13" s="1"/>
  <c r="I23" i="13" s="1"/>
  <c r="L24" i="13"/>
  <c r="H24" i="13" s="1"/>
  <c r="L25" i="13"/>
  <c r="H25" i="13" s="1"/>
  <c r="L27" i="13"/>
  <c r="H27" i="13" s="1"/>
  <c r="L28" i="13"/>
  <c r="M28" i="13"/>
  <c r="I28" i="13" s="1"/>
  <c r="L29" i="13"/>
  <c r="M29" i="13" s="1"/>
  <c r="L30" i="13"/>
  <c r="M30" i="13" s="1"/>
  <c r="G23" i="13"/>
  <c r="J23" i="13" a="1"/>
  <c r="J23" i="13" s="1"/>
  <c r="G24" i="13"/>
  <c r="J24" i="13" a="1"/>
  <c r="J24" i="13" s="1"/>
  <c r="G25" i="13"/>
  <c r="J25" i="13" a="1"/>
  <c r="J25" i="13" s="1"/>
  <c r="E20" i="3" a="1"/>
  <c r="E20" i="3" s="1"/>
  <c r="E19" i="3" a="1"/>
  <c r="E19" i="3" s="1"/>
  <c r="E21" i="3" a="1"/>
  <c r="E21" i="3" s="1"/>
  <c r="E22" i="3" a="1"/>
  <c r="E22" i="3" s="1"/>
  <c r="E23" i="3" a="1"/>
  <c r="E23" i="3" s="1"/>
  <c r="E24" i="3" a="1"/>
  <c r="E24" i="3"/>
  <c r="E25" i="3" a="1"/>
  <c r="E25" i="3"/>
  <c r="E26" i="3" a="1"/>
  <c r="E26" i="3"/>
  <c r="E27" i="3" a="1"/>
  <c r="E27" i="3"/>
  <c r="E28" i="3" a="1"/>
  <c r="E28" i="3" s="1"/>
  <c r="E29" i="3" a="1"/>
  <c r="E29" i="3" s="1"/>
  <c r="E30" i="3" a="1"/>
  <c r="E30" i="3" s="1"/>
  <c r="E31" i="3" a="1"/>
  <c r="E31" i="3"/>
  <c r="E32" i="3" a="1"/>
  <c r="E32" i="3"/>
  <c r="E33" i="3" a="1"/>
  <c r="E33" i="3"/>
  <c r="E34" i="3" a="1"/>
  <c r="E34" i="3"/>
  <c r="E18" i="3" a="1"/>
  <c r="E18" i="3" s="1"/>
  <c r="E2" i="3" a="1"/>
  <c r="E2" i="3" s="1"/>
  <c r="E3" i="3" a="1"/>
  <c r="E3" i="3" s="1"/>
  <c r="E5" i="3" a="1"/>
  <c r="E5" i="3" s="1"/>
  <c r="E6" i="3" a="1"/>
  <c r="E6" i="3" s="1"/>
  <c r="E7" i="3" a="1"/>
  <c r="E7" i="3" s="1"/>
  <c r="E8" i="3" a="1"/>
  <c r="E8" i="3" s="1"/>
  <c r="E9" i="3" a="1"/>
  <c r="E9" i="3" s="1"/>
  <c r="E10" i="3" a="1"/>
  <c r="E10" i="3"/>
  <c r="E11" i="3" a="1"/>
  <c r="E11" i="3" s="1"/>
  <c r="E12" i="3" a="1"/>
  <c r="E12" i="3"/>
  <c r="E13" i="3" a="1"/>
  <c r="E13" i="3" s="1"/>
  <c r="E14" i="3" a="1"/>
  <c r="E14" i="3" s="1"/>
  <c r="E15" i="3" a="1"/>
  <c r="E15" i="3" s="1"/>
  <c r="E16" i="3" a="1"/>
  <c r="E16" i="3" s="1"/>
  <c r="E4" i="3" a="1"/>
  <c r="E4" i="3" s="1"/>
  <c r="I35" i="3"/>
  <c r="C23" i="3"/>
  <c r="C24" i="3"/>
  <c r="C25" i="3"/>
  <c r="C26" i="3"/>
  <c r="C27" i="3"/>
  <c r="C28" i="3"/>
  <c r="C30" i="3"/>
  <c r="C31" i="3"/>
  <c r="C34" i="3"/>
  <c r="C18" i="3"/>
  <c r="E50" i="4" a="1"/>
  <c r="E50" i="4" s="1"/>
  <c r="E37" i="4" a="1"/>
  <c r="E37" i="4" s="1"/>
  <c r="E38" i="4" a="1"/>
  <c r="E38" i="4" s="1"/>
  <c r="E39" i="4" a="1"/>
  <c r="E39" i="4" s="1"/>
  <c r="E20" i="4" a="1"/>
  <c r="E20" i="4" s="1"/>
  <c r="E6" i="4" a="1"/>
  <c r="E6" i="4" s="1"/>
  <c r="E7" i="4" a="1"/>
  <c r="E7" i="4" s="1"/>
  <c r="E51" i="4" a="1"/>
  <c r="E51" i="4" s="1"/>
  <c r="E52" i="4" a="1"/>
  <c r="E52" i="4" s="1"/>
  <c r="F17" i="4"/>
  <c r="E15" i="4" a="1"/>
  <c r="E15" i="4" s="1"/>
  <c r="E16" i="4" a="1"/>
  <c r="E16" i="4" s="1"/>
  <c r="F12" i="4"/>
  <c r="E5" i="4" a="1"/>
  <c r="E5" i="4" s="1"/>
  <c r="E8" i="4" a="1"/>
  <c r="E8" i="4" s="1"/>
  <c r="E9" i="4" a="1"/>
  <c r="E9" i="4" s="1"/>
  <c r="E10" i="4" a="1"/>
  <c r="E10" i="4" s="1"/>
  <c r="E11" i="4" a="1"/>
  <c r="E11" i="4" s="1"/>
  <c r="E2" i="4" a="1"/>
  <c r="E2" i="4" s="1"/>
  <c r="E3" i="4" a="1"/>
  <c r="E3" i="4" s="1"/>
  <c r="E4" i="4" a="1"/>
  <c r="E4" i="4" s="1"/>
  <c r="E12" i="4" a="1"/>
  <c r="E12" i="4" s="1"/>
  <c r="A285" i="13"/>
  <c r="E283" i="13"/>
  <c r="D283" i="13"/>
  <c r="C283" i="13"/>
  <c r="G282" i="13"/>
  <c r="F282" i="13"/>
  <c r="G281" i="13"/>
  <c r="F281" i="13"/>
  <c r="G280" i="13"/>
  <c r="F280" i="13"/>
  <c r="G279" i="13"/>
  <c r="F279" i="13"/>
  <c r="G278" i="13"/>
  <c r="F278" i="13"/>
  <c r="G277" i="13"/>
  <c r="F277" i="13"/>
  <c r="G276" i="13"/>
  <c r="F276" i="13"/>
  <c r="G275" i="13"/>
  <c r="F275" i="13"/>
  <c r="G274" i="13"/>
  <c r="F274" i="13"/>
  <c r="G273" i="13"/>
  <c r="F273" i="13"/>
  <c r="G272" i="13"/>
  <c r="F272" i="13"/>
  <c r="G271" i="13"/>
  <c r="F271" i="13"/>
  <c r="G270" i="13"/>
  <c r="F270" i="13"/>
  <c r="G269" i="13"/>
  <c r="F269" i="13"/>
  <c r="G268" i="13"/>
  <c r="F268" i="13"/>
  <c r="G267" i="13"/>
  <c r="F267" i="13"/>
  <c r="G266" i="13"/>
  <c r="F266" i="13"/>
  <c r="G265" i="13"/>
  <c r="F265" i="13"/>
  <c r="F259" i="13"/>
  <c r="F246" i="13" s="1"/>
  <c r="E259" i="13"/>
  <c r="E246" i="13" s="1"/>
  <c r="D259" i="13"/>
  <c r="D246" i="13" s="1"/>
  <c r="C259" i="13"/>
  <c r="L258" i="13"/>
  <c r="H258" i="13" s="1"/>
  <c r="J258" i="13" a="1"/>
  <c r="J258" i="13" s="1"/>
  <c r="G258" i="13"/>
  <c r="L257" i="13"/>
  <c r="H257" i="13" s="1"/>
  <c r="J257" i="13" a="1"/>
  <c r="J257" i="13" s="1"/>
  <c r="G257" i="13"/>
  <c r="L256" i="13"/>
  <c r="M256" i="13" s="1"/>
  <c r="I256" i="13" s="1"/>
  <c r="J256" i="13" a="1"/>
  <c r="J256" i="13" s="1"/>
  <c r="G256" i="13"/>
  <c r="L255" i="13"/>
  <c r="M255" i="13" s="1"/>
  <c r="I255" i="13" s="1"/>
  <c r="J255" i="13" a="1"/>
  <c r="J255" i="13" s="1"/>
  <c r="G255" i="13"/>
  <c r="L254" i="13"/>
  <c r="M254" i="13" s="1"/>
  <c r="I254" i="13" s="1"/>
  <c r="J254" i="13" a="1"/>
  <c r="J254" i="13" s="1"/>
  <c r="G254" i="13"/>
  <c r="L253" i="13"/>
  <c r="M253" i="13" s="1"/>
  <c r="I253" i="13" s="1"/>
  <c r="J253" i="13" a="1"/>
  <c r="J253" i="13" s="1"/>
  <c r="G253" i="13"/>
  <c r="L252" i="13"/>
  <c r="H252" i="13" s="1"/>
  <c r="J252" i="13" a="1"/>
  <c r="J252" i="13" s="1"/>
  <c r="G252" i="13"/>
  <c r="L251" i="13"/>
  <c r="M251" i="13" s="1"/>
  <c r="I251" i="13" s="1"/>
  <c r="J251" i="13" a="1"/>
  <c r="J251" i="13" s="1"/>
  <c r="G251" i="13"/>
  <c r="L250" i="13"/>
  <c r="M250" i="13" s="1"/>
  <c r="I250" i="13" s="1"/>
  <c r="J250" i="13" a="1"/>
  <c r="J250" i="13" s="1"/>
  <c r="G250" i="13"/>
  <c r="L249" i="13"/>
  <c r="H249" i="13" s="1"/>
  <c r="J249" i="13" a="1"/>
  <c r="J249" i="13" s="1"/>
  <c r="G249" i="13"/>
  <c r="L248" i="13"/>
  <c r="H248" i="13" s="1"/>
  <c r="J248" i="13" a="1"/>
  <c r="J248" i="13" s="1"/>
  <c r="G248" i="13"/>
  <c r="L247" i="13"/>
  <c r="H247" i="13" s="1"/>
  <c r="J247" i="13" a="1"/>
  <c r="J247" i="13" s="1"/>
  <c r="G247" i="13"/>
  <c r="J246" i="13" a="1"/>
  <c r="J246" i="13" s="1"/>
  <c r="J245" i="13" a="1"/>
  <c r="J245" i="13" s="1"/>
  <c r="D245" i="13"/>
  <c r="C245" i="13"/>
  <c r="G245" i="13" s="1"/>
  <c r="L244" i="13"/>
  <c r="M244" i="13" s="1"/>
  <c r="I244" i="13" s="1"/>
  <c r="J244" i="13" a="1"/>
  <c r="J244" i="13" s="1"/>
  <c r="G244" i="13"/>
  <c r="L243" i="13"/>
  <c r="H243" i="13" s="1"/>
  <c r="J243" i="13" a="1"/>
  <c r="J243" i="13" s="1"/>
  <c r="G243" i="13"/>
  <c r="L242" i="13"/>
  <c r="H242" i="13" s="1"/>
  <c r="J242" i="13" a="1"/>
  <c r="J242" i="13" s="1"/>
  <c r="G242" i="13"/>
  <c r="J241" i="13" a="1"/>
  <c r="J241" i="13" s="1"/>
  <c r="F241" i="13"/>
  <c r="F231" i="13" s="1"/>
  <c r="E241" i="13"/>
  <c r="E231" i="13" s="1"/>
  <c r="D241" i="13"/>
  <c r="C241" i="13"/>
  <c r="L240" i="13"/>
  <c r="H240" i="13" s="1"/>
  <c r="J240" i="13" a="1"/>
  <c r="J240" i="13" s="1"/>
  <c r="G240" i="13"/>
  <c r="L239" i="13"/>
  <c r="H239" i="13" s="1"/>
  <c r="J239" i="13" a="1"/>
  <c r="J239" i="13" s="1"/>
  <c r="G239" i="13"/>
  <c r="L238" i="13"/>
  <c r="M238" i="13" s="1"/>
  <c r="I238" i="13" s="1"/>
  <c r="J238" i="13" a="1"/>
  <c r="J238" i="13" s="1"/>
  <c r="G238" i="13"/>
  <c r="L237" i="13"/>
  <c r="H237" i="13" s="1"/>
  <c r="J237" i="13" a="1"/>
  <c r="J237" i="13" s="1"/>
  <c r="G237" i="13"/>
  <c r="L236" i="13"/>
  <c r="M236" i="13" s="1"/>
  <c r="I236" i="13" s="1"/>
  <c r="J236" i="13" a="1"/>
  <c r="J236" i="13" s="1"/>
  <c r="G236" i="13"/>
  <c r="L235" i="13"/>
  <c r="M235" i="13" s="1"/>
  <c r="I235" i="13" s="1"/>
  <c r="J235" i="13" a="1"/>
  <c r="J235" i="13" s="1"/>
  <c r="G235" i="13"/>
  <c r="J234" i="13" a="1"/>
  <c r="J234" i="13" s="1"/>
  <c r="C234" i="13"/>
  <c r="G234" i="13" s="1"/>
  <c r="L233" i="13"/>
  <c r="M233" i="13" s="1"/>
  <c r="I233" i="13" s="1"/>
  <c r="J233" i="13" a="1"/>
  <c r="J233" i="13" s="1"/>
  <c r="G233" i="13"/>
  <c r="L232" i="13"/>
  <c r="H232" i="13" s="1"/>
  <c r="J232" i="13" a="1"/>
  <c r="J232" i="13" s="1"/>
  <c r="G232" i="13"/>
  <c r="J231" i="13" a="1"/>
  <c r="J231" i="13" s="1"/>
  <c r="J230" i="13" a="1"/>
  <c r="J230" i="13" s="1"/>
  <c r="F230" i="13"/>
  <c r="F216" i="13" s="1"/>
  <c r="E230" i="13"/>
  <c r="E216" i="13" s="1"/>
  <c r="D230" i="13"/>
  <c r="C230" i="13"/>
  <c r="C216" i="13" s="1"/>
  <c r="L229" i="13"/>
  <c r="H229" i="13" s="1"/>
  <c r="J229" i="13" a="1"/>
  <c r="J229" i="13" s="1"/>
  <c r="G229" i="13"/>
  <c r="L228" i="13"/>
  <c r="M228" i="13" s="1"/>
  <c r="I228" i="13" s="1"/>
  <c r="J228" i="13" a="1"/>
  <c r="J228" i="13" s="1"/>
  <c r="G228" i="13"/>
  <c r="L227" i="13"/>
  <c r="M227" i="13" s="1"/>
  <c r="I227" i="13" s="1"/>
  <c r="J227" i="13" a="1"/>
  <c r="J227" i="13" s="1"/>
  <c r="G227" i="13"/>
  <c r="L226" i="13"/>
  <c r="H226" i="13" s="1"/>
  <c r="J226" i="13" a="1"/>
  <c r="J226" i="13" s="1"/>
  <c r="G226" i="13"/>
  <c r="L225" i="13"/>
  <c r="H225" i="13" s="1"/>
  <c r="J225" i="13" a="1"/>
  <c r="J225" i="13" s="1"/>
  <c r="G225" i="13"/>
  <c r="L224" i="13"/>
  <c r="M224" i="13" s="1"/>
  <c r="I224" i="13" s="1"/>
  <c r="J224" i="13" a="1"/>
  <c r="J224" i="13" s="1"/>
  <c r="G224" i="13"/>
  <c r="L223" i="13"/>
  <c r="H223" i="13" s="1"/>
  <c r="J223" i="13" a="1"/>
  <c r="J223" i="13" s="1"/>
  <c r="G223" i="13"/>
  <c r="L222" i="13"/>
  <c r="M222" i="13" s="1"/>
  <c r="I222" i="13" s="1"/>
  <c r="J222" i="13" a="1"/>
  <c r="J222" i="13" s="1"/>
  <c r="G222" i="13"/>
  <c r="L221" i="13"/>
  <c r="H221" i="13" s="1"/>
  <c r="J221" i="13" a="1"/>
  <c r="J221" i="13" s="1"/>
  <c r="G221" i="13"/>
  <c r="L220" i="13"/>
  <c r="M220" i="13" s="1"/>
  <c r="I220" i="13" s="1"/>
  <c r="J220" i="13" a="1"/>
  <c r="J220" i="13" s="1"/>
  <c r="G220" i="13"/>
  <c r="L219" i="13"/>
  <c r="H219" i="13" s="1"/>
  <c r="J219" i="13" a="1"/>
  <c r="J219" i="13" s="1"/>
  <c r="G219" i="13"/>
  <c r="L218" i="13"/>
  <c r="H218" i="13" s="1"/>
  <c r="J218" i="13" a="1"/>
  <c r="J218" i="13" s="1"/>
  <c r="G218" i="13"/>
  <c r="L217" i="13"/>
  <c r="H217" i="13" s="1"/>
  <c r="J217" i="13" a="1"/>
  <c r="J217" i="13" s="1"/>
  <c r="G217" i="13"/>
  <c r="J216" i="13" a="1"/>
  <c r="J216" i="13" s="1"/>
  <c r="J215" i="13" a="1"/>
  <c r="J215" i="13" s="1"/>
  <c r="F215" i="13"/>
  <c r="F200" i="13" s="1"/>
  <c r="E215" i="13"/>
  <c r="E200" i="13" s="1"/>
  <c r="D215" i="13"/>
  <c r="D200" i="13" s="1"/>
  <c r="C215" i="13"/>
  <c r="L214" i="13"/>
  <c r="H214" i="13" s="1"/>
  <c r="K214" i="13"/>
  <c r="J214" i="13" a="1"/>
  <c r="J214" i="13" s="1"/>
  <c r="G214" i="13"/>
  <c r="L213" i="13"/>
  <c r="H213" i="13" s="1"/>
  <c r="J213" i="13" a="1"/>
  <c r="J213" i="13" s="1"/>
  <c r="G213" i="13"/>
  <c r="L212" i="13"/>
  <c r="M212" i="13" s="1"/>
  <c r="I212" i="13" s="1"/>
  <c r="J212" i="13" a="1"/>
  <c r="J212" i="13" s="1"/>
  <c r="G212" i="13"/>
  <c r="L211" i="13"/>
  <c r="M211" i="13" s="1"/>
  <c r="I211" i="13" s="1"/>
  <c r="K211" i="13"/>
  <c r="J211" i="13" a="1"/>
  <c r="J211" i="13" s="1"/>
  <c r="G211" i="13"/>
  <c r="L210" i="13"/>
  <c r="H210" i="13" s="1"/>
  <c r="J210" i="13" a="1"/>
  <c r="J210" i="13" s="1"/>
  <c r="G210" i="13"/>
  <c r="L209" i="13"/>
  <c r="H209" i="13" s="1"/>
  <c r="J209" i="13" a="1"/>
  <c r="J209" i="13" s="1"/>
  <c r="G209" i="13"/>
  <c r="L208" i="13"/>
  <c r="M208" i="13" s="1"/>
  <c r="I208" i="13" s="1"/>
  <c r="K208" i="13"/>
  <c r="J208" i="13" a="1"/>
  <c r="J208" i="13" s="1"/>
  <c r="G208" i="13"/>
  <c r="L207" i="13"/>
  <c r="H207" i="13" s="1"/>
  <c r="J207" i="13" a="1"/>
  <c r="J207" i="13" s="1"/>
  <c r="G207" i="13"/>
  <c r="L206" i="13"/>
  <c r="H206" i="13" s="1"/>
  <c r="J206" i="13" a="1"/>
  <c r="J206" i="13" s="1"/>
  <c r="G206" i="13"/>
  <c r="L205" i="13"/>
  <c r="M205" i="13" s="1"/>
  <c r="I205" i="13" s="1"/>
  <c r="K205" i="13"/>
  <c r="J205" i="13" a="1"/>
  <c r="J205" i="13" s="1"/>
  <c r="G205" i="13"/>
  <c r="L204" i="13"/>
  <c r="M204" i="13" s="1"/>
  <c r="I204" i="13" s="1"/>
  <c r="J204" i="13" a="1"/>
  <c r="J204" i="13" s="1"/>
  <c r="G204" i="13"/>
  <c r="L203" i="13"/>
  <c r="M203" i="13" s="1"/>
  <c r="I203" i="13" s="1"/>
  <c r="J203" i="13" a="1"/>
  <c r="J203" i="13" s="1"/>
  <c r="G203" i="13"/>
  <c r="L202" i="13"/>
  <c r="H202" i="13" s="1"/>
  <c r="K202" i="13"/>
  <c r="J202" i="13" a="1"/>
  <c r="J202" i="13" s="1"/>
  <c r="G202" i="13"/>
  <c r="L201" i="13"/>
  <c r="H201" i="13" s="1"/>
  <c r="K201" i="13"/>
  <c r="J201" i="13" a="1"/>
  <c r="J201" i="13" s="1"/>
  <c r="G201" i="13"/>
  <c r="J200" i="13" a="1"/>
  <c r="J200" i="13" s="1"/>
  <c r="J199" i="13" a="1"/>
  <c r="J199" i="13" s="1"/>
  <c r="F199" i="13"/>
  <c r="F185" i="13" s="1"/>
  <c r="E199" i="13"/>
  <c r="E185" i="13" s="1"/>
  <c r="D199" i="13"/>
  <c r="D185" i="13" s="1"/>
  <c r="C199" i="13"/>
  <c r="C185" i="13" s="1"/>
  <c r="L198" i="13"/>
  <c r="H198" i="13" s="1"/>
  <c r="J198" i="13" a="1"/>
  <c r="J198" i="13" s="1"/>
  <c r="G198" i="13"/>
  <c r="L197" i="13"/>
  <c r="M197" i="13" s="1"/>
  <c r="I197" i="13" s="1"/>
  <c r="J197" i="13" a="1"/>
  <c r="J197" i="13" s="1"/>
  <c r="G197" i="13"/>
  <c r="L196" i="13"/>
  <c r="H196" i="13" s="1"/>
  <c r="J196" i="13" a="1"/>
  <c r="J196" i="13" s="1"/>
  <c r="G196" i="13"/>
  <c r="L195" i="13"/>
  <c r="M195" i="13" s="1"/>
  <c r="I195" i="13" s="1"/>
  <c r="J195" i="13" a="1"/>
  <c r="J195" i="13" s="1"/>
  <c r="G195" i="13"/>
  <c r="L194" i="13"/>
  <c r="H194" i="13" s="1"/>
  <c r="J194" i="13" a="1"/>
  <c r="J194" i="13" s="1"/>
  <c r="G194" i="13"/>
  <c r="L193" i="13"/>
  <c r="H193" i="13" s="1"/>
  <c r="J193" i="13" a="1"/>
  <c r="J193" i="13" s="1"/>
  <c r="G193" i="13"/>
  <c r="L192" i="13"/>
  <c r="M192" i="13" s="1"/>
  <c r="I192" i="13" s="1"/>
  <c r="J192" i="13" a="1"/>
  <c r="J192" i="13" s="1"/>
  <c r="G192" i="13"/>
  <c r="L191" i="13"/>
  <c r="M191" i="13" s="1"/>
  <c r="I191" i="13" s="1"/>
  <c r="J191" i="13" a="1"/>
  <c r="J191" i="13" s="1"/>
  <c r="G191" i="13"/>
  <c r="L190" i="13"/>
  <c r="M190" i="13" s="1"/>
  <c r="I190" i="13" s="1"/>
  <c r="J190" i="13" a="1"/>
  <c r="J190" i="13" s="1"/>
  <c r="G190" i="13"/>
  <c r="L189" i="13"/>
  <c r="H189" i="13" s="1"/>
  <c r="J189" i="13" a="1"/>
  <c r="J189" i="13" s="1"/>
  <c r="G189" i="13"/>
  <c r="L188" i="13"/>
  <c r="H188" i="13" s="1"/>
  <c r="J188" i="13" a="1"/>
  <c r="J188" i="13" s="1"/>
  <c r="G188" i="13"/>
  <c r="L187" i="13"/>
  <c r="M187" i="13" s="1"/>
  <c r="I187" i="13" s="1"/>
  <c r="J187" i="13" a="1"/>
  <c r="J187" i="13" s="1"/>
  <c r="G187" i="13"/>
  <c r="L186" i="13"/>
  <c r="M186" i="13" s="1"/>
  <c r="I186" i="13" s="1"/>
  <c r="J186" i="13" a="1"/>
  <c r="J186" i="13" s="1"/>
  <c r="G186" i="13"/>
  <c r="J185" i="13" a="1"/>
  <c r="J185" i="13" s="1"/>
  <c r="J184" i="13" a="1"/>
  <c r="J184" i="13" s="1"/>
  <c r="F184" i="13"/>
  <c r="E184" i="13"/>
  <c r="D184" i="13"/>
  <c r="C184" i="13"/>
  <c r="L183" i="13"/>
  <c r="M183" i="13" s="1"/>
  <c r="I183" i="13" s="1"/>
  <c r="J183" i="13" a="1"/>
  <c r="J183" i="13" s="1"/>
  <c r="G183" i="13"/>
  <c r="L182" i="13"/>
  <c r="H182" i="13" s="1"/>
  <c r="J182" i="13" a="1"/>
  <c r="J182" i="13" s="1"/>
  <c r="G182" i="13"/>
  <c r="L181" i="13"/>
  <c r="M181" i="13" s="1"/>
  <c r="I181" i="13" s="1"/>
  <c r="J181" i="13" a="1"/>
  <c r="J181" i="13" s="1"/>
  <c r="G181" i="13"/>
  <c r="L180" i="13"/>
  <c r="H180" i="13" s="1"/>
  <c r="J180" i="13" a="1"/>
  <c r="J180" i="13" s="1"/>
  <c r="G180" i="13"/>
  <c r="L179" i="13"/>
  <c r="M179" i="13" s="1"/>
  <c r="I179" i="13" s="1"/>
  <c r="J179" i="13" a="1"/>
  <c r="J179" i="13" s="1"/>
  <c r="G179" i="13"/>
  <c r="L178" i="13"/>
  <c r="M178" i="13" s="1"/>
  <c r="I178" i="13" s="1"/>
  <c r="J178" i="13" a="1"/>
  <c r="J178" i="13" s="1"/>
  <c r="G178" i="13"/>
  <c r="L177" i="13"/>
  <c r="H177" i="13" s="1"/>
  <c r="J177" i="13" a="1"/>
  <c r="J177" i="13" s="1"/>
  <c r="G177" i="13"/>
  <c r="L176" i="13"/>
  <c r="M176" i="13" s="1"/>
  <c r="I176" i="13" s="1"/>
  <c r="J176" i="13" a="1"/>
  <c r="J176" i="13" s="1"/>
  <c r="G176" i="13"/>
  <c r="L175" i="13"/>
  <c r="H175" i="13" s="1"/>
  <c r="J175" i="13" a="1"/>
  <c r="J175" i="13" s="1"/>
  <c r="G175" i="13"/>
  <c r="L174" i="13"/>
  <c r="H174" i="13" s="1"/>
  <c r="J174" i="13" a="1"/>
  <c r="J174" i="13" s="1"/>
  <c r="G174" i="13"/>
  <c r="L173" i="13"/>
  <c r="M173" i="13" s="1"/>
  <c r="I173" i="13" s="1"/>
  <c r="J173" i="13" a="1"/>
  <c r="J173" i="13" s="1"/>
  <c r="G173" i="13"/>
  <c r="L172" i="13"/>
  <c r="H172" i="13" s="1"/>
  <c r="J172" i="13" a="1"/>
  <c r="J172" i="13" s="1"/>
  <c r="G172" i="13"/>
  <c r="L171" i="13"/>
  <c r="J171" i="13" a="1"/>
  <c r="J171" i="13" s="1"/>
  <c r="G171" i="13"/>
  <c r="L170" i="13"/>
  <c r="H170" i="13" s="1"/>
  <c r="J170" i="13" a="1"/>
  <c r="J170" i="13" s="1"/>
  <c r="G170" i="13"/>
  <c r="J169" i="13" a="1"/>
  <c r="J169" i="13" s="1"/>
  <c r="F169" i="13"/>
  <c r="E169" i="13"/>
  <c r="D169" i="13"/>
  <c r="C169" i="13"/>
  <c r="L168" i="13"/>
  <c r="J168" i="13" a="1"/>
  <c r="J168" i="13" s="1"/>
  <c r="G168" i="13"/>
  <c r="L167" i="13"/>
  <c r="M167" i="13" s="1"/>
  <c r="I167" i="13" s="1"/>
  <c r="J167" i="13" a="1"/>
  <c r="J167" i="13" s="1"/>
  <c r="G167" i="13"/>
  <c r="L166" i="13"/>
  <c r="H166" i="13" s="1"/>
  <c r="J166" i="13" a="1"/>
  <c r="J166" i="13" s="1"/>
  <c r="G166" i="13"/>
  <c r="L165" i="13"/>
  <c r="M165" i="13" s="1"/>
  <c r="I165" i="13" s="1"/>
  <c r="J165" i="13" a="1"/>
  <c r="J165" i="13" s="1"/>
  <c r="G165" i="13"/>
  <c r="L164" i="13"/>
  <c r="H164" i="13" s="1"/>
  <c r="J164" i="13" a="1"/>
  <c r="J164" i="13" s="1"/>
  <c r="G164" i="13"/>
  <c r="L163" i="13"/>
  <c r="H163" i="13" s="1"/>
  <c r="J163" i="13" a="1"/>
  <c r="J163" i="13" s="1"/>
  <c r="G163" i="13"/>
  <c r="L162" i="13"/>
  <c r="M162" i="13" s="1"/>
  <c r="I162" i="13" s="1"/>
  <c r="J162" i="13" a="1"/>
  <c r="J162" i="13" s="1"/>
  <c r="G162" i="13"/>
  <c r="L161" i="13"/>
  <c r="H161" i="13" s="1"/>
  <c r="J161" i="13" a="1"/>
  <c r="J161" i="13" s="1"/>
  <c r="G161" i="13"/>
  <c r="L160" i="13"/>
  <c r="J160" i="13" a="1"/>
  <c r="J160" i="13" s="1"/>
  <c r="G160" i="13"/>
  <c r="L159" i="13"/>
  <c r="H159" i="13" s="1"/>
  <c r="J159" i="13" a="1"/>
  <c r="J159" i="13" s="1"/>
  <c r="G159" i="13"/>
  <c r="L158" i="13"/>
  <c r="J158" i="13" a="1"/>
  <c r="J158" i="13" s="1"/>
  <c r="G158" i="13"/>
  <c r="L157" i="13"/>
  <c r="M157" i="13" s="1"/>
  <c r="I157" i="13" s="1"/>
  <c r="J157" i="13" a="1"/>
  <c r="J157" i="13" s="1"/>
  <c r="G157" i="13"/>
  <c r="L156" i="13"/>
  <c r="M156" i="13" s="1"/>
  <c r="I156" i="13" s="1"/>
  <c r="J156" i="13" a="1"/>
  <c r="J156" i="13" s="1"/>
  <c r="G156" i="13"/>
  <c r="L155" i="13"/>
  <c r="J155" i="13" a="1"/>
  <c r="J155" i="13" s="1"/>
  <c r="G155" i="13"/>
  <c r="J154" i="13" a="1"/>
  <c r="J154" i="13" s="1"/>
  <c r="F154" i="13"/>
  <c r="E154" i="13"/>
  <c r="D154" i="13"/>
  <c r="C154" i="13"/>
  <c r="L153" i="13"/>
  <c r="M153" i="13" s="1"/>
  <c r="I153" i="13" s="1"/>
  <c r="J153" i="13" a="1"/>
  <c r="J153" i="13" s="1"/>
  <c r="G153" i="13"/>
  <c r="L152" i="13"/>
  <c r="H152" i="13" s="1"/>
  <c r="J152" i="13" a="1"/>
  <c r="J152" i="13" s="1"/>
  <c r="G152" i="13"/>
  <c r="L151" i="13"/>
  <c r="J151" i="13" a="1"/>
  <c r="J151" i="13" s="1"/>
  <c r="G151" i="13"/>
  <c r="L150" i="13"/>
  <c r="H150" i="13" s="1"/>
  <c r="J150" i="13" a="1"/>
  <c r="J150" i="13" s="1"/>
  <c r="G150" i="13"/>
  <c r="L149" i="13"/>
  <c r="M149" i="13" s="1"/>
  <c r="I149" i="13" s="1"/>
  <c r="J149" i="13" a="1"/>
  <c r="J149" i="13" s="1"/>
  <c r="G149" i="13"/>
  <c r="L148" i="13"/>
  <c r="J148" i="13" a="1"/>
  <c r="J148" i="13" s="1"/>
  <c r="G148" i="13"/>
  <c r="L147" i="13"/>
  <c r="M147" i="13" s="1"/>
  <c r="I147" i="13" s="1"/>
  <c r="J147" i="13" a="1"/>
  <c r="J147" i="13" s="1"/>
  <c r="G147" i="13"/>
  <c r="L146" i="13"/>
  <c r="H146" i="13" s="1"/>
  <c r="J146" i="13" a="1"/>
  <c r="J146" i="13" s="1"/>
  <c r="G146" i="13"/>
  <c r="L145" i="13"/>
  <c r="M145" i="13" s="1"/>
  <c r="I145" i="13" s="1"/>
  <c r="J145" i="13" a="1"/>
  <c r="J145" i="13" s="1"/>
  <c r="G145" i="13"/>
  <c r="L144" i="13"/>
  <c r="H144" i="13" s="1"/>
  <c r="J144" i="13" a="1"/>
  <c r="J144" i="13" s="1"/>
  <c r="G144" i="13"/>
  <c r="L143" i="13"/>
  <c r="J143" i="13" a="1"/>
  <c r="J143" i="13" s="1"/>
  <c r="G143" i="13"/>
  <c r="L142" i="13"/>
  <c r="M142" i="13" s="1"/>
  <c r="I142" i="13" s="1"/>
  <c r="J142" i="13" a="1"/>
  <c r="J142" i="13" s="1"/>
  <c r="G142" i="13"/>
  <c r="L141" i="13"/>
  <c r="M141" i="13" s="1"/>
  <c r="I141" i="13" s="1"/>
  <c r="J141" i="13" a="1"/>
  <c r="J141" i="13" s="1"/>
  <c r="G141" i="13"/>
  <c r="L140" i="13"/>
  <c r="J140" i="13" a="1"/>
  <c r="J140" i="13" s="1"/>
  <c r="G140" i="13"/>
  <c r="L139" i="13"/>
  <c r="M139" i="13" s="1"/>
  <c r="I139" i="13" s="1"/>
  <c r="J139" i="13" a="1"/>
  <c r="J139" i="13" s="1"/>
  <c r="G139" i="13"/>
  <c r="J138" i="13" a="1"/>
  <c r="J138" i="13" s="1"/>
  <c r="F138" i="13"/>
  <c r="E138" i="13"/>
  <c r="D138" i="13"/>
  <c r="C138" i="13"/>
  <c r="L137" i="13"/>
  <c r="M137" i="13" s="1"/>
  <c r="I137" i="13" s="1"/>
  <c r="J137" i="13" a="1"/>
  <c r="J137" i="13" s="1"/>
  <c r="G137" i="13"/>
  <c r="L136" i="13"/>
  <c r="H136" i="13" s="1"/>
  <c r="J136" i="13" a="1"/>
  <c r="J136" i="13" s="1"/>
  <c r="G136" i="13"/>
  <c r="L135" i="13"/>
  <c r="J135" i="13" a="1"/>
  <c r="J135" i="13" s="1"/>
  <c r="G135" i="13"/>
  <c r="L134" i="13"/>
  <c r="H134" i="13" s="1"/>
  <c r="J134" i="13" a="1"/>
  <c r="J134" i="13" s="1"/>
  <c r="G134" i="13"/>
  <c r="L133" i="13"/>
  <c r="H133" i="13" s="1"/>
  <c r="J133" i="13" a="1"/>
  <c r="J133" i="13" s="1"/>
  <c r="G133" i="13"/>
  <c r="L132" i="13"/>
  <c r="M132" i="13" s="1"/>
  <c r="I132" i="13" s="1"/>
  <c r="J132" i="13" a="1"/>
  <c r="J132" i="13" s="1"/>
  <c r="G132" i="13"/>
  <c r="L131" i="13"/>
  <c r="H131" i="13" s="1"/>
  <c r="J131" i="13" a="1"/>
  <c r="J131" i="13" s="1"/>
  <c r="G131" i="13"/>
  <c r="L130" i="13"/>
  <c r="H130" i="13" s="1"/>
  <c r="J130" i="13" a="1"/>
  <c r="J130" i="13" s="1"/>
  <c r="G130" i="13"/>
  <c r="L129" i="13"/>
  <c r="H129" i="13" s="1"/>
  <c r="J129" i="13" a="1"/>
  <c r="J129" i="13" s="1"/>
  <c r="G129" i="13"/>
  <c r="L128" i="13"/>
  <c r="H128" i="13" s="1"/>
  <c r="J128" i="13" a="1"/>
  <c r="J128" i="13" s="1"/>
  <c r="G128" i="13"/>
  <c r="L127" i="13"/>
  <c r="M127" i="13" s="1"/>
  <c r="I127" i="13" s="1"/>
  <c r="J127" i="13" a="1"/>
  <c r="J127" i="13" s="1"/>
  <c r="G127" i="13"/>
  <c r="L126" i="13"/>
  <c r="H126" i="13" s="1"/>
  <c r="J126" i="13" a="1"/>
  <c r="J126" i="13" s="1"/>
  <c r="G126" i="13"/>
  <c r="L125" i="13"/>
  <c r="M125" i="13" s="1"/>
  <c r="I125" i="13" s="1"/>
  <c r="J125" i="13" a="1"/>
  <c r="J125" i="13" s="1"/>
  <c r="G125" i="13"/>
  <c r="J124" i="13" a="1"/>
  <c r="J124" i="13" s="1"/>
  <c r="F124" i="13"/>
  <c r="E124" i="13"/>
  <c r="D124" i="13"/>
  <c r="C124" i="13"/>
  <c r="L123" i="13"/>
  <c r="H123" i="13" s="1"/>
  <c r="J123" i="13" a="1"/>
  <c r="J123" i="13" s="1"/>
  <c r="G123" i="13"/>
  <c r="L122" i="13"/>
  <c r="H122" i="13" s="1"/>
  <c r="J122" i="13" a="1"/>
  <c r="J122" i="13" s="1"/>
  <c r="G122" i="13"/>
  <c r="L121" i="13"/>
  <c r="M121" i="13" s="1"/>
  <c r="I121" i="13" s="1"/>
  <c r="J121" i="13" a="1"/>
  <c r="J121" i="13" s="1"/>
  <c r="G121" i="13"/>
  <c r="L120" i="13"/>
  <c r="H120" i="13" s="1"/>
  <c r="J120" i="13" a="1"/>
  <c r="J120" i="13" s="1"/>
  <c r="G120" i="13"/>
  <c r="L119" i="13"/>
  <c r="M119" i="13" s="1"/>
  <c r="I119" i="13" s="1"/>
  <c r="J119" i="13" a="1"/>
  <c r="J119" i="13" s="1"/>
  <c r="G119" i="13"/>
  <c r="L118" i="13"/>
  <c r="H118" i="13" s="1"/>
  <c r="J118" i="13" a="1"/>
  <c r="J118" i="13" s="1"/>
  <c r="G118" i="13"/>
  <c r="L117" i="13"/>
  <c r="H117" i="13" s="1"/>
  <c r="J117" i="13" a="1"/>
  <c r="J117" i="13" s="1"/>
  <c r="G117" i="13"/>
  <c r="L116" i="13"/>
  <c r="M116" i="13" s="1"/>
  <c r="I116" i="13" s="1"/>
  <c r="J116" i="13" a="1"/>
  <c r="J116" i="13" s="1"/>
  <c r="G116" i="13"/>
  <c r="L115" i="13"/>
  <c r="H115" i="13" s="1"/>
  <c r="J115" i="13" a="1"/>
  <c r="J115" i="13" s="1"/>
  <c r="G115" i="13"/>
  <c r="L114" i="13"/>
  <c r="M114" i="13" s="1"/>
  <c r="I114" i="13" s="1"/>
  <c r="J114" i="13" a="1"/>
  <c r="J114" i="13" s="1"/>
  <c r="G114" i="13"/>
  <c r="L113" i="13"/>
  <c r="M113" i="13" s="1"/>
  <c r="I113" i="13" s="1"/>
  <c r="J113" i="13" a="1"/>
  <c r="J113" i="13" s="1"/>
  <c r="G113" i="13"/>
  <c r="L112" i="13"/>
  <c r="H112" i="13" s="1"/>
  <c r="J112" i="13" a="1"/>
  <c r="J112" i="13" s="1"/>
  <c r="G112" i="13"/>
  <c r="L111" i="13"/>
  <c r="M111" i="13" s="1"/>
  <c r="I111" i="13" s="1"/>
  <c r="J111" i="13" a="1"/>
  <c r="J111" i="13" s="1"/>
  <c r="G111" i="13"/>
  <c r="J110" i="13" a="1"/>
  <c r="J110" i="13" s="1"/>
  <c r="F110" i="13"/>
  <c r="E110" i="13"/>
  <c r="D110" i="13"/>
  <c r="C110" i="13"/>
  <c r="L109" i="13"/>
  <c r="M109" i="13" s="1"/>
  <c r="I109" i="13" s="1"/>
  <c r="J109" i="13" a="1"/>
  <c r="J109" i="13" s="1"/>
  <c r="G109" i="13"/>
  <c r="L108" i="13"/>
  <c r="H108" i="13" s="1"/>
  <c r="J108" i="13" a="1"/>
  <c r="J108" i="13" s="1"/>
  <c r="G108" i="13"/>
  <c r="L107" i="13"/>
  <c r="M107" i="13" s="1"/>
  <c r="I107" i="13" s="1"/>
  <c r="J107" i="13" a="1"/>
  <c r="J107" i="13" s="1"/>
  <c r="G107" i="13"/>
  <c r="L106" i="13"/>
  <c r="H106" i="13" s="1"/>
  <c r="J106" i="13" a="1"/>
  <c r="J106" i="13" s="1"/>
  <c r="G106" i="13"/>
  <c r="L105" i="13"/>
  <c r="M105" i="13" s="1"/>
  <c r="I105" i="13" s="1"/>
  <c r="J105" i="13" a="1"/>
  <c r="J105" i="13" s="1"/>
  <c r="G105" i="13"/>
  <c r="L104" i="13"/>
  <c r="M104" i="13" s="1"/>
  <c r="I104" i="13" s="1"/>
  <c r="J104" i="13" a="1"/>
  <c r="J104" i="13" s="1"/>
  <c r="G104" i="13"/>
  <c r="J103" i="13" a="1"/>
  <c r="J103" i="13" s="1"/>
  <c r="J102" i="13" a="1"/>
  <c r="J102" i="13" s="1"/>
  <c r="F102" i="13"/>
  <c r="E102" i="13"/>
  <c r="D102" i="13"/>
  <c r="C102" i="13"/>
  <c r="L101" i="13"/>
  <c r="M101" i="13" s="1"/>
  <c r="I101" i="13" s="1"/>
  <c r="J101" i="13" a="1"/>
  <c r="J101" i="13" s="1"/>
  <c r="G101" i="13"/>
  <c r="L100" i="13"/>
  <c r="H100" i="13" s="1"/>
  <c r="J100" i="13" a="1"/>
  <c r="J100" i="13" s="1"/>
  <c r="G100" i="13"/>
  <c r="L99" i="13"/>
  <c r="M99" i="13" s="1"/>
  <c r="I99" i="13" s="1"/>
  <c r="J99" i="13" a="1"/>
  <c r="J99" i="13" s="1"/>
  <c r="G99" i="13"/>
  <c r="L98" i="13"/>
  <c r="M98" i="13" s="1"/>
  <c r="I98" i="13" s="1"/>
  <c r="J98" i="13" a="1"/>
  <c r="J98" i="13" s="1"/>
  <c r="G98" i="13"/>
  <c r="L97" i="13"/>
  <c r="H97" i="13" s="1"/>
  <c r="J97" i="13" a="1"/>
  <c r="J97" i="13" s="1"/>
  <c r="G97" i="13"/>
  <c r="L96" i="13"/>
  <c r="M96" i="13" s="1"/>
  <c r="I96" i="13" s="1"/>
  <c r="J96" i="13" a="1"/>
  <c r="J96" i="13" s="1"/>
  <c r="G96" i="13"/>
  <c r="L95" i="13"/>
  <c r="M95" i="13" s="1"/>
  <c r="I95" i="13" s="1"/>
  <c r="J95" i="13" a="1"/>
  <c r="J95" i="13" s="1"/>
  <c r="G95" i="13"/>
  <c r="L94" i="13"/>
  <c r="H94" i="13" s="1"/>
  <c r="J94" i="13" a="1"/>
  <c r="J94" i="13" s="1"/>
  <c r="G94" i="13"/>
  <c r="L93" i="13"/>
  <c r="M93" i="13" s="1"/>
  <c r="I93" i="13" s="1"/>
  <c r="J93" i="13" a="1"/>
  <c r="J93" i="13" s="1"/>
  <c r="G93" i="13"/>
  <c r="L92" i="13"/>
  <c r="H92" i="13" s="1"/>
  <c r="J92" i="13" a="1"/>
  <c r="J92" i="13" s="1"/>
  <c r="G92" i="13"/>
  <c r="L91" i="13"/>
  <c r="M91" i="13" s="1"/>
  <c r="I91" i="13" s="1"/>
  <c r="J91" i="13" a="1"/>
  <c r="J91" i="13" s="1"/>
  <c r="G91" i="13"/>
  <c r="L90" i="13"/>
  <c r="M90" i="13" s="1"/>
  <c r="I90" i="13" s="1"/>
  <c r="J90" i="13" a="1"/>
  <c r="J90" i="13" s="1"/>
  <c r="G90" i="13"/>
  <c r="J89" i="13" a="1"/>
  <c r="J89" i="13" s="1"/>
  <c r="F89" i="13"/>
  <c r="D89" i="13"/>
  <c r="C89" i="13"/>
  <c r="L88" i="13"/>
  <c r="H88" i="13" s="1"/>
  <c r="J88" i="13" a="1"/>
  <c r="J88" i="13" s="1"/>
  <c r="G88" i="13"/>
  <c r="L87" i="13"/>
  <c r="H87" i="13" s="1"/>
  <c r="J87" i="13" a="1"/>
  <c r="J87" i="13" s="1"/>
  <c r="G87" i="13"/>
  <c r="L86" i="13"/>
  <c r="M86" i="13" s="1"/>
  <c r="I86" i="13" s="1"/>
  <c r="J86" i="13" a="1"/>
  <c r="J86" i="13" s="1"/>
  <c r="G86" i="13"/>
  <c r="L85" i="13"/>
  <c r="H85" i="13" s="1"/>
  <c r="J85" i="13" a="1"/>
  <c r="J85" i="13" s="1"/>
  <c r="G85" i="13"/>
  <c r="L84" i="13"/>
  <c r="H84" i="13" s="1"/>
  <c r="J84" i="13" a="1"/>
  <c r="J84" i="13" s="1"/>
  <c r="G84" i="13"/>
  <c r="L83" i="13"/>
  <c r="M83" i="13" s="1"/>
  <c r="I83" i="13" s="1"/>
  <c r="J83" i="13" a="1"/>
  <c r="J83" i="13" s="1"/>
  <c r="G83" i="13"/>
  <c r="L82" i="13"/>
  <c r="H82" i="13" s="1"/>
  <c r="J82" i="13" a="1"/>
  <c r="J82" i="13" s="1"/>
  <c r="G82" i="13"/>
  <c r="L81" i="13"/>
  <c r="M81" i="13" s="1"/>
  <c r="I81" i="13" s="1"/>
  <c r="J81" i="13" a="1"/>
  <c r="J81" i="13" s="1"/>
  <c r="G81" i="13"/>
  <c r="L80" i="13"/>
  <c r="M80" i="13" s="1"/>
  <c r="I80" i="13" s="1"/>
  <c r="J80" i="13" a="1"/>
  <c r="J80" i="13" s="1"/>
  <c r="G80" i="13"/>
  <c r="L79" i="13"/>
  <c r="H79" i="13" s="1"/>
  <c r="J79" i="13" a="1"/>
  <c r="J79" i="13" s="1"/>
  <c r="G79" i="13"/>
  <c r="L78" i="13"/>
  <c r="M78" i="13" s="1"/>
  <c r="I78" i="13" s="1"/>
  <c r="J78" i="13" a="1"/>
  <c r="J78" i="13" s="1"/>
  <c r="G78" i="13"/>
  <c r="L77" i="13"/>
  <c r="H77" i="13" s="1"/>
  <c r="J77" i="13" a="1"/>
  <c r="J77" i="13" s="1"/>
  <c r="G77" i="13"/>
  <c r="L76" i="13"/>
  <c r="H76" i="13" s="1"/>
  <c r="J76" i="13" a="1"/>
  <c r="J76" i="13" s="1"/>
  <c r="G76" i="13"/>
  <c r="J75" i="13" a="1"/>
  <c r="J75" i="13" s="1"/>
  <c r="F75" i="13"/>
  <c r="D75" i="13"/>
  <c r="C75" i="13"/>
  <c r="L74" i="13"/>
  <c r="M74" i="13" s="1"/>
  <c r="I74" i="13" s="1"/>
  <c r="J74" i="13" a="1"/>
  <c r="J74" i="13" s="1"/>
  <c r="G74" i="13"/>
  <c r="L73" i="13"/>
  <c r="H73" i="13" s="1"/>
  <c r="J73" i="13" a="1"/>
  <c r="J73" i="13" s="1"/>
  <c r="G73" i="13"/>
  <c r="L72" i="13"/>
  <c r="H72" i="13" s="1"/>
  <c r="J72" i="13" a="1"/>
  <c r="J72" i="13" s="1"/>
  <c r="G72" i="13"/>
  <c r="L71" i="13"/>
  <c r="H71" i="13" s="1"/>
  <c r="J71" i="13" a="1"/>
  <c r="J71" i="13" s="1"/>
  <c r="G71" i="13"/>
  <c r="L70" i="13"/>
  <c r="H70" i="13" s="1"/>
  <c r="J70" i="13" a="1"/>
  <c r="J70" i="13" s="1"/>
  <c r="G70" i="13"/>
  <c r="L69" i="13"/>
  <c r="M69" i="13" s="1"/>
  <c r="I69" i="13" s="1"/>
  <c r="J69" i="13" a="1"/>
  <c r="J69" i="13" s="1"/>
  <c r="G69" i="13"/>
  <c r="L68" i="13"/>
  <c r="M68" i="13" s="1"/>
  <c r="I68" i="13" s="1"/>
  <c r="J68" i="13" a="1"/>
  <c r="J68" i="13" s="1"/>
  <c r="G68" i="13"/>
  <c r="L67" i="13"/>
  <c r="H67" i="13" s="1"/>
  <c r="J67" i="13" a="1"/>
  <c r="J67" i="13" s="1"/>
  <c r="G67" i="13"/>
  <c r="L66" i="13"/>
  <c r="M66" i="13" s="1"/>
  <c r="I66" i="13" s="1"/>
  <c r="J66" i="13" a="1"/>
  <c r="J66" i="13" s="1"/>
  <c r="G66" i="13"/>
  <c r="L65" i="13"/>
  <c r="H65" i="13" s="1"/>
  <c r="J65" i="13" a="1"/>
  <c r="J65" i="13" s="1"/>
  <c r="G65" i="13"/>
  <c r="L64" i="13"/>
  <c r="H64" i="13" s="1"/>
  <c r="J64" i="13" a="1"/>
  <c r="J64" i="13" s="1"/>
  <c r="G64" i="13"/>
  <c r="L63" i="13"/>
  <c r="M63" i="13" s="1"/>
  <c r="I63" i="13" s="1"/>
  <c r="J63" i="13" a="1"/>
  <c r="J63" i="13" s="1"/>
  <c r="G63" i="13"/>
  <c r="L62" i="13"/>
  <c r="H62" i="13" s="1"/>
  <c r="J62" i="13" a="1"/>
  <c r="J62" i="13" s="1"/>
  <c r="G62" i="13"/>
  <c r="L61" i="13"/>
  <c r="M61" i="13" s="1"/>
  <c r="I61" i="13" s="1"/>
  <c r="J61" i="13" a="1"/>
  <c r="J61" i="13" s="1"/>
  <c r="G61" i="13"/>
  <c r="J60" i="13" a="1"/>
  <c r="J60" i="13" s="1"/>
  <c r="F60" i="13"/>
  <c r="E60" i="13"/>
  <c r="D60" i="13"/>
  <c r="C60" i="13"/>
  <c r="L59" i="13"/>
  <c r="H59" i="13" s="1"/>
  <c r="J59" i="13" a="1"/>
  <c r="J59" i="13" s="1"/>
  <c r="G59" i="13"/>
  <c r="L58" i="13"/>
  <c r="H58" i="13" s="1"/>
  <c r="J58" i="13" a="1"/>
  <c r="J58" i="13" s="1"/>
  <c r="G58" i="13"/>
  <c r="J57" i="13" a="1"/>
  <c r="J57" i="13" s="1"/>
  <c r="J56" i="13" a="1"/>
  <c r="J56" i="13" s="1"/>
  <c r="F56" i="13"/>
  <c r="E56" i="13"/>
  <c r="D56" i="13"/>
  <c r="C56" i="13"/>
  <c r="L55" i="13"/>
  <c r="M55" i="13" s="1"/>
  <c r="I55" i="13" s="1"/>
  <c r="J55" i="13" a="1"/>
  <c r="J55" i="13" s="1"/>
  <c r="G55" i="13"/>
  <c r="L54" i="13"/>
  <c r="H54" i="13" s="1"/>
  <c r="J54" i="13" a="1"/>
  <c r="J54" i="13" s="1"/>
  <c r="G54" i="13"/>
  <c r="L53" i="13"/>
  <c r="M53" i="13" s="1"/>
  <c r="I53" i="13" s="1"/>
  <c r="J53" i="13" a="1"/>
  <c r="J53" i="13" s="1"/>
  <c r="G53" i="13"/>
  <c r="L52" i="13"/>
  <c r="H52" i="13" s="1"/>
  <c r="J52" i="13" a="1"/>
  <c r="J52" i="13" s="1"/>
  <c r="G52" i="13"/>
  <c r="L51" i="13"/>
  <c r="H51" i="13" s="1"/>
  <c r="J51" i="13" a="1"/>
  <c r="J51" i="13" s="1"/>
  <c r="G51" i="13"/>
  <c r="L50" i="13"/>
  <c r="M50" i="13" s="1"/>
  <c r="I50" i="13" s="1"/>
  <c r="J50" i="13" a="1"/>
  <c r="J50" i="13" s="1"/>
  <c r="G50" i="13"/>
  <c r="L49" i="13"/>
  <c r="H49" i="13" s="1"/>
  <c r="J49" i="13" a="1"/>
  <c r="J49" i="13" s="1"/>
  <c r="G49" i="13"/>
  <c r="L48" i="13"/>
  <c r="M48" i="13" s="1"/>
  <c r="I48" i="13" s="1"/>
  <c r="J48" i="13" a="1"/>
  <c r="J48" i="13" s="1"/>
  <c r="G48" i="13"/>
  <c r="L47" i="13"/>
  <c r="M47" i="13" s="1"/>
  <c r="I47" i="13" s="1"/>
  <c r="J47" i="13" a="1"/>
  <c r="J47" i="13" s="1"/>
  <c r="G47" i="13"/>
  <c r="L46" i="13"/>
  <c r="H46" i="13" s="1"/>
  <c r="J46" i="13" a="1"/>
  <c r="J46" i="13" s="1"/>
  <c r="G46" i="13"/>
  <c r="L45" i="13"/>
  <c r="M45" i="13" s="1"/>
  <c r="I45" i="13" s="1"/>
  <c r="J45" i="13" a="1"/>
  <c r="J45" i="13" s="1"/>
  <c r="G45" i="13"/>
  <c r="L44" i="13"/>
  <c r="H44" i="13" s="1"/>
  <c r="J44" i="13" a="1"/>
  <c r="J44" i="13" s="1"/>
  <c r="G44" i="13"/>
  <c r="L43" i="13"/>
  <c r="M43" i="13" s="1"/>
  <c r="I43" i="13" s="1"/>
  <c r="J43" i="13" a="1"/>
  <c r="J43" i="13" s="1"/>
  <c r="G43" i="13"/>
  <c r="L42" i="13"/>
  <c r="M42" i="13" s="1"/>
  <c r="I42" i="13" s="1"/>
  <c r="J42" i="13" a="1"/>
  <c r="J42" i="13" s="1"/>
  <c r="G42" i="13"/>
  <c r="J41" i="13" a="1"/>
  <c r="J41" i="13" s="1"/>
  <c r="F41" i="13"/>
  <c r="E41" i="13"/>
  <c r="D41" i="13"/>
  <c r="C41" i="13"/>
  <c r="L40" i="13"/>
  <c r="M40" i="13" s="1"/>
  <c r="I40" i="13" s="1"/>
  <c r="J40" i="13" a="1"/>
  <c r="J40" i="13" s="1"/>
  <c r="G40" i="13"/>
  <c r="L39" i="13"/>
  <c r="M39" i="13" s="1"/>
  <c r="I39" i="13" s="1"/>
  <c r="J39" i="13" a="1"/>
  <c r="J39" i="13" s="1"/>
  <c r="G39" i="13"/>
  <c r="L38" i="13"/>
  <c r="H38" i="13" s="1"/>
  <c r="J38" i="13" a="1"/>
  <c r="J38" i="13" s="1"/>
  <c r="G38" i="13"/>
  <c r="L37" i="13"/>
  <c r="H37" i="13" s="1"/>
  <c r="J37" i="13" a="1"/>
  <c r="J37" i="13" s="1"/>
  <c r="G37" i="13"/>
  <c r="L36" i="13"/>
  <c r="M36" i="13" s="1"/>
  <c r="I36" i="13" s="1"/>
  <c r="J36" i="13" a="1"/>
  <c r="J36" i="13" s="1"/>
  <c r="G36" i="13"/>
  <c r="L35" i="13"/>
  <c r="H35" i="13" s="1"/>
  <c r="J35" i="13" a="1"/>
  <c r="J35" i="13" s="1"/>
  <c r="G35" i="13"/>
  <c r="L34" i="13"/>
  <c r="H34" i="13" s="1"/>
  <c r="J34" i="13" a="1"/>
  <c r="J34" i="13" s="1"/>
  <c r="G34" i="13"/>
  <c r="L33" i="13"/>
  <c r="H33" i="13" s="1"/>
  <c r="J33" i="13" a="1"/>
  <c r="J33" i="13" s="1"/>
  <c r="G33" i="13"/>
  <c r="L32" i="13"/>
  <c r="M32" i="13" s="1"/>
  <c r="I32" i="13" s="1"/>
  <c r="J32" i="13" a="1"/>
  <c r="J32" i="13" s="1"/>
  <c r="G32" i="13"/>
  <c r="L31" i="13"/>
  <c r="M31" i="13" s="1"/>
  <c r="I31" i="13" s="1"/>
  <c r="J31" i="13" a="1"/>
  <c r="J31" i="13" s="1"/>
  <c r="G31" i="13"/>
  <c r="J30" i="13" a="1"/>
  <c r="J30" i="13" s="1"/>
  <c r="G30" i="13"/>
  <c r="J29" i="13" a="1"/>
  <c r="J29" i="13" s="1"/>
  <c r="G29" i="13"/>
  <c r="J28" i="13" a="1"/>
  <c r="J28" i="13" s="1"/>
  <c r="G28" i="13"/>
  <c r="J27" i="13" a="1"/>
  <c r="J27" i="13" s="1"/>
  <c r="G27" i="13"/>
  <c r="J26" i="13" a="1"/>
  <c r="J26" i="13" s="1"/>
  <c r="F26" i="13"/>
  <c r="E26" i="13"/>
  <c r="D26" i="13"/>
  <c r="C26" i="13"/>
  <c r="H22" i="13"/>
  <c r="J22" i="13" a="1"/>
  <c r="J22" i="13" s="1"/>
  <c r="G22" i="13"/>
  <c r="J21" i="13" a="1"/>
  <c r="J21" i="13" s="1"/>
  <c r="J20" i="13" a="1"/>
  <c r="J20" i="13" s="1"/>
  <c r="F20" i="13"/>
  <c r="F5" i="13" s="1"/>
  <c r="E20" i="13"/>
  <c r="E5" i="13" s="1"/>
  <c r="D20" i="13"/>
  <c r="D5" i="13" s="1"/>
  <c r="C20" i="13"/>
  <c r="L19" i="13"/>
  <c r="H19" i="13" s="1"/>
  <c r="J19" i="13" a="1"/>
  <c r="J19" i="13" s="1"/>
  <c r="G19" i="13"/>
  <c r="L18" i="13"/>
  <c r="M18" i="13" s="1"/>
  <c r="I18" i="13" s="1"/>
  <c r="J18" i="13" a="1"/>
  <c r="J18" i="13" s="1"/>
  <c r="G18" i="13"/>
  <c r="L17" i="13"/>
  <c r="M17" i="13" s="1"/>
  <c r="I17" i="13" s="1"/>
  <c r="J17" i="13" a="1"/>
  <c r="J17" i="13" s="1"/>
  <c r="G17" i="13"/>
  <c r="L16" i="13"/>
  <c r="H16" i="13" s="1"/>
  <c r="J16" i="13" a="1"/>
  <c r="J16" i="13" s="1"/>
  <c r="G16" i="13"/>
  <c r="L15" i="13"/>
  <c r="H15" i="13" s="1"/>
  <c r="J15" i="13" a="1"/>
  <c r="J15" i="13" s="1"/>
  <c r="G15" i="13"/>
  <c r="L14" i="13"/>
  <c r="M14" i="13" s="1"/>
  <c r="I14" i="13" s="1"/>
  <c r="J14" i="13" a="1"/>
  <c r="J14" i="13" s="1"/>
  <c r="G14" i="13"/>
  <c r="L13" i="13"/>
  <c r="H13" i="13" s="1"/>
  <c r="J13" i="13" a="1"/>
  <c r="J13" i="13" s="1"/>
  <c r="G13" i="13"/>
  <c r="L12" i="13"/>
  <c r="H12" i="13" s="1"/>
  <c r="J12" i="13" a="1"/>
  <c r="J12" i="13" s="1"/>
  <c r="G12" i="13"/>
  <c r="L11" i="13"/>
  <c r="H11" i="13" s="1"/>
  <c r="J11" i="13" a="1"/>
  <c r="J11" i="13" s="1"/>
  <c r="G11" i="13"/>
  <c r="L10" i="13"/>
  <c r="M10" i="13" s="1"/>
  <c r="I10" i="13" s="1"/>
  <c r="J10" i="13" a="1"/>
  <c r="J10" i="13" s="1"/>
  <c r="G10" i="13"/>
  <c r="L9" i="13"/>
  <c r="M9" i="13" s="1"/>
  <c r="I9" i="13" s="1"/>
  <c r="J9" i="13" a="1"/>
  <c r="J9" i="13" s="1"/>
  <c r="G9" i="13"/>
  <c r="L8" i="13"/>
  <c r="H8" i="13" s="1"/>
  <c r="J8" i="13" a="1"/>
  <c r="J8" i="13" s="1"/>
  <c r="G8" i="13"/>
  <c r="L7" i="13"/>
  <c r="H7" i="13" s="1"/>
  <c r="J7" i="13" a="1"/>
  <c r="J7" i="13" s="1"/>
  <c r="G7" i="13"/>
  <c r="L6" i="13"/>
  <c r="M6" i="13" s="1"/>
  <c r="I6" i="13" s="1"/>
  <c r="J6" i="13" a="1"/>
  <c r="J6" i="13" s="1"/>
  <c r="G6" i="13"/>
  <c r="I4" i="13"/>
  <c r="H4" i="13"/>
  <c r="L2" i="13"/>
  <c r="M2" i="13" s="1"/>
  <c r="H2" i="13" s="1"/>
  <c r="G286" i="13" s="1"/>
  <c r="G62" i="19" l="1"/>
  <c r="H113" i="22"/>
  <c r="H63" i="22"/>
  <c r="G312" i="22"/>
  <c r="H21" i="22"/>
  <c r="M21" i="22"/>
  <c r="I21" i="22" s="1"/>
  <c r="L279" i="22"/>
  <c r="M279" i="22" s="1"/>
  <c r="I279" i="22" s="1"/>
  <c r="G279" i="22"/>
  <c r="M5" i="22"/>
  <c r="I5" i="22" s="1"/>
  <c r="H5" i="22"/>
  <c r="H263" i="21"/>
  <c r="H183" i="21"/>
  <c r="M167" i="21"/>
  <c r="I167" i="21" s="1"/>
  <c r="G63" i="21"/>
  <c r="H98" i="21"/>
  <c r="M66" i="21"/>
  <c r="I66" i="21" s="1"/>
  <c r="E312" i="21"/>
  <c r="M198" i="21"/>
  <c r="I198" i="21" s="1"/>
  <c r="C312" i="21"/>
  <c r="M232" i="21"/>
  <c r="I232" i="21" s="1"/>
  <c r="G113" i="21"/>
  <c r="L21" i="21"/>
  <c r="M21" i="21" s="1"/>
  <c r="I21" i="21" s="1"/>
  <c r="H83" i="21"/>
  <c r="F279" i="21"/>
  <c r="H259" i="21"/>
  <c r="M259" i="21"/>
  <c r="I259" i="21" s="1"/>
  <c r="M20" i="21"/>
  <c r="I20" i="21" s="1"/>
  <c r="G21" i="21"/>
  <c r="M42" i="21"/>
  <c r="I42" i="21" s="1"/>
  <c r="H62" i="21"/>
  <c r="E279" i="21"/>
  <c r="L63" i="21"/>
  <c r="M63" i="21" s="1"/>
  <c r="I63" i="21" s="1"/>
  <c r="H278" i="21"/>
  <c r="H247" i="21"/>
  <c r="C279" i="21"/>
  <c r="L248" i="21"/>
  <c r="M248" i="21" s="1"/>
  <c r="I248" i="21" s="1"/>
  <c r="G248" i="21"/>
  <c r="L113" i="21"/>
  <c r="M113" i="21" s="1"/>
  <c r="I113" i="21" s="1"/>
  <c r="H5" i="21"/>
  <c r="L264" i="21"/>
  <c r="G264" i="21"/>
  <c r="M26" i="21"/>
  <c r="I26" i="21" s="1"/>
  <c r="H233" i="21"/>
  <c r="H135" i="21"/>
  <c r="H199" i="21"/>
  <c r="D312" i="21"/>
  <c r="H215" i="21"/>
  <c r="H112" i="21"/>
  <c r="D279" i="21"/>
  <c r="M216" i="21"/>
  <c r="I216" i="21" s="1"/>
  <c r="H216" i="21"/>
  <c r="H121" i="21"/>
  <c r="H132" i="20"/>
  <c r="H195" i="20"/>
  <c r="H110" i="20"/>
  <c r="M227" i="20"/>
  <c r="I227" i="20" s="1"/>
  <c r="H96" i="20"/>
  <c r="H26" i="20"/>
  <c r="H228" i="20"/>
  <c r="C307" i="20"/>
  <c r="H82" i="20"/>
  <c r="D274" i="20"/>
  <c r="L211" i="20"/>
  <c r="M211" i="20" s="1"/>
  <c r="I211" i="20" s="1"/>
  <c r="H20" i="20"/>
  <c r="H258" i="20"/>
  <c r="H179" i="20"/>
  <c r="H163" i="20"/>
  <c r="L243" i="20"/>
  <c r="M243" i="20" s="1"/>
  <c r="I243" i="20" s="1"/>
  <c r="K211" i="20"/>
  <c r="H65" i="20"/>
  <c r="M254" i="20"/>
  <c r="I254" i="20" s="1"/>
  <c r="E307" i="20"/>
  <c r="H242" i="20"/>
  <c r="H210" i="20"/>
  <c r="G195" i="20"/>
  <c r="M246" i="20"/>
  <c r="I246" i="20" s="1"/>
  <c r="H246" i="20"/>
  <c r="D307" i="20"/>
  <c r="M61" i="20"/>
  <c r="I61" i="20" s="1"/>
  <c r="H61" i="20"/>
  <c r="H211" i="20"/>
  <c r="G21" i="20"/>
  <c r="L21" i="20"/>
  <c r="F274" i="20"/>
  <c r="C274" i="20"/>
  <c r="G62" i="20"/>
  <c r="L62" i="20"/>
  <c r="L111" i="20"/>
  <c r="M111" i="20" s="1"/>
  <c r="I111" i="20" s="1"/>
  <c r="G111" i="20"/>
  <c r="L5" i="20"/>
  <c r="M5" i="20" s="1"/>
  <c r="I5" i="20" s="1"/>
  <c r="E274" i="20"/>
  <c r="H118" i="19"/>
  <c r="G243" i="19"/>
  <c r="G21" i="19"/>
  <c r="H20" i="19"/>
  <c r="L111" i="19"/>
  <c r="M111" i="19" s="1"/>
  <c r="I111" i="19" s="1"/>
  <c r="H146" i="19"/>
  <c r="H273" i="19"/>
  <c r="H246" i="19"/>
  <c r="M42" i="19"/>
  <c r="I42" i="19" s="1"/>
  <c r="L21" i="19"/>
  <c r="M21" i="19" s="1"/>
  <c r="I21" i="19" s="1"/>
  <c r="M243" i="19"/>
  <c r="I243" i="19" s="1"/>
  <c r="H163" i="19"/>
  <c r="C307" i="19"/>
  <c r="L62" i="19"/>
  <c r="M62" i="19" s="1"/>
  <c r="I62" i="19" s="1"/>
  <c r="H26" i="19"/>
  <c r="H227" i="19"/>
  <c r="G111" i="19"/>
  <c r="H132" i="19"/>
  <c r="C274" i="19"/>
  <c r="H194" i="19"/>
  <c r="E274" i="19"/>
  <c r="D307" i="19"/>
  <c r="E307" i="19"/>
  <c r="H179" i="19"/>
  <c r="M65" i="19"/>
  <c r="I65" i="19" s="1"/>
  <c r="F274" i="19"/>
  <c r="H61" i="19"/>
  <c r="L195" i="19"/>
  <c r="M195" i="19" s="1"/>
  <c r="I195" i="19" s="1"/>
  <c r="H82" i="19"/>
  <c r="H210" i="19"/>
  <c r="H228" i="19"/>
  <c r="H242" i="19"/>
  <c r="H211" i="19"/>
  <c r="M259" i="19"/>
  <c r="I259" i="19" s="1"/>
  <c r="H259" i="19"/>
  <c r="D274" i="19"/>
  <c r="H5" i="19"/>
  <c r="H145" i="18"/>
  <c r="H60" i="18"/>
  <c r="H271" i="18"/>
  <c r="H193" i="18"/>
  <c r="H162" i="18"/>
  <c r="L61" i="18"/>
  <c r="M61" i="18" s="1"/>
  <c r="I61" i="18" s="1"/>
  <c r="H117" i="18"/>
  <c r="H109" i="18"/>
  <c r="H240" i="18"/>
  <c r="G61" i="18"/>
  <c r="D305" i="18"/>
  <c r="H95" i="18"/>
  <c r="H209" i="18"/>
  <c r="L226" i="18"/>
  <c r="M226" i="18" s="1"/>
  <c r="I226" i="18" s="1"/>
  <c r="H210" i="18"/>
  <c r="H256" i="18"/>
  <c r="M244" i="18"/>
  <c r="I244" i="18" s="1"/>
  <c r="H244" i="18"/>
  <c r="D272" i="18"/>
  <c r="L257" i="18"/>
  <c r="G257" i="18"/>
  <c r="H5" i="18"/>
  <c r="G110" i="18"/>
  <c r="L110" i="18"/>
  <c r="M110" i="18" s="1"/>
  <c r="I110" i="18" s="1"/>
  <c r="E305" i="18"/>
  <c r="F272" i="18"/>
  <c r="H61" i="18"/>
  <c r="G241" i="18"/>
  <c r="L241" i="18"/>
  <c r="H225" i="18"/>
  <c r="I194" i="18"/>
  <c r="C305" i="18"/>
  <c r="E272" i="18"/>
  <c r="C272" i="18"/>
  <c r="H194" i="18"/>
  <c r="G21" i="18"/>
  <c r="L21" i="18"/>
  <c r="M21" i="18" s="1"/>
  <c r="I21" i="18" s="1"/>
  <c r="H26" i="18"/>
  <c r="H64" i="17"/>
  <c r="H252" i="17"/>
  <c r="L61" i="17"/>
  <c r="M61" i="17" s="1"/>
  <c r="I61" i="17" s="1"/>
  <c r="M178" i="17"/>
  <c r="I178" i="17" s="1"/>
  <c r="H162" i="17"/>
  <c r="C271" i="17"/>
  <c r="H20" i="17"/>
  <c r="H256" i="17"/>
  <c r="H131" i="17"/>
  <c r="H225" i="17"/>
  <c r="H193" i="17"/>
  <c r="G210" i="17"/>
  <c r="H117" i="17"/>
  <c r="M109" i="17"/>
  <c r="I109" i="17" s="1"/>
  <c r="L210" i="17"/>
  <c r="M210" i="17" s="1"/>
  <c r="I210" i="17" s="1"/>
  <c r="D271" i="17"/>
  <c r="H41" i="17"/>
  <c r="M26" i="17"/>
  <c r="I26" i="17" s="1"/>
  <c r="L110" i="17"/>
  <c r="M110" i="17" s="1"/>
  <c r="I110" i="17" s="1"/>
  <c r="G110" i="17"/>
  <c r="C304" i="17"/>
  <c r="H209" i="17"/>
  <c r="M209" i="17"/>
  <c r="I209" i="17" s="1"/>
  <c r="G21" i="17"/>
  <c r="L21" i="17"/>
  <c r="H244" i="17"/>
  <c r="M244" i="17"/>
  <c r="I244" i="17" s="1"/>
  <c r="H60" i="17"/>
  <c r="L257" i="17"/>
  <c r="L194" i="17"/>
  <c r="D304" i="17"/>
  <c r="L5" i="17"/>
  <c r="M5" i="17" s="1"/>
  <c r="I5" i="17" s="1"/>
  <c r="H145" i="17"/>
  <c r="E304" i="17"/>
  <c r="F271" i="17"/>
  <c r="G61" i="17"/>
  <c r="L241" i="17"/>
  <c r="G241" i="17"/>
  <c r="H61" i="17"/>
  <c r="H81" i="17"/>
  <c r="H146" i="16"/>
  <c r="H178" i="16"/>
  <c r="H199" i="16"/>
  <c r="H213" i="16"/>
  <c r="H209" i="16"/>
  <c r="H52" i="16"/>
  <c r="F296" i="16"/>
  <c r="H260" i="16"/>
  <c r="H265" i="16"/>
  <c r="M68" i="16"/>
  <c r="I68" i="16" s="1"/>
  <c r="H23" i="16"/>
  <c r="H83" i="16"/>
  <c r="H149" i="16"/>
  <c r="H124" i="16"/>
  <c r="H195" i="16"/>
  <c r="G115" i="16"/>
  <c r="H120" i="16"/>
  <c r="G176" i="16"/>
  <c r="H100" i="16"/>
  <c r="H246" i="16"/>
  <c r="H57" i="16"/>
  <c r="M67" i="16"/>
  <c r="I67" i="16" s="1"/>
  <c r="H196" i="16"/>
  <c r="H161" i="16"/>
  <c r="H43" i="16"/>
  <c r="H97" i="16"/>
  <c r="H187" i="16"/>
  <c r="H221" i="16"/>
  <c r="H194" i="16"/>
  <c r="H189" i="16"/>
  <c r="H163" i="16"/>
  <c r="H164" i="16"/>
  <c r="G160" i="16"/>
  <c r="H8" i="16"/>
  <c r="H13" i="16"/>
  <c r="H87" i="16"/>
  <c r="L107" i="16"/>
  <c r="H107" i="16" s="1"/>
  <c r="H185" i="16"/>
  <c r="C239" i="16"/>
  <c r="L239" i="16" s="1"/>
  <c r="H239" i="16" s="1"/>
  <c r="H171" i="16"/>
  <c r="H232" i="16"/>
  <c r="L191" i="16"/>
  <c r="M191" i="16" s="1"/>
  <c r="I191" i="16" s="1"/>
  <c r="H243" i="16"/>
  <c r="M244" i="16"/>
  <c r="I244" i="16" s="1"/>
  <c r="H69" i="16"/>
  <c r="H123" i="16"/>
  <c r="H167" i="16"/>
  <c r="H141" i="16"/>
  <c r="H133" i="16"/>
  <c r="H138" i="16"/>
  <c r="L143" i="16"/>
  <c r="M143" i="16" s="1"/>
  <c r="I143" i="16" s="1"/>
  <c r="H95" i="16"/>
  <c r="H76" i="16"/>
  <c r="H71" i="16"/>
  <c r="H126" i="16"/>
  <c r="H258" i="16"/>
  <c r="H30" i="16"/>
  <c r="H35" i="16"/>
  <c r="H40" i="16"/>
  <c r="H144" i="16"/>
  <c r="M82" i="16"/>
  <c r="I82" i="16" s="1"/>
  <c r="H60" i="16"/>
  <c r="H64" i="16"/>
  <c r="H216" i="16"/>
  <c r="H220" i="16"/>
  <c r="H16" i="16"/>
  <c r="H136" i="16"/>
  <c r="G268" i="16"/>
  <c r="H75" i="16"/>
  <c r="H50" i="16"/>
  <c r="H46" i="16"/>
  <c r="M47" i="16"/>
  <c r="I47" i="16" s="1"/>
  <c r="L58" i="16"/>
  <c r="M58" i="16" s="1"/>
  <c r="I58" i="16" s="1"/>
  <c r="G58" i="16"/>
  <c r="H27" i="16"/>
  <c r="H32" i="16"/>
  <c r="M29" i="16"/>
  <c r="I29" i="16" s="1"/>
  <c r="H38" i="16"/>
  <c r="M118" i="16"/>
  <c r="I118" i="16" s="1"/>
  <c r="H81" i="16"/>
  <c r="H229" i="16"/>
  <c r="M101" i="16"/>
  <c r="I101" i="16" s="1"/>
  <c r="M162" i="16"/>
  <c r="I162" i="16" s="1"/>
  <c r="M55" i="16"/>
  <c r="I55" i="16" s="1"/>
  <c r="G224" i="16"/>
  <c r="H174" i="16"/>
  <c r="H183" i="16"/>
  <c r="H262" i="16"/>
  <c r="H73" i="16"/>
  <c r="L223" i="16"/>
  <c r="H223" i="16" s="1"/>
  <c r="M10" i="16"/>
  <c r="I10" i="16" s="1"/>
  <c r="H25" i="16"/>
  <c r="H45" i="16"/>
  <c r="H122" i="16"/>
  <c r="M139" i="16"/>
  <c r="I139" i="16" s="1"/>
  <c r="H147" i="16"/>
  <c r="H188" i="16"/>
  <c r="H226" i="16"/>
  <c r="H259" i="16"/>
  <c r="M219" i="16"/>
  <c r="I219" i="16" s="1"/>
  <c r="H11" i="16"/>
  <c r="H37" i="16"/>
  <c r="H49" i="16"/>
  <c r="H114" i="16"/>
  <c r="F108" i="16"/>
  <c r="H197" i="16"/>
  <c r="L207" i="16"/>
  <c r="H207" i="16" s="1"/>
  <c r="H235" i="16"/>
  <c r="H263" i="16"/>
  <c r="L268" i="16"/>
  <c r="M268" i="16" s="1"/>
  <c r="I268" i="16" s="1"/>
  <c r="H70" i="16"/>
  <c r="H74" i="16"/>
  <c r="H140" i="16"/>
  <c r="H211" i="16"/>
  <c r="H215" i="16"/>
  <c r="H245" i="16"/>
  <c r="M72" i="16"/>
  <c r="I72" i="16" s="1"/>
  <c r="M184" i="16"/>
  <c r="I184" i="16" s="1"/>
  <c r="M80" i="16"/>
  <c r="I80" i="16" s="1"/>
  <c r="M231" i="16"/>
  <c r="I231" i="16" s="1"/>
  <c r="F59" i="16"/>
  <c r="H96" i="16"/>
  <c r="H132" i="16"/>
  <c r="H150" i="16"/>
  <c r="M159" i="16"/>
  <c r="I159" i="16" s="1"/>
  <c r="H165" i="16"/>
  <c r="E208" i="16"/>
  <c r="L208" i="16" s="1"/>
  <c r="M208" i="16" s="1"/>
  <c r="M39" i="16"/>
  <c r="I39" i="16" s="1"/>
  <c r="H121" i="16"/>
  <c r="H168" i="16"/>
  <c r="H186" i="16"/>
  <c r="H236" i="16"/>
  <c r="M42" i="16"/>
  <c r="I42" i="16" s="1"/>
  <c r="M106" i="16"/>
  <c r="I106" i="16" s="1"/>
  <c r="M119" i="16"/>
  <c r="I119" i="16" s="1"/>
  <c r="M15" i="16"/>
  <c r="I15" i="16" s="1"/>
  <c r="G107" i="16"/>
  <c r="G41" i="16"/>
  <c r="H44" i="16"/>
  <c r="G129" i="16"/>
  <c r="H193" i="16"/>
  <c r="H205" i="16"/>
  <c r="H257" i="16"/>
  <c r="M18" i="16"/>
  <c r="I18" i="16" s="1"/>
  <c r="M182" i="16"/>
  <c r="I182" i="16" s="1"/>
  <c r="H85" i="16"/>
  <c r="H109" i="16"/>
  <c r="H142" i="16"/>
  <c r="L176" i="16"/>
  <c r="H176" i="16" s="1"/>
  <c r="F255" i="16"/>
  <c r="G255" i="16" s="1"/>
  <c r="M166" i="16"/>
  <c r="I166" i="16" s="1"/>
  <c r="G238" i="16"/>
  <c r="C192" i="16"/>
  <c r="L192" i="16" s="1"/>
  <c r="M192" i="16" s="1"/>
  <c r="I192" i="16" s="1"/>
  <c r="H14" i="16"/>
  <c r="H33" i="16"/>
  <c r="H65" i="16"/>
  <c r="H90" i="16"/>
  <c r="H94" i="16"/>
  <c r="H116" i="16"/>
  <c r="E108" i="16"/>
  <c r="H145" i="16"/>
  <c r="H181" i="16"/>
  <c r="M117" i="16"/>
  <c r="I117" i="16" s="1"/>
  <c r="H22" i="16"/>
  <c r="G26" i="16"/>
  <c r="H177" i="16"/>
  <c r="H234" i="16"/>
  <c r="M137" i="16"/>
  <c r="I137" i="16" s="1"/>
  <c r="H6" i="16"/>
  <c r="G62" i="16"/>
  <c r="H148" i="16"/>
  <c r="H169" i="16"/>
  <c r="H237" i="16"/>
  <c r="H264" i="16"/>
  <c r="M110" i="16"/>
  <c r="I110" i="16" s="1"/>
  <c r="H110" i="16"/>
  <c r="M54" i="16"/>
  <c r="I54" i="16" s="1"/>
  <c r="M105" i="16"/>
  <c r="I105" i="16" s="1"/>
  <c r="M113" i="16"/>
  <c r="I113" i="16" s="1"/>
  <c r="M233" i="16"/>
  <c r="I233" i="16" s="1"/>
  <c r="M36" i="16"/>
  <c r="I36" i="16" s="1"/>
  <c r="M12" i="16"/>
  <c r="I12" i="16" s="1"/>
  <c r="H12" i="16"/>
  <c r="L20" i="16"/>
  <c r="M20" i="16" s="1"/>
  <c r="I20" i="16" s="1"/>
  <c r="E21" i="16"/>
  <c r="H28" i="16"/>
  <c r="M28" i="16"/>
  <c r="I28" i="16" s="1"/>
  <c r="L41" i="16"/>
  <c r="M41" i="16" s="1"/>
  <c r="I41" i="16" s="1"/>
  <c r="H200" i="16"/>
  <c r="M200" i="16"/>
  <c r="I200" i="16" s="1"/>
  <c r="G207" i="16"/>
  <c r="M7" i="16"/>
  <c r="I7" i="16" s="1"/>
  <c r="M248" i="16"/>
  <c r="I248" i="16" s="1"/>
  <c r="H24" i="16"/>
  <c r="M24" i="16"/>
  <c r="I24" i="16" s="1"/>
  <c r="M86" i="16"/>
  <c r="I86" i="16" s="1"/>
  <c r="M241" i="16"/>
  <c r="I241" i="16" s="1"/>
  <c r="M51" i="16"/>
  <c r="I51" i="16" s="1"/>
  <c r="H51" i="16"/>
  <c r="M66" i="16"/>
  <c r="I66" i="16" s="1"/>
  <c r="D59" i="16"/>
  <c r="M252" i="16"/>
  <c r="I252" i="16" s="1"/>
  <c r="G143" i="16"/>
  <c r="M203" i="16"/>
  <c r="I203" i="16" s="1"/>
  <c r="H203" i="16"/>
  <c r="L250" i="16"/>
  <c r="G250" i="16"/>
  <c r="L129" i="16"/>
  <c r="M129" i="16" s="1"/>
  <c r="I129" i="16" s="1"/>
  <c r="M91" i="16"/>
  <c r="I91" i="16" s="1"/>
  <c r="H91" i="16"/>
  <c r="M175" i="16"/>
  <c r="I175" i="16" s="1"/>
  <c r="H175" i="16"/>
  <c r="H9" i="16"/>
  <c r="M9" i="16"/>
  <c r="I9" i="16" s="1"/>
  <c r="C21" i="16"/>
  <c r="M34" i="16"/>
  <c r="I34" i="16" s="1"/>
  <c r="H53" i="16"/>
  <c r="H88" i="16"/>
  <c r="M88" i="16"/>
  <c r="I88" i="16" s="1"/>
  <c r="H104" i="16"/>
  <c r="H112" i="16"/>
  <c r="H127" i="16"/>
  <c r="M127" i="16"/>
  <c r="I127" i="16" s="1"/>
  <c r="H172" i="16"/>
  <c r="M172" i="16"/>
  <c r="I172" i="16" s="1"/>
  <c r="G223" i="16"/>
  <c r="H48" i="16"/>
  <c r="M48" i="16"/>
  <c r="I48" i="16" s="1"/>
  <c r="M102" i="16"/>
  <c r="I102" i="16" s="1"/>
  <c r="H102" i="16"/>
  <c r="C108" i="16"/>
  <c r="D108" i="16"/>
  <c r="D21" i="16"/>
  <c r="L62" i="16"/>
  <c r="H131" i="16"/>
  <c r="M131" i="16"/>
  <c r="I131" i="16" s="1"/>
  <c r="M125" i="16"/>
  <c r="I125" i="16" s="1"/>
  <c r="M170" i="16"/>
  <c r="I170" i="16" s="1"/>
  <c r="M202" i="16"/>
  <c r="I202" i="16" s="1"/>
  <c r="L5" i="16"/>
  <c r="M5" i="16" s="1"/>
  <c r="I5" i="16" s="1"/>
  <c r="G5" i="16"/>
  <c r="M214" i="16"/>
  <c r="I214" i="16" s="1"/>
  <c r="M206" i="16"/>
  <c r="I206" i="16" s="1"/>
  <c r="H206" i="16"/>
  <c r="M158" i="16"/>
  <c r="I158" i="16" s="1"/>
  <c r="M230" i="16"/>
  <c r="I230" i="16" s="1"/>
  <c r="H230" i="16"/>
  <c r="G20" i="16"/>
  <c r="H212" i="16"/>
  <c r="M212" i="16"/>
  <c r="I212" i="16" s="1"/>
  <c r="M17" i="16"/>
  <c r="I17" i="16" s="1"/>
  <c r="F21" i="16"/>
  <c r="H77" i="16"/>
  <c r="M77" i="16"/>
  <c r="I77" i="16" s="1"/>
  <c r="H89" i="16"/>
  <c r="L115" i="16"/>
  <c r="H128" i="16"/>
  <c r="L160" i="16"/>
  <c r="M160" i="16" s="1"/>
  <c r="I160" i="16" s="1"/>
  <c r="H173" i="16"/>
  <c r="M201" i="16"/>
  <c r="I201" i="16" s="1"/>
  <c r="H201" i="16"/>
  <c r="K207" i="16"/>
  <c r="M240" i="16"/>
  <c r="I240" i="16" s="1"/>
  <c r="H240" i="16"/>
  <c r="L254" i="16"/>
  <c r="M31" i="16"/>
  <c r="I31" i="16" s="1"/>
  <c r="H31" i="16"/>
  <c r="H190" i="16"/>
  <c r="H198" i="16"/>
  <c r="M222" i="16"/>
  <c r="I222" i="16" s="1"/>
  <c r="H222" i="16"/>
  <c r="M225" i="16"/>
  <c r="I225" i="16" s="1"/>
  <c r="H225" i="16"/>
  <c r="H251" i="16"/>
  <c r="M56" i="16"/>
  <c r="I56" i="16" s="1"/>
  <c r="M63" i="16"/>
  <c r="I63" i="16" s="1"/>
  <c r="H63" i="16"/>
  <c r="M19" i="16"/>
  <c r="I19" i="16" s="1"/>
  <c r="H19" i="16"/>
  <c r="G79" i="16"/>
  <c r="C59" i="16"/>
  <c r="L79" i="16"/>
  <c r="M79" i="16" s="1"/>
  <c r="I79" i="16" s="1"/>
  <c r="M98" i="16"/>
  <c r="I98" i="16" s="1"/>
  <c r="H99" i="16"/>
  <c r="M99" i="16"/>
  <c r="I99" i="16" s="1"/>
  <c r="H151" i="16"/>
  <c r="M151" i="16"/>
  <c r="I151" i="16" s="1"/>
  <c r="L26" i="16"/>
  <c r="M26" i="16" s="1"/>
  <c r="I26" i="16" s="1"/>
  <c r="H61" i="16"/>
  <c r="H78" i="16"/>
  <c r="L93" i="16"/>
  <c r="M93" i="16" s="1"/>
  <c r="I93" i="16" s="1"/>
  <c r="G93" i="16"/>
  <c r="M134" i="16"/>
  <c r="I134" i="16" s="1"/>
  <c r="H134" i="16"/>
  <c r="M179" i="16"/>
  <c r="I179" i="16" s="1"/>
  <c r="H179" i="16"/>
  <c r="H210" i="16"/>
  <c r="M210" i="16"/>
  <c r="I210" i="16" s="1"/>
  <c r="G208" i="16"/>
  <c r="D224" i="16"/>
  <c r="L224" i="16" s="1"/>
  <c r="M224" i="16" s="1"/>
  <c r="I224" i="16" s="1"/>
  <c r="L238" i="16"/>
  <c r="H217" i="16"/>
  <c r="H227" i="16"/>
  <c r="G242" i="16"/>
  <c r="M249" i="16"/>
  <c r="I249" i="16" s="1"/>
  <c r="M253" i="16"/>
  <c r="I253" i="16" s="1"/>
  <c r="M266" i="16"/>
  <c r="I266" i="16" s="1"/>
  <c r="H267" i="16"/>
  <c r="L242" i="16"/>
  <c r="H92" i="16"/>
  <c r="H103" i="16"/>
  <c r="H111" i="16"/>
  <c r="H135" i="16"/>
  <c r="H180" i="16"/>
  <c r="G191" i="16"/>
  <c r="H204" i="16"/>
  <c r="H218" i="16"/>
  <c r="H228" i="16"/>
  <c r="E255" i="16"/>
  <c r="H113" i="15"/>
  <c r="M70" i="15"/>
  <c r="I70" i="15" s="1"/>
  <c r="L251" i="15"/>
  <c r="M251" i="15" s="1"/>
  <c r="I251" i="15" s="1"/>
  <c r="M198" i="15"/>
  <c r="I198" i="15" s="1"/>
  <c r="L78" i="15"/>
  <c r="M78" i="15" s="1"/>
  <c r="I78" i="15" s="1"/>
  <c r="G106" i="15"/>
  <c r="L58" i="15"/>
  <c r="M58" i="15" s="1"/>
  <c r="I58" i="15" s="1"/>
  <c r="H138" i="15"/>
  <c r="H254" i="15"/>
  <c r="H259" i="15"/>
  <c r="M46" i="15"/>
  <c r="I46" i="15" s="1"/>
  <c r="H199" i="15"/>
  <c r="M98" i="15"/>
  <c r="I98" i="15" s="1"/>
  <c r="M195" i="15"/>
  <c r="I195" i="15" s="1"/>
  <c r="H214" i="15"/>
  <c r="M67" i="15"/>
  <c r="I67" i="15" s="1"/>
  <c r="M97" i="15"/>
  <c r="I97" i="15" s="1"/>
  <c r="H256" i="15"/>
  <c r="H223" i="15"/>
  <c r="H203" i="15"/>
  <c r="H60" i="15"/>
  <c r="M45" i="15"/>
  <c r="I45" i="15" s="1"/>
  <c r="H100" i="15"/>
  <c r="M96" i="15"/>
  <c r="I96" i="15" s="1"/>
  <c r="H42" i="15"/>
  <c r="H69" i="15"/>
  <c r="M99" i="15"/>
  <c r="I99" i="15" s="1"/>
  <c r="H33" i="15"/>
  <c r="H38" i="15"/>
  <c r="H49" i="15"/>
  <c r="G247" i="15"/>
  <c r="M68" i="15"/>
  <c r="I68" i="15" s="1"/>
  <c r="H231" i="15"/>
  <c r="H126" i="15"/>
  <c r="H94" i="15"/>
  <c r="H110" i="15"/>
  <c r="H147" i="15"/>
  <c r="H152" i="15"/>
  <c r="H74" i="15"/>
  <c r="M71" i="15"/>
  <c r="I71" i="15" s="1"/>
  <c r="H129" i="15"/>
  <c r="H66" i="15"/>
  <c r="H39" i="15"/>
  <c r="H43" i="15"/>
  <c r="H116" i="15"/>
  <c r="H65" i="15"/>
  <c r="H183" i="15"/>
  <c r="H232" i="15"/>
  <c r="D59" i="15"/>
  <c r="H77" i="15"/>
  <c r="M72" i="15"/>
  <c r="I72" i="15" s="1"/>
  <c r="H132" i="15"/>
  <c r="H175" i="15"/>
  <c r="H201" i="15"/>
  <c r="H88" i="15"/>
  <c r="H120" i="15"/>
  <c r="H257" i="15"/>
  <c r="H61" i="15"/>
  <c r="G92" i="15"/>
  <c r="H125" i="15"/>
  <c r="L189" i="15"/>
  <c r="M189" i="15" s="1"/>
  <c r="I189" i="15" s="1"/>
  <c r="H218" i="15"/>
  <c r="L62" i="15"/>
  <c r="H62" i="15" s="1"/>
  <c r="H162" i="15"/>
  <c r="H180" i="15"/>
  <c r="H210" i="15"/>
  <c r="H248" i="15"/>
  <c r="H258" i="15"/>
  <c r="F292" i="15"/>
  <c r="H122" i="15"/>
  <c r="H139" i="15"/>
  <c r="H211" i="15"/>
  <c r="H131" i="15"/>
  <c r="M181" i="15"/>
  <c r="I181" i="15" s="1"/>
  <c r="H47" i="15"/>
  <c r="H85" i="15"/>
  <c r="M50" i="15"/>
  <c r="I50" i="15" s="1"/>
  <c r="H51" i="15"/>
  <c r="H30" i="15"/>
  <c r="G26" i="15"/>
  <c r="H104" i="15"/>
  <c r="H118" i="15"/>
  <c r="H144" i="15"/>
  <c r="H191" i="15"/>
  <c r="H7" i="15"/>
  <c r="H95" i="15"/>
  <c r="C59" i="15"/>
  <c r="E21" i="15"/>
  <c r="H250" i="15"/>
  <c r="H53" i="15"/>
  <c r="H52" i="15"/>
  <c r="M15" i="15"/>
  <c r="I15" i="15" s="1"/>
  <c r="H16" i="15"/>
  <c r="H19" i="15"/>
  <c r="H10" i="15"/>
  <c r="M18" i="15"/>
  <c r="I18" i="15" s="1"/>
  <c r="M14" i="15"/>
  <c r="I14" i="15" s="1"/>
  <c r="G20" i="15"/>
  <c r="M137" i="15"/>
  <c r="I137" i="15" s="1"/>
  <c r="G62" i="15"/>
  <c r="E59" i="15"/>
  <c r="H13" i="15"/>
  <c r="H134" i="15"/>
  <c r="G142" i="15"/>
  <c r="H200" i="15"/>
  <c r="H239" i="15"/>
  <c r="M177" i="15"/>
  <c r="I177" i="15" s="1"/>
  <c r="M23" i="15"/>
  <c r="I23" i="15" s="1"/>
  <c r="H40" i="15"/>
  <c r="H86" i="15"/>
  <c r="H119" i="15"/>
  <c r="H169" i="15"/>
  <c r="L205" i="15"/>
  <c r="M205" i="15" s="1"/>
  <c r="I205" i="15" s="1"/>
  <c r="H213" i="15"/>
  <c r="H225" i="15"/>
  <c r="L158" i="15"/>
  <c r="M158" i="15" s="1"/>
  <c r="I158" i="15" s="1"/>
  <c r="G158" i="15"/>
  <c r="H112" i="15"/>
  <c r="L174" i="15"/>
  <c r="M174" i="15" s="1"/>
  <c r="I174" i="15" s="1"/>
  <c r="H186" i="15"/>
  <c r="M28" i="15"/>
  <c r="I28" i="15" s="1"/>
  <c r="M246" i="15"/>
  <c r="I246" i="15" s="1"/>
  <c r="M105" i="15"/>
  <c r="I105" i="15" s="1"/>
  <c r="M127" i="15"/>
  <c r="I127" i="15" s="1"/>
  <c r="F21" i="15"/>
  <c r="M29" i="15"/>
  <c r="I29" i="15" s="1"/>
  <c r="L92" i="15"/>
  <c r="M92" i="15" s="1"/>
  <c r="I92" i="15" s="1"/>
  <c r="L142" i="15"/>
  <c r="M142" i="15" s="1"/>
  <c r="I142" i="15" s="1"/>
  <c r="L41" i="15"/>
  <c r="M41" i="15" s="1"/>
  <c r="I41" i="15" s="1"/>
  <c r="H56" i="15"/>
  <c r="H79" i="15"/>
  <c r="L106" i="15"/>
  <c r="M106" i="15" s="1"/>
  <c r="I106" i="15" s="1"/>
  <c r="H149" i="15"/>
  <c r="H157" i="15"/>
  <c r="H163" i="15"/>
  <c r="H170" i="15"/>
  <c r="G189" i="15"/>
  <c r="L240" i="15"/>
  <c r="M140" i="15"/>
  <c r="I140" i="15" s="1"/>
  <c r="M143" i="15"/>
  <c r="I143" i="15" s="1"/>
  <c r="M230" i="15"/>
  <c r="I230" i="15" s="1"/>
  <c r="M264" i="15"/>
  <c r="I264" i="15" s="1"/>
  <c r="D21" i="15"/>
  <c r="G58" i="15"/>
  <c r="G206" i="15"/>
  <c r="M207" i="15"/>
  <c r="I207" i="15" s="1"/>
  <c r="L26" i="15"/>
  <c r="M26" i="15" s="1"/>
  <c r="I26" i="15" s="1"/>
  <c r="H123" i="15"/>
  <c r="G174" i="15"/>
  <c r="M161" i="15"/>
  <c r="I161" i="15" s="1"/>
  <c r="M168" i="15"/>
  <c r="I168" i="15" s="1"/>
  <c r="M121" i="15"/>
  <c r="I121" i="15" s="1"/>
  <c r="M103" i="15"/>
  <c r="I103" i="15" s="1"/>
  <c r="H34" i="15"/>
  <c r="H108" i="15"/>
  <c r="H215" i="15"/>
  <c r="H238" i="15"/>
  <c r="M260" i="15"/>
  <c r="I260" i="15" s="1"/>
  <c r="M31" i="15"/>
  <c r="I31" i="15" s="1"/>
  <c r="M202" i="15"/>
  <c r="I202" i="15" s="1"/>
  <c r="M109" i="15"/>
  <c r="I109" i="15" s="1"/>
  <c r="M216" i="15"/>
  <c r="I216" i="15" s="1"/>
  <c r="G41" i="15"/>
  <c r="H84" i="15"/>
  <c r="H102" i="15"/>
  <c r="H212" i="15"/>
  <c r="M87" i="15"/>
  <c r="I87" i="15" s="1"/>
  <c r="M226" i="15"/>
  <c r="I226" i="15" s="1"/>
  <c r="M6" i="15"/>
  <c r="I6" i="15" s="1"/>
  <c r="H12" i="15"/>
  <c r="H80" i="15"/>
  <c r="M8" i="15"/>
  <c r="I8" i="15" s="1"/>
  <c r="E5" i="15"/>
  <c r="M235" i="15"/>
  <c r="I235" i="15" s="1"/>
  <c r="H235" i="15"/>
  <c r="L236" i="15"/>
  <c r="G236" i="15"/>
  <c r="H179" i="15"/>
  <c r="M179" i="15"/>
  <c r="I179" i="15" s="1"/>
  <c r="M64" i="15"/>
  <c r="I64" i="15" s="1"/>
  <c r="G78" i="15"/>
  <c r="F59" i="15"/>
  <c r="M36" i="15"/>
  <c r="I36" i="15" s="1"/>
  <c r="M135" i="15"/>
  <c r="I135" i="15" s="1"/>
  <c r="D252" i="15"/>
  <c r="M243" i="15"/>
  <c r="I243" i="15" s="1"/>
  <c r="H243" i="15"/>
  <c r="H209" i="15"/>
  <c r="M209" i="15"/>
  <c r="I209" i="15" s="1"/>
  <c r="M90" i="15"/>
  <c r="I90" i="15" s="1"/>
  <c r="H90" i="15"/>
  <c r="H148" i="15"/>
  <c r="M148" i="15"/>
  <c r="I148" i="15" s="1"/>
  <c r="M145" i="15"/>
  <c r="I145" i="15" s="1"/>
  <c r="H145" i="15"/>
  <c r="H133" i="15"/>
  <c r="M133" i="15"/>
  <c r="I133" i="15" s="1"/>
  <c r="C222" i="15"/>
  <c r="M153" i="15"/>
  <c r="I153" i="15" s="1"/>
  <c r="E237" i="15"/>
  <c r="C107" i="15"/>
  <c r="L114" i="15"/>
  <c r="M114" i="15" s="1"/>
  <c r="I114" i="15" s="1"/>
  <c r="G114" i="15"/>
  <c r="M208" i="15"/>
  <c r="I208" i="15" s="1"/>
  <c r="D5" i="15"/>
  <c r="L20" i="15"/>
  <c r="M20" i="15" s="1"/>
  <c r="I20" i="15" s="1"/>
  <c r="M171" i="15"/>
  <c r="I171" i="15" s="1"/>
  <c r="M73" i="15"/>
  <c r="I73" i="15" s="1"/>
  <c r="H101" i="15"/>
  <c r="M101" i="15"/>
  <c r="I101" i="15" s="1"/>
  <c r="M82" i="15"/>
  <c r="I82" i="15" s="1"/>
  <c r="D107" i="15"/>
  <c r="L128" i="15"/>
  <c r="M128" i="15" s="1"/>
  <c r="I128" i="15" s="1"/>
  <c r="M75" i="15"/>
  <c r="I75" i="15" s="1"/>
  <c r="E107" i="15"/>
  <c r="H151" i="15"/>
  <c r="M184" i="15"/>
  <c r="I184" i="15" s="1"/>
  <c r="H184" i="15"/>
  <c r="H249" i="15"/>
  <c r="M249" i="15"/>
  <c r="I249" i="15" s="1"/>
  <c r="M93" i="15"/>
  <c r="I93" i="15" s="1"/>
  <c r="M76" i="15"/>
  <c r="I76" i="15" s="1"/>
  <c r="M83" i="15"/>
  <c r="I83" i="15" s="1"/>
  <c r="M91" i="15"/>
  <c r="I91" i="15" s="1"/>
  <c r="M164" i="15"/>
  <c r="I164" i="15" s="1"/>
  <c r="M193" i="15"/>
  <c r="I193" i="15" s="1"/>
  <c r="H193" i="15"/>
  <c r="M220" i="15"/>
  <c r="I220" i="15" s="1"/>
  <c r="L247" i="15"/>
  <c r="M247" i="15" s="1"/>
  <c r="I247" i="15" s="1"/>
  <c r="M262" i="15"/>
  <c r="I262" i="15" s="1"/>
  <c r="F5" i="15"/>
  <c r="G5" i="15" s="1"/>
  <c r="C21" i="15"/>
  <c r="M25" i="15"/>
  <c r="I25" i="15" s="1"/>
  <c r="M159" i="15"/>
  <c r="I159" i="15" s="1"/>
  <c r="M228" i="15"/>
  <c r="I228" i="15" s="1"/>
  <c r="M253" i="15"/>
  <c r="I253" i="15" s="1"/>
  <c r="H253" i="15"/>
  <c r="H251" i="15"/>
  <c r="M241" i="15"/>
  <c r="I241" i="15" s="1"/>
  <c r="M244" i="15"/>
  <c r="I244" i="15" s="1"/>
  <c r="M27" i="15"/>
  <c r="I27" i="15" s="1"/>
  <c r="M35" i="15"/>
  <c r="I35" i="15" s="1"/>
  <c r="M57" i="15"/>
  <c r="I57" i="15" s="1"/>
  <c r="M81" i="15"/>
  <c r="I81" i="15" s="1"/>
  <c r="M124" i="15"/>
  <c r="I124" i="15" s="1"/>
  <c r="H150" i="15"/>
  <c r="H160" i="15"/>
  <c r="H178" i="15"/>
  <c r="H229" i="15"/>
  <c r="M234" i="15"/>
  <c r="I234" i="15" s="1"/>
  <c r="H234" i="15"/>
  <c r="C237" i="15"/>
  <c r="M245" i="15"/>
  <c r="I245" i="15" s="1"/>
  <c r="G251" i="15"/>
  <c r="M9" i="15"/>
  <c r="I9" i="15" s="1"/>
  <c r="M111" i="15"/>
  <c r="I111" i="15" s="1"/>
  <c r="M233" i="15"/>
  <c r="I233" i="15" s="1"/>
  <c r="M37" i="15"/>
  <c r="I37" i="15" s="1"/>
  <c r="M63" i="15"/>
  <c r="I63" i="15" s="1"/>
  <c r="M89" i="15"/>
  <c r="I89" i="15" s="1"/>
  <c r="M242" i="15"/>
  <c r="I242" i="15" s="1"/>
  <c r="H242" i="15"/>
  <c r="M263" i="15"/>
  <c r="I263" i="15" s="1"/>
  <c r="H263" i="15"/>
  <c r="M141" i="15"/>
  <c r="I141" i="15" s="1"/>
  <c r="H141" i="15"/>
  <c r="M136" i="15"/>
  <c r="I136" i="15" s="1"/>
  <c r="M146" i="15"/>
  <c r="I146" i="15" s="1"/>
  <c r="M154" i="15"/>
  <c r="I154" i="15" s="1"/>
  <c r="M185" i="15"/>
  <c r="I185" i="15" s="1"/>
  <c r="H185" i="15"/>
  <c r="M188" i="15"/>
  <c r="I188" i="15" s="1"/>
  <c r="M155" i="15"/>
  <c r="I155" i="15" s="1"/>
  <c r="M165" i="15"/>
  <c r="I165" i="15" s="1"/>
  <c r="H165" i="15"/>
  <c r="M173" i="15"/>
  <c r="I173" i="15" s="1"/>
  <c r="D206" i="15"/>
  <c r="H187" i="15"/>
  <c r="H219" i="15"/>
  <c r="H224" i="15"/>
  <c r="H11" i="15"/>
  <c r="H24" i="15"/>
  <c r="H130" i="15"/>
  <c r="H156" i="15"/>
  <c r="H166" i="15"/>
  <c r="H192" i="15"/>
  <c r="G252" i="15"/>
  <c r="H44" i="15"/>
  <c r="F107" i="15"/>
  <c r="H22" i="15"/>
  <c r="H32" i="15"/>
  <c r="H54" i="15"/>
  <c r="H78" i="15"/>
  <c r="M115" i="15"/>
  <c r="I115" i="15" s="1"/>
  <c r="G128" i="15"/>
  <c r="H182" i="15"/>
  <c r="M204" i="15"/>
  <c r="I204" i="15" s="1"/>
  <c r="K206" i="15"/>
  <c r="H217" i="15"/>
  <c r="M227" i="15"/>
  <c r="I227" i="15" s="1"/>
  <c r="M255" i="15"/>
  <c r="I255" i="15" s="1"/>
  <c r="M261" i="15"/>
  <c r="I261" i="15" s="1"/>
  <c r="L265" i="15"/>
  <c r="M265" i="15" s="1"/>
  <c r="I265" i="15" s="1"/>
  <c r="G265" i="15"/>
  <c r="G205" i="15"/>
  <c r="G221" i="15"/>
  <c r="K205" i="15"/>
  <c r="L221" i="15"/>
  <c r="M221" i="15" s="1"/>
  <c r="I221" i="15" s="1"/>
  <c r="C190" i="15"/>
  <c r="H39" i="14"/>
  <c r="G89" i="14"/>
  <c r="H252" i="14"/>
  <c r="H234" i="14"/>
  <c r="H239" i="14"/>
  <c r="H163" i="14"/>
  <c r="H161" i="14"/>
  <c r="H208" i="14"/>
  <c r="H168" i="14"/>
  <c r="H156" i="14"/>
  <c r="F21" i="14"/>
  <c r="H36" i="14"/>
  <c r="H255" i="14"/>
  <c r="M159" i="14"/>
  <c r="I159" i="14" s="1"/>
  <c r="G110" i="14"/>
  <c r="H167" i="14"/>
  <c r="H155" i="14"/>
  <c r="H143" i="14"/>
  <c r="H148" i="14"/>
  <c r="H153" i="14"/>
  <c r="H180" i="14"/>
  <c r="H76" i="14"/>
  <c r="H86" i="14"/>
  <c r="H166" i="14"/>
  <c r="M162" i="14"/>
  <c r="I162" i="14" s="1"/>
  <c r="L260" i="14"/>
  <c r="M260" i="14" s="1"/>
  <c r="I260" i="14" s="1"/>
  <c r="H256" i="14"/>
  <c r="H212" i="14"/>
  <c r="H195" i="14"/>
  <c r="H191" i="14"/>
  <c r="H172" i="14"/>
  <c r="H187" i="14"/>
  <c r="H196" i="14"/>
  <c r="H29" i="14"/>
  <c r="H116" i="14"/>
  <c r="H222" i="14"/>
  <c r="H237" i="14"/>
  <c r="E57" i="14"/>
  <c r="H130" i="14"/>
  <c r="H139" i="14"/>
  <c r="H183" i="14"/>
  <c r="M169" i="14"/>
  <c r="I169" i="14" s="1"/>
  <c r="H145" i="14"/>
  <c r="H142" i="14"/>
  <c r="H146" i="14"/>
  <c r="H151" i="14"/>
  <c r="H128" i="14"/>
  <c r="H133" i="14"/>
  <c r="H95" i="14"/>
  <c r="M96" i="14"/>
  <c r="I96" i="14" s="1"/>
  <c r="H82" i="14"/>
  <c r="H83" i="14"/>
  <c r="M87" i="14"/>
  <c r="I87" i="14" s="1"/>
  <c r="H62" i="14"/>
  <c r="H68" i="14"/>
  <c r="H73" i="14"/>
  <c r="H64" i="14"/>
  <c r="H69" i="14"/>
  <c r="H65" i="14"/>
  <c r="H44" i="14"/>
  <c r="H51" i="14"/>
  <c r="H27" i="14"/>
  <c r="H28" i="14"/>
  <c r="H33" i="14"/>
  <c r="H23" i="14"/>
  <c r="H22" i="14"/>
  <c r="M46" i="14"/>
  <c r="I46" i="14" s="1"/>
  <c r="L185" i="14"/>
  <c r="H185" i="14" s="1"/>
  <c r="G231" i="14"/>
  <c r="M254" i="14"/>
  <c r="I254" i="14" s="1"/>
  <c r="H15" i="14"/>
  <c r="L41" i="14"/>
  <c r="M41" i="14" s="1"/>
  <c r="I41" i="14" s="1"/>
  <c r="L246" i="14"/>
  <c r="M246" i="14" s="1"/>
  <c r="I246" i="14" s="1"/>
  <c r="M43" i="14"/>
  <c r="I43" i="14" s="1"/>
  <c r="D21" i="14"/>
  <c r="H58" i="14"/>
  <c r="H66" i="14"/>
  <c r="H152" i="14"/>
  <c r="H173" i="14"/>
  <c r="M189" i="14"/>
  <c r="I189" i="14" s="1"/>
  <c r="H198" i="14"/>
  <c r="M105" i="14"/>
  <c r="I105" i="14" s="1"/>
  <c r="M178" i="14"/>
  <c r="I178" i="14" s="1"/>
  <c r="H121" i="14"/>
  <c r="H177" i="14"/>
  <c r="H249" i="14"/>
  <c r="M149" i="14"/>
  <c r="I149" i="14" s="1"/>
  <c r="H54" i="14"/>
  <c r="H80" i="14"/>
  <c r="H203" i="14"/>
  <c r="H228" i="14"/>
  <c r="M93" i="14"/>
  <c r="I93" i="14" s="1"/>
  <c r="M109" i="14"/>
  <c r="I109" i="14" s="1"/>
  <c r="M226" i="14"/>
  <c r="I226" i="14" s="1"/>
  <c r="H50" i="14"/>
  <c r="H125" i="14"/>
  <c r="M132" i="14"/>
  <c r="I132" i="14" s="1"/>
  <c r="H12" i="14"/>
  <c r="H13" i="14"/>
  <c r="M11" i="14"/>
  <c r="I11" i="14" s="1"/>
  <c r="M34" i="14"/>
  <c r="I34" i="14" s="1"/>
  <c r="M107" i="14"/>
  <c r="I107" i="14" s="1"/>
  <c r="M171" i="14"/>
  <c r="I171" i="14" s="1"/>
  <c r="G216" i="14"/>
  <c r="L110" i="14"/>
  <c r="M110" i="14" s="1"/>
  <c r="I110" i="14" s="1"/>
  <c r="M184" i="14"/>
  <c r="I184" i="14" s="1"/>
  <c r="M37" i="14"/>
  <c r="I37" i="14" s="1"/>
  <c r="M97" i="14"/>
  <c r="I97" i="14" s="1"/>
  <c r="L124" i="14"/>
  <c r="M124" i="14" s="1"/>
  <c r="I124" i="14" s="1"/>
  <c r="M16" i="14"/>
  <c r="I16" i="14" s="1"/>
  <c r="G26" i="14"/>
  <c r="M42" i="14"/>
  <c r="I42" i="14" s="1"/>
  <c r="L89" i="14"/>
  <c r="M89" i="14" s="1"/>
  <c r="I89" i="14" s="1"/>
  <c r="M229" i="14"/>
  <c r="I229" i="14" s="1"/>
  <c r="M129" i="14"/>
  <c r="I129" i="14" s="1"/>
  <c r="M251" i="14"/>
  <c r="I251" i="14" s="1"/>
  <c r="M71" i="14"/>
  <c r="I71" i="14" s="1"/>
  <c r="M197" i="14"/>
  <c r="I197" i="14" s="1"/>
  <c r="M120" i="14"/>
  <c r="I120" i="14" s="1"/>
  <c r="M221" i="14"/>
  <c r="I221" i="14" s="1"/>
  <c r="L216" i="14"/>
  <c r="M216" i="14" s="1"/>
  <c r="I216" i="14" s="1"/>
  <c r="H257" i="14"/>
  <c r="M85" i="14"/>
  <c r="I85" i="14" s="1"/>
  <c r="M100" i="14"/>
  <c r="I100" i="14" s="1"/>
  <c r="M112" i="14"/>
  <c r="I112" i="14" s="1"/>
  <c r="F103" i="14"/>
  <c r="H17" i="14"/>
  <c r="H30" i="14"/>
  <c r="H52" i="14"/>
  <c r="H77" i="14"/>
  <c r="H90" i="14"/>
  <c r="H115" i="14"/>
  <c r="H119" i="14"/>
  <c r="M238" i="14"/>
  <c r="I238" i="14" s="1"/>
  <c r="M211" i="14"/>
  <c r="I211" i="14" s="1"/>
  <c r="H63" i="14"/>
  <c r="H74" i="14"/>
  <c r="H106" i="14"/>
  <c r="H147" i="14"/>
  <c r="L154" i="14"/>
  <c r="M154" i="14" s="1"/>
  <c r="I154" i="14" s="1"/>
  <c r="H175" i="14"/>
  <c r="M181" i="14"/>
  <c r="I181" i="14" s="1"/>
  <c r="H8" i="14"/>
  <c r="H126" i="14"/>
  <c r="H136" i="14"/>
  <c r="H140" i="14"/>
  <c r="H207" i="14"/>
  <c r="F217" i="14"/>
  <c r="G217" i="14" s="1"/>
  <c r="M223" i="14"/>
  <c r="I223" i="14" s="1"/>
  <c r="H227" i="14"/>
  <c r="G242" i="14"/>
  <c r="M24" i="14"/>
  <c r="I24" i="14" s="1"/>
  <c r="M176" i="14"/>
  <c r="I176" i="14" s="1"/>
  <c r="H260" i="14"/>
  <c r="M59" i="14"/>
  <c r="I59" i="14" s="1"/>
  <c r="F57" i="14"/>
  <c r="M101" i="14"/>
  <c r="I101" i="14" s="1"/>
  <c r="H123" i="14"/>
  <c r="M164" i="14"/>
  <c r="I164" i="14" s="1"/>
  <c r="M214" i="14"/>
  <c r="I214" i="14" s="1"/>
  <c r="H214" i="14"/>
  <c r="D186" i="14"/>
  <c r="L200" i="14"/>
  <c r="M200" i="14" s="1"/>
  <c r="I200" i="14" s="1"/>
  <c r="L20" i="14"/>
  <c r="M20" i="14" s="1"/>
  <c r="I20" i="14" s="1"/>
  <c r="G20" i="14"/>
  <c r="M157" i="14"/>
  <c r="I157" i="14" s="1"/>
  <c r="M94" i="14"/>
  <c r="I94" i="14" s="1"/>
  <c r="C5" i="14"/>
  <c r="L170" i="14"/>
  <c r="M170" i="14" s="1"/>
  <c r="I170" i="14" s="1"/>
  <c r="G170" i="14"/>
  <c r="M127" i="14"/>
  <c r="I127" i="14" s="1"/>
  <c r="C103" i="14"/>
  <c r="L138" i="14"/>
  <c r="M138" i="14" s="1"/>
  <c r="I138" i="14" s="1"/>
  <c r="L26" i="14"/>
  <c r="M26" i="14" s="1"/>
  <c r="I26" i="14" s="1"/>
  <c r="D103" i="14"/>
  <c r="G185" i="14"/>
  <c r="M32" i="14"/>
  <c r="I32" i="14" s="1"/>
  <c r="H32" i="14"/>
  <c r="G41" i="14"/>
  <c r="M241" i="14"/>
  <c r="I241" i="14" s="1"/>
  <c r="H182" i="14"/>
  <c r="M182" i="14"/>
  <c r="I182" i="14" s="1"/>
  <c r="D57" i="14"/>
  <c r="L60" i="14"/>
  <c r="M60" i="14" s="1"/>
  <c r="I60" i="14" s="1"/>
  <c r="G60" i="14"/>
  <c r="H99" i="14"/>
  <c r="G102" i="14"/>
  <c r="L102" i="14"/>
  <c r="M102" i="14" s="1"/>
  <c r="I102" i="14" s="1"/>
  <c r="E186" i="14"/>
  <c r="K200" i="14"/>
  <c r="H67" i="14"/>
  <c r="M67" i="14"/>
  <c r="I67" i="14" s="1"/>
  <c r="M70" i="14"/>
  <c r="I70" i="14" s="1"/>
  <c r="G200" i="14"/>
  <c r="M209" i="14"/>
  <c r="I209" i="14" s="1"/>
  <c r="M40" i="14"/>
  <c r="I40" i="14" s="1"/>
  <c r="M185" i="14"/>
  <c r="I185" i="14" s="1"/>
  <c r="H55" i="14"/>
  <c r="M55" i="14"/>
  <c r="I55" i="14" s="1"/>
  <c r="M224" i="14"/>
  <c r="I224" i="14" s="1"/>
  <c r="M25" i="14"/>
  <c r="I25" i="14" s="1"/>
  <c r="C21" i="14"/>
  <c r="L56" i="14"/>
  <c r="M56" i="14" s="1"/>
  <c r="I56" i="14" s="1"/>
  <c r="G56" i="14"/>
  <c r="M61" i="14"/>
  <c r="I61" i="14" s="1"/>
  <c r="E21" i="14"/>
  <c r="H35" i="14"/>
  <c r="M35" i="14"/>
  <c r="I35" i="14" s="1"/>
  <c r="H92" i="14"/>
  <c r="M92" i="14"/>
  <c r="I92" i="14" s="1"/>
  <c r="M219" i="14"/>
  <c r="I219" i="14" s="1"/>
  <c r="M9" i="14"/>
  <c r="I9" i="14" s="1"/>
  <c r="M38" i="14"/>
  <c r="I38" i="14" s="1"/>
  <c r="M49" i="14"/>
  <c r="I49" i="14" s="1"/>
  <c r="C57" i="14"/>
  <c r="L75" i="14"/>
  <c r="M75" i="14" s="1"/>
  <c r="I75" i="14" s="1"/>
  <c r="M84" i="14"/>
  <c r="I84" i="14" s="1"/>
  <c r="G186" i="14"/>
  <c r="M192" i="14"/>
  <c r="I192" i="14" s="1"/>
  <c r="M6" i="14"/>
  <c r="I6" i="14" s="1"/>
  <c r="H45" i="14"/>
  <c r="M72" i="14"/>
  <c r="I72" i="14" s="1"/>
  <c r="H215" i="14"/>
  <c r="G138" i="14"/>
  <c r="M150" i="14"/>
  <c r="I150" i="14" s="1"/>
  <c r="G75" i="14"/>
  <c r="H7" i="14"/>
  <c r="M7" i="14"/>
  <c r="I7" i="14" s="1"/>
  <c r="M10" i="14"/>
  <c r="I10" i="14" s="1"/>
  <c r="G124" i="14"/>
  <c r="G154" i="14"/>
  <c r="E201" i="14"/>
  <c r="F201" i="14"/>
  <c r="G201" i="14" s="1"/>
  <c r="M81" i="14"/>
  <c r="I81" i="14" s="1"/>
  <c r="H114" i="14"/>
  <c r="H134" i="14"/>
  <c r="H190" i="14"/>
  <c r="M190" i="14"/>
  <c r="I190" i="14" s="1"/>
  <c r="H141" i="14"/>
  <c r="M141" i="14"/>
  <c r="I141" i="14" s="1"/>
  <c r="M193" i="14"/>
  <c r="I193" i="14" s="1"/>
  <c r="C232" i="14"/>
  <c r="L235" i="14"/>
  <c r="D217" i="14"/>
  <c r="L231" i="14"/>
  <c r="M231" i="14" s="1"/>
  <c r="I231" i="14" s="1"/>
  <c r="M205" i="14"/>
  <c r="I205" i="14" s="1"/>
  <c r="M245" i="14"/>
  <c r="I245" i="14" s="1"/>
  <c r="M144" i="14"/>
  <c r="I144" i="14" s="1"/>
  <c r="H213" i="14"/>
  <c r="M213" i="14"/>
  <c r="I213" i="14" s="1"/>
  <c r="E103" i="14"/>
  <c r="M199" i="14"/>
  <c r="I199" i="14" s="1"/>
  <c r="G235" i="14"/>
  <c r="H78" i="14"/>
  <c r="M78" i="14"/>
  <c r="I78" i="14" s="1"/>
  <c r="M165" i="14"/>
  <c r="I165" i="14" s="1"/>
  <c r="H117" i="14"/>
  <c r="M117" i="14"/>
  <c r="I117" i="14" s="1"/>
  <c r="H137" i="14"/>
  <c r="M137" i="14"/>
  <c r="I137" i="14" s="1"/>
  <c r="L242" i="14"/>
  <c r="C247" i="14"/>
  <c r="M230" i="14"/>
  <c r="I230" i="14" s="1"/>
  <c r="H258" i="14"/>
  <c r="G260" i="14"/>
  <c r="H194" i="14"/>
  <c r="H218" i="14"/>
  <c r="H233" i="14"/>
  <c r="H259" i="14"/>
  <c r="H23" i="13"/>
  <c r="D57" i="13"/>
  <c r="L26" i="13"/>
  <c r="M26" i="13" s="1"/>
  <c r="M27" i="13"/>
  <c r="H113" i="13"/>
  <c r="H40" i="13"/>
  <c r="H39" i="13"/>
  <c r="M25" i="13"/>
  <c r="I25" i="13" s="1"/>
  <c r="M24" i="13"/>
  <c r="I24" i="13" s="1"/>
  <c r="G184" i="13"/>
  <c r="G169" i="13"/>
  <c r="G41" i="13"/>
  <c r="H30" i="13"/>
  <c r="H29" i="13"/>
  <c r="H93" i="13"/>
  <c r="G20" i="13"/>
  <c r="E21" i="13"/>
  <c r="M108" i="13"/>
  <c r="I108" i="13" s="1"/>
  <c r="H111" i="13"/>
  <c r="H18" i="13"/>
  <c r="H105" i="13"/>
  <c r="H235" i="13"/>
  <c r="I22" i="13"/>
  <c r="I29" i="13"/>
  <c r="H32" i="13"/>
  <c r="M118" i="13"/>
  <c r="I118" i="13" s="1"/>
  <c r="G138" i="13"/>
  <c r="H17" i="13"/>
  <c r="H28" i="13"/>
  <c r="E57" i="13"/>
  <c r="H95" i="13"/>
  <c r="F283" i="13"/>
  <c r="M172" i="13"/>
  <c r="I172" i="13" s="1"/>
  <c r="M15" i="13"/>
  <c r="I15" i="13" s="1"/>
  <c r="H31" i="13"/>
  <c r="H74" i="13"/>
  <c r="G89" i="13"/>
  <c r="G102" i="13"/>
  <c r="H109" i="13"/>
  <c r="H141" i="13"/>
  <c r="K199" i="13"/>
  <c r="H253" i="13"/>
  <c r="M247" i="13"/>
  <c r="I247" i="13" s="1"/>
  <c r="H222" i="13"/>
  <c r="H208" i="13"/>
  <c r="M207" i="13"/>
  <c r="I207" i="13" s="1"/>
  <c r="H212" i="13"/>
  <c r="H190" i="13"/>
  <c r="M196" i="13"/>
  <c r="I196" i="13" s="1"/>
  <c r="M189" i="13"/>
  <c r="I189" i="13" s="1"/>
  <c r="H197" i="13"/>
  <c r="M170" i="13"/>
  <c r="I170" i="13" s="1"/>
  <c r="H173" i="13"/>
  <c r="H176" i="13"/>
  <c r="H178" i="13"/>
  <c r="H165" i="13"/>
  <c r="H167" i="13"/>
  <c r="M161" i="13"/>
  <c r="I161" i="13" s="1"/>
  <c r="M159" i="13"/>
  <c r="I159" i="13" s="1"/>
  <c r="H162" i="13"/>
  <c r="H139" i="13"/>
  <c r="H145" i="13"/>
  <c r="M152" i="13"/>
  <c r="I152" i="13" s="1"/>
  <c r="M150" i="13"/>
  <c r="I150" i="13" s="1"/>
  <c r="C103" i="13"/>
  <c r="D103" i="13"/>
  <c r="G124" i="13"/>
  <c r="M122" i="13"/>
  <c r="I122" i="13" s="1"/>
  <c r="M94" i="13"/>
  <c r="I94" i="13" s="1"/>
  <c r="H99" i="13"/>
  <c r="M77" i="13"/>
  <c r="I77" i="13" s="1"/>
  <c r="H78" i="13"/>
  <c r="H80" i="13"/>
  <c r="M71" i="13"/>
  <c r="I71" i="13" s="1"/>
  <c r="M64" i="13"/>
  <c r="I64" i="13" s="1"/>
  <c r="H43" i="13"/>
  <c r="H47" i="13"/>
  <c r="M12" i="13"/>
  <c r="I12" i="13" s="1"/>
  <c r="L20" i="13"/>
  <c r="M20" i="13" s="1"/>
  <c r="I20" i="13" s="1"/>
  <c r="M219" i="13"/>
  <c r="I219" i="13" s="1"/>
  <c r="M19" i="13"/>
  <c r="I19" i="13" s="1"/>
  <c r="M37" i="13"/>
  <c r="I37" i="13" s="1"/>
  <c r="L75" i="13"/>
  <c r="M75" i="13" s="1"/>
  <c r="I75" i="13" s="1"/>
  <c r="H224" i="13"/>
  <c r="M117" i="13"/>
  <c r="I117" i="13" s="1"/>
  <c r="L230" i="13"/>
  <c r="M230" i="13" s="1"/>
  <c r="I230" i="13" s="1"/>
  <c r="M136" i="13"/>
  <c r="I136" i="13" s="1"/>
  <c r="M232" i="13"/>
  <c r="I232" i="13" s="1"/>
  <c r="M252" i="13"/>
  <c r="I252" i="13" s="1"/>
  <c r="M85" i="13"/>
  <c r="I85" i="13" s="1"/>
  <c r="M126" i="13"/>
  <c r="I126" i="13" s="1"/>
  <c r="M206" i="13"/>
  <c r="I206" i="13" s="1"/>
  <c r="H36" i="13"/>
  <c r="M131" i="13"/>
  <c r="I131" i="13" s="1"/>
  <c r="H211" i="13"/>
  <c r="M51" i="13"/>
  <c r="I51" i="13" s="1"/>
  <c r="M194" i="13"/>
  <c r="I194" i="13" s="1"/>
  <c r="M229" i="13"/>
  <c r="I229" i="13" s="1"/>
  <c r="H81" i="13"/>
  <c r="H90" i="13"/>
  <c r="H116" i="13"/>
  <c r="M180" i="13"/>
  <c r="I180" i="13" s="1"/>
  <c r="L215" i="13"/>
  <c r="M215" i="13" s="1"/>
  <c r="I215" i="13" s="1"/>
  <c r="H227" i="13"/>
  <c r="D21" i="13"/>
  <c r="M134" i="13"/>
  <c r="I134" i="13" s="1"/>
  <c r="H9" i="13"/>
  <c r="H69" i="13"/>
  <c r="H83" i="13"/>
  <c r="H142" i="13"/>
  <c r="H149" i="13"/>
  <c r="L234" i="13"/>
  <c r="M234" i="13" s="1"/>
  <c r="I234" i="13" s="1"/>
  <c r="G241" i="13"/>
  <c r="H250" i="13"/>
  <c r="G259" i="13"/>
  <c r="H10" i="13"/>
  <c r="M16" i="13"/>
  <c r="I16" i="13" s="1"/>
  <c r="I30" i="13"/>
  <c r="M33" i="13"/>
  <c r="I33" i="13" s="1"/>
  <c r="M38" i="13"/>
  <c r="I38" i="13" s="1"/>
  <c r="H48" i="13"/>
  <c r="H53" i="13"/>
  <c r="M54" i="13"/>
  <c r="I54" i="13" s="1"/>
  <c r="G56" i="13"/>
  <c r="H61" i="13"/>
  <c r="H66" i="13"/>
  <c r="M67" i="13"/>
  <c r="I67" i="13" s="1"/>
  <c r="M88" i="13"/>
  <c r="I88" i="13" s="1"/>
  <c r="H101" i="13"/>
  <c r="G110" i="13"/>
  <c r="H125" i="13"/>
  <c r="M144" i="13"/>
  <c r="I144" i="13" s="1"/>
  <c r="M164" i="13"/>
  <c r="I164" i="13" s="1"/>
  <c r="M175" i="13"/>
  <c r="I175" i="13" s="1"/>
  <c r="H181" i="13"/>
  <c r="H186" i="13"/>
  <c r="H191" i="13"/>
  <c r="C200" i="13"/>
  <c r="K200" i="13" s="1"/>
  <c r="M210" i="13"/>
  <c r="I210" i="13" s="1"/>
  <c r="C231" i="13"/>
  <c r="G231" i="13" s="1"/>
  <c r="H236" i="13"/>
  <c r="H244" i="13"/>
  <c r="L245" i="13"/>
  <c r="M245" i="13" s="1"/>
  <c r="I245" i="13" s="1"/>
  <c r="L259" i="13"/>
  <c r="M259" i="13" s="1"/>
  <c r="I259" i="13" s="1"/>
  <c r="M8" i="13"/>
  <c r="I8" i="13" s="1"/>
  <c r="M11" i="13"/>
  <c r="I11" i="13" s="1"/>
  <c r="G26" i="13"/>
  <c r="H45" i="13"/>
  <c r="M46" i="13"/>
  <c r="I46" i="13" s="1"/>
  <c r="H50" i="13"/>
  <c r="M59" i="13"/>
  <c r="I59" i="13" s="1"/>
  <c r="H63" i="13"/>
  <c r="M72" i="13"/>
  <c r="I72" i="13" s="1"/>
  <c r="H91" i="13"/>
  <c r="H96" i="13"/>
  <c r="H107" i="13"/>
  <c r="H114" i="13"/>
  <c r="H119" i="13"/>
  <c r="H183" i="13"/>
  <c r="H203" i="13"/>
  <c r="C246" i="13"/>
  <c r="G246" i="13" s="1"/>
  <c r="H254" i="13"/>
  <c r="H256" i="13"/>
  <c r="H42" i="13"/>
  <c r="H55" i="13"/>
  <c r="L60" i="13"/>
  <c r="M60" i="13" s="1"/>
  <c r="I60" i="13" s="1"/>
  <c r="H68" i="13"/>
  <c r="H98" i="13"/>
  <c r="H104" i="13"/>
  <c r="H121" i="13"/>
  <c r="H147" i="13"/>
  <c r="H156" i="13"/>
  <c r="M221" i="13"/>
  <c r="I221" i="13" s="1"/>
  <c r="H238" i="13"/>
  <c r="H86" i="13"/>
  <c r="M128" i="13"/>
  <c r="I128" i="13" s="1"/>
  <c r="M188" i="13"/>
  <c r="I188" i="13" s="1"/>
  <c r="G185" i="13"/>
  <c r="M7" i="13"/>
  <c r="I7" i="13" s="1"/>
  <c r="F21" i="13"/>
  <c r="M34" i="13"/>
  <c r="I34" i="13" s="1"/>
  <c r="C57" i="13"/>
  <c r="G60" i="13"/>
  <c r="M84" i="13"/>
  <c r="I84" i="13" s="1"/>
  <c r="L110" i="13"/>
  <c r="M110" i="13" s="1"/>
  <c r="I110" i="13" s="1"/>
  <c r="H127" i="13"/>
  <c r="M130" i="13"/>
  <c r="I130" i="13" s="1"/>
  <c r="G199" i="13"/>
  <c r="H255" i="13"/>
  <c r="C21" i="13"/>
  <c r="M76" i="13"/>
  <c r="I76" i="13" s="1"/>
  <c r="L102" i="13"/>
  <c r="M102" i="13" s="1"/>
  <c r="I102" i="13" s="1"/>
  <c r="L184" i="13"/>
  <c r="M184" i="13" s="1"/>
  <c r="I184" i="13" s="1"/>
  <c r="H192" i="13"/>
  <c r="H157" i="13"/>
  <c r="C5" i="13"/>
  <c r="M13" i="13"/>
  <c r="I13" i="13" s="1"/>
  <c r="I26" i="13"/>
  <c r="I27" i="13"/>
  <c r="M35" i="13"/>
  <c r="I35" i="13" s="1"/>
  <c r="M44" i="13"/>
  <c r="I44" i="13" s="1"/>
  <c r="M52" i="13"/>
  <c r="I52" i="13" s="1"/>
  <c r="L56" i="13"/>
  <c r="M56" i="13" s="1"/>
  <c r="I56" i="13" s="1"/>
  <c r="M65" i="13"/>
  <c r="I65" i="13" s="1"/>
  <c r="M73" i="13"/>
  <c r="I73" i="13" s="1"/>
  <c r="M82" i="13"/>
  <c r="I82" i="13" s="1"/>
  <c r="M92" i="13"/>
  <c r="I92" i="13" s="1"/>
  <c r="M100" i="13"/>
  <c r="I100" i="13" s="1"/>
  <c r="M106" i="13"/>
  <c r="I106" i="13" s="1"/>
  <c r="M115" i="13"/>
  <c r="I115" i="13" s="1"/>
  <c r="M123" i="13"/>
  <c r="I123" i="13" s="1"/>
  <c r="H155" i="13"/>
  <c r="M155" i="13"/>
  <c r="I155" i="13" s="1"/>
  <c r="G75" i="13"/>
  <c r="H132" i="13"/>
  <c r="M168" i="13"/>
  <c r="I168" i="13" s="1"/>
  <c r="H168" i="13"/>
  <c r="H6" i="13"/>
  <c r="H14" i="13"/>
  <c r="L41" i="13"/>
  <c r="M41" i="13" s="1"/>
  <c r="I41" i="13" s="1"/>
  <c r="L89" i="13"/>
  <c r="L124" i="13"/>
  <c r="M124" i="13" s="1"/>
  <c r="I124" i="13" s="1"/>
  <c r="M160" i="13"/>
  <c r="I160" i="13" s="1"/>
  <c r="H160" i="13"/>
  <c r="G216" i="13"/>
  <c r="M49" i="13"/>
  <c r="I49" i="13" s="1"/>
  <c r="M58" i="13"/>
  <c r="I58" i="13" s="1"/>
  <c r="M62" i="13"/>
  <c r="I62" i="13" s="1"/>
  <c r="M70" i="13"/>
  <c r="I70" i="13" s="1"/>
  <c r="M79" i="13"/>
  <c r="I79" i="13" s="1"/>
  <c r="M87" i="13"/>
  <c r="I87" i="13" s="1"/>
  <c r="M97" i="13"/>
  <c r="I97" i="13" s="1"/>
  <c r="E103" i="13"/>
  <c r="M112" i="13"/>
  <c r="I112" i="13" s="1"/>
  <c r="M120" i="13"/>
  <c r="I120" i="13" s="1"/>
  <c r="M133" i="13"/>
  <c r="I133" i="13" s="1"/>
  <c r="M140" i="13"/>
  <c r="I140" i="13" s="1"/>
  <c r="H140" i="13"/>
  <c r="H143" i="13"/>
  <c r="M143" i="13"/>
  <c r="I143" i="13" s="1"/>
  <c r="F103" i="13"/>
  <c r="M129" i="13"/>
  <c r="I129" i="13" s="1"/>
  <c r="M146" i="13"/>
  <c r="I146" i="13" s="1"/>
  <c r="G154" i="13"/>
  <c r="L154" i="13"/>
  <c r="F57" i="13"/>
  <c r="M171" i="13"/>
  <c r="I171" i="13" s="1"/>
  <c r="H171" i="13"/>
  <c r="H135" i="13"/>
  <c r="M135" i="13"/>
  <c r="I135" i="13" s="1"/>
  <c r="H137" i="13"/>
  <c r="L138" i="13"/>
  <c r="M138" i="13" s="1"/>
  <c r="I138" i="13" s="1"/>
  <c r="M148" i="13"/>
  <c r="I148" i="13" s="1"/>
  <c r="H148" i="13"/>
  <c r="H151" i="13"/>
  <c r="M151" i="13"/>
  <c r="I151" i="13" s="1"/>
  <c r="H153" i="13"/>
  <c r="H158" i="13"/>
  <c r="M158" i="13"/>
  <c r="I158" i="13" s="1"/>
  <c r="L169" i="13"/>
  <c r="M169" i="13" s="1"/>
  <c r="I169" i="13" s="1"/>
  <c r="L185" i="13"/>
  <c r="M185" i="13" s="1"/>
  <c r="I185" i="13" s="1"/>
  <c r="M258" i="13"/>
  <c r="I258" i="13" s="1"/>
  <c r="M166" i="13"/>
  <c r="I166" i="13" s="1"/>
  <c r="M177" i="13"/>
  <c r="I177" i="13" s="1"/>
  <c r="M193" i="13"/>
  <c r="I193" i="13" s="1"/>
  <c r="M201" i="13"/>
  <c r="I201" i="13" s="1"/>
  <c r="M202" i="13"/>
  <c r="I202" i="13" s="1"/>
  <c r="H205" i="13"/>
  <c r="M213" i="13"/>
  <c r="I213" i="13" s="1"/>
  <c r="M214" i="13"/>
  <c r="I214" i="13" s="1"/>
  <c r="M218" i="13"/>
  <c r="I218" i="13" s="1"/>
  <c r="M226" i="13"/>
  <c r="I226" i="13" s="1"/>
  <c r="G230" i="13"/>
  <c r="M240" i="13"/>
  <c r="I240" i="13" s="1"/>
  <c r="M243" i="13"/>
  <c r="I243" i="13" s="1"/>
  <c r="M249" i="13"/>
  <c r="I249" i="13" s="1"/>
  <c r="M257" i="13"/>
  <c r="I257" i="13" s="1"/>
  <c r="H179" i="13"/>
  <c r="H187" i="13"/>
  <c r="H195" i="13"/>
  <c r="H204" i="13"/>
  <c r="G215" i="13"/>
  <c r="D216" i="13"/>
  <c r="M217" i="13"/>
  <c r="I217" i="13" s="1"/>
  <c r="H220" i="13"/>
  <c r="M225" i="13"/>
  <c r="I225" i="13" s="1"/>
  <c r="H228" i="13"/>
  <c r="H233" i="13"/>
  <c r="M239" i="13"/>
  <c r="I239" i="13" s="1"/>
  <c r="L241" i="13"/>
  <c r="M242" i="13"/>
  <c r="I242" i="13" s="1"/>
  <c r="M248" i="13"/>
  <c r="I248" i="13" s="1"/>
  <c r="H251" i="13"/>
  <c r="M163" i="13"/>
  <c r="I163" i="13" s="1"/>
  <c r="M174" i="13"/>
  <c r="I174" i="13" s="1"/>
  <c r="M182" i="13"/>
  <c r="I182" i="13" s="1"/>
  <c r="M198" i="13"/>
  <c r="I198" i="13" s="1"/>
  <c r="L199" i="13"/>
  <c r="M199" i="13" s="1"/>
  <c r="I199" i="13" s="1"/>
  <c r="M209" i="13"/>
  <c r="I209" i="13" s="1"/>
  <c r="M223" i="13"/>
  <c r="I223" i="13" s="1"/>
  <c r="M237" i="13"/>
  <c r="I237" i="13" s="1"/>
  <c r="C17" i="3"/>
  <c r="D65" i="4"/>
  <c r="F64" i="4"/>
  <c r="E64" i="4" a="1"/>
  <c r="E64" i="4" s="1"/>
  <c r="A64" i="4"/>
  <c r="E63" i="4" a="1"/>
  <c r="E63" i="4" s="1"/>
  <c r="A63" i="4"/>
  <c r="E62" i="4" a="1"/>
  <c r="E62" i="4" s="1"/>
  <c r="A62" i="4"/>
  <c r="E61" i="4" a="1"/>
  <c r="E61" i="4" s="1"/>
  <c r="A61" i="4"/>
  <c r="E60" i="4" a="1"/>
  <c r="E60" i="4" s="1"/>
  <c r="A60" i="4"/>
  <c r="E59" i="4" a="1"/>
  <c r="E59" i="4" s="1"/>
  <c r="A59" i="4"/>
  <c r="E58" i="4" a="1"/>
  <c r="E58" i="4" s="1"/>
  <c r="A58" i="4"/>
  <c r="E57" i="4" a="1"/>
  <c r="E57" i="4" s="1"/>
  <c r="A57" i="4"/>
  <c r="E56" i="4" a="1"/>
  <c r="E56" i="4" s="1"/>
  <c r="A56" i="4"/>
  <c r="E55" i="4" a="1"/>
  <c r="E55" i="4" s="1"/>
  <c r="A55" i="4"/>
  <c r="F54" i="4"/>
  <c r="E54" i="4" a="1"/>
  <c r="E54" i="4" s="1"/>
  <c r="A54" i="4"/>
  <c r="E53" i="4" a="1"/>
  <c r="E53" i="4" s="1"/>
  <c r="A53" i="4"/>
  <c r="A52" i="4"/>
  <c r="E49" i="4" a="1"/>
  <c r="E49" i="4" s="1"/>
  <c r="A49" i="4"/>
  <c r="E48" i="4" a="1"/>
  <c r="E48" i="4" s="1"/>
  <c r="A48" i="4"/>
  <c r="E47" i="4" a="1"/>
  <c r="E47" i="4" s="1"/>
  <c r="A47" i="4"/>
  <c r="F46" i="4"/>
  <c r="E46" i="4" a="1"/>
  <c r="E46" i="4" s="1"/>
  <c r="A46" i="4"/>
  <c r="E45" i="4" a="1"/>
  <c r="E45" i="4" s="1"/>
  <c r="A45" i="4"/>
  <c r="E44" i="4" a="1"/>
  <c r="E44" i="4" s="1"/>
  <c r="A44" i="4"/>
  <c r="E43" i="4" a="1"/>
  <c r="E43" i="4" s="1"/>
  <c r="A43" i="4"/>
  <c r="E42" i="4" a="1"/>
  <c r="E42" i="4" s="1"/>
  <c r="A42" i="4"/>
  <c r="F41" i="4"/>
  <c r="E41" i="4" a="1"/>
  <c r="E41" i="4" s="1"/>
  <c r="A41" i="4"/>
  <c r="E40" i="4" a="1"/>
  <c r="E40" i="4" s="1"/>
  <c r="A40" i="4"/>
  <c r="A39" i="4"/>
  <c r="A38" i="4"/>
  <c r="E36" i="4" a="1"/>
  <c r="E36" i="4" s="1"/>
  <c r="A36" i="4"/>
  <c r="E35" i="4" a="1"/>
  <c r="E35" i="4" s="1"/>
  <c r="A35" i="4"/>
  <c r="F34" i="4"/>
  <c r="E34" i="4" a="1"/>
  <c r="E34" i="4" s="1"/>
  <c r="A34" i="4"/>
  <c r="E33" i="4" a="1"/>
  <c r="E33" i="4" s="1"/>
  <c r="A33" i="4"/>
  <c r="E32" i="4" a="1"/>
  <c r="E32" i="4" s="1"/>
  <c r="A32" i="4"/>
  <c r="E31" i="4" a="1"/>
  <c r="E31" i="4" s="1"/>
  <c r="A31" i="4"/>
  <c r="E30" i="4" a="1"/>
  <c r="E30" i="4" s="1"/>
  <c r="A30" i="4"/>
  <c r="E29" i="4" a="1"/>
  <c r="E29" i="4" s="1"/>
  <c r="A29" i="4"/>
  <c r="E28" i="4" a="1"/>
  <c r="E28" i="4" s="1"/>
  <c r="A28" i="4"/>
  <c r="E27" i="4" a="1"/>
  <c r="E27" i="4" s="1"/>
  <c r="A27" i="4"/>
  <c r="E26" i="4" a="1"/>
  <c r="E26" i="4" s="1"/>
  <c r="A26" i="4"/>
  <c r="E25" i="4" a="1"/>
  <c r="E25" i="4" s="1"/>
  <c r="A25" i="4"/>
  <c r="E24" i="4" a="1"/>
  <c r="E24" i="4" s="1"/>
  <c r="A24" i="4"/>
  <c r="E23" i="4" a="1"/>
  <c r="E23" i="4" s="1"/>
  <c r="A23" i="4"/>
  <c r="F22" i="4"/>
  <c r="E22" i="4" a="1"/>
  <c r="E22" i="4" s="1"/>
  <c r="A22" i="4"/>
  <c r="E21" i="4" a="1"/>
  <c r="E21" i="4" s="1"/>
  <c r="A21" i="4"/>
  <c r="E19" i="4" a="1"/>
  <c r="E19" i="4" s="1"/>
  <c r="A19" i="4"/>
  <c r="E18" i="4" a="1"/>
  <c r="E18" i="4" s="1"/>
  <c r="A18" i="4"/>
  <c r="E17" i="4" a="1"/>
  <c r="E17" i="4" s="1"/>
  <c r="A17" i="4"/>
  <c r="A16" i="4"/>
  <c r="E14" i="4" a="1"/>
  <c r="E14" i="4" s="1"/>
  <c r="A14" i="4"/>
  <c r="E13" i="4" a="1"/>
  <c r="E13" i="4" s="1"/>
  <c r="A13" i="4"/>
  <c r="A12" i="4"/>
  <c r="A11" i="4"/>
  <c r="A8" i="4"/>
  <c r="A7" i="4"/>
  <c r="A5" i="4"/>
  <c r="A4" i="4"/>
  <c r="A3" i="4"/>
  <c r="A2" i="4"/>
  <c r="D35" i="3"/>
  <c r="C35" i="3"/>
  <c r="I17" i="3"/>
  <c r="D17" i="3"/>
  <c r="H279" i="22" l="1"/>
  <c r="F312" i="21"/>
  <c r="H21" i="21"/>
  <c r="G312" i="21"/>
  <c r="G279" i="21"/>
  <c r="H248" i="21"/>
  <c r="H63" i="21"/>
  <c r="H113" i="21"/>
  <c r="M264" i="21"/>
  <c r="I264" i="21" s="1"/>
  <c r="H264" i="21"/>
  <c r="L279" i="21"/>
  <c r="M279" i="21" s="1"/>
  <c r="I279" i="21" s="1"/>
  <c r="H243" i="20"/>
  <c r="G307" i="20"/>
  <c r="F307" i="20"/>
  <c r="H111" i="20"/>
  <c r="H5" i="20"/>
  <c r="M21" i="20"/>
  <c r="I21" i="20" s="1"/>
  <c r="H21" i="20"/>
  <c r="M62" i="20"/>
  <c r="I62" i="20" s="1"/>
  <c r="H62" i="20"/>
  <c r="L274" i="20"/>
  <c r="G274" i="20"/>
  <c r="H21" i="19"/>
  <c r="H111" i="19"/>
  <c r="H62" i="19"/>
  <c r="G307" i="19"/>
  <c r="F307" i="19"/>
  <c r="G274" i="19"/>
  <c r="H195" i="19"/>
  <c r="L274" i="19"/>
  <c r="M274" i="19" s="1"/>
  <c r="I274" i="19" s="1"/>
  <c r="H257" i="18"/>
  <c r="M257" i="18"/>
  <c r="I257" i="18" s="1"/>
  <c r="H241" i="18"/>
  <c r="M241" i="18"/>
  <c r="I241" i="18" s="1"/>
  <c r="H226" i="18"/>
  <c r="L272" i="18"/>
  <c r="M272" i="18" s="1"/>
  <c r="I272" i="18" s="1"/>
  <c r="G272" i="18"/>
  <c r="F305" i="18"/>
  <c r="H110" i="18"/>
  <c r="H21" i="18"/>
  <c r="G305" i="18"/>
  <c r="G271" i="17"/>
  <c r="H210" i="17"/>
  <c r="H110" i="17"/>
  <c r="M241" i="17"/>
  <c r="I241" i="17" s="1"/>
  <c r="H241" i="17"/>
  <c r="F304" i="17"/>
  <c r="H5" i="17"/>
  <c r="G304" i="17"/>
  <c r="M21" i="17"/>
  <c r="I21" i="17" s="1"/>
  <c r="H21" i="17"/>
  <c r="M194" i="17"/>
  <c r="I194" i="17" s="1"/>
  <c r="H194" i="17"/>
  <c r="H257" i="17"/>
  <c r="M257" i="17"/>
  <c r="I257" i="17" s="1"/>
  <c r="M107" i="16"/>
  <c r="I107" i="16" s="1"/>
  <c r="H5" i="16"/>
  <c r="F269" i="16"/>
  <c r="H143" i="16"/>
  <c r="G239" i="16"/>
  <c r="H191" i="16"/>
  <c r="M176" i="16"/>
  <c r="I176" i="16" s="1"/>
  <c r="H268" i="16"/>
  <c r="K208" i="16"/>
  <c r="H208" i="16"/>
  <c r="H58" i="16"/>
  <c r="M223" i="16"/>
  <c r="I223" i="16" s="1"/>
  <c r="E301" i="16"/>
  <c r="M207" i="16"/>
  <c r="I207" i="16" s="1"/>
  <c r="H93" i="16"/>
  <c r="C301" i="16"/>
  <c r="H20" i="16"/>
  <c r="I208" i="16"/>
  <c r="M239" i="16"/>
  <c r="I239" i="16" s="1"/>
  <c r="D301" i="16"/>
  <c r="G192" i="16"/>
  <c r="E269" i="16"/>
  <c r="H79" i="16"/>
  <c r="H26" i="16"/>
  <c r="G108" i="16"/>
  <c r="L108" i="16"/>
  <c r="M108" i="16" s="1"/>
  <c r="I108" i="16" s="1"/>
  <c r="H242" i="16"/>
  <c r="M242" i="16"/>
  <c r="I242" i="16" s="1"/>
  <c r="C269" i="16"/>
  <c r="G59" i="16"/>
  <c r="L59" i="16"/>
  <c r="M59" i="16" s="1"/>
  <c r="I59" i="16" s="1"/>
  <c r="M115" i="16"/>
  <c r="I115" i="16" s="1"/>
  <c r="H115" i="16"/>
  <c r="H160" i="16"/>
  <c r="H41" i="16"/>
  <c r="L255" i="16"/>
  <c r="H254" i="16"/>
  <c r="M254" i="16"/>
  <c r="I254" i="16" s="1"/>
  <c r="H62" i="16"/>
  <c r="M62" i="16"/>
  <c r="I62" i="16" s="1"/>
  <c r="H238" i="16"/>
  <c r="M238" i="16"/>
  <c r="I238" i="16" s="1"/>
  <c r="G21" i="16"/>
  <c r="L21" i="16"/>
  <c r="M21" i="16" s="1"/>
  <c r="I21" i="16" s="1"/>
  <c r="H224" i="16"/>
  <c r="H129" i="16"/>
  <c r="D269" i="16"/>
  <c r="H192" i="16"/>
  <c r="M250" i="16"/>
  <c r="I250" i="16" s="1"/>
  <c r="H250" i="16"/>
  <c r="H58" i="15"/>
  <c r="H142" i="15"/>
  <c r="H205" i="15"/>
  <c r="L59" i="15"/>
  <c r="M62" i="15"/>
  <c r="I62" i="15" s="1"/>
  <c r="H189" i="15"/>
  <c r="H174" i="15"/>
  <c r="H92" i="15"/>
  <c r="H26" i="15"/>
  <c r="H221" i="15"/>
  <c r="H158" i="15"/>
  <c r="M59" i="15"/>
  <c r="I59" i="15" s="1"/>
  <c r="H59" i="15"/>
  <c r="M240" i="15"/>
  <c r="I240" i="15" s="1"/>
  <c r="H240" i="15"/>
  <c r="D266" i="15"/>
  <c r="H41" i="15"/>
  <c r="H106" i="15"/>
  <c r="D297" i="15"/>
  <c r="L5" i="15"/>
  <c r="M5" i="15" s="1"/>
  <c r="I5" i="15" s="1"/>
  <c r="E297" i="15"/>
  <c r="F266" i="15"/>
  <c r="G59" i="15"/>
  <c r="G190" i="15"/>
  <c r="L190" i="15"/>
  <c r="G21" i="15"/>
  <c r="L21" i="15"/>
  <c r="H236" i="15"/>
  <c r="M236" i="15"/>
  <c r="I236" i="15" s="1"/>
  <c r="L222" i="15"/>
  <c r="G222" i="15"/>
  <c r="L237" i="15"/>
  <c r="G237" i="15"/>
  <c r="H114" i="15"/>
  <c r="H265" i="15"/>
  <c r="L107" i="15"/>
  <c r="M107" i="15" s="1"/>
  <c r="I107" i="15" s="1"/>
  <c r="G107" i="15"/>
  <c r="H247" i="15"/>
  <c r="L206" i="15"/>
  <c r="M206" i="15" s="1"/>
  <c r="I206" i="15" s="1"/>
  <c r="L252" i="15"/>
  <c r="M252" i="15" s="1"/>
  <c r="I252" i="15" s="1"/>
  <c r="E266" i="15"/>
  <c r="C297" i="15"/>
  <c r="H128" i="15"/>
  <c r="C266" i="15"/>
  <c r="H20" i="15"/>
  <c r="H246" i="14"/>
  <c r="H41" i="14"/>
  <c r="H216" i="14"/>
  <c r="D290" i="14"/>
  <c r="H75" i="14"/>
  <c r="H124" i="14"/>
  <c r="H60" i="14"/>
  <c r="H89" i="14"/>
  <c r="H154" i="14"/>
  <c r="H102" i="14"/>
  <c r="H170" i="14"/>
  <c r="H110" i="14"/>
  <c r="L21" i="14"/>
  <c r="G21" i="14"/>
  <c r="L186" i="14"/>
  <c r="M186" i="14" s="1"/>
  <c r="I186" i="14" s="1"/>
  <c r="M235" i="14"/>
  <c r="I235" i="14" s="1"/>
  <c r="H235" i="14"/>
  <c r="K201" i="14"/>
  <c r="H200" i="14"/>
  <c r="L247" i="14"/>
  <c r="G247" i="14"/>
  <c r="H56" i="14"/>
  <c r="C290" i="14"/>
  <c r="L5" i="14"/>
  <c r="G5" i="14"/>
  <c r="H20" i="14"/>
  <c r="E261" i="14"/>
  <c r="H242" i="14"/>
  <c r="M242" i="14"/>
  <c r="I242" i="14" s="1"/>
  <c r="L201" i="14"/>
  <c r="C261" i="14"/>
  <c r="G57" i="14"/>
  <c r="L57" i="14"/>
  <c r="M57" i="14" s="1"/>
  <c r="I57" i="14" s="1"/>
  <c r="H138" i="14"/>
  <c r="L217" i="14"/>
  <c r="M217" i="14" s="1"/>
  <c r="I217" i="14" s="1"/>
  <c r="H26" i="14"/>
  <c r="G232" i="14"/>
  <c r="L232" i="14"/>
  <c r="L103" i="14"/>
  <c r="M103" i="14" s="1"/>
  <c r="I103" i="14" s="1"/>
  <c r="G103" i="14"/>
  <c r="E290" i="14"/>
  <c r="F261" i="14"/>
  <c r="D261" i="14"/>
  <c r="H231" i="14"/>
  <c r="H245" i="13"/>
  <c r="H215" i="13"/>
  <c r="L21" i="13"/>
  <c r="M21" i="13" s="1"/>
  <c r="H234" i="13"/>
  <c r="H60" i="13"/>
  <c r="E260" i="13"/>
  <c r="H20" i="13"/>
  <c r="H259" i="13"/>
  <c r="H230" i="13"/>
  <c r="G103" i="13"/>
  <c r="L57" i="13"/>
  <c r="H57" i="13" s="1"/>
  <c r="H75" i="13"/>
  <c r="D260" i="13"/>
  <c r="I21" i="13"/>
  <c r="L246" i="13"/>
  <c r="M246" i="13" s="1"/>
  <c r="I246" i="13" s="1"/>
  <c r="H41" i="13"/>
  <c r="G200" i="13"/>
  <c r="L200" i="13"/>
  <c r="M200" i="13" s="1"/>
  <c r="I200" i="13" s="1"/>
  <c r="L216" i="13"/>
  <c r="M216" i="13" s="1"/>
  <c r="I216" i="13" s="1"/>
  <c r="H184" i="13"/>
  <c r="C260" i="13"/>
  <c r="H138" i="13"/>
  <c r="H102" i="13"/>
  <c r="H124" i="13"/>
  <c r="H110" i="13"/>
  <c r="L231" i="13"/>
  <c r="H231" i="13" s="1"/>
  <c r="G21" i="13"/>
  <c r="D288" i="13"/>
  <c r="H169" i="13"/>
  <c r="H26" i="13"/>
  <c r="L103" i="13"/>
  <c r="F260" i="13"/>
  <c r="E288" i="13"/>
  <c r="H89" i="13"/>
  <c r="M89" i="13"/>
  <c r="I89" i="13" s="1"/>
  <c r="H199" i="13"/>
  <c r="C288" i="13"/>
  <c r="L5" i="13"/>
  <c r="G5" i="13"/>
  <c r="H56" i="13"/>
  <c r="H241" i="13"/>
  <c r="M241" i="13"/>
  <c r="I241" i="13" s="1"/>
  <c r="H185" i="13"/>
  <c r="G57" i="13"/>
  <c r="M154" i="13"/>
  <c r="I154" i="13" s="1"/>
  <c r="H154" i="13"/>
  <c r="F35" i="3"/>
  <c r="H35" i="3" s="1"/>
  <c r="D36" i="3"/>
  <c r="F17" i="3"/>
  <c r="H17" i="3" s="1"/>
  <c r="C36" i="3"/>
  <c r="H279" i="21" l="1"/>
  <c r="M274" i="20"/>
  <c r="I274" i="20" s="1"/>
  <c r="H274" i="20"/>
  <c r="H274" i="19"/>
  <c r="H272" i="18"/>
  <c r="H59" i="16"/>
  <c r="G301" i="16"/>
  <c r="F301" i="16"/>
  <c r="H21" i="16"/>
  <c r="M255" i="16"/>
  <c r="I255" i="16" s="1"/>
  <c r="H255" i="16"/>
  <c r="L269" i="16"/>
  <c r="M269" i="16" s="1"/>
  <c r="I269" i="16" s="1"/>
  <c r="G269" i="16"/>
  <c r="H108" i="16"/>
  <c r="H5" i="15"/>
  <c r="H206" i="15"/>
  <c r="F297" i="15"/>
  <c r="H107" i="15"/>
  <c r="M222" i="15"/>
  <c r="I222" i="15" s="1"/>
  <c r="H222" i="15"/>
  <c r="M21" i="15"/>
  <c r="I21" i="15" s="1"/>
  <c r="H21" i="15"/>
  <c r="G297" i="15"/>
  <c r="H252" i="15"/>
  <c r="M190" i="15"/>
  <c r="I190" i="15" s="1"/>
  <c r="H190" i="15"/>
  <c r="G266" i="15"/>
  <c r="L266" i="15"/>
  <c r="H237" i="15"/>
  <c r="M237" i="15"/>
  <c r="I237" i="15" s="1"/>
  <c r="H103" i="14"/>
  <c r="F290" i="14"/>
  <c r="M5" i="14"/>
  <c r="I5" i="14" s="1"/>
  <c r="H5" i="14"/>
  <c r="H217" i="14"/>
  <c r="M201" i="14"/>
  <c r="I201" i="14" s="1"/>
  <c r="H201" i="14"/>
  <c r="H186" i="14"/>
  <c r="H57" i="14"/>
  <c r="M21" i="14"/>
  <c r="I21" i="14" s="1"/>
  <c r="H21" i="14"/>
  <c r="M247" i="14"/>
  <c r="I247" i="14" s="1"/>
  <c r="H247" i="14"/>
  <c r="L261" i="14"/>
  <c r="M261" i="14" s="1"/>
  <c r="I261" i="14" s="1"/>
  <c r="G261" i="14"/>
  <c r="H232" i="14"/>
  <c r="M232" i="14"/>
  <c r="I232" i="14" s="1"/>
  <c r="G290" i="14"/>
  <c r="H21" i="13"/>
  <c r="H246" i="13"/>
  <c r="H216" i="13"/>
  <c r="H200" i="13"/>
  <c r="M57" i="13"/>
  <c r="I57" i="13" s="1"/>
  <c r="L260" i="13"/>
  <c r="H260" i="13" s="1"/>
  <c r="G260" i="13"/>
  <c r="F288" i="13"/>
  <c r="M231" i="13"/>
  <c r="I231" i="13" s="1"/>
  <c r="M103" i="13"/>
  <c r="I103" i="13" s="1"/>
  <c r="H103" i="13"/>
  <c r="G288" i="13"/>
  <c r="H5" i="13"/>
  <c r="M5" i="13"/>
  <c r="I5" i="13" s="1"/>
  <c r="H37" i="3"/>
  <c r="F36" i="3"/>
  <c r="H269" i="16" l="1"/>
  <c r="M266" i="15"/>
  <c r="I266" i="15" s="1"/>
  <c r="H266" i="15"/>
  <c r="H261" i="14"/>
  <c r="M260" i="13"/>
  <c r="I260" i="13" s="1"/>
  <c r="E240" i="17"/>
  <c r="L240" i="17" s="1"/>
  <c r="M240" i="17" l="1"/>
  <c r="H240" i="17"/>
  <c r="I240" i="17"/>
  <c r="E226" i="17"/>
  <c r="E271" i="17" l="1"/>
  <c r="L271" i="17" s="1"/>
  <c r="H271" i="17" s="1"/>
  <c r="L226" i="17"/>
  <c r="M271" i="17" l="1"/>
  <c r="I271" i="17" s="1"/>
  <c r="H226" i="17"/>
  <c r="M226" i="17"/>
  <c r="I226" i="1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<sst xmlns="http://schemas.openxmlformats.org/spreadsheetml/2006/main" count="3763" uniqueCount="96">
  <si>
    <t>DIA</t>
  </si>
  <si>
    <t>Supervisor</t>
  </si>
  <si>
    <t>LINEA</t>
  </si>
  <si>
    <t>Valor Venta Neta</t>
  </si>
  <si>
    <t>Valor Devolución</t>
  </si>
  <si>
    <t>Valor notas PAC y EXTRAPAC</t>
  </si>
  <si>
    <t>Valor presupuesto</t>
  </si>
  <si>
    <t>% Cump Ventas</t>
  </si>
  <si>
    <t>Pec Dev/Vta</t>
  </si>
  <si>
    <t>Pec DSC/Vta</t>
  </si>
  <si>
    <t>Categoria</t>
  </si>
  <si>
    <t>Nombre vendedor</t>
  </si>
  <si>
    <t>(LINEA)</t>
  </si>
  <si>
    <t>Valor venta neta</t>
  </si>
  <si>
    <t>Valor devolucion</t>
  </si>
  <si>
    <t>%  Cump Ventas</t>
  </si>
  <si>
    <t>CLIENTES NACIONALES</t>
  </si>
  <si>
    <t>Totales</t>
  </si>
  <si>
    <t>044 - BLEND TRADICION</t>
  </si>
  <si>
    <t>100 - CAFÉ ESPECIAL</t>
  </si>
  <si>
    <t>112 - CAFÉ ORGANICO</t>
  </si>
  <si>
    <t>113 - CAFÉ GOURMET</t>
  </si>
  <si>
    <t>130 - GALLETAS CAFECITAS</t>
  </si>
  <si>
    <t>131 - GALLETAS AVENA</t>
  </si>
  <si>
    <t>140 - MERENGUES</t>
  </si>
  <si>
    <t>141 - AREQUIPE</t>
  </si>
  <si>
    <t>147 - CAPSULAS</t>
  </si>
  <si>
    <t>148 - CARAMELOS</t>
  </si>
  <si>
    <t>160 - SOUVENIR</t>
  </si>
  <si>
    <t>172 - CAFÉ COSECHA</t>
  </si>
  <si>
    <t>176 - CAFE DESCAFEINADO</t>
  </si>
  <si>
    <t>205 - GASTOS LOGIST</t>
  </si>
  <si>
    <t>Totals</t>
  </si>
  <si>
    <t>DIRECTOR FOOD SERVICE PREMIUM</t>
  </si>
  <si>
    <t>017 - GRANOS, HARINAS Y VERDURAS</t>
  </si>
  <si>
    <t>VENTAS FSP</t>
  </si>
  <si>
    <t>062 - DESECHABLES</t>
  </si>
  <si>
    <t>VIP CENTRO ORIENTE</t>
  </si>
  <si>
    <t>114 - CAFÉ CONSUMO</t>
  </si>
  <si>
    <t>161 - PASTELERIA</t>
  </si>
  <si>
    <t>VIP SUR OCCIDENTE</t>
  </si>
  <si>
    <t>DIRECTOR VENTAS BOGOTA</t>
  </si>
  <si>
    <t>031 - EMPAQUES</t>
  </si>
  <si>
    <t>VENTAS BOGOTA</t>
  </si>
  <si>
    <t>VENTAS BOGOTA 1</t>
  </si>
  <si>
    <t>VENTAS BOGOTA 2</t>
  </si>
  <si>
    <t>VENTAS BOGOTA 3</t>
  </si>
  <si>
    <t>DIRECTOR VENTAS EJE CAFETERO</t>
  </si>
  <si>
    <t>VENTAS EJE CAFETERO</t>
  </si>
  <si>
    <t>VENTAS MANIZALES</t>
  </si>
  <si>
    <t>162 - CONVENIOS Y DSC POS </t>
  </si>
  <si>
    <t>VENTAS PEREIRA</t>
  </si>
  <si>
    <t>VENTAS QUINDIO 1</t>
  </si>
  <si>
    <t>VENTAS QUINDIO 2</t>
  </si>
  <si>
    <t>VENTAS QUINDIO 3</t>
  </si>
  <si>
    <t xml:space="preserve">EJECUTIVO COSTA </t>
  </si>
  <si>
    <t>VENTAS CARTAGENA</t>
  </si>
  <si>
    <t>EJECUTIVO MEDELLIN</t>
  </si>
  <si>
    <t>VENTAS MEDELLIN</t>
  </si>
  <si>
    <t>EJECUTIVO CALI</t>
  </si>
  <si>
    <t>VENTAS CALI</t>
  </si>
  <si>
    <t>GERENCIA COMERCIAL</t>
  </si>
  <si>
    <t>015 - BEBIDAS TIENDAS</t>
  </si>
  <si>
    <t>AMAR RIAÑO AURA PATRICIA</t>
  </si>
  <si>
    <t>VENDEDOR GERENCIA COMERCIAL</t>
  </si>
  <si>
    <t>VENTAS EMPLEADOS</t>
  </si>
  <si>
    <t>KEY ACCOUNT MANAGER</t>
  </si>
  <si>
    <t>TOTALES</t>
  </si>
  <si>
    <t xml:space="preserve"> </t>
  </si>
  <si>
    <t>ACUMULADO NACIONAL</t>
  </si>
  <si>
    <t>VENDEDOR</t>
  </si>
  <si>
    <t>VENTAS</t>
  </si>
  <si>
    <t>PRESUPUESTO</t>
  </si>
  <si>
    <t>SUBCATEGORIA</t>
  </si>
  <si>
    <t>VENTAS COSTA</t>
  </si>
  <si>
    <t>TOTAL COSTA</t>
  </si>
  <si>
    <t>175 - MAQUINAS</t>
  </si>
  <si>
    <t>TOTAL MEDELLIN</t>
  </si>
  <si>
    <t xml:space="preserve">TOTAL </t>
  </si>
  <si>
    <t>CUMPLIMIENTO VARIABLE COMISION</t>
  </si>
  <si>
    <t>CONCATENADO</t>
  </si>
  <si>
    <t>Razón Social</t>
  </si>
  <si>
    <t>Valor Venta</t>
  </si>
  <si>
    <t>Subcategoria</t>
  </si>
  <si>
    <t>ALMACENES EXITO S.A.</t>
  </si>
  <si>
    <t>BRECCIA SALUD S A S</t>
  </si>
  <si>
    <t>CADENA COMERCIAL OXXO COLOMBIA S.A.S</t>
  </si>
  <si>
    <t>CENCOSUD COLOMBIA S.A.</t>
  </si>
  <si>
    <t>COLOMBIANA DE COMERCIO S.A.</t>
  </si>
  <si>
    <t>FARMATODO COLOMBIA S.A</t>
  </si>
  <si>
    <t>MAKRO SUPERMAYORISTA S.A.S</t>
  </si>
  <si>
    <t>SUPERTIENDAS Y DROGUERIAS OLIMPICA S.A.</t>
  </si>
  <si>
    <t>203 - PRICESMART</t>
  </si>
  <si>
    <t>162 - N/A</t>
  </si>
  <si>
    <t>g</t>
  </si>
  <si>
    <t>025 - REEMPACADOS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</si>
</sst>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\ #,##0;\-&quot;$&quot;\ #,##0"/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#,##0.0"/>
    <numFmt numFmtId="166" formatCode="0.0%"/>
    <numFmt numFmtId="167" formatCode="&quot;$&quot;#,###."/>
    <numFmt numFmtId="168" formatCode="&quot;$&quot;#,###.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Segoe UI"/>
      <family val="2"/>
    </font>
    <font>
      <b/>
      <sz val="12"/>
      <color rgb="FFFFFFFF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0"/>
      <color rgb="FFFFFFFF"/>
      <name val="Verdana"/>
      <family val="2"/>
    </font>
    <font>
      <b/>
      <sz val="10"/>
      <color rgb="FFFFFFFF"/>
      <name val="Calibri  "/>
    </font>
    <font>
      <sz val="10"/>
      <color theme="1"/>
      <name val="Calibri"/>
      <family val="2"/>
      <scheme val="minor"/>
    </font>
    <font>
      <sz val="10"/>
      <color rgb="FF000000"/>
      <name val="Verdana"/>
      <family val="2"/>
    </font>
    <font>
      <sz val="10"/>
      <color rgb="FF000000"/>
      <name val="Calibri  "/>
    </font>
    <font>
      <b/>
      <sz val="10"/>
      <color rgb="FF000000"/>
      <name val="Verdana"/>
      <family val="2"/>
    </font>
    <font>
      <b/>
      <sz val="10"/>
      <color rgb="FF000000"/>
      <name val="Calibri  "/>
    </font>
    <font>
      <b/>
      <sz val="10"/>
      <color theme="1"/>
      <name val="Calibri"/>
      <family val="2"/>
      <scheme val="minor"/>
    </font>
    <font>
      <sz val="10"/>
      <color theme="1"/>
      <name val="Calibri  "/>
    </font>
    <font>
      <b/>
      <sz val="10"/>
      <color theme="1"/>
      <name val="Calibri  "/>
    </font>
  </fonts>
  <fills count="18">
    <fill>
      <patternFill patternType="none"/>
    </fill>
    <fill>
      <patternFill patternType="gray125"/>
    </fill>
    <fill>
      <patternFill patternType="solid">
        <fgColor rgb="FFD4D0C8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3A6EA5"/>
        <bgColor indexed="64"/>
      </patternFill>
    </fill>
    <fill>
      <patternFill patternType="solid">
        <fgColor rgb="FFF2F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2FCFF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2">
    <xf numFmtId="0" fontId="0" fillId="0" borderId="0" xfId="0"/>
    <xf numFmtId="164" fontId="3" fillId="3" borderId="3" xfId="1" applyNumberFormat="1" applyFont="1" applyFill="1" applyBorder="1" applyAlignment="1">
      <alignment horizontal="left" vertical="top" wrapText="1"/>
    </xf>
    <xf numFmtId="164" fontId="3" fillId="3" borderId="3" xfId="1" applyNumberFormat="1" applyFont="1" applyFill="1" applyBorder="1" applyAlignment="1">
      <alignment vertical="top" wrapText="1"/>
    </xf>
    <xf numFmtId="9" fontId="3" fillId="3" borderId="4" xfId="2" applyFont="1" applyFill="1" applyBorder="1" applyAlignment="1">
      <alignment horizontal="left" vertical="top" wrapText="1"/>
    </xf>
    <xf numFmtId="9" fontId="4" fillId="4" borderId="5" xfId="2" applyFont="1" applyFill="1" applyBorder="1" applyAlignment="1">
      <alignment horizontal="center" vertical="top" wrapText="1"/>
    </xf>
    <xf numFmtId="9" fontId="4" fillId="5" borderId="0" xfId="2" applyFont="1" applyFill="1" applyBorder="1" applyAlignment="1">
      <alignment horizontal="center" vertical="top" wrapText="1"/>
    </xf>
    <xf numFmtId="0" fontId="5" fillId="0" borderId="0" xfId="0" applyFont="1"/>
    <xf numFmtId="10" fontId="4" fillId="4" borderId="7" xfId="2" applyNumberFormat="1" applyFont="1" applyFill="1" applyBorder="1" applyAlignment="1">
      <alignment horizontal="center" wrapText="1"/>
    </xf>
    <xf numFmtId="13" fontId="4" fillId="4" borderId="10" xfId="2" applyNumberFormat="1" applyFont="1" applyFill="1" applyBorder="1" applyAlignment="1">
      <alignment horizontal="center" vertical="top" wrapText="1"/>
    </xf>
    <xf numFmtId="13" fontId="4" fillId="5" borderId="0" xfId="2" applyNumberFormat="1" applyFont="1" applyFill="1" applyBorder="1" applyAlignment="1">
      <alignment horizontal="center" vertical="top" wrapText="1"/>
    </xf>
    <xf numFmtId="2" fontId="5" fillId="0" borderId="0" xfId="0" applyNumberFormat="1" applyFont="1"/>
    <xf numFmtId="49" fontId="7" fillId="3" borderId="11" xfId="0" applyNumberFormat="1" applyFont="1" applyFill="1" applyBorder="1" applyAlignment="1">
      <alignment horizontal="center" vertical="center"/>
    </xf>
    <xf numFmtId="49" fontId="7" fillId="3" borderId="12" xfId="0" applyNumberFormat="1" applyFont="1" applyFill="1" applyBorder="1" applyAlignment="1">
      <alignment horizontal="center" vertical="center" wrapText="1"/>
    </xf>
    <xf numFmtId="164" fontId="7" fillId="3" borderId="13" xfId="1" applyNumberFormat="1" applyFont="1" applyFill="1" applyBorder="1" applyAlignment="1">
      <alignment horizontal="center" vertical="center"/>
    </xf>
    <xf numFmtId="164" fontId="7" fillId="3" borderId="13" xfId="1" applyNumberFormat="1" applyFont="1" applyFill="1" applyBorder="1" applyAlignment="1">
      <alignment horizontal="center" vertical="center" wrapText="1"/>
    </xf>
    <xf numFmtId="9" fontId="7" fillId="3" borderId="13" xfId="2" applyFont="1" applyFill="1" applyBorder="1" applyAlignment="1">
      <alignment horizontal="center" vertical="center"/>
    </xf>
    <xf numFmtId="9" fontId="7" fillId="3" borderId="14" xfId="2" applyFont="1" applyFill="1" applyBorder="1" applyAlignment="1">
      <alignment horizontal="center" vertical="center" wrapText="1"/>
    </xf>
    <xf numFmtId="9" fontId="7" fillId="3" borderId="15" xfId="2" applyFont="1" applyFill="1" applyBorder="1" applyAlignment="1">
      <alignment horizontal="center" vertical="center" wrapText="1"/>
    </xf>
    <xf numFmtId="9" fontId="7" fillId="3" borderId="0" xfId="2" applyFont="1" applyFill="1" applyBorder="1" applyAlignment="1">
      <alignment horizontal="center" vertical="center" wrapText="1"/>
    </xf>
    <xf numFmtId="49" fontId="7" fillId="3" borderId="6" xfId="0" applyNumberFormat="1" applyFont="1" applyFill="1" applyBorder="1" applyAlignment="1">
      <alignment horizontal="center" vertical="top" wrapText="1"/>
    </xf>
    <xf numFmtId="165" fontId="7" fillId="3" borderId="7" xfId="0" applyNumberFormat="1" applyFont="1" applyFill="1" applyBorder="1" applyAlignment="1">
      <alignment horizontal="center" vertical="top" wrapText="1"/>
    </xf>
    <xf numFmtId="164" fontId="7" fillId="3" borderId="7" xfId="1" applyNumberFormat="1" applyFont="1" applyFill="1" applyBorder="1" applyAlignment="1">
      <alignment horizontal="center" vertical="top" wrapText="1"/>
    </xf>
    <xf numFmtId="9" fontId="7" fillId="3" borderId="7" xfId="2" applyFont="1" applyFill="1" applyBorder="1" applyAlignment="1">
      <alignment horizontal="center" vertical="top"/>
    </xf>
    <xf numFmtId="166" fontId="7" fillId="5" borderId="7" xfId="2" applyNumberFormat="1" applyFont="1" applyFill="1" applyBorder="1" applyAlignment="1">
      <alignment horizontal="right" vertical="top" wrapText="1"/>
    </xf>
    <xf numFmtId="166" fontId="7" fillId="5" borderId="16" xfId="2" applyNumberFormat="1" applyFont="1" applyFill="1" applyBorder="1" applyAlignment="1">
      <alignment horizontal="right" vertical="top" wrapText="1"/>
    </xf>
    <xf numFmtId="166" fontId="7" fillId="5" borderId="0" xfId="2" applyNumberFormat="1" applyFont="1" applyFill="1" applyBorder="1" applyAlignment="1">
      <alignment horizontal="right" vertical="top" wrapText="1"/>
    </xf>
    <xf numFmtId="0" fontId="8" fillId="0" borderId="0" xfId="0" applyFont="1"/>
    <xf numFmtId="164" fontId="5" fillId="0" borderId="0" xfId="0" applyNumberFormat="1" applyFont="1"/>
    <xf numFmtId="49" fontId="2" fillId="5" borderId="6" xfId="0" applyNumberFormat="1" applyFont="1" applyFill="1" applyBorder="1" applyAlignment="1">
      <alignment vertical="top"/>
    </xf>
    <xf numFmtId="49" fontId="2" fillId="5" borderId="7" xfId="0" applyNumberFormat="1" applyFont="1" applyFill="1" applyBorder="1" applyAlignment="1">
      <alignment horizontal="left" vertical="top"/>
    </xf>
    <xf numFmtId="164" fontId="2" fillId="5" borderId="7" xfId="1" applyNumberFormat="1" applyFont="1" applyFill="1" applyBorder="1" applyAlignment="1">
      <alignment horizontal="right" vertical="top" wrapText="1"/>
    </xf>
    <xf numFmtId="10" fontId="7" fillId="5" borderId="7" xfId="2" applyNumberFormat="1" applyFont="1" applyFill="1" applyBorder="1"/>
    <xf numFmtId="0" fontId="9" fillId="0" borderId="0" xfId="0" applyFont="1" applyAlignment="1">
      <alignment vertical="center"/>
    </xf>
    <xf numFmtId="0" fontId="5" fillId="4" borderId="17" xfId="0" applyFont="1" applyFill="1" applyBorder="1"/>
    <xf numFmtId="49" fontId="6" fillId="4" borderId="18" xfId="0" applyNumberFormat="1" applyFont="1" applyFill="1" applyBorder="1" applyAlignment="1">
      <alignment horizontal="left" vertical="top"/>
    </xf>
    <xf numFmtId="164" fontId="6" fillId="4" borderId="18" xfId="1" applyNumberFormat="1" applyFont="1" applyFill="1" applyBorder="1" applyAlignment="1">
      <alignment horizontal="right" vertical="top" wrapText="1"/>
    </xf>
    <xf numFmtId="164" fontId="6" fillId="4" borderId="19" xfId="1" applyNumberFormat="1" applyFont="1" applyFill="1" applyBorder="1" applyAlignment="1">
      <alignment horizontal="right" vertical="top" wrapText="1"/>
    </xf>
    <xf numFmtId="10" fontId="5" fillId="4" borderId="7" xfId="2" applyNumberFormat="1" applyFont="1" applyFill="1" applyBorder="1"/>
    <xf numFmtId="49" fontId="6" fillId="4" borderId="11" xfId="0" applyNumberFormat="1" applyFont="1" applyFill="1" applyBorder="1" applyAlignment="1">
      <alignment horizontal="left" vertical="top"/>
    </xf>
    <xf numFmtId="49" fontId="6" fillId="4" borderId="19" xfId="0" applyNumberFormat="1" applyFont="1" applyFill="1" applyBorder="1" applyAlignment="1">
      <alignment horizontal="left" vertical="top"/>
    </xf>
    <xf numFmtId="165" fontId="7" fillId="3" borderId="20" xfId="0" applyNumberFormat="1" applyFont="1" applyFill="1" applyBorder="1" applyAlignment="1">
      <alignment horizontal="center" vertical="top" wrapText="1"/>
    </xf>
    <xf numFmtId="164" fontId="7" fillId="3" borderId="12" xfId="1" applyNumberFormat="1" applyFont="1" applyFill="1" applyBorder="1" applyAlignment="1">
      <alignment horizontal="center" vertical="top" wrapText="1"/>
    </xf>
    <xf numFmtId="10" fontId="7" fillId="3" borderId="21" xfId="2" applyNumberFormat="1" applyFont="1" applyFill="1" applyBorder="1" applyAlignment="1">
      <alignment horizontal="center" vertical="top" wrapText="1"/>
    </xf>
    <xf numFmtId="166" fontId="7" fillId="5" borderId="21" xfId="2" applyNumberFormat="1" applyFont="1" applyFill="1" applyBorder="1" applyAlignment="1">
      <alignment horizontal="right" vertical="top" wrapText="1"/>
    </xf>
    <xf numFmtId="49" fontId="6" fillId="4" borderId="17" xfId="0" applyNumberFormat="1" applyFont="1" applyFill="1" applyBorder="1" applyAlignment="1">
      <alignment horizontal="left" vertical="top"/>
    </xf>
    <xf numFmtId="49" fontId="6" fillId="4" borderId="7" xfId="0" applyNumberFormat="1" applyFont="1" applyFill="1" applyBorder="1" applyAlignment="1">
      <alignment horizontal="left" vertical="top"/>
    </xf>
    <xf numFmtId="164" fontId="6" fillId="4" borderId="7" xfId="1" applyNumberFormat="1" applyFont="1" applyFill="1" applyBorder="1" applyAlignment="1">
      <alignment horizontal="right" vertical="top" wrapText="1"/>
    </xf>
    <xf numFmtId="164" fontId="6" fillId="4" borderId="22" xfId="1" applyNumberFormat="1" applyFont="1" applyFill="1" applyBorder="1" applyAlignment="1">
      <alignment horizontal="right" vertical="top" wrapText="1"/>
    </xf>
    <xf numFmtId="164" fontId="6" fillId="4" borderId="23" xfId="1" applyNumberFormat="1" applyFont="1" applyFill="1" applyBorder="1" applyAlignment="1">
      <alignment horizontal="right" vertical="top" wrapText="1"/>
    </xf>
    <xf numFmtId="10" fontId="5" fillId="4" borderId="21" xfId="2" applyNumberFormat="1" applyFont="1" applyFill="1" applyBorder="1"/>
    <xf numFmtId="164" fontId="6" fillId="4" borderId="24" xfId="1" applyNumberFormat="1" applyFont="1" applyFill="1" applyBorder="1" applyAlignment="1">
      <alignment horizontal="right" vertical="top" wrapText="1"/>
    </xf>
    <xf numFmtId="164" fontId="6" fillId="4" borderId="25" xfId="1" applyNumberFormat="1" applyFont="1" applyFill="1" applyBorder="1" applyAlignment="1">
      <alignment horizontal="right" vertical="top" wrapText="1"/>
    </xf>
    <xf numFmtId="49" fontId="7" fillId="3" borderId="26" xfId="0" applyNumberFormat="1" applyFont="1" applyFill="1" applyBorder="1" applyAlignment="1">
      <alignment horizontal="center" vertical="top" wrapText="1"/>
    </xf>
    <xf numFmtId="164" fontId="7" fillId="3" borderId="24" xfId="1" applyNumberFormat="1" applyFont="1" applyFill="1" applyBorder="1" applyAlignment="1">
      <alignment horizontal="center" vertical="top" wrapText="1"/>
    </xf>
    <xf numFmtId="164" fontId="7" fillId="3" borderId="13" xfId="1" applyNumberFormat="1" applyFont="1" applyFill="1" applyBorder="1" applyAlignment="1">
      <alignment horizontal="center" vertical="top" wrapText="1"/>
    </xf>
    <xf numFmtId="10" fontId="7" fillId="3" borderId="7" xfId="2" applyNumberFormat="1" applyFont="1" applyFill="1" applyBorder="1" applyAlignment="1">
      <alignment horizontal="center" vertical="top" wrapText="1"/>
    </xf>
    <xf numFmtId="165" fontId="7" fillId="3" borderId="24" xfId="0" applyNumberFormat="1" applyFont="1" applyFill="1" applyBorder="1" applyAlignment="1">
      <alignment horizontal="center" vertical="top" wrapText="1"/>
    </xf>
    <xf numFmtId="164" fontId="7" fillId="3" borderId="27" xfId="1" applyNumberFormat="1" applyFont="1" applyFill="1" applyBorder="1" applyAlignment="1">
      <alignment horizontal="center" vertical="top" wrapText="1"/>
    </xf>
    <xf numFmtId="164" fontId="7" fillId="3" borderId="28" xfId="1" applyNumberFormat="1" applyFont="1" applyFill="1" applyBorder="1" applyAlignment="1">
      <alignment horizontal="center" vertical="top" wrapText="1"/>
    </xf>
    <xf numFmtId="49" fontId="6" fillId="4" borderId="11" xfId="0" applyNumberFormat="1" applyFont="1" applyFill="1" applyBorder="1" applyAlignment="1">
      <alignment horizontal="left" vertical="top" wrapText="1"/>
    </xf>
    <xf numFmtId="167" fontId="6" fillId="4" borderId="19" xfId="1" applyNumberFormat="1" applyFont="1" applyFill="1" applyBorder="1" applyAlignment="1">
      <alignment horizontal="right" vertical="top" wrapText="1"/>
    </xf>
    <xf numFmtId="49" fontId="6" fillId="4" borderId="13" xfId="0" applyNumberFormat="1" applyFont="1" applyFill="1" applyBorder="1" applyAlignment="1">
      <alignment horizontal="left" vertical="top"/>
    </xf>
    <xf numFmtId="164" fontId="8" fillId="0" borderId="0" xfId="0" applyNumberFormat="1" applyFont="1"/>
    <xf numFmtId="49" fontId="2" fillId="5" borderId="29" xfId="0" applyNumberFormat="1" applyFont="1" applyFill="1" applyBorder="1" applyAlignment="1">
      <alignment vertical="top"/>
    </xf>
    <xf numFmtId="49" fontId="2" fillId="5" borderId="30" xfId="0" applyNumberFormat="1" applyFont="1" applyFill="1" applyBorder="1" applyAlignment="1">
      <alignment horizontal="left" vertical="top"/>
    </xf>
    <xf numFmtId="164" fontId="2" fillId="5" borderId="30" xfId="1" applyNumberFormat="1" applyFont="1" applyFill="1" applyBorder="1" applyAlignment="1">
      <alignment horizontal="right" vertical="top" wrapText="1"/>
    </xf>
    <xf numFmtId="10" fontId="7" fillId="5" borderId="30" xfId="2" applyNumberFormat="1" applyFont="1" applyFill="1" applyBorder="1"/>
    <xf numFmtId="0" fontId="5" fillId="4" borderId="0" xfId="0" applyFont="1" applyFill="1"/>
    <xf numFmtId="167" fontId="6" fillId="4" borderId="18" xfId="1" applyNumberFormat="1" applyFont="1" applyFill="1" applyBorder="1" applyAlignment="1">
      <alignment horizontal="right" vertical="top" wrapText="1"/>
    </xf>
    <xf numFmtId="49" fontId="6" fillId="4" borderId="12" xfId="0" applyNumberFormat="1" applyFont="1" applyFill="1" applyBorder="1" applyAlignment="1">
      <alignment horizontal="left" vertical="top"/>
    </xf>
    <xf numFmtId="49" fontId="7" fillId="3" borderId="14" xfId="0" applyNumberFormat="1" applyFont="1" applyFill="1" applyBorder="1" applyAlignment="1">
      <alignment horizontal="center" vertical="top" wrapText="1"/>
    </xf>
    <xf numFmtId="164" fontId="7" fillId="3" borderId="31" xfId="1" applyNumberFormat="1" applyFont="1" applyFill="1" applyBorder="1" applyAlignment="1">
      <alignment horizontal="center" vertical="top" wrapText="1"/>
    </xf>
    <xf numFmtId="10" fontId="7" fillId="3" borderId="14" xfId="2" applyNumberFormat="1" applyFont="1" applyFill="1" applyBorder="1" applyAlignment="1">
      <alignment horizontal="center" vertical="top" wrapText="1"/>
    </xf>
    <xf numFmtId="166" fontId="7" fillId="5" borderId="14" xfId="2" applyNumberFormat="1" applyFont="1" applyFill="1" applyBorder="1" applyAlignment="1">
      <alignment horizontal="right" vertical="top" wrapText="1"/>
    </xf>
    <xf numFmtId="166" fontId="7" fillId="5" borderId="15" xfId="2" applyNumberFormat="1" applyFont="1" applyFill="1" applyBorder="1" applyAlignment="1">
      <alignment horizontal="right" vertical="top" wrapText="1"/>
    </xf>
    <xf numFmtId="164" fontId="2" fillId="3" borderId="34" xfId="1" applyNumberFormat="1" applyFont="1" applyFill="1" applyBorder="1" applyAlignment="1">
      <alignment horizontal="right" vertical="top" wrapText="1"/>
    </xf>
    <xf numFmtId="10" fontId="7" fillId="3" borderId="34" xfId="2" applyNumberFormat="1" applyFont="1" applyFill="1" applyBorder="1" applyAlignment="1">
      <alignment horizontal="center" vertical="top" wrapText="1"/>
    </xf>
    <xf numFmtId="10" fontId="7" fillId="3" borderId="35" xfId="2" applyNumberFormat="1" applyFont="1" applyFill="1" applyBorder="1" applyAlignment="1">
      <alignment horizontal="center" vertical="top" wrapText="1"/>
    </xf>
    <xf numFmtId="164" fontId="5" fillId="0" borderId="0" xfId="1" applyNumberFormat="1" applyFont="1"/>
    <xf numFmtId="9" fontId="5" fillId="0" borderId="0" xfId="2" applyFont="1"/>
    <xf numFmtId="49" fontId="7" fillId="3" borderId="19" xfId="0" applyNumberFormat="1" applyFont="1" applyFill="1" applyBorder="1" applyAlignment="1">
      <alignment horizontal="center" vertical="top"/>
    </xf>
    <xf numFmtId="9" fontId="7" fillId="3" borderId="14" xfId="2" applyFont="1" applyFill="1" applyBorder="1" applyAlignment="1">
      <alignment horizontal="center" vertical="top" wrapText="1"/>
    </xf>
    <xf numFmtId="49" fontId="6" fillId="8" borderId="12" xfId="0" applyNumberFormat="1" applyFont="1" applyFill="1" applyBorder="1" applyAlignment="1">
      <alignment vertical="top"/>
    </xf>
    <xf numFmtId="49" fontId="6" fillId="8" borderId="19" xfId="0" applyNumberFormat="1" applyFont="1" applyFill="1" applyBorder="1" applyAlignment="1">
      <alignment horizontal="left" vertical="top"/>
    </xf>
    <xf numFmtId="167" fontId="6" fillId="9" borderId="19" xfId="1" applyNumberFormat="1" applyFont="1" applyFill="1" applyBorder="1" applyAlignment="1">
      <alignment horizontal="right" vertical="top" wrapText="1"/>
    </xf>
    <xf numFmtId="9" fontId="5" fillId="0" borderId="7" xfId="2" applyFont="1" applyBorder="1"/>
    <xf numFmtId="49" fontId="2" fillId="3" borderId="19" xfId="0" applyNumberFormat="1" applyFont="1" applyFill="1" applyBorder="1" applyAlignment="1">
      <alignment horizontal="left" vertical="top"/>
    </xf>
    <xf numFmtId="164" fontId="2" fillId="3" borderId="19" xfId="1" applyNumberFormat="1" applyFont="1" applyFill="1" applyBorder="1" applyAlignment="1">
      <alignment horizontal="right" vertical="top" wrapText="1"/>
    </xf>
    <xf numFmtId="10" fontId="7" fillId="3" borderId="7" xfId="2" applyNumberFormat="1" applyFont="1" applyFill="1" applyBorder="1"/>
    <xf numFmtId="49" fontId="2" fillId="0" borderId="27" xfId="0" applyNumberFormat="1" applyFont="1" applyBorder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  <xf numFmtId="164" fontId="2" fillId="0" borderId="0" xfId="1" applyNumberFormat="1" applyFont="1" applyAlignment="1">
      <alignment horizontal="right" vertical="top" wrapText="1"/>
    </xf>
    <xf numFmtId="9" fontId="2" fillId="0" borderId="0" xfId="2" applyFont="1" applyFill="1" applyBorder="1" applyAlignment="1">
      <alignment horizontal="right" vertical="top" wrapText="1"/>
    </xf>
    <xf numFmtId="164" fontId="11" fillId="0" borderId="0" xfId="0" applyNumberFormat="1" applyFont="1"/>
    <xf numFmtId="10" fontId="4" fillId="5" borderId="7" xfId="2" applyNumberFormat="1" applyFont="1" applyFill="1" applyBorder="1" applyAlignment="1">
      <alignment horizontal="center" wrapText="1"/>
    </xf>
    <xf numFmtId="49" fontId="7" fillId="3" borderId="13" xfId="0" applyNumberFormat="1" applyFont="1" applyFill="1" applyBorder="1" applyAlignment="1">
      <alignment horizontal="center" vertical="top"/>
    </xf>
    <xf numFmtId="164" fontId="2" fillId="5" borderId="22" xfId="1" applyNumberFormat="1" applyFont="1" applyFill="1" applyBorder="1" applyAlignment="1">
      <alignment horizontal="right" vertical="top" wrapText="1"/>
    </xf>
    <xf numFmtId="164" fontId="2" fillId="5" borderId="22" xfId="2" applyNumberFormat="1" applyFont="1" applyFill="1" applyBorder="1" applyAlignment="1">
      <alignment horizontal="right" vertical="top" wrapText="1"/>
    </xf>
    <xf numFmtId="9" fontId="8" fillId="0" borderId="0" xfId="2" applyFont="1"/>
    <xf numFmtId="0" fontId="5" fillId="0" borderId="0" xfId="0" applyFont="1" applyAlignment="1">
      <alignment horizontal="center" vertical="top"/>
    </xf>
    <xf numFmtId="164" fontId="6" fillId="4" borderId="13" xfId="1" applyNumberFormat="1" applyFont="1" applyFill="1" applyBorder="1" applyAlignment="1">
      <alignment horizontal="right" vertical="top" wrapText="1"/>
    </xf>
    <xf numFmtId="49" fontId="12" fillId="10" borderId="42" xfId="0" applyNumberFormat="1" applyFont="1" applyFill="1" applyBorder="1" applyAlignment="1">
      <alignment horizontal="left" vertical="center" readingOrder="1"/>
    </xf>
    <xf numFmtId="164" fontId="12" fillId="10" borderId="42" xfId="1" applyNumberFormat="1" applyFont="1" applyFill="1" applyBorder="1" applyAlignment="1">
      <alignment horizontal="left" vertical="center" readingOrder="1"/>
    </xf>
    <xf numFmtId="164" fontId="13" fillId="10" borderId="0" xfId="1" applyNumberFormat="1" applyFont="1" applyFill="1" applyBorder="1" applyAlignment="1">
      <alignment horizontal="left" vertical="center" readingOrder="1"/>
    </xf>
    <xf numFmtId="9" fontId="14" fillId="0" borderId="0" xfId="2" applyFont="1"/>
    <xf numFmtId="0" fontId="14" fillId="0" borderId="0" xfId="0" applyFont="1"/>
    <xf numFmtId="49" fontId="15" fillId="11" borderId="43" xfId="0" applyNumberFormat="1" applyFont="1" applyFill="1" applyBorder="1" applyAlignment="1">
      <alignment horizontal="left" vertical="center" readingOrder="1"/>
    </xf>
    <xf numFmtId="49" fontId="15" fillId="11" borderId="42" xfId="0" applyNumberFormat="1" applyFont="1" applyFill="1" applyBorder="1" applyAlignment="1">
      <alignment horizontal="left" vertical="center" readingOrder="1"/>
    </xf>
    <xf numFmtId="5" fontId="15" fillId="11" borderId="42" xfId="1" applyNumberFormat="1" applyFont="1" applyFill="1" applyBorder="1" applyAlignment="1">
      <alignment horizontal="right" vertical="center" readingOrder="1"/>
    </xf>
    <xf numFmtId="5" fontId="16" fillId="11" borderId="0" xfId="1" applyNumberFormat="1" applyFont="1" applyFill="1" applyBorder="1" applyAlignment="1">
      <alignment horizontal="right" vertical="center" readingOrder="1"/>
    </xf>
    <xf numFmtId="9" fontId="14" fillId="0" borderId="0" xfId="0" applyNumberFormat="1" applyFont="1"/>
    <xf numFmtId="49" fontId="12" fillId="12" borderId="42" xfId="0" applyNumberFormat="1" applyFont="1" applyFill="1" applyBorder="1" applyAlignment="1">
      <alignment horizontal="left" vertical="center" readingOrder="1"/>
    </xf>
    <xf numFmtId="5" fontId="12" fillId="12" borderId="42" xfId="1" applyNumberFormat="1" applyFont="1" applyFill="1" applyBorder="1" applyAlignment="1">
      <alignment horizontal="right" vertical="center" readingOrder="1"/>
    </xf>
    <xf numFmtId="9" fontId="13" fillId="12" borderId="42" xfId="2" applyFont="1" applyFill="1" applyBorder="1" applyAlignment="1">
      <alignment horizontal="left" vertical="center" readingOrder="1"/>
    </xf>
    <xf numFmtId="9" fontId="12" fillId="12" borderId="42" xfId="2" applyFont="1" applyFill="1" applyBorder="1" applyAlignment="1">
      <alignment horizontal="left" vertical="center" readingOrder="1"/>
    </xf>
    <xf numFmtId="10" fontId="14" fillId="0" borderId="0" xfId="0" applyNumberFormat="1" applyFont="1"/>
    <xf numFmtId="49" fontId="12" fillId="13" borderId="42" xfId="0" applyNumberFormat="1" applyFont="1" applyFill="1" applyBorder="1" applyAlignment="1">
      <alignment horizontal="left" vertical="center" readingOrder="1"/>
    </xf>
    <xf numFmtId="5" fontId="12" fillId="13" borderId="42" xfId="1" applyNumberFormat="1" applyFont="1" applyFill="1" applyBorder="1" applyAlignment="1">
      <alignment horizontal="right" vertical="center" readingOrder="1"/>
    </xf>
    <xf numFmtId="5" fontId="13" fillId="13" borderId="42" xfId="1" applyNumberFormat="1" applyFont="1" applyFill="1" applyBorder="1" applyAlignment="1">
      <alignment horizontal="right" vertical="center" readingOrder="1"/>
    </xf>
    <xf numFmtId="9" fontId="12" fillId="13" borderId="42" xfId="2" applyFont="1" applyFill="1" applyBorder="1" applyAlignment="1">
      <alignment horizontal="left" vertical="center" readingOrder="1"/>
    </xf>
    <xf numFmtId="164" fontId="15" fillId="11" borderId="42" xfId="1" applyNumberFormat="1" applyFont="1" applyFill="1" applyBorder="1" applyAlignment="1">
      <alignment horizontal="left" vertical="center" readingOrder="1"/>
    </xf>
    <xf numFmtId="164" fontId="16" fillId="11" borderId="42" xfId="1" applyNumberFormat="1" applyFont="1" applyFill="1" applyBorder="1" applyAlignment="1">
      <alignment horizontal="left" vertical="center" readingOrder="1"/>
    </xf>
    <xf numFmtId="9" fontId="12" fillId="14" borderId="42" xfId="2" applyFont="1" applyFill="1" applyBorder="1" applyAlignment="1">
      <alignment horizontal="left" vertical="center" readingOrder="1"/>
    </xf>
    <xf numFmtId="164" fontId="18" fillId="11" borderId="0" xfId="1" applyNumberFormat="1" applyFont="1" applyFill="1" applyBorder="1" applyAlignment="1">
      <alignment horizontal="center" vertical="center" readingOrder="1"/>
    </xf>
    <xf numFmtId="9" fontId="19" fillId="0" borderId="0" xfId="2" applyFont="1"/>
    <xf numFmtId="0" fontId="19" fillId="0" borderId="0" xfId="0" applyFont="1"/>
    <xf numFmtId="9" fontId="19" fillId="0" borderId="0" xfId="0" applyNumberFormat="1" applyFont="1"/>
    <xf numFmtId="164" fontId="14" fillId="0" borderId="0" xfId="1" applyNumberFormat="1" applyFont="1"/>
    <xf numFmtId="164" fontId="20" fillId="0" borderId="0" xfId="1" applyNumberFormat="1" applyFont="1"/>
    <xf numFmtId="164" fontId="21" fillId="15" borderId="47" xfId="1" applyNumberFormat="1" applyFont="1" applyFill="1" applyBorder="1" applyAlignment="1">
      <alignment horizontal="center" vertical="center"/>
    </xf>
    <xf numFmtId="164" fontId="21" fillId="15" borderId="48" xfId="1" applyNumberFormat="1" applyFont="1" applyFill="1" applyBorder="1" applyAlignment="1">
      <alignment horizontal="center" vertical="center"/>
    </xf>
    <xf numFmtId="164" fontId="21" fillId="15" borderId="49" xfId="1" applyNumberFormat="1" applyFont="1" applyFill="1" applyBorder="1" applyAlignment="1">
      <alignment horizontal="center" vertical="center"/>
    </xf>
    <xf numFmtId="164" fontId="21" fillId="15" borderId="0" xfId="1" applyNumberFormat="1" applyFont="1" applyFill="1" applyBorder="1" applyAlignment="1">
      <alignment horizontal="center" vertical="center"/>
    </xf>
    <xf numFmtId="0" fontId="20" fillId="0" borderId="0" xfId="0" applyFont="1"/>
    <xf numFmtId="0" fontId="20" fillId="0" borderId="1" xfId="0" applyFont="1" applyBorder="1"/>
    <xf numFmtId="49" fontId="16" fillId="16" borderId="2" xfId="0" applyNumberFormat="1" applyFont="1" applyFill="1" applyBorder="1" applyAlignment="1">
      <alignment vertical="top"/>
    </xf>
    <xf numFmtId="49" fontId="16" fillId="4" borderId="2" xfId="0" applyNumberFormat="1" applyFont="1" applyFill="1" applyBorder="1" applyAlignment="1">
      <alignment horizontal="left" vertical="top"/>
    </xf>
    <xf numFmtId="0" fontId="20" fillId="0" borderId="6" xfId="0" applyFont="1" applyBorder="1"/>
    <xf numFmtId="49" fontId="16" fillId="16" borderId="7" xfId="0" applyNumberFormat="1" applyFont="1" applyFill="1" applyBorder="1" applyAlignment="1">
      <alignment vertical="top"/>
    </xf>
    <xf numFmtId="49" fontId="16" fillId="4" borderId="7" xfId="0" applyNumberFormat="1" applyFont="1" applyFill="1" applyBorder="1" applyAlignment="1">
      <alignment horizontal="left" vertical="top"/>
    </xf>
    <xf numFmtId="164" fontId="20" fillId="0" borderId="0" xfId="0" applyNumberFormat="1" applyFont="1"/>
    <xf numFmtId="49" fontId="16" fillId="0" borderId="2" xfId="0" applyNumberFormat="1" applyFont="1" applyBorder="1" applyAlignment="1">
      <alignment vertical="top"/>
    </xf>
    <xf numFmtId="164" fontId="16" fillId="17" borderId="2" xfId="1" applyNumberFormat="1" applyFont="1" applyFill="1" applyBorder="1" applyAlignment="1">
      <alignment horizontal="right" vertical="top" wrapText="1"/>
    </xf>
    <xf numFmtId="49" fontId="16" fillId="0" borderId="7" xfId="0" applyNumberFormat="1" applyFont="1" applyBorder="1" applyAlignment="1">
      <alignment vertical="top"/>
    </xf>
    <xf numFmtId="164" fontId="16" fillId="17" borderId="7" xfId="1" applyNumberFormat="1" applyFont="1" applyFill="1" applyBorder="1" applyAlignment="1">
      <alignment horizontal="right" vertical="top" wrapText="1"/>
    </xf>
    <xf numFmtId="0" fontId="20" fillId="0" borderId="29" xfId="0" applyFont="1" applyBorder="1"/>
    <xf numFmtId="49" fontId="16" fillId="16" borderId="30" xfId="0" applyNumberFormat="1" applyFont="1" applyFill="1" applyBorder="1" applyAlignment="1">
      <alignment vertical="top"/>
    </xf>
    <xf numFmtId="49" fontId="16" fillId="4" borderId="30" xfId="0" applyNumberFormat="1" applyFont="1" applyFill="1" applyBorder="1" applyAlignment="1">
      <alignment horizontal="left" vertical="top"/>
    </xf>
    <xf numFmtId="164" fontId="16" fillId="17" borderId="30" xfId="1" applyNumberFormat="1" applyFont="1" applyFill="1" applyBorder="1" applyAlignment="1">
      <alignment horizontal="right" vertical="top" wrapText="1"/>
    </xf>
    <xf numFmtId="49" fontId="16" fillId="0" borderId="30" xfId="0" applyNumberFormat="1" applyFont="1" applyBorder="1" applyAlignment="1">
      <alignment vertical="top"/>
    </xf>
    <xf numFmtId="164" fontId="21" fillId="0" borderId="0" xfId="0" applyNumberFormat="1" applyFont="1" applyAlignment="1">
      <alignment horizontal="center" vertical="center"/>
    </xf>
    <xf numFmtId="168" fontId="6" fillId="4" borderId="22" xfId="1" applyNumberFormat="1" applyFont="1" applyFill="1" applyBorder="1" applyAlignment="1">
      <alignment horizontal="right" vertical="top" wrapText="1"/>
    </xf>
    <xf numFmtId="168" fontId="6" fillId="4" borderId="19" xfId="1" applyNumberFormat="1" applyFont="1" applyFill="1" applyBorder="1" applyAlignment="1">
      <alignment horizontal="right" vertical="top" wrapText="1"/>
    </xf>
    <xf numFmtId="49" fontId="16" fillId="0" borderId="21" xfId="0" applyNumberFormat="1" applyFont="1" applyBorder="1" applyAlignment="1">
      <alignment vertical="top"/>
    </xf>
    <xf numFmtId="49" fontId="16" fillId="4" borderId="21" xfId="0" applyNumberFormat="1" applyFont="1" applyFill="1" applyBorder="1" applyAlignment="1">
      <alignment horizontal="left" vertical="top"/>
    </xf>
    <xf numFmtId="164" fontId="16" fillId="17" borderId="21" xfId="1" applyNumberFormat="1" applyFont="1" applyFill="1" applyBorder="1" applyAlignment="1">
      <alignment horizontal="right" vertical="top" wrapText="1"/>
    </xf>
    <xf numFmtId="0" fontId="20" fillId="0" borderId="50" xfId="0" applyFont="1" applyBorder="1"/>
    <xf numFmtId="0" fontId="20" fillId="0" borderId="40" xfId="0" applyFont="1" applyBorder="1"/>
    <xf numFmtId="49" fontId="16" fillId="16" borderId="1" xfId="0" applyNumberFormat="1" applyFont="1" applyFill="1" applyBorder="1" applyAlignment="1">
      <alignment vertical="top"/>
    </xf>
    <xf numFmtId="49" fontId="16" fillId="16" borderId="6" xfId="0" applyNumberFormat="1" applyFont="1" applyFill="1" applyBorder="1" applyAlignment="1">
      <alignment vertical="top"/>
    </xf>
    <xf numFmtId="49" fontId="16" fillId="16" borderId="29" xfId="0" applyNumberFormat="1" applyFont="1" applyFill="1" applyBorder="1" applyAlignment="1">
      <alignment vertical="top"/>
    </xf>
    <xf numFmtId="168" fontId="16" fillId="17" borderId="51" xfId="1" applyNumberFormat="1" applyFont="1" applyFill="1" applyBorder="1" applyAlignment="1">
      <alignment horizontal="right" vertical="top" wrapText="1"/>
    </xf>
    <xf numFmtId="168" fontId="16" fillId="17" borderId="16" xfId="1" applyNumberFormat="1" applyFont="1" applyFill="1" applyBorder="1" applyAlignment="1">
      <alignment horizontal="right" vertical="top" wrapText="1"/>
    </xf>
    <xf numFmtId="168" fontId="16" fillId="17" borderId="52" xfId="1" applyNumberFormat="1" applyFont="1" applyFill="1" applyBorder="1" applyAlignment="1">
      <alignment horizontal="right" vertical="top" wrapText="1"/>
    </xf>
    <xf numFmtId="168" fontId="6" fillId="9" borderId="19" xfId="1" applyNumberFormat="1" applyFont="1" applyFill="1" applyBorder="1" applyAlignment="1">
      <alignment horizontal="right" vertical="top" wrapText="1"/>
    </xf>
    <xf numFmtId="14" fontId="2" fillId="2" borderId="25" xfId="0" applyNumberFormat="1" applyFont="1" applyFill="1" applyBorder="1" applyAlignment="1">
      <alignment horizontal="center" vertical="center" wrapText="1"/>
    </xf>
    <xf numFmtId="14" fontId="2" fillId="2" borderId="24" xfId="0" applyNumberFormat="1" applyFont="1" applyFill="1" applyBorder="1" applyAlignment="1">
      <alignment horizontal="center" vertical="center" wrapText="1"/>
    </xf>
    <xf numFmtId="14" fontId="2" fillId="2" borderId="37" xfId="0" applyNumberFormat="1" applyFont="1" applyFill="1" applyBorder="1" applyAlignment="1">
      <alignment horizontal="center" vertical="center" wrapText="1"/>
    </xf>
    <xf numFmtId="14" fontId="2" fillId="2" borderId="38" xfId="0" applyNumberFormat="1" applyFont="1" applyFill="1" applyBorder="1" applyAlignment="1">
      <alignment horizontal="center" vertical="center" wrapText="1"/>
    </xf>
    <xf numFmtId="49" fontId="10" fillId="3" borderId="36" xfId="0" applyNumberFormat="1" applyFont="1" applyFill="1" applyBorder="1" applyAlignment="1">
      <alignment horizontal="left" vertical="top"/>
    </xf>
    <xf numFmtId="49" fontId="10" fillId="3" borderId="22" xfId="0" applyNumberFormat="1" applyFont="1" applyFill="1" applyBorder="1" applyAlignment="1">
      <alignment horizontal="left" vertical="top"/>
    </xf>
    <xf numFmtId="49" fontId="6" fillId="8" borderId="36" xfId="0" applyNumberFormat="1" applyFont="1" applyFill="1" applyBorder="1" applyAlignment="1">
      <alignment horizontal="left" vertical="top"/>
    </xf>
    <xf numFmtId="49" fontId="6" fillId="8" borderId="39" xfId="0" applyNumberFormat="1" applyFont="1" applyFill="1" applyBorder="1" applyAlignment="1">
      <alignment horizontal="left" vertical="top"/>
    </xf>
    <xf numFmtId="0" fontId="7" fillId="0" borderId="40" xfId="0" applyFont="1" applyBorder="1" applyAlignment="1">
      <alignment horizontal="center" wrapText="1"/>
    </xf>
    <xf numFmtId="0" fontId="7" fillId="0" borderId="41" xfId="0" applyFont="1" applyBorder="1" applyAlignment="1">
      <alignment horizont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14" fontId="2" fillId="2" borderId="6" xfId="0" applyNumberFormat="1" applyFont="1" applyFill="1" applyBorder="1" applyAlignment="1">
      <alignment horizontal="center" vertical="center" wrapText="1"/>
    </xf>
    <xf numFmtId="14" fontId="2" fillId="2" borderId="7" xfId="0" applyNumberFormat="1" applyFont="1" applyFill="1" applyBorder="1" applyAlignment="1">
      <alignment horizontal="center" vertical="center" wrapText="1"/>
    </xf>
    <xf numFmtId="164" fontId="6" fillId="6" borderId="8" xfId="1" applyNumberFormat="1" applyFont="1" applyFill="1" applyBorder="1" applyAlignment="1">
      <alignment horizontal="center" vertical="top" wrapText="1"/>
    </xf>
    <xf numFmtId="164" fontId="6" fillId="6" borderId="9" xfId="1" applyNumberFormat="1" applyFont="1" applyFill="1" applyBorder="1" applyAlignment="1">
      <alignment horizontal="center" vertical="top" wrapText="1"/>
    </xf>
    <xf numFmtId="49" fontId="7" fillId="3" borderId="32" xfId="0" applyNumberFormat="1" applyFont="1" applyFill="1" applyBorder="1" applyAlignment="1">
      <alignment horizontal="center" vertical="top" wrapText="1"/>
    </xf>
    <xf numFmtId="49" fontId="7" fillId="3" borderId="33" xfId="0" applyNumberFormat="1" applyFont="1" applyFill="1" applyBorder="1" applyAlignment="1">
      <alignment horizontal="center" vertical="top" wrapText="1"/>
    </xf>
    <xf numFmtId="17" fontId="2" fillId="2" borderId="25" xfId="0" applyNumberFormat="1" applyFont="1" applyFill="1" applyBorder="1" applyAlignment="1">
      <alignment horizontal="center" vertical="center" wrapText="1"/>
    </xf>
    <xf numFmtId="17" fontId="2" fillId="2" borderId="24" xfId="0" applyNumberFormat="1" applyFont="1" applyFill="1" applyBorder="1" applyAlignment="1">
      <alignment horizontal="center" vertical="center" wrapText="1"/>
    </xf>
    <xf numFmtId="17" fontId="2" fillId="2" borderId="37" xfId="0" applyNumberFormat="1" applyFont="1" applyFill="1" applyBorder="1" applyAlignment="1">
      <alignment horizontal="center" vertical="center" wrapText="1"/>
    </xf>
    <xf numFmtId="17" fontId="2" fillId="2" borderId="38" xfId="0" applyNumberFormat="1" applyFont="1" applyFill="1" applyBorder="1" applyAlignment="1">
      <alignment horizontal="center" vertical="center" wrapText="1"/>
    </xf>
    <xf numFmtId="49" fontId="10" fillId="7" borderId="36" xfId="0" applyNumberFormat="1" applyFont="1" applyFill="1" applyBorder="1" applyAlignment="1">
      <alignment horizontal="left" vertical="top"/>
    </xf>
    <xf numFmtId="49" fontId="10" fillId="7" borderId="22" xfId="0" applyNumberFormat="1" applyFont="1" applyFill="1" applyBorder="1" applyAlignment="1">
      <alignment horizontal="left" vertical="top"/>
    </xf>
    <xf numFmtId="164" fontId="17" fillId="11" borderId="44" xfId="1" applyNumberFormat="1" applyFont="1" applyFill="1" applyBorder="1" applyAlignment="1">
      <alignment horizontal="center" vertical="center" readingOrder="1"/>
    </xf>
    <xf numFmtId="164" fontId="17" fillId="11" borderId="45" xfId="1" applyNumberFormat="1" applyFont="1" applyFill="1" applyBorder="1" applyAlignment="1">
      <alignment horizontal="center" vertical="center" readingOrder="1"/>
    </xf>
    <xf numFmtId="164" fontId="17" fillId="11" borderId="46" xfId="1" applyNumberFormat="1" applyFont="1" applyFill="1" applyBorder="1" applyAlignment="1">
      <alignment horizontal="center" vertical="center" readingOrder="1"/>
    </xf>
  </cellXfs>
  <cellStyles count="3">
    <cellStyle name="Moneda" xfId="1" builtinId="4"/>
    <cellStyle name="Normal" xfId="0" builtinId="0"/>
    <cellStyle name="Porcentaje" xfId="2" builtinId="5"/>
  </cellStyles>
  <dxfs count="2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ENTAS%20ARMENIA\Downloads\3.xls" TargetMode="External"/><Relationship Id="rId1" Type="http://schemas.openxmlformats.org/officeDocument/2006/relationships/externalLinkPath" Target="file:///C:\Users\VENTAS%20ARMENIA\Downloads\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</sheetNames>
    <sheetDataSet>
      <sheetData sheetId="0">
        <row r="15">
          <cell r="B15" t="str">
            <v>017 - GRANOS, HARINAS Y VERDURAS</v>
          </cell>
          <cell r="C15">
            <v>162464</v>
          </cell>
        </row>
        <row r="16">
          <cell r="B16" t="str">
            <v>113 - CAFÉ GOURMET</v>
          </cell>
          <cell r="C16">
            <v>68361352</v>
          </cell>
        </row>
        <row r="17">
          <cell r="B17" t="str">
            <v>130 - GALLETAS CAFECITAS</v>
          </cell>
          <cell r="C17">
            <v>443909</v>
          </cell>
        </row>
        <row r="18">
          <cell r="B18" t="str">
            <v>131 - GALLETAS AVENA</v>
          </cell>
          <cell r="C18">
            <v>59660</v>
          </cell>
        </row>
        <row r="19">
          <cell r="B19" t="str">
            <v>140 - MERENGUES</v>
          </cell>
          <cell r="C19">
            <v>15184</v>
          </cell>
        </row>
        <row r="20">
          <cell r="B20" t="str">
            <v>141 - AREQUIPE</v>
          </cell>
          <cell r="C20">
            <v>106707</v>
          </cell>
        </row>
        <row r="21">
          <cell r="B21" t="str">
            <v>147 - CAPSULAS</v>
          </cell>
          <cell r="C21">
            <v>9047986</v>
          </cell>
        </row>
        <row r="22">
          <cell r="B22" t="str">
            <v>160 - SOUVENIR</v>
          </cell>
          <cell r="C22">
            <v>1267850</v>
          </cell>
        </row>
        <row r="23">
          <cell r="B23" t="str">
            <v>172 - CAFÉ COSECHA</v>
          </cell>
          <cell r="C23">
            <v>203764</v>
          </cell>
        </row>
        <row r="24">
          <cell r="B24" t="str">
            <v>205 - GASTOS LOGIST</v>
          </cell>
          <cell r="C24">
            <v>36000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D0613-BAE3-4B78-B3F0-8C2245B3443C}">
  <sheetPr codeName="Hoja11"/>
  <dimension ref="A1:AE295"/>
  <sheetViews>
    <sheetView showGridLines="0" topLeftCell="A59" zoomScale="70" zoomScaleNormal="70" zoomScaleSheetLayoutView="70" workbookViewId="0">
      <selection activeCell="Q91" sqref="Q91"/>
    </sheetView>
  </sheetViews>
  <sheetFormatPr baseColWidth="10" defaultColWidth="11.453125" defaultRowHeight="15.5" outlineLevelRow="2"/>
  <cols>
    <col min="1" max="1" width="36.7265625" style="6" customWidth="1"/>
    <col min="2" max="2" width="30.7265625" style="6" customWidth="1"/>
    <col min="3" max="3" width="18.81640625" style="78" bestFit="1" customWidth="1"/>
    <col min="4" max="4" width="18" style="78" customWidth="1"/>
    <col min="5" max="5" width="28.7265625" style="78" customWidth="1"/>
    <col min="6" max="6" width="22.26953125" style="79" bestFit="1" customWidth="1"/>
    <col min="7" max="7" width="18.7265625" style="79" bestFit="1" customWidth="1"/>
    <col min="8" max="8" width="11.81640625" style="6" customWidth="1"/>
    <col min="9" max="9" width="13.1796875" style="6" bestFit="1" customWidth="1"/>
    <col min="10" max="10" width="13.81640625" style="6" customWidth="1"/>
    <col min="11" max="11" width="3.26953125" style="26" customWidth="1"/>
    <col min="12" max="12" width="19.54296875" style="26" customWidth="1"/>
    <col min="13" max="13" width="18.81640625" style="26" customWidth="1"/>
    <col min="14" max="14" width="11.453125" style="6"/>
    <col min="15" max="15" width="21.7265625" style="6" bestFit="1" customWidth="1"/>
    <col min="16" max="16" width="13" style="6" bestFit="1" customWidth="1"/>
    <col min="17" max="17" width="11.453125" style="6"/>
    <col min="18" max="18" width="21.7265625" style="6" bestFit="1" customWidth="1"/>
    <col min="19" max="19" width="13" style="6" bestFit="1" customWidth="1"/>
    <col min="20" max="20" width="11.453125" style="6"/>
    <col min="21" max="21" width="22.26953125" style="6" bestFit="1" customWidth="1"/>
    <col min="22" max="22" width="13.54296875" style="6" bestFit="1" customWidth="1"/>
    <col min="23" max="23" width="11.453125" style="6"/>
    <col min="24" max="24" width="22.26953125" style="6" bestFit="1" customWidth="1"/>
    <col min="25" max="25" width="14.26953125" style="6" bestFit="1" customWidth="1"/>
    <col min="26" max="26" width="11.453125" style="6"/>
    <col min="27" max="27" width="22.26953125" style="6" bestFit="1" customWidth="1"/>
    <col min="28" max="28" width="13" style="6" bestFit="1" customWidth="1"/>
    <col min="29" max="29" width="11.453125" style="6"/>
    <col min="30" max="30" width="26.54296875" style="6" bestFit="1" customWidth="1"/>
    <col min="31" max="31" width="14.26953125" style="6" bestFit="1" customWidth="1"/>
    <col min="32" max="16384" width="11.453125" style="6"/>
  </cols>
  <sheetData>
    <row r="1" spans="1:13">
      <c r="A1" s="175">
        <v>46237</v>
      </c>
      <c r="B1" s="176"/>
      <c r="C1" s="1"/>
      <c r="D1" s="1"/>
      <c r="E1" s="1"/>
      <c r="F1" s="2"/>
      <c r="G1" s="2"/>
      <c r="H1" s="3"/>
      <c r="I1" s="4" t="s">
        <v>0</v>
      </c>
      <c r="J1" s="5"/>
      <c r="K1" s="6"/>
      <c r="L1" s="6"/>
      <c r="M1" s="6"/>
    </row>
    <row r="2" spans="1:13">
      <c r="A2" s="177"/>
      <c r="B2" s="178"/>
      <c r="C2" s="179"/>
      <c r="D2" s="179"/>
      <c r="E2" s="179"/>
      <c r="F2" s="179"/>
      <c r="G2" s="180"/>
      <c r="H2" s="7">
        <f>+M2/100</f>
        <v>4.7619047619047616E-2</v>
      </c>
      <c r="I2" s="8">
        <v>1</v>
      </c>
      <c r="J2" s="9"/>
      <c r="K2" s="6"/>
      <c r="L2" s="10">
        <f>100/21</f>
        <v>4.7619047619047619</v>
      </c>
      <c r="M2" s="10">
        <f>L2*I2</f>
        <v>4.7619047619047619</v>
      </c>
    </row>
    <row r="3" spans="1:13" ht="31">
      <c r="A3" s="11" t="s">
        <v>1</v>
      </c>
      <c r="B3" s="12" t="s">
        <v>2</v>
      </c>
      <c r="C3" s="13" t="s">
        <v>3</v>
      </c>
      <c r="D3" s="13" t="s">
        <v>4</v>
      </c>
      <c r="E3" s="14" t="s">
        <v>5</v>
      </c>
      <c r="F3" s="13" t="s">
        <v>6</v>
      </c>
      <c r="G3" s="15" t="s">
        <v>7</v>
      </c>
      <c r="H3" s="16" t="s">
        <v>8</v>
      </c>
      <c r="I3" s="17" t="s">
        <v>9</v>
      </c>
      <c r="J3" s="18" t="s">
        <v>10</v>
      </c>
      <c r="K3" s="6"/>
      <c r="L3" s="6"/>
      <c r="M3" s="6"/>
    </row>
    <row r="4" spans="1:13" ht="18.75" customHeight="1" outlineLevel="1">
      <c r="A4" s="19" t="s">
        <v>11</v>
      </c>
      <c r="B4" s="20" t="s">
        <v>12</v>
      </c>
      <c r="C4" s="21" t="s">
        <v>13</v>
      </c>
      <c r="D4" s="21" t="s">
        <v>14</v>
      </c>
      <c r="E4" s="14" t="s">
        <v>5</v>
      </c>
      <c r="F4" s="21" t="s">
        <v>6</v>
      </c>
      <c r="G4" s="22" t="s">
        <v>15</v>
      </c>
      <c r="H4" s="23">
        <f t="shared" ref="H4:I18" si="0">IFERROR(+D4/L4*100%,0)</f>
        <v>0</v>
      </c>
      <c r="I4" s="24">
        <f t="shared" si="0"/>
        <v>0</v>
      </c>
      <c r="J4" s="25"/>
      <c r="L4" s="27"/>
      <c r="M4" s="27"/>
    </row>
    <row r="5" spans="1:13" ht="16.5">
      <c r="A5" s="28" t="s">
        <v>16</v>
      </c>
      <c r="B5" s="29" t="s">
        <v>17</v>
      </c>
      <c r="C5" s="30">
        <f>+C20</f>
        <v>5477967</v>
      </c>
      <c r="D5" s="30">
        <f>+D20</f>
        <v>0</v>
      </c>
      <c r="E5" s="30">
        <f>+E20</f>
        <v>0</v>
      </c>
      <c r="F5" s="30">
        <f>+F20</f>
        <v>132391087.09</v>
      </c>
      <c r="G5" s="31">
        <f t="shared" ref="G5" si="1">IFERROR(C5/F5*100%,"-")</f>
        <v>4.1377158541466279E-2</v>
      </c>
      <c r="H5" s="23">
        <f t="shared" si="0"/>
        <v>0</v>
      </c>
      <c r="I5" s="24">
        <f t="shared" si="0"/>
        <v>0</v>
      </c>
      <c r="J5" s="32"/>
      <c r="L5" s="27">
        <f t="shared" ref="L5:L20" si="2">C5-(D5+E5)</f>
        <v>5477967</v>
      </c>
      <c r="M5" s="27">
        <f t="shared" ref="M5:M20" si="3">L5</f>
        <v>5477967</v>
      </c>
    </row>
    <row r="6" spans="1:13" ht="16.5" outlineLevel="1">
      <c r="A6" s="33"/>
      <c r="B6" s="34" t="s">
        <v>18</v>
      </c>
      <c r="C6" s="35">
        <v>0</v>
      </c>
      <c r="D6" s="36">
        <v>0</v>
      </c>
      <c r="E6" s="36">
        <v>0</v>
      </c>
      <c r="F6" s="35">
        <v>2190251</v>
      </c>
      <c r="G6" s="37">
        <f>IFERROR(C6/F6*100%,"-")</f>
        <v>0</v>
      </c>
      <c r="H6" s="23">
        <f t="shared" si="0"/>
        <v>0</v>
      </c>
      <c r="I6" s="24">
        <f t="shared" si="0"/>
        <v>0</v>
      </c>
      <c r="J6" s="32" t="str" cm="1">
        <f t="array" ref="J6">IFERROR(_xlfn.IFS(B6="044 - BLEND TRADICION","BLEND",B6="113 - CAFÉ GOURMET","GOURMET",B6="114 - CAFÉ CONSUMO","CONSUMO",B6="112 - CAFÉ ORGANICO","GOURMET",B6="172 - CAFÉ COSECHA","ESPECIALES",B6="176 - CAFE DESCAFEINADO","GOURMET",B6="147 - CAPSULAS","CAPSULAS",B6="130 - GALLETAS CAFECITAS","DERIVADOS",B6="140 - MERENGUES","DERIVADOS",B6="100 - CAFÉ ESPECIAL","ESPECIALES",B6="141 - AREQUIPE","DERIVADOS",B6="142 - MERMELADA","DERIVADOS",B6="131 - GALLETAS AVENA","DERIVADOS",B6="160 - SOUVENIR","OTROS",B6="148 - CARAMELOS","DERIVADOS",B6="143 - CHOCOFFES","DERIVADOS",B6="162 - CONVENIOS Y DSC POS ","OTROS"),"OTROS")</f>
        <v>BLEND</v>
      </c>
      <c r="L6" s="27">
        <f t="shared" si="2"/>
        <v>0</v>
      </c>
      <c r="M6" s="27">
        <f t="shared" si="3"/>
        <v>0</v>
      </c>
    </row>
    <row r="7" spans="1:13" ht="16.5" outlineLevel="1">
      <c r="A7" s="33"/>
      <c r="B7" s="34" t="s">
        <v>19</v>
      </c>
      <c r="C7" s="35">
        <v>0</v>
      </c>
      <c r="D7" s="36">
        <v>0</v>
      </c>
      <c r="E7" s="36"/>
      <c r="F7" s="35">
        <v>3013430.38</v>
      </c>
      <c r="G7" s="37">
        <f t="shared" ref="G7:G22" si="4">IFERROR(C7/F7*100%,"-")</f>
        <v>0</v>
      </c>
      <c r="H7" s="23">
        <f t="shared" si="0"/>
        <v>0</v>
      </c>
      <c r="I7" s="24">
        <f t="shared" si="0"/>
        <v>0</v>
      </c>
      <c r="J7" s="32" t="str" cm="1">
        <f t="array" ref="J7">IFERROR(_xlfn.IFS(B7="044 - BLEND TRADICION","BLEND",B7="113 - CAFÉ GOURMET","GOURMET",B7="114 - CAFÉ CONSUMO","CONSUMO",B7="112 - CAFÉ ORGANICO","GOURMET",B7="172 - CAFÉ COSECHA","ESPECIALES",B7="176 - CAFE DESCAFEINADO","GOURMET",B7="147 - CAPSULAS","CAPSULAS",B7="130 - GALLETAS CAFECITAS","DERIVADOS",B7="140 - MERENGUES","DERIVADOS",B7="100 - CAFÉ ESPECIAL","ESPECIALES",B7="141 - AREQUIPE","DERIVADOS",B7="142 - MERMELADA","DERIVADOS",B7="131 - GALLETAS AVENA","DERIVADOS",B7="160 - SOUVENIR","OTROS",B7="148 - CARAMELOS","DERIVADOS",B7="143 - CHOCOFFES","DERIVADOS",B7="162 - CONVENIOS Y DSC POS ","OTROS"),"OTROS")</f>
        <v>ESPECIALES</v>
      </c>
      <c r="L7" s="27">
        <f t="shared" si="2"/>
        <v>0</v>
      </c>
      <c r="M7" s="27">
        <f t="shared" si="3"/>
        <v>0</v>
      </c>
    </row>
    <row r="8" spans="1:13" ht="16.5" outlineLevel="1">
      <c r="A8" s="38"/>
      <c r="B8" s="39" t="s">
        <v>20</v>
      </c>
      <c r="C8" s="36">
        <v>68459</v>
      </c>
      <c r="D8" s="36">
        <v>0</v>
      </c>
      <c r="E8" s="36">
        <v>0</v>
      </c>
      <c r="F8" s="36">
        <v>2838463.33</v>
      </c>
      <c r="G8" s="37">
        <f t="shared" si="4"/>
        <v>2.4118331660814514E-2</v>
      </c>
      <c r="H8" s="23">
        <f t="shared" si="0"/>
        <v>0</v>
      </c>
      <c r="I8" s="24">
        <f t="shared" si="0"/>
        <v>0</v>
      </c>
      <c r="J8" s="32" t="str" cm="1">
        <f t="array" ref="J8">IFERROR(_xlfn.IFS(B8="044 - BLEND TRADICION","BLEND",B8="113 - CAFÉ GOURMET","GOURMET",B8="114 - CAFÉ CONSUMO","CONSUMO",B8="112 - CAFÉ ORGANICO","GOURMET",B8="172 - CAFÉ COSECHA","ESPECIALES",B8="176 - CAFE DESCAFEINADO","GOURMET",B8="147 - CAPSULAS","CAPSULAS",B8="130 - GALLETAS CAFECITAS","DERIVADOS",B8="140 - MERENGUES","DERIVADOS",B8="100 - CAFÉ ESPECIAL","ESPECIALES",B8="141 - AREQUIPE","DERIVADOS",B8="142 - MERMELADA","DERIVADOS",B8="131 - GALLETAS AVENA","DERIVADOS",B8="160 - SOUVENIR","OTROS",B8="148 - CARAMELOS","DERIVADOS",B8="143 - CHOCOFFES","DERIVADOS",B8="162 - CONVENIOS Y DSC POS ","OTROS"),"OTROS")</f>
        <v>GOURMET</v>
      </c>
      <c r="L8" s="27">
        <f t="shared" si="2"/>
        <v>68459</v>
      </c>
      <c r="M8" s="27">
        <f t="shared" si="3"/>
        <v>68459</v>
      </c>
    </row>
    <row r="9" spans="1:13" ht="16.5" outlineLevel="1">
      <c r="A9" s="38"/>
      <c r="B9" s="39" t="s">
        <v>21</v>
      </c>
      <c r="C9" s="36">
        <v>4365171</v>
      </c>
      <c r="D9" s="36">
        <v>0</v>
      </c>
      <c r="E9" s="36">
        <v>0</v>
      </c>
      <c r="F9" s="36">
        <v>87912157.530000001</v>
      </c>
      <c r="G9" s="37">
        <f t="shared" si="4"/>
        <v>4.9653780803984776E-2</v>
      </c>
      <c r="H9" s="23">
        <f t="shared" si="0"/>
        <v>0</v>
      </c>
      <c r="I9" s="24">
        <f t="shared" si="0"/>
        <v>0</v>
      </c>
      <c r="J9" s="32" t="str" cm="1">
        <f t="array" ref="J9">IFERROR(_xlfn.IFS(B9="044 - BLEND TRADICION","BLEND",B9="113 - CAFÉ GOURMET","GOURMET",B9="114 - CAFÉ CONSUMO","CONSUMO",B9="112 - CAFÉ ORGANICO","GOURMET",B9="172 - CAFÉ COSECHA","ESPECIALES",B9="176 - CAFE DESCAFEINADO","GOURMET",B9="147 - CAPSULAS","CAPSULAS",B9="130 - GALLETAS CAFECITAS","DERIVADOS",B9="140 - MERENGUES","DERIVADOS",B9="100 - CAFÉ ESPECIAL","ESPECIALES",B9="141 - AREQUIPE","DERIVADOS",B9="142 - MERMELADA","DERIVADOS",B9="131 - GALLETAS AVENA","DERIVADOS",B9="160 - SOUVENIR","OTROS",B9="148 - CARAMELOS","DERIVADOS",B9="143 - CHOCOFFES","DERIVADOS",B9="162 - CONVENIOS Y DSC POS ","OTROS"),"OTROS")</f>
        <v>GOURMET</v>
      </c>
      <c r="L9" s="27">
        <f t="shared" si="2"/>
        <v>4365171</v>
      </c>
      <c r="M9" s="27">
        <f t="shared" si="3"/>
        <v>4365171</v>
      </c>
    </row>
    <row r="10" spans="1:13" ht="16.5" outlineLevel="1">
      <c r="A10" s="38"/>
      <c r="B10" s="39" t="s">
        <v>22</v>
      </c>
      <c r="C10" s="36">
        <v>250456</v>
      </c>
      <c r="D10" s="36">
        <v>0</v>
      </c>
      <c r="E10" s="36">
        <v>0</v>
      </c>
      <c r="F10" s="36">
        <v>4458765.92</v>
      </c>
      <c r="G10" s="37">
        <f t="shared" si="4"/>
        <v>5.6171596467212613E-2</v>
      </c>
      <c r="H10" s="23">
        <f t="shared" si="0"/>
        <v>0</v>
      </c>
      <c r="I10" s="24">
        <f t="shared" si="0"/>
        <v>0</v>
      </c>
      <c r="J10" s="32" t="str" cm="1">
        <f t="array" ref="J10">IFERROR(_xlfn.IFS(B10="044 - BLEND TRADICION","BLEND",B10="113 - CAFÉ GOURMET","GOURMET",B10="114 - CAFÉ CONSUMO","CONSUMO",B10="112 - CAFÉ ORGANICO","GOURMET",B10="172 - CAFÉ COSECHA","ESPECIALES",B10="176 - CAFE DESCAFEINADO","GOURMET",B10="147 - CAPSULAS","CAPSULAS",B10="130 - GALLETAS CAFECITAS","DERIVADOS",B10="140 - MERENGUES","DERIVADOS",B10="100 - CAFÉ ESPECIAL","ESPECIALES",B10="141 - AREQUIPE","DERIVADOS",B10="142 - MERMELADA","DERIVADOS",B10="131 - GALLETAS AVENA","DERIVADOS",B10="160 - SOUVENIR","OTROS",B10="148 - CARAMELOS","DERIVADOS",B10="143 - CHOCOFFES","DERIVADOS",B10="162 - CONVENIOS Y DSC POS ","OTROS"),"OTROS")</f>
        <v>DERIVADOS</v>
      </c>
      <c r="L10" s="27">
        <f t="shared" si="2"/>
        <v>250456</v>
      </c>
      <c r="M10" s="27">
        <f t="shared" si="3"/>
        <v>250456</v>
      </c>
    </row>
    <row r="11" spans="1:13" ht="16.5" outlineLevel="1">
      <c r="A11" s="38"/>
      <c r="B11" s="39" t="s">
        <v>23</v>
      </c>
      <c r="C11" s="36">
        <v>63836</v>
      </c>
      <c r="D11" s="36">
        <v>0</v>
      </c>
      <c r="E11" s="36">
        <v>0</v>
      </c>
      <c r="F11" s="36">
        <v>347556.62</v>
      </c>
      <c r="G11" s="37">
        <f t="shared" si="4"/>
        <v>0.18367079297755859</v>
      </c>
      <c r="H11" s="23">
        <f t="shared" si="0"/>
        <v>0</v>
      </c>
      <c r="I11" s="24">
        <f t="shared" si="0"/>
        <v>0</v>
      </c>
      <c r="J11" s="32" t="str" cm="1">
        <f t="array" ref="J11">IFERROR(_xlfn.IFS(B11="044 - BLEND TRADICION","BLEND",B11="113 - CAFÉ GOURMET","GOURMET",B11="114 - CAFÉ CONSUMO","CONSUMO",B11="112 - CAFÉ ORGANICO","GOURMET",B11="172 - CAFÉ COSECHA","ESPECIALES",B11="176 - CAFE DESCAFEINADO","GOURMET",B11="147 - CAPSULAS","CAPSULAS",B11="130 - GALLETAS CAFECITAS","DERIVADOS",B11="140 - MERENGUES","DERIVADOS",B11="100 - CAFÉ ESPECIAL","ESPECIALES",B11="141 - AREQUIPE","DERIVADOS",B11="142 - MERMELADA","DERIVADOS",B11="131 - GALLETAS AVENA","DERIVADOS",B11="160 - SOUVENIR","OTROS",B11="148 - CARAMELOS","DERIVADOS",B11="143 - CHOCOFFES","DERIVADOS",B11="162 - CONVENIOS Y DSC POS ","OTROS"),"OTROS")</f>
        <v>DERIVADOS</v>
      </c>
      <c r="L11" s="27">
        <f t="shared" si="2"/>
        <v>63836</v>
      </c>
      <c r="M11" s="27">
        <f t="shared" si="3"/>
        <v>63836</v>
      </c>
    </row>
    <row r="12" spans="1:13" ht="16.5" outlineLevel="1">
      <c r="A12" s="38"/>
      <c r="B12" s="39" t="s">
        <v>24</v>
      </c>
      <c r="C12" s="36">
        <v>48741</v>
      </c>
      <c r="D12" s="36">
        <v>0</v>
      </c>
      <c r="E12" s="36"/>
      <c r="F12" s="36">
        <v>1108552.25</v>
      </c>
      <c r="G12" s="37">
        <f t="shared" si="4"/>
        <v>4.3968157567674415E-2</v>
      </c>
      <c r="H12" s="23">
        <f t="shared" si="0"/>
        <v>0</v>
      </c>
      <c r="I12" s="24">
        <f t="shared" si="0"/>
        <v>0</v>
      </c>
      <c r="J12" s="32" t="str" cm="1">
        <f t="array" ref="J12">IFERROR(_xlfn.IFS(B12="044 - BLEND TRADICION","BLEND",B12="113 - CAFÉ GOURMET","GOURMET",B12="114 - CAFÉ CONSUMO","CONSUMO",B12="112 - CAFÉ ORGANICO","GOURMET",B12="172 - CAFÉ COSECHA","ESPECIALES",B12="176 - CAFE DESCAFEINADO","GOURMET",B12="147 - CAPSULAS","CAPSULAS",B12="130 - GALLETAS CAFECITAS","DERIVADOS",B12="140 - MERENGUES","DERIVADOS",B12="100 - CAFÉ ESPECIAL","ESPECIALES",B12="141 - AREQUIPE","DERIVADOS",B12="142 - MERMELADA","DERIVADOS",B12="131 - GALLETAS AVENA","DERIVADOS",B12="160 - SOUVENIR","OTROS",B12="148 - CARAMELOS","DERIVADOS",B12="143 - CHOCOFFES","DERIVADOS",B12="162 - CONVENIOS Y DSC POS ","OTROS"),"OTROS")</f>
        <v>DERIVADOS</v>
      </c>
      <c r="L12" s="27">
        <f t="shared" si="2"/>
        <v>48741</v>
      </c>
      <c r="M12" s="27">
        <f t="shared" si="3"/>
        <v>48741</v>
      </c>
    </row>
    <row r="13" spans="1:13" ht="16.5" outlineLevel="1">
      <c r="A13" s="38"/>
      <c r="B13" s="39" t="s">
        <v>25</v>
      </c>
      <c r="C13" s="36">
        <v>42096</v>
      </c>
      <c r="D13" s="36">
        <v>0</v>
      </c>
      <c r="E13" s="36"/>
      <c r="F13" s="36">
        <v>5164325.42</v>
      </c>
      <c r="G13" s="37">
        <f t="shared" si="4"/>
        <v>8.1513066231213606E-3</v>
      </c>
      <c r="H13" s="23">
        <f t="shared" si="0"/>
        <v>0</v>
      </c>
      <c r="I13" s="24">
        <f t="shared" si="0"/>
        <v>0</v>
      </c>
      <c r="J13" s="32" t="str" cm="1">
        <f t="array" ref="J13">IFERROR(_xlfn.IFS(B13="044 - BLEND TRADICION","BLEND",B13="113 - CAFÉ GOURMET","GOURMET",B13="114 - CAFÉ CONSUMO","CONSUMO",B13="112 - CAFÉ ORGANICO","GOURMET",B13="172 - CAFÉ COSECHA","ESPECIALES",B13="176 - CAFE DESCAFEINADO","GOURMET",B13="147 - CAPSULAS","CAPSULAS",B13="130 - GALLETAS CAFECITAS","DERIVADOS",B13="140 - MERENGUES","DERIVADOS",B13="100 - CAFÉ ESPECIAL","ESPECIALES",B13="141 - AREQUIPE","DERIVADOS",B13="142 - MERMELADA","DERIVADOS",B13="131 - GALLETAS AVENA","DERIVADOS",B13="160 - SOUVENIR","OTROS",B13="148 - CARAMELOS","DERIVADOS",B13="143 - CHOCOFFES","DERIVADOS",B13="162 - CONVENIOS Y DSC POS ","OTROS"),"OTROS")</f>
        <v>DERIVADOS</v>
      </c>
      <c r="L13" s="27">
        <f t="shared" si="2"/>
        <v>42096</v>
      </c>
      <c r="M13" s="27">
        <f t="shared" si="3"/>
        <v>42096</v>
      </c>
    </row>
    <row r="14" spans="1:13" ht="16.5" outlineLevel="1">
      <c r="A14" s="38"/>
      <c r="B14" s="39" t="s">
        <v>26</v>
      </c>
      <c r="C14" s="36">
        <v>0</v>
      </c>
      <c r="D14" s="36">
        <v>0</v>
      </c>
      <c r="E14" s="36"/>
      <c r="F14" s="36">
        <v>2621339.7000000002</v>
      </c>
      <c r="G14" s="37">
        <f t="shared" si="4"/>
        <v>0</v>
      </c>
      <c r="H14" s="23">
        <f t="shared" si="0"/>
        <v>0</v>
      </c>
      <c r="I14" s="24">
        <f t="shared" si="0"/>
        <v>0</v>
      </c>
      <c r="J14" s="32" t="str" cm="1">
        <f t="array" ref="J14">IFERROR(_xlfn.IFS(B14="044 - BLEND TRADICION","BLEND",B14="113 - CAFÉ GOURMET","GOURMET",B14="114 - CAFÉ CONSUMO","CONSUMO",B14="112 - CAFÉ ORGANICO","GOURMET",B14="172 - CAFÉ COSECHA","ESPECIALES",B14="176 - CAFE DESCAFEINADO","GOURMET",B14="147 - CAPSULAS","CAPSULAS",B14="130 - GALLETAS CAFECITAS","DERIVADOS",B14="140 - MERENGUES","DERIVADOS",B14="100 - CAFÉ ESPECIAL","ESPECIALES",B14="141 - AREQUIPE","DERIVADOS",B14="142 - MERMELADA","DERIVADOS",B14="131 - GALLETAS AVENA","DERIVADOS",B14="160 - SOUVENIR","OTROS",B14="148 - CARAMELOS","DERIVADOS",B14="143 - CHOCOFFES","DERIVADOS",B14="162 - CONVENIOS Y DSC POS ","OTROS"),"OTROS")</f>
        <v>CAPSULAS</v>
      </c>
      <c r="L14" s="27">
        <f t="shared" si="2"/>
        <v>0</v>
      </c>
      <c r="M14" s="27">
        <f t="shared" si="3"/>
        <v>0</v>
      </c>
    </row>
    <row r="15" spans="1:13" ht="16.5" outlineLevel="1">
      <c r="A15" s="38"/>
      <c r="B15" s="39" t="s">
        <v>27</v>
      </c>
      <c r="C15" s="36">
        <v>0</v>
      </c>
      <c r="D15" s="36">
        <v>0</v>
      </c>
      <c r="E15" s="36"/>
      <c r="F15" s="36">
        <v>4581829.2699999996</v>
      </c>
      <c r="G15" s="37">
        <f t="shared" si="4"/>
        <v>0</v>
      </c>
      <c r="H15" s="23">
        <f t="shared" si="0"/>
        <v>0</v>
      </c>
      <c r="I15" s="24">
        <f t="shared" si="0"/>
        <v>0</v>
      </c>
      <c r="J15" s="32" t="str" cm="1">
        <f t="array" ref="J15">IFERROR(_xlfn.IFS(B15="044 - BLEND TRADICION","BLEND",B15="113 - CAFÉ GOURMET","GOURMET",B15="114 - CAFÉ CONSUMO","CONSUMO",B15="112 - CAFÉ ORGANICO","GOURMET",B15="172 - CAFÉ COSECHA","ESPECIALES",B15="176 - CAFE DESCAFEINADO","GOURMET",B15="147 - CAPSULAS","CAPSULAS",B15="130 - GALLETAS CAFECITAS","DERIVADOS",B15="140 - MERENGUES","DERIVADOS",B15="100 - CAFÉ ESPECIAL","ESPECIALES",B15="141 - AREQUIPE","DERIVADOS",B15="142 - MERMELADA","DERIVADOS",B15="131 - GALLETAS AVENA","DERIVADOS",B15="160 - SOUVENIR","OTROS",B15="148 - CARAMELOS","DERIVADOS",B15="143 - CHOCOFFES","DERIVADOS",B15="162 - CONVENIOS Y DSC POS ","OTROS"),"OTROS")</f>
        <v>DERIVADOS</v>
      </c>
      <c r="L15" s="27">
        <f t="shared" si="2"/>
        <v>0</v>
      </c>
      <c r="M15" s="27">
        <f t="shared" si="3"/>
        <v>0</v>
      </c>
    </row>
    <row r="16" spans="1:13" ht="16.5" outlineLevel="1">
      <c r="A16" s="38"/>
      <c r="B16" s="39" t="s">
        <v>28</v>
      </c>
      <c r="C16" s="36">
        <v>494974</v>
      </c>
      <c r="D16" s="36">
        <v>0</v>
      </c>
      <c r="E16" s="36"/>
      <c r="F16" s="36">
        <v>11251446.380000001</v>
      </c>
      <c r="G16" s="37">
        <f t="shared" si="4"/>
        <v>4.3992032960299278E-2</v>
      </c>
      <c r="H16" s="23">
        <f t="shared" si="0"/>
        <v>0</v>
      </c>
      <c r="I16" s="24">
        <f t="shared" si="0"/>
        <v>0</v>
      </c>
      <c r="J16" s="32" t="str" cm="1">
        <f t="array" ref="J16">IFERROR(_xlfn.IFS(B16="044 - BLEND TRADICION","BLEND",B16="113 - CAFÉ GOURMET","GOURMET",B16="114 - CAFÉ CONSUMO","CONSUMO",B16="112 - CAFÉ ORGANICO","GOURMET",B16="172 - CAFÉ COSECHA","ESPECIALES",B16="176 - CAFE DESCAFEINADO","GOURMET",B16="147 - CAPSULAS","CAPSULAS",B16="130 - GALLETAS CAFECITAS","DERIVADOS",B16="140 - MERENGUES","DERIVADOS",B16="100 - CAFÉ ESPECIAL","ESPECIALES",B16="141 - AREQUIPE","DERIVADOS",B16="142 - MERMELADA","DERIVADOS",B16="131 - GALLETAS AVENA","DERIVADOS",B16="160 - SOUVENIR","OTROS",B16="148 - CARAMELOS","DERIVADOS",B16="143 - CHOCOFFES","DERIVADOS",B16="162 - CONVENIOS Y DSC POS ","OTROS"),"OTROS")</f>
        <v>OTROS</v>
      </c>
      <c r="L16" s="27">
        <f t="shared" si="2"/>
        <v>494974</v>
      </c>
      <c r="M16" s="27">
        <f t="shared" si="3"/>
        <v>494974</v>
      </c>
    </row>
    <row r="17" spans="1:13" ht="16.5" outlineLevel="1">
      <c r="A17" s="38"/>
      <c r="B17" s="39" t="s">
        <v>29</v>
      </c>
      <c r="C17" s="36">
        <v>0</v>
      </c>
      <c r="D17" s="36">
        <v>0</v>
      </c>
      <c r="E17" s="36"/>
      <c r="F17" s="36">
        <v>6227226.4500000002</v>
      </c>
      <c r="G17" s="37">
        <f t="shared" si="4"/>
        <v>0</v>
      </c>
      <c r="H17" s="23">
        <f t="shared" si="0"/>
        <v>0</v>
      </c>
      <c r="I17" s="24">
        <f t="shared" si="0"/>
        <v>0</v>
      </c>
      <c r="J17" s="32" t="str" cm="1">
        <f t="array" ref="J17">IFERROR(_xlfn.IFS(B17="044 - BLEND TRADICION","BLEND",B17="113 - CAFÉ GOURMET","GOURMET",B17="114 - CAFÉ CONSUMO","CONSUMO",B17="112 - CAFÉ ORGANICO","GOURMET",B17="172 - CAFÉ COSECHA","ESPECIALES",B17="176 - CAFE DESCAFEINADO","GOURMET",B17="147 - CAPSULAS","CAPSULAS",B17="130 - GALLETAS CAFECITAS","DERIVADOS",B17="140 - MERENGUES","DERIVADOS",B17="100 - CAFÉ ESPECIAL","ESPECIALES",B17="141 - AREQUIPE","DERIVADOS",B17="142 - MERMELADA","DERIVADOS",B17="131 - GALLETAS AVENA","DERIVADOS",B17="160 - SOUVENIR","OTROS",B17="148 - CARAMELOS","DERIVADOS",B17="143 - CHOCOFFES","DERIVADOS",B17="162 - CONVENIOS Y DSC POS ","OTROS"),"OTROS")</f>
        <v>ESPECIALES</v>
      </c>
      <c r="L17" s="27">
        <f t="shared" si="2"/>
        <v>0</v>
      </c>
      <c r="M17" s="27">
        <f t="shared" si="3"/>
        <v>0</v>
      </c>
    </row>
    <row r="18" spans="1:13" ht="16.5" outlineLevel="1">
      <c r="A18" s="38"/>
      <c r="B18" s="39" t="s">
        <v>30</v>
      </c>
      <c r="C18" s="36">
        <v>144234</v>
      </c>
      <c r="D18" s="36">
        <v>0</v>
      </c>
      <c r="E18" s="36"/>
      <c r="F18" s="36">
        <v>675742.84</v>
      </c>
      <c r="G18" s="37">
        <f t="shared" si="4"/>
        <v>0.21344510287375004</v>
      </c>
      <c r="H18" s="23">
        <f t="shared" si="0"/>
        <v>0</v>
      </c>
      <c r="I18" s="24">
        <f t="shared" si="0"/>
        <v>0</v>
      </c>
      <c r="J18" s="32" t="str" cm="1">
        <f t="array" ref="J18">IFERROR(_xlfn.IFS(B18="044 - BLEND TRADICION","BLEND",B18="113 - CAFÉ GOURMET","GOURMET",B18="114 - CAFÉ CONSUMO","CONSUMO",B18="112 - CAFÉ ORGANICO","GOURMET",B18="172 - CAFÉ COSECHA","ESPECIALES",B18="176 - CAFE DESCAFEINADO","GOURMET",B18="147 - CAPSULAS","CAPSULAS",B18="130 - GALLETAS CAFECITAS","DERIVADOS",B18="140 - MERENGUES","DERIVADOS",B18="100 - CAFÉ ESPECIAL","ESPECIALES",B18="141 - AREQUIPE","DERIVADOS",B18="142 - MERMELADA","DERIVADOS",B18="131 - GALLETAS AVENA","DERIVADOS",B18="160 - SOUVENIR","OTROS",B18="148 - CARAMELOS","DERIVADOS",B18="143 - CHOCOFFES","DERIVADOS",B18="162 - CONVENIOS Y DSC POS ","OTROS"),"OTROS")</f>
        <v>GOURMET</v>
      </c>
      <c r="L18" s="27">
        <f t="shared" si="2"/>
        <v>144234</v>
      </c>
      <c r="M18" s="27">
        <f t="shared" si="3"/>
        <v>144234</v>
      </c>
    </row>
    <row r="19" spans="1:13" ht="16.5" outlineLevel="1">
      <c r="A19" s="38"/>
      <c r="B19" s="39" t="s">
        <v>31</v>
      </c>
      <c r="C19" s="36">
        <v>0</v>
      </c>
      <c r="D19" s="36">
        <v>0</v>
      </c>
      <c r="E19" s="36"/>
      <c r="F19" s="36">
        <v>0</v>
      </c>
      <c r="G19" s="37" t="str">
        <f t="shared" si="4"/>
        <v>-</v>
      </c>
      <c r="H19" s="23">
        <f t="shared" ref="H19:I22" si="5">IFERROR(+D19/L19*100%,0)</f>
        <v>0</v>
      </c>
      <c r="I19" s="24">
        <f t="shared" si="5"/>
        <v>0</v>
      </c>
      <c r="J19" s="32" t="str" cm="1">
        <f t="array" ref="J19">IFERROR(_xlfn.IFS(B19="044 - BLEND TRADICION","BLEND",B19="113 - CAFÉ GOURMET","GOURMET",B19="114 - CAFÉ CONSUMO","CONSUMO",B19="112 - CAFÉ ORGANICO","GOURMET",B19="172 - CAFÉ COSECHA","ESPECIALES",B19="176 - CAFE DESCAFEINADO","GOURMET",B19="147 - CAPSULAS","CAPSULAS",B19="130 - GALLETAS CAFECITAS","DERIVADOS",B19="140 - MERENGUES","DERIVADOS",B19="100 - CAFÉ ESPECIAL","ESPECIALES",B19="141 - AREQUIPE","DERIVADOS",B19="142 - MERMELADA","DERIVADOS",B19="131 - GALLETAS AVENA","DERIVADOS",B19="160 - SOUVENIR","OTROS",B19="148 - CARAMELOS","DERIVADOS",B19="143 - CHOCOFFES","DERIVADOS",B19="162 - CONVENIOS Y DSC POS ","OTROS"),"OTROS")</f>
        <v>OTROS</v>
      </c>
      <c r="L19" s="27">
        <f t="shared" si="2"/>
        <v>0</v>
      </c>
      <c r="M19" s="27">
        <f t="shared" si="3"/>
        <v>0</v>
      </c>
    </row>
    <row r="20" spans="1:13" ht="16.5" outlineLevel="1">
      <c r="A20" s="19" t="s">
        <v>16</v>
      </c>
      <c r="B20" s="40" t="s">
        <v>32</v>
      </c>
      <c r="C20" s="41">
        <f>SUM(C6:C19)</f>
        <v>5477967</v>
      </c>
      <c r="D20" s="41">
        <f>SUM(D6:D19)</f>
        <v>0</v>
      </c>
      <c r="E20" s="41">
        <f>SUM(E6:E19)</f>
        <v>0</v>
      </c>
      <c r="F20" s="41">
        <f>SUM(F6:F19)</f>
        <v>132391087.09</v>
      </c>
      <c r="G20" s="42">
        <f t="shared" si="4"/>
        <v>4.1377158541466279E-2</v>
      </c>
      <c r="H20" s="43">
        <f t="shared" si="5"/>
        <v>0</v>
      </c>
      <c r="I20" s="24">
        <f t="shared" si="5"/>
        <v>0</v>
      </c>
      <c r="J20" s="32" t="str" cm="1">
        <f t="array" ref="J20">IFERROR(_xlfn.IFS(B20="044 - BLEND TRADICION","BLEND",B20="113 - CAFÉ GOURMET","GOURMET",B20="114 - CAFÉ CONSUMO","CONSUMO",B20="112 - CAFÉ ORGANICO","GOURMET",B20="172 - CAFÉ COSECHA","ESPECIALES",B20="176 - CAFE DESCAFEINADO","GOURMET",B20="147 - CAPSULAS","CAPSULAS",B20="130 - GALLETAS CAFECITAS","DERIVADOS",B20="140 - MERENGUES","DERIVADOS",B20="100 - CAFÉ ESPECIAL","ESPECIALES",B20="141 - AREQUIPE","DERIVADOS",B20="142 - MERMELADA","DERIVADOS",B20="131 - GALLETAS AVENA","DERIVADOS",B20="160 - SOUVENIR","OTROS",B20="148 - CARAMELOS","DERIVADOS",B20="143 - CHOCOFFES","DERIVADOS",B20="162 - CONVENIOS Y DSC POS ","OTROS"),"OTROS")</f>
        <v>OTROS</v>
      </c>
      <c r="L20" s="27">
        <f t="shared" si="2"/>
        <v>5477967</v>
      </c>
      <c r="M20" s="27">
        <f t="shared" si="3"/>
        <v>5477967</v>
      </c>
    </row>
    <row r="21" spans="1:13" ht="16.5">
      <c r="A21" s="28" t="s">
        <v>33</v>
      </c>
      <c r="B21" s="29" t="s">
        <v>17</v>
      </c>
      <c r="C21" s="30">
        <f>+C26+C56+C41</f>
        <v>25388862</v>
      </c>
      <c r="D21" s="30">
        <f>+D26+D56+D41</f>
        <v>0</v>
      </c>
      <c r="E21" s="30">
        <f>+E26+E56+E41</f>
        <v>0</v>
      </c>
      <c r="F21" s="30">
        <f>+F26+F56+F41</f>
        <v>482062133.13</v>
      </c>
      <c r="G21" s="31">
        <f t="shared" si="4"/>
        <v>5.2667198386132652E-2</v>
      </c>
      <c r="H21" s="43">
        <f t="shared" si="5"/>
        <v>0</v>
      </c>
      <c r="I21" s="24">
        <f t="shared" si="5"/>
        <v>0</v>
      </c>
      <c r="J21" s="32" t="str" cm="1">
        <f t="array" ref="J21">IFERROR(_xlfn.IFS(B21="044 - BLEND TRADICION","BLEND",B21="113 - CAFÉ GOURMET","GOURMET",B21="114 - CAFÉ CONSUMO","CONSUMO",B21="112 - CAFÉ ORGANICO","GOURMET",B21="172 - CAFÉ COSECHA","ESPECIALES",B21="176 - CAFE DESCAFEINADO","GOURMET",B21="147 - CAPSULAS","CAPSULAS",B21="130 - GALLETAS CAFECITAS","DERIVADOS",B21="140 - MERENGUES","DERIVADOS",B21="100 - CAFÉ ESPECIAL","ESPECIALES",B21="141 - AREQUIPE","DERIVADOS",B21="142 - MERMELADA","DERIVADOS",B21="131 - GALLETAS AVENA","DERIVADOS",B21="160 - SOUVENIR","OTROS",B21="148 - CARAMELOS","DERIVADOS",B21="143 - CHOCOFFES","DERIVADOS",B21="162 - CONVENIOS Y DSC POS ","OTROS"),"OTROS")</f>
        <v>OTROS</v>
      </c>
      <c r="L21" s="27">
        <f t="shared" ref="L21:L30" si="6">C21-(D21+E21)</f>
        <v>25388862</v>
      </c>
      <c r="M21" s="27">
        <f t="shared" ref="M21:M30" si="7">L21</f>
        <v>25388862</v>
      </c>
    </row>
    <row r="22" spans="1:13" ht="16.5" outlineLevel="1">
      <c r="A22" s="44"/>
      <c r="B22" s="45" t="s">
        <v>34</v>
      </c>
      <c r="C22" s="46">
        <v>0</v>
      </c>
      <c r="D22" s="47">
        <v>0</v>
      </c>
      <c r="E22" s="48"/>
      <c r="F22" s="48">
        <v>43207145.729999997</v>
      </c>
      <c r="G22" s="49">
        <f t="shared" si="4"/>
        <v>0</v>
      </c>
      <c r="H22" s="43">
        <f t="shared" si="5"/>
        <v>0</v>
      </c>
      <c r="I22" s="24">
        <f t="shared" si="5"/>
        <v>0</v>
      </c>
      <c r="J22" s="32" t="str" cm="1">
        <f t="array" ref="J22">IFERROR(_xlfn.IFS(B22="044 - BLEND TRADICION","BLEND",B22="113 - CAFÉ GOURMET","GOURMET",B22="114 - CAFÉ CONSUMO","CONSUMO",B22="112 - CAFÉ ORGANICO","GOURMET",B22="172 - CAFÉ COSECHA","ESPECIALES",B22="176 - CAFE DESCAFEINADO","GOURMET",B22="147 - CAPSULAS","CAPSULAS",B22="130 - GALLETAS CAFECITAS","DERIVADOS",B22="140 - MERENGUES","DERIVADOS",B22="100 - CAFÉ ESPECIAL","ESPECIALES",B22="141 - AREQUIPE","DERIVADOS",B22="142 - MERMELADA","DERIVADOS",B22="131 - GALLETAS AVENA","DERIVADOS",B22="160 - SOUVENIR","OTROS",B22="148 - CARAMELOS","DERIVADOS",B22="143 - CHOCOFFES","DERIVADOS",B22="162 - CONVENIOS Y DSC POS ","OTROS"),"OTROS")</f>
        <v>OTROS</v>
      </c>
      <c r="L22" s="27">
        <f t="shared" si="6"/>
        <v>0</v>
      </c>
      <c r="M22" s="27">
        <f t="shared" si="7"/>
        <v>0</v>
      </c>
    </row>
    <row r="23" spans="1:13" ht="16.5" outlineLevel="1">
      <c r="A23" s="44"/>
      <c r="B23" s="45" t="s">
        <v>21</v>
      </c>
      <c r="C23" s="46">
        <v>0</v>
      </c>
      <c r="D23" s="50">
        <v>0</v>
      </c>
      <c r="E23" s="51"/>
      <c r="F23" s="51">
        <v>40827157.719999999</v>
      </c>
      <c r="G23" s="49">
        <f t="shared" ref="G23:G25" si="8">IFERROR(C23/F23*100%,"-")</f>
        <v>0</v>
      </c>
      <c r="H23" s="43">
        <f t="shared" ref="H23:H25" si="9">IFERROR(+D23/L23*100%,0)</f>
        <v>0</v>
      </c>
      <c r="I23" s="24">
        <f t="shared" ref="I23:I25" si="10">IFERROR(+E23/M23*100%,0)</f>
        <v>0</v>
      </c>
      <c r="J23" s="32" t="str" cm="1">
        <f t="array" ref="J23">IFERROR(_xlfn.IFS(B23="044 - BLEND TRADICION","BLEND",B23="113 - CAFÉ GOURMET","GOURMET",B23="114 - CAFÉ CONSUMO","CONSUMO",B23="112 - CAFÉ ORGANICO","GOURMET",B23="172 - CAFÉ COSECHA","ESPECIALES",B23="176 - CAFE DESCAFEINADO","GOURMET",B23="147 - CAPSULAS","CAPSULAS",B23="130 - GALLETAS CAFECITAS","DERIVADOS",B23="140 - MERENGUES","DERIVADOS",B23="100 - CAFÉ ESPECIAL","ESPECIALES",B23="141 - AREQUIPE","DERIVADOS",B23="142 - MERMELADA","DERIVADOS",B23="131 - GALLETAS AVENA","DERIVADOS",B23="160 - SOUVENIR","OTROS",B23="148 - CARAMELOS","DERIVADOS",B23="143 - CHOCOFFES","DERIVADOS",B23="162 - CONVENIOS Y DSC POS ","OTROS"),"OTROS")</f>
        <v>GOURMET</v>
      </c>
      <c r="L23" s="27">
        <f t="shared" si="6"/>
        <v>0</v>
      </c>
      <c r="M23" s="27">
        <f t="shared" si="7"/>
        <v>0</v>
      </c>
    </row>
    <row r="24" spans="1:13" ht="16.5" outlineLevel="1">
      <c r="A24" s="44"/>
      <c r="B24" s="45" t="s">
        <v>26</v>
      </c>
      <c r="C24" s="46">
        <v>0</v>
      </c>
      <c r="D24" s="50">
        <v>0</v>
      </c>
      <c r="E24" s="51"/>
      <c r="F24" s="51">
        <v>72407.34</v>
      </c>
      <c r="G24" s="49">
        <f t="shared" si="8"/>
        <v>0</v>
      </c>
      <c r="H24" s="43">
        <f t="shared" si="9"/>
        <v>0</v>
      </c>
      <c r="I24" s="24">
        <f t="shared" si="10"/>
        <v>0</v>
      </c>
      <c r="J24" s="32" t="str" cm="1">
        <f t="array" ref="J24">IFERROR(_xlfn.IFS(B24="044 - BLEND TRADICION","BLEND",B24="113 - CAFÉ GOURMET","GOURMET",B24="114 - CAFÉ CONSUMO","CONSUMO",B24="112 - CAFÉ ORGANICO","GOURMET",B24="172 - CAFÉ COSECHA","ESPECIALES",B24="176 - CAFE DESCAFEINADO","GOURMET",B24="147 - CAPSULAS","CAPSULAS",B24="130 - GALLETAS CAFECITAS","DERIVADOS",B24="140 - MERENGUES","DERIVADOS",B24="100 - CAFÉ ESPECIAL","ESPECIALES",B24="141 - AREQUIPE","DERIVADOS",B24="142 - MERMELADA","DERIVADOS",B24="131 - GALLETAS AVENA","DERIVADOS",B24="160 - SOUVENIR","OTROS",B24="148 - CARAMELOS","DERIVADOS",B24="143 - CHOCOFFES","DERIVADOS",B24="162 - CONVENIOS Y DSC POS ","OTROS"),"OTROS")</f>
        <v>CAPSULAS</v>
      </c>
      <c r="L24" s="27">
        <f t="shared" si="6"/>
        <v>0</v>
      </c>
      <c r="M24" s="27">
        <f t="shared" si="7"/>
        <v>0</v>
      </c>
    </row>
    <row r="25" spans="1:13" ht="16.5" outlineLevel="1">
      <c r="A25" s="44"/>
      <c r="B25" s="45" t="s">
        <v>28</v>
      </c>
      <c r="C25" s="46">
        <v>0</v>
      </c>
      <c r="D25" s="50">
        <v>0</v>
      </c>
      <c r="E25" s="51"/>
      <c r="F25" s="51">
        <v>7805453.8099999996</v>
      </c>
      <c r="G25" s="49">
        <f t="shared" si="8"/>
        <v>0</v>
      </c>
      <c r="H25" s="43">
        <f t="shared" si="9"/>
        <v>0</v>
      </c>
      <c r="I25" s="24">
        <f t="shared" si="10"/>
        <v>0</v>
      </c>
      <c r="J25" s="32" t="str" cm="1">
        <f t="array" ref="J25">IFERROR(_xlfn.IFS(B25="044 - BLEND TRADICION","BLEND",B25="113 - CAFÉ GOURMET","GOURMET",B25="114 - CAFÉ CONSUMO","CONSUMO",B25="112 - CAFÉ ORGANICO","GOURMET",B25="172 - CAFÉ COSECHA","ESPECIALES",B25="176 - CAFE DESCAFEINADO","GOURMET",B25="147 - CAPSULAS","CAPSULAS",B25="130 - GALLETAS CAFECITAS","DERIVADOS",B25="140 - MERENGUES","DERIVADOS",B25="100 - CAFÉ ESPECIAL","ESPECIALES",B25="141 - AREQUIPE","DERIVADOS",B25="142 - MERMELADA","DERIVADOS",B25="131 - GALLETAS AVENA","DERIVADOS",B25="160 - SOUVENIR","OTROS",B25="148 - CARAMELOS","DERIVADOS",B25="143 - CHOCOFFES","DERIVADOS",B25="162 - CONVENIOS Y DSC POS ","OTROS"),"OTROS")</f>
        <v>OTROS</v>
      </c>
      <c r="L25" s="27">
        <f t="shared" si="6"/>
        <v>0</v>
      </c>
      <c r="M25" s="27">
        <f t="shared" si="7"/>
        <v>0</v>
      </c>
    </row>
    <row r="26" spans="1:13" ht="16.5" outlineLevel="1">
      <c r="A26" s="52" t="s">
        <v>35</v>
      </c>
      <c r="B26" s="20" t="s">
        <v>32</v>
      </c>
      <c r="C26" s="21">
        <f>SUM(C22:C25)</f>
        <v>0</v>
      </c>
      <c r="D26" s="53">
        <f t="shared" ref="D26:E26" si="11">SUM(D22)</f>
        <v>0</v>
      </c>
      <c r="E26" s="54">
        <f t="shared" si="11"/>
        <v>0</v>
      </c>
      <c r="F26" s="54">
        <f>SUM(F22:F25)</f>
        <v>91912164.599999994</v>
      </c>
      <c r="G26" s="55">
        <f t="shared" ref="G26:G89" si="12">IFERROR(C26/F26*100%,"-")</f>
        <v>0</v>
      </c>
      <c r="H26" s="43">
        <f t="shared" ref="H26:I74" si="13">IFERROR(+D26/L26*100%,0)</f>
        <v>0</v>
      </c>
      <c r="I26" s="24">
        <f t="shared" si="13"/>
        <v>0</v>
      </c>
      <c r="J26" s="32" t="str" cm="1">
        <f t="array" ref="J26">IFERROR(_xlfn.IFS(B26="044 - BLEND TRADICION","BLEND",B26="113 - CAFÉ GOURMET","GOURMET",B26="114 - CAFÉ CONSUMO","CONSUMO",B26="112 - CAFÉ ORGANICO","GOURMET",B26="172 - CAFÉ COSECHA","ESPECIALES",B26="176 - CAFE DESCAFEINADO","GOURMET",B26="147 - CAPSULAS","CAPSULAS",B26="130 - GALLETAS CAFECITAS","DERIVADOS",B26="140 - MERENGUES","DERIVADOS",B26="100 - CAFÉ ESPECIAL","ESPECIALES",B26="141 - AREQUIPE","DERIVADOS",B26="142 - MERMELADA","DERIVADOS",B26="131 - GALLETAS AVENA","DERIVADOS",B26="160 - SOUVENIR","OTROS",B26="148 - CARAMELOS","DERIVADOS",B26="143 - CHOCOFFES","DERIVADOS",B26="162 - CONVENIOS Y DSC POS ","OTROS"),"OTROS")</f>
        <v>OTROS</v>
      </c>
      <c r="L26" s="27">
        <f t="shared" si="6"/>
        <v>0</v>
      </c>
      <c r="M26" s="27">
        <f t="shared" si="7"/>
        <v>0</v>
      </c>
    </row>
    <row r="27" spans="1:13" ht="16.5" outlineLevel="1">
      <c r="A27" s="44"/>
      <c r="B27" s="45" t="s">
        <v>34</v>
      </c>
      <c r="C27" s="46">
        <v>792980</v>
      </c>
      <c r="D27" s="47">
        <v>0</v>
      </c>
      <c r="E27" s="48">
        <v>0</v>
      </c>
      <c r="F27" s="48">
        <v>6545773.3099999996</v>
      </c>
      <c r="G27" s="49">
        <f t="shared" si="12"/>
        <v>0.12114382250124089</v>
      </c>
      <c r="H27" s="43">
        <f t="shared" si="13"/>
        <v>0</v>
      </c>
      <c r="I27" s="24">
        <f t="shared" si="13"/>
        <v>0</v>
      </c>
      <c r="J27" s="32" t="str" cm="1">
        <f t="array" ref="J27">IFERROR(_xlfn.IFS(B27="044 - BLEND TRADICION","BLEND",B27="113 - CAFÉ GOURMET","GOURMET",B27="114 - CAFÉ CONSUMO","CONSUMO",B27="112 - CAFÉ ORGANICO","GOURMET",B27="172 - CAFÉ COSECHA","ESPECIALES",B27="176 - CAFE DESCAFEINADO","GOURMET",B27="147 - CAPSULAS","CAPSULAS",B27="130 - GALLETAS CAFECITAS","DERIVADOS",B27="140 - MERENGUES","DERIVADOS",B27="100 - CAFÉ ESPECIAL","ESPECIALES",B27="141 - AREQUIPE","DERIVADOS",B27="142 - MERMELADA","DERIVADOS",B27="131 - GALLETAS AVENA","DERIVADOS",B27="160 - SOUVENIR","OTROS",B27="148 - CARAMELOS","DERIVADOS",B27="143 - CHOCOFFES","DERIVADOS",B27="162 - CONVENIOS Y DSC POS ","OTROS"),"OTROS")</f>
        <v>OTROS</v>
      </c>
      <c r="L27" s="27">
        <f t="shared" si="6"/>
        <v>792980</v>
      </c>
      <c r="M27" s="27">
        <f t="shared" si="7"/>
        <v>792980</v>
      </c>
    </row>
    <row r="28" spans="1:13" ht="16.5" outlineLevel="1">
      <c r="A28" s="38"/>
      <c r="B28" s="34" t="s">
        <v>19</v>
      </c>
      <c r="C28" s="35">
        <v>189399</v>
      </c>
      <c r="D28" s="36">
        <v>0</v>
      </c>
      <c r="E28" s="48">
        <v>0</v>
      </c>
      <c r="F28" s="48">
        <v>4061262.59</v>
      </c>
      <c r="G28" s="49">
        <f t="shared" si="12"/>
        <v>4.6635497164442159E-2</v>
      </c>
      <c r="H28" s="23">
        <f t="shared" si="13"/>
        <v>0</v>
      </c>
      <c r="I28" s="24">
        <f t="shared" si="13"/>
        <v>0</v>
      </c>
      <c r="J28" s="32" t="str" cm="1">
        <f t="array" ref="J28">IFERROR(_xlfn.IFS(B28="044 - BLEND TRADICION","BLEND",B28="113 - CAFÉ GOURMET","GOURMET",B28="114 - CAFÉ CONSUMO","CONSUMO",B28="112 - CAFÉ ORGANICO","GOURMET",B28="172 - CAFÉ COSECHA","ESPECIALES",B28="176 - CAFE DESCAFEINADO","GOURMET",B28="147 - CAPSULAS","CAPSULAS",B28="130 - GALLETAS CAFECITAS","DERIVADOS",B28="140 - MERENGUES","DERIVADOS",B28="100 - CAFÉ ESPECIAL","ESPECIALES",B28="141 - AREQUIPE","DERIVADOS",B28="142 - MERMELADA","DERIVADOS",B28="131 - GALLETAS AVENA","DERIVADOS",B28="160 - SOUVENIR","OTROS",B28="148 - CARAMELOS","DERIVADOS",B28="143 - CHOCOFFES","DERIVADOS",B28="162 - CONVENIOS Y DSC POS ","OTROS"),"OTROS")</f>
        <v>ESPECIALES</v>
      </c>
      <c r="L28" s="27">
        <f t="shared" si="6"/>
        <v>189399</v>
      </c>
      <c r="M28" s="27">
        <f t="shared" si="7"/>
        <v>189399</v>
      </c>
    </row>
    <row r="29" spans="1:13" ht="16.5" outlineLevel="1">
      <c r="A29" s="38"/>
      <c r="B29" s="39" t="s">
        <v>20</v>
      </c>
      <c r="C29" s="36">
        <v>0</v>
      </c>
      <c r="D29" s="36">
        <v>0</v>
      </c>
      <c r="E29" s="48">
        <v>0</v>
      </c>
      <c r="F29" s="48">
        <v>1222472.22</v>
      </c>
      <c r="G29" s="49">
        <f t="shared" si="12"/>
        <v>0</v>
      </c>
      <c r="H29" s="23">
        <f t="shared" si="13"/>
        <v>0</v>
      </c>
      <c r="I29" s="24">
        <f t="shared" si="13"/>
        <v>0</v>
      </c>
      <c r="J29" s="32" t="str" cm="1">
        <f t="array" ref="J29">IFERROR(_xlfn.IFS(B29="044 - BLEND TRADICION","BLEND",B29="113 - CAFÉ GOURMET","GOURMET",B29="114 - CAFÉ CONSUMO","CONSUMO",B29="112 - CAFÉ ORGANICO","GOURMET",B29="172 - CAFÉ COSECHA","ESPECIALES",B29="176 - CAFE DESCAFEINADO","GOURMET",B29="147 - CAPSULAS","CAPSULAS",B29="130 - GALLETAS CAFECITAS","DERIVADOS",B29="140 - MERENGUES","DERIVADOS",B29="100 - CAFÉ ESPECIAL","ESPECIALES",B29="141 - AREQUIPE","DERIVADOS",B29="142 - MERMELADA","DERIVADOS",B29="131 - GALLETAS AVENA","DERIVADOS",B29="160 - SOUVENIR","OTROS",B29="148 - CARAMELOS","DERIVADOS",B29="143 - CHOCOFFES","DERIVADOS",B29="162 - CONVENIOS Y DSC POS ","OTROS"),"OTROS")</f>
        <v>GOURMET</v>
      </c>
      <c r="L29" s="27">
        <f t="shared" si="6"/>
        <v>0</v>
      </c>
      <c r="M29" s="27">
        <f t="shared" si="7"/>
        <v>0</v>
      </c>
    </row>
    <row r="30" spans="1:13" ht="16.5" outlineLevel="1">
      <c r="A30" s="38"/>
      <c r="B30" s="39" t="s">
        <v>21</v>
      </c>
      <c r="C30" s="36">
        <v>16638960</v>
      </c>
      <c r="D30" s="36">
        <v>0</v>
      </c>
      <c r="E30" s="48">
        <v>0</v>
      </c>
      <c r="F30" s="48">
        <v>223480484.16999999</v>
      </c>
      <c r="G30" s="49">
        <f t="shared" si="12"/>
        <v>7.4453749560265237E-2</v>
      </c>
      <c r="H30" s="23">
        <f t="shared" si="13"/>
        <v>0</v>
      </c>
      <c r="I30" s="24">
        <f t="shared" si="13"/>
        <v>0</v>
      </c>
      <c r="J30" s="32" t="str" cm="1">
        <f t="array" ref="J30">IFERROR(_xlfn.IFS(B30="044 - BLEND TRADICION","BLEND",B30="113 - CAFÉ GOURMET","GOURMET",B30="114 - CAFÉ CONSUMO","CONSUMO",B30="112 - CAFÉ ORGANICO","GOURMET",B30="172 - CAFÉ COSECHA","ESPECIALES",B30="176 - CAFE DESCAFEINADO","GOURMET",B30="147 - CAPSULAS","CAPSULAS",B30="130 - GALLETAS CAFECITAS","DERIVADOS",B30="140 - MERENGUES","DERIVADOS",B30="100 - CAFÉ ESPECIAL","ESPECIALES",B30="141 - AREQUIPE","DERIVADOS",B30="142 - MERMELADA","DERIVADOS",B30="131 - GALLETAS AVENA","DERIVADOS",B30="160 - SOUVENIR","OTROS",B30="148 - CARAMELOS","DERIVADOS",B30="143 - CHOCOFFES","DERIVADOS",B30="162 - CONVENIOS Y DSC POS ","OTROS"),"OTROS")</f>
        <v>GOURMET</v>
      </c>
      <c r="L30" s="27">
        <f t="shared" si="6"/>
        <v>16638960</v>
      </c>
      <c r="M30" s="27">
        <f t="shared" si="7"/>
        <v>16638960</v>
      </c>
    </row>
    <row r="31" spans="1:13" ht="16.5" outlineLevel="1">
      <c r="A31" s="38"/>
      <c r="B31" s="39" t="s">
        <v>38</v>
      </c>
      <c r="C31" s="36">
        <v>0</v>
      </c>
      <c r="D31" s="36">
        <v>0</v>
      </c>
      <c r="E31" s="48">
        <v>0</v>
      </c>
      <c r="F31" s="48">
        <v>12078505</v>
      </c>
      <c r="G31" s="49">
        <f t="shared" si="12"/>
        <v>0</v>
      </c>
      <c r="H31" s="23">
        <f t="shared" si="13"/>
        <v>0</v>
      </c>
      <c r="I31" s="24">
        <f t="shared" si="13"/>
        <v>0</v>
      </c>
      <c r="J31" s="32" t="str" cm="1">
        <f t="array" ref="J31">IFERROR(_xlfn.IFS(B31="044 - BLEND TRADICION","BLEND",B31="113 - CAFÉ GOURMET","GOURMET",B31="114 - CAFÉ CONSUMO","CONSUMO",B31="112 - CAFÉ ORGANICO","GOURMET",B31="172 - CAFÉ COSECHA","ESPECIALES",B31="176 - CAFE DESCAFEINADO","GOURMET",B31="147 - CAPSULAS","CAPSULAS",B31="130 - GALLETAS CAFECITAS","DERIVADOS",B31="140 - MERENGUES","DERIVADOS",B31="100 - CAFÉ ESPECIAL","ESPECIALES",B31="141 - AREQUIPE","DERIVADOS",B31="142 - MERMELADA","DERIVADOS",B31="131 - GALLETAS AVENA","DERIVADOS",B31="160 - SOUVENIR","OTROS",B31="148 - CARAMELOS","DERIVADOS",B31="143 - CHOCOFFES","DERIVADOS",B31="162 - CONVENIOS Y DSC POS ","OTROS"),"OTROS")</f>
        <v>CONSUMO</v>
      </c>
      <c r="L31" s="27">
        <f t="shared" ref="L31:L89" si="14">C31-(D31+E31)</f>
        <v>0</v>
      </c>
      <c r="M31" s="27">
        <f t="shared" ref="M31:M89" si="15">L31</f>
        <v>0</v>
      </c>
    </row>
    <row r="32" spans="1:13" ht="16.5" outlineLevel="1">
      <c r="A32" s="38"/>
      <c r="B32" s="39" t="s">
        <v>22</v>
      </c>
      <c r="C32" s="36">
        <v>1106521</v>
      </c>
      <c r="D32" s="36">
        <v>0</v>
      </c>
      <c r="E32" s="48">
        <v>0</v>
      </c>
      <c r="F32" s="48">
        <v>876245.45</v>
      </c>
      <c r="G32" s="49">
        <f t="shared" si="12"/>
        <v>1.2627979979810453</v>
      </c>
      <c r="H32" s="23">
        <f t="shared" si="13"/>
        <v>0</v>
      </c>
      <c r="I32" s="24">
        <f t="shared" si="13"/>
        <v>0</v>
      </c>
      <c r="J32" s="32" t="str" cm="1">
        <f t="array" ref="J32">IFERROR(_xlfn.IFS(B32="044 - BLEND TRADICION","BLEND",B32="113 - CAFÉ GOURMET","GOURMET",B32="114 - CAFÉ CONSUMO","CONSUMO",B32="112 - CAFÉ ORGANICO","GOURMET",B32="172 - CAFÉ COSECHA","ESPECIALES",B32="176 - CAFE DESCAFEINADO","GOURMET",B32="147 - CAPSULAS","CAPSULAS",B32="130 - GALLETAS CAFECITAS","DERIVADOS",B32="140 - MERENGUES","DERIVADOS",B32="100 - CAFÉ ESPECIAL","ESPECIALES",B32="141 - AREQUIPE","DERIVADOS",B32="142 - MERMELADA","DERIVADOS",B32="131 - GALLETAS AVENA","DERIVADOS",B32="160 - SOUVENIR","OTROS",B32="148 - CARAMELOS","DERIVADOS",B32="143 - CHOCOFFES","DERIVADOS",B32="162 - CONVENIOS Y DSC POS ","OTROS"),"OTROS")</f>
        <v>DERIVADOS</v>
      </c>
      <c r="L32" s="27">
        <f t="shared" si="14"/>
        <v>1106521</v>
      </c>
      <c r="M32" s="27">
        <f t="shared" si="15"/>
        <v>1106521</v>
      </c>
    </row>
    <row r="33" spans="1:13" ht="16.5" outlineLevel="1">
      <c r="A33" s="38"/>
      <c r="B33" s="39" t="s">
        <v>23</v>
      </c>
      <c r="C33" s="36">
        <v>49717</v>
      </c>
      <c r="D33" s="36">
        <v>0</v>
      </c>
      <c r="E33" s="48"/>
      <c r="F33" s="48">
        <v>315313</v>
      </c>
      <c r="G33" s="49">
        <f t="shared" si="12"/>
        <v>0.15767507207124348</v>
      </c>
      <c r="H33" s="23">
        <f t="shared" si="13"/>
        <v>0</v>
      </c>
      <c r="I33" s="24">
        <f t="shared" si="13"/>
        <v>0</v>
      </c>
      <c r="J33" s="32" t="str" cm="1">
        <f t="array" ref="J33">IFERROR(_xlfn.IFS(B33="044 - BLEND TRADICION","BLEND",B33="113 - CAFÉ GOURMET","GOURMET",B33="114 - CAFÉ CONSUMO","CONSUMO",B33="112 - CAFÉ ORGANICO","GOURMET",B33="172 - CAFÉ COSECHA","ESPECIALES",B33="176 - CAFE DESCAFEINADO","GOURMET",B33="147 - CAPSULAS","CAPSULAS",B33="130 - GALLETAS CAFECITAS","DERIVADOS",B33="140 - MERENGUES","DERIVADOS",B33="100 - CAFÉ ESPECIAL","ESPECIALES",B33="141 - AREQUIPE","DERIVADOS",B33="142 - MERMELADA","DERIVADOS",B33="131 - GALLETAS AVENA","DERIVADOS",B33="160 - SOUVENIR","OTROS",B33="148 - CARAMELOS","DERIVADOS",B33="143 - CHOCOFFES","DERIVADOS",B33="162 - CONVENIOS Y DSC POS ","OTROS"),"OTROS")</f>
        <v>DERIVADOS</v>
      </c>
      <c r="L33" s="27">
        <f t="shared" si="14"/>
        <v>49717</v>
      </c>
      <c r="M33" s="27">
        <f t="shared" si="15"/>
        <v>49717</v>
      </c>
    </row>
    <row r="34" spans="1:13" ht="16.5" outlineLevel="1">
      <c r="A34" s="38"/>
      <c r="B34" s="39" t="s">
        <v>24</v>
      </c>
      <c r="C34" s="36">
        <v>212576</v>
      </c>
      <c r="D34" s="36">
        <v>0</v>
      </c>
      <c r="E34" s="48"/>
      <c r="F34" s="48">
        <v>443819.64</v>
      </c>
      <c r="G34" s="49">
        <f t="shared" si="12"/>
        <v>0.47896933988770751</v>
      </c>
      <c r="H34" s="23">
        <f t="shared" si="13"/>
        <v>0</v>
      </c>
      <c r="I34" s="24">
        <f t="shared" si="13"/>
        <v>0</v>
      </c>
      <c r="J34" s="32" t="str" cm="1">
        <f t="array" ref="J34">IFERROR(_xlfn.IFS(B34="044 - BLEND TRADICION","BLEND",B34="113 - CAFÉ GOURMET","GOURMET",B34="114 - CAFÉ CONSUMO","CONSUMO",B34="112 - CAFÉ ORGANICO","GOURMET",B34="172 - CAFÉ COSECHA","ESPECIALES",B34="176 - CAFE DESCAFEINADO","GOURMET",B34="147 - CAPSULAS","CAPSULAS",B34="130 - GALLETAS CAFECITAS","DERIVADOS",B34="140 - MERENGUES","DERIVADOS",B34="100 - CAFÉ ESPECIAL","ESPECIALES",B34="141 - AREQUIPE","DERIVADOS",B34="142 - MERMELADA","DERIVADOS",B34="131 - GALLETAS AVENA","DERIVADOS",B34="160 - SOUVENIR","OTROS",B34="148 - CARAMELOS","DERIVADOS",B34="143 - CHOCOFFES","DERIVADOS",B34="162 - CONVENIOS Y DSC POS ","OTROS"),"OTROS")</f>
        <v>DERIVADOS</v>
      </c>
      <c r="L34" s="27">
        <f t="shared" si="14"/>
        <v>212576</v>
      </c>
      <c r="M34" s="27">
        <f t="shared" si="15"/>
        <v>212576</v>
      </c>
    </row>
    <row r="35" spans="1:13" ht="16.5" outlineLevel="1">
      <c r="A35" s="38"/>
      <c r="B35" s="39" t="s">
        <v>25</v>
      </c>
      <c r="C35" s="36">
        <v>27919</v>
      </c>
      <c r="D35" s="36">
        <v>0</v>
      </c>
      <c r="E35" s="48"/>
      <c r="F35" s="48">
        <v>253263.49</v>
      </c>
      <c r="G35" s="49">
        <f t="shared" si="12"/>
        <v>0.11023697099017313</v>
      </c>
      <c r="H35" s="23">
        <f t="shared" si="13"/>
        <v>0</v>
      </c>
      <c r="I35" s="24">
        <f t="shared" si="13"/>
        <v>0</v>
      </c>
      <c r="J35" s="32" t="str" cm="1">
        <f t="array" ref="J35">IFERROR(_xlfn.IFS(B35="044 - BLEND TRADICION","BLEND",B35="113 - CAFÉ GOURMET","GOURMET",B35="114 - CAFÉ CONSUMO","CONSUMO",B35="112 - CAFÉ ORGANICO","GOURMET",B35="172 - CAFÉ COSECHA","ESPECIALES",B35="176 - CAFE DESCAFEINADO","GOURMET",B35="147 - CAPSULAS","CAPSULAS",B35="130 - GALLETAS CAFECITAS","DERIVADOS",B35="140 - MERENGUES","DERIVADOS",B35="100 - CAFÉ ESPECIAL","ESPECIALES",B35="141 - AREQUIPE","DERIVADOS",B35="142 - MERMELADA","DERIVADOS",B35="131 - GALLETAS AVENA","DERIVADOS",B35="160 - SOUVENIR","OTROS",B35="148 - CARAMELOS","DERIVADOS",B35="143 - CHOCOFFES","DERIVADOS",B35="162 - CONVENIOS Y DSC POS ","OTROS"),"OTROS")</f>
        <v>DERIVADOS</v>
      </c>
      <c r="L35" s="27">
        <f t="shared" si="14"/>
        <v>27919</v>
      </c>
      <c r="M35" s="27">
        <f t="shared" si="15"/>
        <v>27919</v>
      </c>
    </row>
    <row r="36" spans="1:13" ht="16.5" outlineLevel="1">
      <c r="A36" s="38"/>
      <c r="B36" s="39" t="s">
        <v>26</v>
      </c>
      <c r="C36" s="36">
        <v>2231903</v>
      </c>
      <c r="D36" s="36">
        <v>0</v>
      </c>
      <c r="E36" s="48"/>
      <c r="F36" s="48">
        <v>19346780.550000001</v>
      </c>
      <c r="G36" s="49">
        <f t="shared" si="12"/>
        <v>0.11536301837051642</v>
      </c>
      <c r="H36" s="23">
        <f t="shared" si="13"/>
        <v>0</v>
      </c>
      <c r="I36" s="24">
        <f t="shared" si="13"/>
        <v>0</v>
      </c>
      <c r="J36" s="32" t="str" cm="1">
        <f t="array" ref="J36">IFERROR(_xlfn.IFS(B36="044 - BLEND TRADICION","BLEND",B36="113 - CAFÉ GOURMET","GOURMET",B36="114 - CAFÉ CONSUMO","CONSUMO",B36="112 - CAFÉ ORGANICO","GOURMET",B36="172 - CAFÉ COSECHA","ESPECIALES",B36="176 - CAFE DESCAFEINADO","GOURMET",B36="147 - CAPSULAS","CAPSULAS",B36="130 - GALLETAS CAFECITAS","DERIVADOS",B36="140 - MERENGUES","DERIVADOS",B36="100 - CAFÉ ESPECIAL","ESPECIALES",B36="141 - AREQUIPE","DERIVADOS",B36="142 - MERMELADA","DERIVADOS",B36="131 - GALLETAS AVENA","DERIVADOS",B36="160 - SOUVENIR","OTROS",B36="148 - CARAMELOS","DERIVADOS",B36="143 - CHOCOFFES","DERIVADOS",B36="162 - CONVENIOS Y DSC POS ","OTROS"),"OTROS")</f>
        <v>CAPSULAS</v>
      </c>
      <c r="L36" s="27">
        <f t="shared" si="14"/>
        <v>2231903</v>
      </c>
      <c r="M36" s="27">
        <f t="shared" si="15"/>
        <v>2231903</v>
      </c>
    </row>
    <row r="37" spans="1:13" ht="16.5" outlineLevel="1">
      <c r="A37" s="38"/>
      <c r="B37" s="39" t="s">
        <v>27</v>
      </c>
      <c r="C37" s="36">
        <v>145715</v>
      </c>
      <c r="D37" s="36">
        <v>0</v>
      </c>
      <c r="E37" s="48"/>
      <c r="F37" s="48">
        <v>709870.17</v>
      </c>
      <c r="G37" s="49">
        <f t="shared" si="12"/>
        <v>0.20526992985210238</v>
      </c>
      <c r="H37" s="23">
        <f t="shared" si="13"/>
        <v>0</v>
      </c>
      <c r="I37" s="24">
        <f t="shared" si="13"/>
        <v>0</v>
      </c>
      <c r="J37" s="32" t="str" cm="1">
        <f t="array" ref="J37">IFERROR(_xlfn.IFS(B37="044 - BLEND TRADICION","BLEND",B37="113 - CAFÉ GOURMET","GOURMET",B37="114 - CAFÉ CONSUMO","CONSUMO",B37="112 - CAFÉ ORGANICO","GOURMET",B37="172 - CAFÉ COSECHA","ESPECIALES",B37="176 - CAFE DESCAFEINADO","GOURMET",B37="147 - CAPSULAS","CAPSULAS",B37="130 - GALLETAS CAFECITAS","DERIVADOS",B37="140 - MERENGUES","DERIVADOS",B37="100 - CAFÉ ESPECIAL","ESPECIALES",B37="141 - AREQUIPE","DERIVADOS",B37="142 - MERMELADA","DERIVADOS",B37="131 - GALLETAS AVENA","DERIVADOS",B37="160 - SOUVENIR","OTROS",B37="148 - CARAMELOS","DERIVADOS",B37="143 - CHOCOFFES","DERIVADOS",B37="162 - CONVENIOS Y DSC POS ","OTROS"),"OTROS")</f>
        <v>DERIVADOS</v>
      </c>
      <c r="L37" s="27">
        <f t="shared" si="14"/>
        <v>145715</v>
      </c>
      <c r="M37" s="27">
        <f t="shared" si="15"/>
        <v>145715</v>
      </c>
    </row>
    <row r="38" spans="1:13" ht="16.5" outlineLevel="1">
      <c r="A38" s="38"/>
      <c r="B38" s="39" t="s">
        <v>28</v>
      </c>
      <c r="C38" s="36">
        <v>0</v>
      </c>
      <c r="D38" s="36">
        <v>0</v>
      </c>
      <c r="E38" s="48"/>
      <c r="F38" s="48">
        <v>926563.16</v>
      </c>
      <c r="G38" s="49">
        <f t="shared" si="12"/>
        <v>0</v>
      </c>
      <c r="H38" s="23">
        <f t="shared" si="13"/>
        <v>0</v>
      </c>
      <c r="I38" s="24">
        <f t="shared" si="13"/>
        <v>0</v>
      </c>
      <c r="J38" s="32" t="str" cm="1">
        <f t="array" ref="J38">IFERROR(_xlfn.IFS(B38="044 - BLEND TRADICION","BLEND",B38="113 - CAFÉ GOURMET","GOURMET",B38="114 - CAFÉ CONSUMO","CONSUMO",B38="112 - CAFÉ ORGANICO","GOURMET",B38="172 - CAFÉ COSECHA","ESPECIALES",B38="176 - CAFE DESCAFEINADO","GOURMET",B38="147 - CAPSULAS","CAPSULAS",B38="130 - GALLETAS CAFECITAS","DERIVADOS",B38="140 - MERENGUES","DERIVADOS",B38="100 - CAFÉ ESPECIAL","ESPECIALES",B38="141 - AREQUIPE","DERIVADOS",B38="142 - MERMELADA","DERIVADOS",B38="131 - GALLETAS AVENA","DERIVADOS",B38="160 - SOUVENIR","OTROS",B38="148 - CARAMELOS","DERIVADOS",B38="143 - CHOCOFFES","DERIVADOS",B38="162 - CONVENIOS Y DSC POS ","OTROS"),"OTROS")</f>
        <v>OTROS</v>
      </c>
      <c r="L38" s="27">
        <f t="shared" si="14"/>
        <v>0</v>
      </c>
      <c r="M38" s="27">
        <f t="shared" si="15"/>
        <v>0</v>
      </c>
    </row>
    <row r="39" spans="1:13" ht="16.5" outlineLevel="1">
      <c r="A39" s="38"/>
      <c r="B39" s="39" t="s">
        <v>29</v>
      </c>
      <c r="C39" s="36">
        <v>0</v>
      </c>
      <c r="D39" s="36">
        <v>0</v>
      </c>
      <c r="E39" s="48"/>
      <c r="F39" s="48">
        <v>1035996.29</v>
      </c>
      <c r="G39" s="49">
        <f t="shared" si="12"/>
        <v>0</v>
      </c>
      <c r="H39" s="23">
        <f t="shared" si="13"/>
        <v>0</v>
      </c>
      <c r="I39" s="24">
        <f t="shared" si="13"/>
        <v>0</v>
      </c>
      <c r="J39" s="32" t="str" cm="1">
        <f t="array" ref="J39">IFERROR(_xlfn.IFS(B39="044 - BLEND TRADICION","BLEND",B39="113 - CAFÉ GOURMET","GOURMET",B39="114 - CAFÉ CONSUMO","CONSUMO",B39="112 - CAFÉ ORGANICO","GOURMET",B39="172 - CAFÉ COSECHA","ESPECIALES",B39="176 - CAFE DESCAFEINADO","GOURMET",B39="147 - CAPSULAS","CAPSULAS",B39="130 - GALLETAS CAFECITAS","DERIVADOS",B39="140 - MERENGUES","DERIVADOS",B39="100 - CAFÉ ESPECIAL","ESPECIALES",B39="141 - AREQUIPE","DERIVADOS",B39="142 - MERMELADA","DERIVADOS",B39="131 - GALLETAS AVENA","DERIVADOS",B39="160 - SOUVENIR","OTROS",B39="148 - CARAMELOS","DERIVADOS",B39="143 - CHOCOFFES","DERIVADOS",B39="162 - CONVENIOS Y DSC POS ","OTROS"),"OTROS")</f>
        <v>ESPECIALES</v>
      </c>
      <c r="L39" s="27">
        <f t="shared" si="14"/>
        <v>0</v>
      </c>
      <c r="M39" s="27">
        <f t="shared" si="15"/>
        <v>0</v>
      </c>
    </row>
    <row r="40" spans="1:13" ht="16.5" outlineLevel="1">
      <c r="A40" s="38"/>
      <c r="B40" s="39" t="s">
        <v>30</v>
      </c>
      <c r="C40" s="36">
        <v>0</v>
      </c>
      <c r="D40" s="36">
        <v>0</v>
      </c>
      <c r="E40" s="48"/>
      <c r="F40" s="48">
        <v>573972.9</v>
      </c>
      <c r="G40" s="49">
        <f t="shared" si="12"/>
        <v>0</v>
      </c>
      <c r="H40" s="23">
        <f t="shared" si="13"/>
        <v>0</v>
      </c>
      <c r="I40" s="24">
        <f t="shared" si="13"/>
        <v>0</v>
      </c>
      <c r="J40" s="32" t="str" cm="1">
        <f t="array" ref="J40">IFERROR(_xlfn.IFS(B40="044 - BLEND TRADICION","BLEND",B40="113 - CAFÉ GOURMET","GOURMET",B40="114 - CAFÉ CONSUMO","CONSUMO",B40="112 - CAFÉ ORGANICO","GOURMET",B40="172 - CAFÉ COSECHA","ESPECIALES",B40="176 - CAFE DESCAFEINADO","GOURMET",B40="147 - CAPSULAS","CAPSULAS",B40="130 - GALLETAS CAFECITAS","DERIVADOS",B40="140 - MERENGUES","DERIVADOS",B40="100 - CAFÉ ESPECIAL","ESPECIALES",B40="141 - AREQUIPE","DERIVADOS",B40="142 - MERMELADA","DERIVADOS",B40="131 - GALLETAS AVENA","DERIVADOS",B40="160 - SOUVENIR","OTROS",B40="148 - CARAMELOS","DERIVADOS",B40="143 - CHOCOFFES","DERIVADOS",B40="162 - CONVENIOS Y DSC POS ","OTROS"),"OTROS")</f>
        <v>GOURMET</v>
      </c>
      <c r="L40" s="27">
        <f t="shared" si="14"/>
        <v>0</v>
      </c>
      <c r="M40" s="27">
        <f t="shared" si="15"/>
        <v>0</v>
      </c>
    </row>
    <row r="41" spans="1:13" ht="16.5" outlineLevel="1">
      <c r="A41" s="19" t="s">
        <v>37</v>
      </c>
      <c r="B41" s="56" t="s">
        <v>32</v>
      </c>
      <c r="C41" s="54">
        <f>SUM(C27:C40)</f>
        <v>21395690</v>
      </c>
      <c r="D41" s="54">
        <f>SUM(D27:D40)</f>
        <v>0</v>
      </c>
      <c r="E41" s="54">
        <f>SUM(E27:E40)</f>
        <v>0</v>
      </c>
      <c r="F41" s="54">
        <f>SUM(F27:F40)</f>
        <v>271870321.94</v>
      </c>
      <c r="G41" s="55">
        <f t="shared" si="12"/>
        <v>7.869814493662125E-2</v>
      </c>
      <c r="H41" s="23">
        <f t="shared" si="13"/>
        <v>0</v>
      </c>
      <c r="I41" s="24">
        <f t="shared" si="13"/>
        <v>0</v>
      </c>
      <c r="J41" s="32" t="str" cm="1">
        <f t="array" ref="J41">IFERROR(_xlfn.IFS(B41="044 - BLEND TRADICION","BLEND",B41="113 - CAFÉ GOURMET","GOURMET",B41="114 - CAFÉ CONSUMO","CONSUMO",B41="112 - CAFÉ ORGANICO","GOURMET",B41="172 - CAFÉ COSECHA","ESPECIALES",B41="176 - CAFE DESCAFEINADO","GOURMET",B41="147 - CAPSULAS","CAPSULAS",B41="130 - GALLETAS CAFECITAS","DERIVADOS",B41="140 - MERENGUES","DERIVADOS",B41="100 - CAFÉ ESPECIAL","ESPECIALES",B41="141 - AREQUIPE","DERIVADOS",B41="142 - MERMELADA","DERIVADOS",B41="131 - GALLETAS AVENA","DERIVADOS",B41="160 - SOUVENIR","OTROS",B41="148 - CARAMELOS","DERIVADOS",B41="143 - CHOCOFFES","DERIVADOS",B41="162 - CONVENIOS Y DSC POS ","OTROS"),"OTROS")</f>
        <v>OTROS</v>
      </c>
      <c r="L41" s="27">
        <f t="shared" si="14"/>
        <v>21395690</v>
      </c>
      <c r="M41" s="27">
        <f t="shared" si="15"/>
        <v>21395690</v>
      </c>
    </row>
    <row r="42" spans="1:13" ht="16.5" outlineLevel="1">
      <c r="A42" s="38"/>
      <c r="B42" s="39" t="s">
        <v>34</v>
      </c>
      <c r="C42" s="36">
        <v>0</v>
      </c>
      <c r="D42" s="36">
        <v>0</v>
      </c>
      <c r="E42" s="48">
        <v>0</v>
      </c>
      <c r="F42" s="48">
        <v>16995.71</v>
      </c>
      <c r="G42" s="49">
        <f t="shared" si="12"/>
        <v>0</v>
      </c>
      <c r="H42" s="23">
        <f t="shared" si="13"/>
        <v>0</v>
      </c>
      <c r="I42" s="24">
        <f t="shared" si="13"/>
        <v>0</v>
      </c>
      <c r="J42" s="32" t="str" cm="1">
        <f t="array" ref="J42">IFERROR(_xlfn.IFS(B42="044 - BLEND TRADICION","BLEND",B42="113 - CAFÉ GOURMET","GOURMET",B42="114 - CAFÉ CONSUMO","CONSUMO",B42="112 - CAFÉ ORGANICO","GOURMET",B42="172 - CAFÉ COSECHA","ESPECIALES",B42="176 - CAFE DESCAFEINADO","GOURMET",B42="147 - CAPSULAS","CAPSULAS",B42="130 - GALLETAS CAFECITAS","DERIVADOS",B42="140 - MERENGUES","DERIVADOS",B42="100 - CAFÉ ESPECIAL","ESPECIALES",B42="141 - AREQUIPE","DERIVADOS",B42="142 - MERMELADA","DERIVADOS",B42="131 - GALLETAS AVENA","DERIVADOS",B42="160 - SOUVENIR","OTROS",B42="148 - CARAMELOS","DERIVADOS",B42="143 - CHOCOFFES","DERIVADOS",B42="162 - CONVENIOS Y DSC POS ","OTROS"),"OTROS")</f>
        <v>OTROS</v>
      </c>
      <c r="L42" s="27">
        <f t="shared" si="14"/>
        <v>0</v>
      </c>
      <c r="M42" s="27">
        <f t="shared" si="15"/>
        <v>0</v>
      </c>
    </row>
    <row r="43" spans="1:13" ht="16.5" outlineLevel="1">
      <c r="A43" s="38"/>
      <c r="B43" s="39" t="s">
        <v>18</v>
      </c>
      <c r="C43" s="36">
        <v>0</v>
      </c>
      <c r="D43" s="36">
        <v>0</v>
      </c>
      <c r="E43" s="48">
        <v>0</v>
      </c>
      <c r="F43" s="48">
        <v>89635.4</v>
      </c>
      <c r="G43" s="49">
        <f t="shared" si="12"/>
        <v>0</v>
      </c>
      <c r="H43" s="23">
        <f t="shared" si="13"/>
        <v>0</v>
      </c>
      <c r="I43" s="24">
        <f t="shared" si="13"/>
        <v>0</v>
      </c>
      <c r="J43" s="32" t="str" cm="1">
        <f t="array" ref="J43">IFERROR(_xlfn.IFS(B43="044 - BLEND TRADICION","BLEND",B43="113 - CAFÉ GOURMET","GOURMET",B43="114 - CAFÉ CONSUMO","CONSUMO",B43="112 - CAFÉ ORGANICO","GOURMET",B43="172 - CAFÉ COSECHA","ESPECIALES",B43="176 - CAFE DESCAFEINADO","GOURMET",B43="147 - CAPSULAS","CAPSULAS",B43="130 - GALLETAS CAFECITAS","DERIVADOS",B43="140 - MERENGUES","DERIVADOS",B43="100 - CAFÉ ESPECIAL","ESPECIALES",B43="141 - AREQUIPE","DERIVADOS",B43="142 - MERMELADA","DERIVADOS",B43="131 - GALLETAS AVENA","DERIVADOS",B43="160 - SOUVENIR","OTROS",B43="148 - CARAMELOS","DERIVADOS",B43="143 - CHOCOFFES","DERIVADOS",B43="162 - CONVENIOS Y DSC POS ","OTROS"),"OTROS")</f>
        <v>BLEND</v>
      </c>
      <c r="L43" s="27">
        <f t="shared" si="14"/>
        <v>0</v>
      </c>
      <c r="M43" s="27">
        <f t="shared" si="15"/>
        <v>0</v>
      </c>
    </row>
    <row r="44" spans="1:13" ht="16.5" outlineLevel="1">
      <c r="A44" s="38"/>
      <c r="B44" s="39" t="s">
        <v>19</v>
      </c>
      <c r="C44" s="36">
        <v>0</v>
      </c>
      <c r="D44" s="36">
        <v>0</v>
      </c>
      <c r="E44" s="48">
        <v>0</v>
      </c>
      <c r="F44" s="48">
        <v>94237.05</v>
      </c>
      <c r="G44" s="49">
        <f t="shared" si="12"/>
        <v>0</v>
      </c>
      <c r="H44" s="23">
        <f t="shared" si="13"/>
        <v>0</v>
      </c>
      <c r="I44" s="24">
        <f t="shared" si="13"/>
        <v>0</v>
      </c>
      <c r="J44" s="32" t="str" cm="1">
        <f t="array" ref="J44">IFERROR(_xlfn.IFS(B44="044 - BLEND TRADICION","BLEND",B44="113 - CAFÉ GOURMET","GOURMET",B44="114 - CAFÉ CONSUMO","CONSUMO",B44="112 - CAFÉ ORGANICO","GOURMET",B44="172 - CAFÉ COSECHA","ESPECIALES",B44="176 - CAFE DESCAFEINADO","GOURMET",B44="147 - CAPSULAS","CAPSULAS",B44="130 - GALLETAS CAFECITAS","DERIVADOS",B44="140 - MERENGUES","DERIVADOS",B44="100 - CAFÉ ESPECIAL","ESPECIALES",B44="141 - AREQUIPE","DERIVADOS",B44="142 - MERMELADA","DERIVADOS",B44="131 - GALLETAS AVENA","DERIVADOS",B44="160 - SOUVENIR","OTROS",B44="148 - CARAMELOS","DERIVADOS",B44="143 - CHOCOFFES","DERIVADOS",B44="162 - CONVENIOS Y DSC POS ","OTROS"),"OTROS")</f>
        <v>ESPECIALES</v>
      </c>
      <c r="L44" s="27">
        <f t="shared" si="14"/>
        <v>0</v>
      </c>
      <c r="M44" s="27">
        <f t="shared" si="15"/>
        <v>0</v>
      </c>
    </row>
    <row r="45" spans="1:13" ht="16.5" outlineLevel="1">
      <c r="A45" s="38"/>
      <c r="B45" s="39" t="s">
        <v>20</v>
      </c>
      <c r="C45" s="36">
        <v>0</v>
      </c>
      <c r="D45" s="36">
        <v>0</v>
      </c>
      <c r="E45" s="48">
        <v>0</v>
      </c>
      <c r="F45" s="48">
        <v>136038.93</v>
      </c>
      <c r="G45" s="49">
        <f t="shared" si="12"/>
        <v>0</v>
      </c>
      <c r="H45" s="23">
        <f t="shared" si="13"/>
        <v>0</v>
      </c>
      <c r="I45" s="24">
        <f t="shared" si="13"/>
        <v>0</v>
      </c>
      <c r="J45" s="32" t="str" cm="1">
        <f t="array" ref="J45">IFERROR(_xlfn.IFS(B45="044 - BLEND TRADICION","BLEND",B45="113 - CAFÉ GOURMET","GOURMET",B45="114 - CAFÉ CONSUMO","CONSUMO",B45="112 - CAFÉ ORGANICO","GOURMET",B45="172 - CAFÉ COSECHA","ESPECIALES",B45="176 - CAFE DESCAFEINADO","GOURMET",B45="147 - CAPSULAS","CAPSULAS",B45="130 - GALLETAS CAFECITAS","DERIVADOS",B45="140 - MERENGUES","DERIVADOS",B45="100 - CAFÉ ESPECIAL","ESPECIALES",B45="141 - AREQUIPE","DERIVADOS",B45="142 - MERMELADA","DERIVADOS",B45="131 - GALLETAS AVENA","DERIVADOS",B45="160 - SOUVENIR","OTROS",B45="148 - CARAMELOS","DERIVADOS",B45="143 - CHOCOFFES","DERIVADOS",B45="162 - CONVENIOS Y DSC POS ","OTROS"),"OTROS")</f>
        <v>GOURMET</v>
      </c>
      <c r="L45" s="27">
        <f t="shared" si="14"/>
        <v>0</v>
      </c>
      <c r="M45" s="27">
        <f t="shared" si="15"/>
        <v>0</v>
      </c>
    </row>
    <row r="46" spans="1:13" ht="16.5" outlineLevel="1">
      <c r="A46" s="38"/>
      <c r="B46" s="39" t="s">
        <v>21</v>
      </c>
      <c r="C46" s="36">
        <v>3623461</v>
      </c>
      <c r="D46" s="36">
        <v>0</v>
      </c>
      <c r="E46" s="48"/>
      <c r="F46" s="48">
        <v>69823497.540000007</v>
      </c>
      <c r="G46" s="49">
        <f t="shared" si="12"/>
        <v>5.1894578869014926E-2</v>
      </c>
      <c r="H46" s="23">
        <f t="shared" si="13"/>
        <v>0</v>
      </c>
      <c r="I46" s="24">
        <f t="shared" si="13"/>
        <v>0</v>
      </c>
      <c r="J46" s="32" t="str" cm="1">
        <f t="array" ref="J46">IFERROR(_xlfn.IFS(B46="044 - BLEND TRADICION","BLEND",B46="113 - CAFÉ GOURMET","GOURMET",B46="114 - CAFÉ CONSUMO","CONSUMO",B46="112 - CAFÉ ORGANICO","GOURMET",B46="172 - CAFÉ COSECHA","ESPECIALES",B46="176 - CAFE DESCAFEINADO","GOURMET",B46="147 - CAPSULAS","CAPSULAS",B46="130 - GALLETAS CAFECITAS","DERIVADOS",B46="140 - MERENGUES","DERIVADOS",B46="100 - CAFÉ ESPECIAL","ESPECIALES",B46="141 - AREQUIPE","DERIVADOS",B46="142 - MERMELADA","DERIVADOS",B46="131 - GALLETAS AVENA","DERIVADOS",B46="160 - SOUVENIR","OTROS",B46="148 - CARAMELOS","DERIVADOS",B46="143 - CHOCOFFES","DERIVADOS",B46="162 - CONVENIOS Y DSC POS ","OTROS"),"OTROS")</f>
        <v>GOURMET</v>
      </c>
      <c r="L46" s="27">
        <f t="shared" si="14"/>
        <v>3623461</v>
      </c>
      <c r="M46" s="27">
        <f t="shared" si="15"/>
        <v>3623461</v>
      </c>
    </row>
    <row r="47" spans="1:13" ht="16.5" outlineLevel="1">
      <c r="A47" s="38"/>
      <c r="B47" s="39" t="s">
        <v>38</v>
      </c>
      <c r="C47" s="36">
        <v>0</v>
      </c>
      <c r="D47" s="36">
        <v>0</v>
      </c>
      <c r="E47" s="48"/>
      <c r="F47" s="48">
        <v>14106647.08</v>
      </c>
      <c r="G47" s="49">
        <f t="shared" si="12"/>
        <v>0</v>
      </c>
      <c r="H47" s="23">
        <f t="shared" si="13"/>
        <v>0</v>
      </c>
      <c r="I47" s="24">
        <f t="shared" si="13"/>
        <v>0</v>
      </c>
      <c r="J47" s="32" t="str" cm="1">
        <f t="array" ref="J47">IFERROR(_xlfn.IFS(B47="044 - BLEND TRADICION","BLEND",B47="113 - CAFÉ GOURMET","GOURMET",B47="114 - CAFÉ CONSUMO","CONSUMO",B47="112 - CAFÉ ORGANICO","GOURMET",B47="172 - CAFÉ COSECHA","ESPECIALES",B47="176 - CAFE DESCAFEINADO","GOURMET",B47="147 - CAPSULAS","CAPSULAS",B47="130 - GALLETAS CAFECITAS","DERIVADOS",B47="140 - MERENGUES","DERIVADOS",B47="100 - CAFÉ ESPECIAL","ESPECIALES",B47="141 - AREQUIPE","DERIVADOS",B47="142 - MERMELADA","DERIVADOS",B47="131 - GALLETAS AVENA","DERIVADOS",B47="160 - SOUVENIR","OTROS",B47="148 - CARAMELOS","DERIVADOS",B47="143 - CHOCOFFES","DERIVADOS",B47="162 - CONVENIOS Y DSC POS ","OTROS"),"OTROS")</f>
        <v>CONSUMO</v>
      </c>
      <c r="L47" s="27">
        <f t="shared" si="14"/>
        <v>0</v>
      </c>
      <c r="M47" s="27">
        <f t="shared" si="15"/>
        <v>0</v>
      </c>
    </row>
    <row r="48" spans="1:13" ht="16.5" outlineLevel="1">
      <c r="A48" s="38"/>
      <c r="B48" s="39" t="s">
        <v>22</v>
      </c>
      <c r="C48" s="36">
        <v>78280</v>
      </c>
      <c r="D48" s="36">
        <v>0</v>
      </c>
      <c r="E48" s="48"/>
      <c r="F48" s="48">
        <v>2927476.03</v>
      </c>
      <c r="G48" s="49">
        <f t="shared" si="12"/>
        <v>2.6739757797436179E-2</v>
      </c>
      <c r="H48" s="23">
        <f t="shared" si="13"/>
        <v>0</v>
      </c>
      <c r="I48" s="24">
        <f t="shared" si="13"/>
        <v>0</v>
      </c>
      <c r="J48" s="32" t="str" cm="1">
        <f t="array" ref="J48">IFERROR(_xlfn.IFS(B48="044 - BLEND TRADICION","BLEND",B48="113 - CAFÉ GOURMET","GOURMET",B48="114 - CAFÉ CONSUMO","CONSUMO",B48="112 - CAFÉ ORGANICO","GOURMET",B48="172 - CAFÉ COSECHA","ESPECIALES",B48="176 - CAFE DESCAFEINADO","GOURMET",B48="147 - CAPSULAS","CAPSULAS",B48="130 - GALLETAS CAFECITAS","DERIVADOS",B48="140 - MERENGUES","DERIVADOS",B48="100 - CAFÉ ESPECIAL","ESPECIALES",B48="141 - AREQUIPE","DERIVADOS",B48="142 - MERMELADA","DERIVADOS",B48="131 - GALLETAS AVENA","DERIVADOS",B48="160 - SOUVENIR","OTROS",B48="148 - CARAMELOS","DERIVADOS",B48="143 - CHOCOFFES","DERIVADOS",B48="162 - CONVENIOS Y DSC POS ","OTROS"),"OTROS")</f>
        <v>DERIVADOS</v>
      </c>
      <c r="L48" s="27">
        <f t="shared" si="14"/>
        <v>78280</v>
      </c>
      <c r="M48" s="27">
        <f t="shared" si="15"/>
        <v>78280</v>
      </c>
    </row>
    <row r="49" spans="1:13" ht="16.5" outlineLevel="1">
      <c r="A49" s="38"/>
      <c r="B49" s="39" t="s">
        <v>23</v>
      </c>
      <c r="C49" s="36">
        <v>0</v>
      </c>
      <c r="D49" s="36">
        <v>0</v>
      </c>
      <c r="E49" s="48"/>
      <c r="F49" s="48">
        <v>256078.41</v>
      </c>
      <c r="G49" s="49">
        <f t="shared" si="12"/>
        <v>0</v>
      </c>
      <c r="H49" s="23">
        <f t="shared" si="13"/>
        <v>0</v>
      </c>
      <c r="I49" s="24">
        <f t="shared" si="13"/>
        <v>0</v>
      </c>
      <c r="J49" s="32" t="str" cm="1">
        <f t="array" ref="J49">IFERROR(_xlfn.IFS(B49="044 - BLEND TRADICION","BLEND",B49="113 - CAFÉ GOURMET","GOURMET",B49="114 - CAFÉ CONSUMO","CONSUMO",B49="112 - CAFÉ ORGANICO","GOURMET",B49="172 - CAFÉ COSECHA","ESPECIALES",B49="176 - CAFE DESCAFEINADO","GOURMET",B49="147 - CAPSULAS","CAPSULAS",B49="130 - GALLETAS CAFECITAS","DERIVADOS",B49="140 - MERENGUES","DERIVADOS",B49="100 - CAFÉ ESPECIAL","ESPECIALES",B49="141 - AREQUIPE","DERIVADOS",B49="142 - MERMELADA","DERIVADOS",B49="131 - GALLETAS AVENA","DERIVADOS",B49="160 - SOUVENIR","OTROS",B49="148 - CARAMELOS","DERIVADOS",B49="143 - CHOCOFFES","DERIVADOS",B49="162 - CONVENIOS Y DSC POS ","OTROS"),"OTROS")</f>
        <v>DERIVADOS</v>
      </c>
      <c r="L49" s="27">
        <f t="shared" si="14"/>
        <v>0</v>
      </c>
      <c r="M49" s="27">
        <f t="shared" si="15"/>
        <v>0</v>
      </c>
    </row>
    <row r="50" spans="1:13" ht="16.5" outlineLevel="1">
      <c r="A50" s="38"/>
      <c r="B50" s="39" t="s">
        <v>24</v>
      </c>
      <c r="C50" s="36">
        <v>0</v>
      </c>
      <c r="D50" s="36">
        <v>0</v>
      </c>
      <c r="E50" s="48"/>
      <c r="F50" s="48">
        <v>589663.42000000004</v>
      </c>
      <c r="G50" s="49">
        <f t="shared" si="12"/>
        <v>0</v>
      </c>
      <c r="H50" s="23">
        <f t="shared" si="13"/>
        <v>0</v>
      </c>
      <c r="I50" s="24">
        <f t="shared" si="13"/>
        <v>0</v>
      </c>
      <c r="J50" s="32" t="str" cm="1">
        <f t="array" ref="J50">IFERROR(_xlfn.IFS(B50="044 - BLEND TRADICION","BLEND",B50="113 - CAFÉ GOURMET","GOURMET",B50="114 - CAFÉ CONSUMO","CONSUMO",B50="112 - CAFÉ ORGANICO","GOURMET",B50="172 - CAFÉ COSECHA","ESPECIALES",B50="176 - CAFE DESCAFEINADO","GOURMET",B50="147 - CAPSULAS","CAPSULAS",B50="130 - GALLETAS CAFECITAS","DERIVADOS",B50="140 - MERENGUES","DERIVADOS",B50="100 - CAFÉ ESPECIAL","ESPECIALES",B50="141 - AREQUIPE","DERIVADOS",B50="142 - MERMELADA","DERIVADOS",B50="131 - GALLETAS AVENA","DERIVADOS",B50="160 - SOUVENIR","OTROS",B50="148 - CARAMELOS","DERIVADOS",B50="143 - CHOCOFFES","DERIVADOS",B50="162 - CONVENIOS Y DSC POS ","OTROS"),"OTROS")</f>
        <v>DERIVADOS</v>
      </c>
      <c r="L50" s="27">
        <f t="shared" si="14"/>
        <v>0</v>
      </c>
      <c r="M50" s="27">
        <f t="shared" si="15"/>
        <v>0</v>
      </c>
    </row>
    <row r="51" spans="1:13" ht="16.5" outlineLevel="1">
      <c r="A51" s="38"/>
      <c r="B51" s="39" t="s">
        <v>25</v>
      </c>
      <c r="C51" s="36">
        <v>0</v>
      </c>
      <c r="D51" s="36">
        <v>0</v>
      </c>
      <c r="E51" s="48"/>
      <c r="F51" s="48">
        <v>1309142.77</v>
      </c>
      <c r="G51" s="49">
        <f t="shared" si="12"/>
        <v>0</v>
      </c>
      <c r="H51" s="23">
        <f t="shared" si="13"/>
        <v>0</v>
      </c>
      <c r="I51" s="24">
        <f t="shared" si="13"/>
        <v>0</v>
      </c>
      <c r="J51" s="32" t="str" cm="1">
        <f t="array" ref="J51">IFERROR(_xlfn.IFS(B51="044 - BLEND TRADICION","BLEND",B51="113 - CAFÉ GOURMET","GOURMET",B51="114 - CAFÉ CONSUMO","CONSUMO",B51="112 - CAFÉ ORGANICO","GOURMET",B51="172 - CAFÉ COSECHA","ESPECIALES",B51="176 - CAFE DESCAFEINADO","GOURMET",B51="147 - CAPSULAS","CAPSULAS",B51="130 - GALLETAS CAFECITAS","DERIVADOS",B51="140 - MERENGUES","DERIVADOS",B51="100 - CAFÉ ESPECIAL","ESPECIALES",B51="141 - AREQUIPE","DERIVADOS",B51="142 - MERMELADA","DERIVADOS",B51="131 - GALLETAS AVENA","DERIVADOS",B51="160 - SOUVENIR","OTROS",B51="148 - CARAMELOS","DERIVADOS",B51="143 - CHOCOFFES","DERIVADOS",B51="162 - CONVENIOS Y DSC POS ","OTROS"),"OTROS")</f>
        <v>DERIVADOS</v>
      </c>
      <c r="L51" s="27">
        <f t="shared" si="14"/>
        <v>0</v>
      </c>
      <c r="M51" s="27">
        <f t="shared" si="15"/>
        <v>0</v>
      </c>
    </row>
    <row r="52" spans="1:13" ht="16.5" outlineLevel="1">
      <c r="A52" s="38"/>
      <c r="B52" s="39" t="s">
        <v>26</v>
      </c>
      <c r="C52" s="36">
        <v>0</v>
      </c>
      <c r="D52" s="36">
        <v>0</v>
      </c>
      <c r="E52" s="48">
        <v>0</v>
      </c>
      <c r="F52" s="48">
        <v>11209211.369999999</v>
      </c>
      <c r="G52" s="49">
        <f t="shared" si="12"/>
        <v>0</v>
      </c>
      <c r="H52" s="23">
        <f t="shared" si="13"/>
        <v>0</v>
      </c>
      <c r="I52" s="24">
        <f t="shared" si="13"/>
        <v>0</v>
      </c>
      <c r="J52" s="32" t="str" cm="1">
        <f t="array" ref="J52">IFERROR(_xlfn.IFS(B52="044 - BLEND TRADICION","BLEND",B52="113 - CAFÉ GOURMET","GOURMET",B52="114 - CAFÉ CONSUMO","CONSUMO",B52="112 - CAFÉ ORGANICO","GOURMET",B52="172 - CAFÉ COSECHA","ESPECIALES",B52="176 - CAFE DESCAFEINADO","GOURMET",B52="147 - CAPSULAS","CAPSULAS",B52="130 - GALLETAS CAFECITAS","DERIVADOS",B52="140 - MERENGUES","DERIVADOS",B52="100 - CAFÉ ESPECIAL","ESPECIALES",B52="141 - AREQUIPE","DERIVADOS",B52="142 - MERMELADA","DERIVADOS",B52="131 - GALLETAS AVENA","DERIVADOS",B52="160 - SOUVENIR","OTROS",B52="148 - CARAMELOS","DERIVADOS",B52="143 - CHOCOFFES","DERIVADOS",B52="162 - CONVENIOS Y DSC POS ","OTROS"),"OTROS")</f>
        <v>CAPSULAS</v>
      </c>
      <c r="L52" s="27">
        <f t="shared" si="14"/>
        <v>0</v>
      </c>
      <c r="M52" s="27">
        <f t="shared" si="15"/>
        <v>0</v>
      </c>
    </row>
    <row r="53" spans="1:13" ht="16.5" outlineLevel="1">
      <c r="A53" s="38"/>
      <c r="B53" s="39" t="s">
        <v>27</v>
      </c>
      <c r="C53" s="36">
        <v>291431</v>
      </c>
      <c r="D53" s="36">
        <v>0</v>
      </c>
      <c r="E53" s="48"/>
      <c r="F53" s="48">
        <v>1035181.45</v>
      </c>
      <c r="G53" s="49">
        <f t="shared" si="12"/>
        <v>0.28152648987286238</v>
      </c>
      <c r="H53" s="23">
        <f t="shared" si="13"/>
        <v>0</v>
      </c>
      <c r="I53" s="24">
        <f t="shared" si="13"/>
        <v>0</v>
      </c>
      <c r="J53" s="32" t="str" cm="1">
        <f t="array" ref="J53">IFERROR(_xlfn.IFS(B53="044 - BLEND TRADICION","BLEND",B53="113 - CAFÉ GOURMET","GOURMET",B53="114 - CAFÉ CONSUMO","CONSUMO",B53="112 - CAFÉ ORGANICO","GOURMET",B53="172 - CAFÉ COSECHA","ESPECIALES",B53="176 - CAFE DESCAFEINADO","GOURMET",B53="147 - CAPSULAS","CAPSULAS",B53="130 - GALLETAS CAFECITAS","DERIVADOS",B53="140 - MERENGUES","DERIVADOS",B53="100 - CAFÉ ESPECIAL","ESPECIALES",B53="141 - AREQUIPE","DERIVADOS",B53="142 - MERMELADA","DERIVADOS",B53="131 - GALLETAS AVENA","DERIVADOS",B53="160 - SOUVENIR","OTROS",B53="148 - CARAMELOS","DERIVADOS",B53="143 - CHOCOFFES","DERIVADOS",B53="162 - CONVENIOS Y DSC POS ","OTROS"),"OTROS")</f>
        <v>DERIVADOS</v>
      </c>
      <c r="L53" s="27">
        <f t="shared" si="14"/>
        <v>291431</v>
      </c>
      <c r="M53" s="27">
        <f t="shared" si="15"/>
        <v>291431</v>
      </c>
    </row>
    <row r="54" spans="1:13" ht="16.5" outlineLevel="1">
      <c r="A54" s="38"/>
      <c r="B54" s="39" t="s">
        <v>28</v>
      </c>
      <c r="C54" s="36">
        <v>0</v>
      </c>
      <c r="D54" s="36">
        <v>0</v>
      </c>
      <c r="E54" s="48"/>
      <c r="F54" s="48">
        <v>11765277.34</v>
      </c>
      <c r="G54" s="49">
        <f t="shared" si="12"/>
        <v>0</v>
      </c>
      <c r="H54" s="23">
        <f t="shared" si="13"/>
        <v>0</v>
      </c>
      <c r="I54" s="24">
        <f t="shared" si="13"/>
        <v>0</v>
      </c>
      <c r="J54" s="32" t="str" cm="1">
        <f t="array" ref="J54">IFERROR(_xlfn.IFS(B54="044 - BLEND TRADICION","BLEND",B54="113 - CAFÉ GOURMET","GOURMET",B54="114 - CAFÉ CONSUMO","CONSUMO",B54="112 - CAFÉ ORGANICO","GOURMET",B54="172 - CAFÉ COSECHA","ESPECIALES",B54="176 - CAFE DESCAFEINADO","GOURMET",B54="147 - CAPSULAS","CAPSULAS",B54="130 - GALLETAS CAFECITAS","DERIVADOS",B54="140 - MERENGUES","DERIVADOS",B54="100 - CAFÉ ESPECIAL","ESPECIALES",B54="141 - AREQUIPE","DERIVADOS",B54="142 - MERMELADA","DERIVADOS",B54="131 - GALLETAS AVENA","DERIVADOS",B54="160 - SOUVENIR","OTROS",B54="148 - CARAMELOS","DERIVADOS",B54="143 - CHOCOFFES","DERIVADOS",B54="162 - CONVENIOS Y DSC POS ","OTROS"),"OTROS")</f>
        <v>OTROS</v>
      </c>
      <c r="L54" s="27">
        <f t="shared" si="14"/>
        <v>0</v>
      </c>
      <c r="M54" s="27">
        <f t="shared" si="15"/>
        <v>0</v>
      </c>
    </row>
    <row r="55" spans="1:13" ht="16.5" outlineLevel="1">
      <c r="A55" s="38"/>
      <c r="B55" s="39" t="s">
        <v>29</v>
      </c>
      <c r="C55" s="36">
        <v>0</v>
      </c>
      <c r="D55" s="36">
        <v>0</v>
      </c>
      <c r="E55" s="48"/>
      <c r="F55" s="48">
        <v>4920564.09</v>
      </c>
      <c r="G55" s="49">
        <f t="shared" si="12"/>
        <v>0</v>
      </c>
      <c r="H55" s="23">
        <f t="shared" si="13"/>
        <v>0</v>
      </c>
      <c r="I55" s="24">
        <f t="shared" si="13"/>
        <v>0</v>
      </c>
      <c r="J55" s="32" t="str" cm="1">
        <f t="array" ref="J55">IFERROR(_xlfn.IFS(B55="044 - BLEND TRADICION","BLEND",B55="113 - CAFÉ GOURMET","GOURMET",B55="114 - CAFÉ CONSUMO","CONSUMO",B55="112 - CAFÉ ORGANICO","GOURMET",B55="172 - CAFÉ COSECHA","ESPECIALES",B55="176 - CAFE DESCAFEINADO","GOURMET",B55="147 - CAPSULAS","CAPSULAS",B55="130 - GALLETAS CAFECITAS","DERIVADOS",B55="140 - MERENGUES","DERIVADOS",B55="100 - CAFÉ ESPECIAL","ESPECIALES",B55="141 - AREQUIPE","DERIVADOS",B55="142 - MERMELADA","DERIVADOS",B55="131 - GALLETAS AVENA","DERIVADOS",B55="160 - SOUVENIR","OTROS",B55="148 - CARAMELOS","DERIVADOS",B55="143 - CHOCOFFES","DERIVADOS",B55="162 - CONVENIOS Y DSC POS ","OTROS"),"OTROS")</f>
        <v>ESPECIALES</v>
      </c>
      <c r="L55" s="27">
        <f t="shared" si="14"/>
        <v>0</v>
      </c>
      <c r="M55" s="27">
        <f t="shared" si="15"/>
        <v>0</v>
      </c>
    </row>
    <row r="56" spans="1:13" ht="16.5" outlineLevel="1">
      <c r="A56" s="19" t="s">
        <v>40</v>
      </c>
      <c r="B56" s="56" t="s">
        <v>32</v>
      </c>
      <c r="C56" s="54">
        <f>SUM(C42:C55)</f>
        <v>3993172</v>
      </c>
      <c r="D56" s="54">
        <f>SUM(D42:D55)</f>
        <v>0</v>
      </c>
      <c r="E56" s="54">
        <f>SUM(E42:E55)</f>
        <v>0</v>
      </c>
      <c r="F56" s="54">
        <f>SUM(F42:F55)</f>
        <v>118279646.59000002</v>
      </c>
      <c r="G56" s="55">
        <f t="shared" si="12"/>
        <v>3.3760432290111386E-2</v>
      </c>
      <c r="H56" s="23">
        <f t="shared" si="13"/>
        <v>0</v>
      </c>
      <c r="I56" s="24">
        <f t="shared" si="13"/>
        <v>0</v>
      </c>
      <c r="J56" s="32" t="str" cm="1">
        <f t="array" ref="J56">IFERROR(_xlfn.IFS(B56="044 - BLEND TRADICION","BLEND",B56="113 - CAFÉ GOURMET","GOURMET",B56="114 - CAFÉ CONSUMO","CONSUMO",B56="112 - CAFÉ ORGANICO","GOURMET",B56="172 - CAFÉ COSECHA","ESPECIALES",B56="176 - CAFE DESCAFEINADO","GOURMET",B56="147 - CAPSULAS","CAPSULAS",B56="130 - GALLETAS CAFECITAS","DERIVADOS",B56="140 - MERENGUES","DERIVADOS",B56="100 - CAFÉ ESPECIAL","ESPECIALES",B56="141 - AREQUIPE","DERIVADOS",B56="142 - MERMELADA","DERIVADOS",B56="131 - GALLETAS AVENA","DERIVADOS",B56="160 - SOUVENIR","OTROS",B56="148 - CARAMELOS","DERIVADOS",B56="143 - CHOCOFFES","DERIVADOS",B56="162 - CONVENIOS Y DSC POS ","OTROS"),"OTROS")</f>
        <v>OTROS</v>
      </c>
      <c r="L56" s="27">
        <f t="shared" si="14"/>
        <v>3993172</v>
      </c>
      <c r="M56" s="27">
        <f t="shared" si="15"/>
        <v>3993172</v>
      </c>
    </row>
    <row r="57" spans="1:13" ht="16.5">
      <c r="A57" s="28" t="s">
        <v>41</v>
      </c>
      <c r="B57" s="29" t="s">
        <v>17</v>
      </c>
      <c r="C57" s="30">
        <f>+C75+C89+C102+C60</f>
        <v>47592879</v>
      </c>
      <c r="D57" s="30">
        <f>+D75+D89+D102+D60</f>
        <v>-3107055</v>
      </c>
      <c r="E57" s="30">
        <f>+E75+E89+E102+E60</f>
        <v>0</v>
      </c>
      <c r="F57" s="30">
        <f>+F75+F89+F102+F60</f>
        <v>488313278.77999997</v>
      </c>
      <c r="G57" s="31">
        <f t="shared" si="12"/>
        <v>9.7463823058233978E-2</v>
      </c>
      <c r="H57" s="23">
        <f t="shared" si="13"/>
        <v>-6.1283215871641962E-2</v>
      </c>
      <c r="I57" s="24">
        <f t="shared" si="13"/>
        <v>0</v>
      </c>
      <c r="J57" s="32" t="str" cm="1">
        <f t="array" ref="J57">IFERROR(_xlfn.IFS(B57="044 - BLEND TRADICION","BLEND",B57="113 - CAFÉ GOURMET","GOURMET",B57="114 - CAFÉ CONSUMO","CONSUMO",B57="112 - CAFÉ ORGANICO","GOURMET",B57="172 - CAFÉ COSECHA","ESPECIALES",B57="176 - CAFE DESCAFEINADO","GOURMET",B57="147 - CAPSULAS","CAPSULAS",B57="130 - GALLETAS CAFECITAS","DERIVADOS",B57="140 - MERENGUES","DERIVADOS",B57="100 - CAFÉ ESPECIAL","ESPECIALES",B57="141 - AREQUIPE","DERIVADOS",B57="142 - MERMELADA","DERIVADOS",B57="131 - GALLETAS AVENA","DERIVADOS",B57="160 - SOUVENIR","OTROS",B57="148 - CARAMELOS","DERIVADOS",B57="143 - CHOCOFFES","DERIVADOS",B57="162 - CONVENIOS Y DSC POS ","OTROS"),"OTROS")</f>
        <v>OTROS</v>
      </c>
      <c r="L57" s="27">
        <f t="shared" si="14"/>
        <v>50699934</v>
      </c>
      <c r="M57" s="27">
        <f t="shared" si="15"/>
        <v>50699934</v>
      </c>
    </row>
    <row r="58" spans="1:13" ht="16.5" outlineLevel="1">
      <c r="A58" s="38"/>
      <c r="B58" s="39" t="s">
        <v>42</v>
      </c>
      <c r="C58" s="36">
        <v>0</v>
      </c>
      <c r="D58" s="36">
        <v>0</v>
      </c>
      <c r="E58" s="48"/>
      <c r="F58" s="48">
        <v>0</v>
      </c>
      <c r="G58" s="49" t="str">
        <f t="shared" si="12"/>
        <v>-</v>
      </c>
      <c r="H58" s="23">
        <f t="shared" si="13"/>
        <v>0</v>
      </c>
      <c r="I58" s="24">
        <f t="shared" si="13"/>
        <v>0</v>
      </c>
      <c r="J58" s="32" t="str" cm="1">
        <f t="array" ref="J58">IFERROR(_xlfn.IFS(B58="044 - BLEND TRADICION","BLEND",B58="113 - CAFÉ GOURMET","GOURMET",B58="114 - CAFÉ CONSUMO","CONSUMO",B58="112 - CAFÉ ORGANICO","GOURMET",B58="172 - CAFÉ COSECHA","ESPECIALES",B58="176 - CAFE DESCAFEINADO","GOURMET",B58="147 - CAPSULAS","CAPSULAS",B58="130 - GALLETAS CAFECITAS","DERIVADOS",B58="140 - MERENGUES","DERIVADOS",B58="100 - CAFÉ ESPECIAL","ESPECIALES",B58="141 - AREQUIPE","DERIVADOS",B58="142 - MERMELADA","DERIVADOS",B58="131 - GALLETAS AVENA","DERIVADOS",B58="160 - SOUVENIR","OTROS",B58="148 - CARAMELOS","DERIVADOS",B58="143 - CHOCOFFES","DERIVADOS",B58="162 - CONVENIOS Y DSC POS ","OTROS"),"OTROS")</f>
        <v>OTROS</v>
      </c>
      <c r="L58" s="27">
        <f t="shared" si="14"/>
        <v>0</v>
      </c>
      <c r="M58" s="27">
        <f t="shared" si="15"/>
        <v>0</v>
      </c>
    </row>
    <row r="59" spans="1:13" ht="16.5" outlineLevel="1">
      <c r="A59" s="38"/>
      <c r="B59" s="39" t="s">
        <v>21</v>
      </c>
      <c r="C59" s="36">
        <v>0</v>
      </c>
      <c r="D59" s="36">
        <v>0</v>
      </c>
      <c r="E59" s="48"/>
      <c r="F59" s="48">
        <v>0</v>
      </c>
      <c r="G59" s="49" t="str">
        <f t="shared" si="12"/>
        <v>-</v>
      </c>
      <c r="H59" s="23">
        <f t="shared" si="13"/>
        <v>0</v>
      </c>
      <c r="I59" s="24">
        <f t="shared" si="13"/>
        <v>0</v>
      </c>
      <c r="J59" s="32" t="str" cm="1">
        <f t="array" ref="J59">IFERROR(_xlfn.IFS(B59="044 - BLEND TRADICION","BLEND",B59="113 - CAFÉ GOURMET","GOURMET",B59="114 - CAFÉ CONSUMO","CONSUMO",B59="112 - CAFÉ ORGANICO","GOURMET",B59="172 - CAFÉ COSECHA","ESPECIALES",B59="176 - CAFE DESCAFEINADO","GOURMET",B59="147 - CAPSULAS","CAPSULAS",B59="130 - GALLETAS CAFECITAS","DERIVADOS",B59="140 - MERENGUES","DERIVADOS",B59="100 - CAFÉ ESPECIAL","ESPECIALES",B59="141 - AREQUIPE","DERIVADOS",B59="142 - MERMELADA","DERIVADOS",B59="131 - GALLETAS AVENA","DERIVADOS",B59="160 - SOUVENIR","OTROS",B59="148 - CARAMELOS","DERIVADOS",B59="143 - CHOCOFFES","DERIVADOS",B59="162 - CONVENIOS Y DSC POS ","OTROS"),"OTROS")</f>
        <v>GOURMET</v>
      </c>
      <c r="L59" s="27">
        <f t="shared" si="14"/>
        <v>0</v>
      </c>
      <c r="M59" s="27">
        <f t="shared" si="15"/>
        <v>0</v>
      </c>
    </row>
    <row r="60" spans="1:13" ht="16.5" outlineLevel="1">
      <c r="A60" s="19" t="s">
        <v>43</v>
      </c>
      <c r="B60" s="56" t="s">
        <v>32</v>
      </c>
      <c r="C60" s="54">
        <f>SUM(C58:C59)</f>
        <v>0</v>
      </c>
      <c r="D60" s="54">
        <f>SUM(D58:D59)</f>
        <v>0</v>
      </c>
      <c r="E60" s="54">
        <f>SUM(E58:E59)</f>
        <v>0</v>
      </c>
      <c r="F60" s="54">
        <f>SUM(F58:F59)</f>
        <v>0</v>
      </c>
      <c r="G60" s="55" t="str">
        <f t="shared" si="12"/>
        <v>-</v>
      </c>
      <c r="H60" s="23">
        <f t="shared" si="13"/>
        <v>0</v>
      </c>
      <c r="I60" s="24">
        <f t="shared" si="13"/>
        <v>0</v>
      </c>
      <c r="J60" s="32" t="str" cm="1">
        <f t="array" ref="J60">IFERROR(_xlfn.IFS(B60="044 - BLEND TRADICION","BLEND",B60="113 - CAFÉ GOURMET","GOURMET",B60="114 - CAFÉ CONSUMO","CONSUMO",B60="112 - CAFÉ ORGANICO","GOURMET",B60="172 - CAFÉ COSECHA","ESPECIALES",B60="176 - CAFE DESCAFEINADO","GOURMET",B60="147 - CAPSULAS","CAPSULAS",B60="130 - GALLETAS CAFECITAS","DERIVADOS",B60="140 - MERENGUES","DERIVADOS",B60="100 - CAFÉ ESPECIAL","ESPECIALES",B60="141 - AREQUIPE","DERIVADOS",B60="142 - MERMELADA","DERIVADOS",B60="131 - GALLETAS AVENA","DERIVADOS",B60="160 - SOUVENIR","OTROS",B60="148 - CARAMELOS","DERIVADOS",B60="143 - CHOCOFFES","DERIVADOS",B60="162 - CONVENIOS Y DSC POS ","OTROS"),"OTROS")</f>
        <v>OTROS</v>
      </c>
      <c r="L60" s="27">
        <f t="shared" si="14"/>
        <v>0</v>
      </c>
      <c r="M60" s="27">
        <f t="shared" si="15"/>
        <v>0</v>
      </c>
    </row>
    <row r="61" spans="1:13" ht="16.5" outlineLevel="1">
      <c r="A61" s="33"/>
      <c r="B61" s="39" t="s">
        <v>34</v>
      </c>
      <c r="C61" s="36">
        <v>0</v>
      </c>
      <c r="D61" s="36">
        <v>0</v>
      </c>
      <c r="E61" s="48">
        <v>0</v>
      </c>
      <c r="F61" s="48">
        <v>142340.04</v>
      </c>
      <c r="G61" s="49">
        <f t="shared" si="12"/>
        <v>0</v>
      </c>
      <c r="H61" s="23">
        <f t="shared" si="13"/>
        <v>0</v>
      </c>
      <c r="I61" s="24">
        <f t="shared" si="13"/>
        <v>0</v>
      </c>
      <c r="J61" s="32" t="str" cm="1">
        <f t="array" ref="J61">IFERROR(_xlfn.IFS(B61="044 - BLEND TRADICION","BLEND",B61="113 - CAFÉ GOURMET","GOURMET",B61="114 - CAFÉ CONSUMO","CONSUMO",B61="112 - CAFÉ ORGANICO","GOURMET",B61="172 - CAFÉ COSECHA","ESPECIALES",B61="176 - CAFE DESCAFEINADO","GOURMET",B61="147 - CAPSULAS","CAPSULAS",B61="130 - GALLETAS CAFECITAS","DERIVADOS",B61="140 - MERENGUES","DERIVADOS",B61="100 - CAFÉ ESPECIAL","ESPECIALES",B61="141 - AREQUIPE","DERIVADOS",B61="142 - MERMELADA","DERIVADOS",B61="131 - GALLETAS AVENA","DERIVADOS",B61="160 - SOUVENIR","OTROS",B61="148 - CARAMELOS","DERIVADOS",B61="143 - CHOCOFFES","DERIVADOS",B61="162 - CONVENIOS Y DSC POS ","OTROS"),"OTROS")</f>
        <v>OTROS</v>
      </c>
      <c r="L61" s="27">
        <f t="shared" si="14"/>
        <v>0</v>
      </c>
      <c r="M61" s="27">
        <f t="shared" si="15"/>
        <v>0</v>
      </c>
    </row>
    <row r="62" spans="1:13" ht="16.5" outlineLevel="1">
      <c r="A62" s="38"/>
      <c r="B62" s="39" t="s">
        <v>18</v>
      </c>
      <c r="C62" s="36">
        <v>0</v>
      </c>
      <c r="D62" s="36">
        <v>0</v>
      </c>
      <c r="E62" s="48">
        <v>0</v>
      </c>
      <c r="F62" s="48">
        <v>1206734.55</v>
      </c>
      <c r="G62" s="49">
        <f t="shared" si="12"/>
        <v>0</v>
      </c>
      <c r="H62" s="23">
        <f t="shared" si="13"/>
        <v>0</v>
      </c>
      <c r="I62" s="24">
        <f t="shared" si="13"/>
        <v>0</v>
      </c>
      <c r="J62" s="32" t="str" cm="1">
        <f t="array" ref="J62">IFERROR(_xlfn.IFS(B62="044 - BLEND TRADICION","BLEND",B62="113 - CAFÉ GOURMET","GOURMET",B62="114 - CAFÉ CONSUMO","CONSUMO",B62="112 - CAFÉ ORGANICO","GOURMET",B62="172 - CAFÉ COSECHA","ESPECIALES",B62="176 - CAFE DESCAFEINADO","GOURMET",B62="147 - CAPSULAS","CAPSULAS",B62="130 - GALLETAS CAFECITAS","DERIVADOS",B62="140 - MERENGUES","DERIVADOS",B62="100 - CAFÉ ESPECIAL","ESPECIALES",B62="141 - AREQUIPE","DERIVADOS",B62="142 - MERMELADA","DERIVADOS",B62="131 - GALLETAS AVENA","DERIVADOS",B62="160 - SOUVENIR","OTROS",B62="148 - CARAMELOS","DERIVADOS",B62="143 - CHOCOFFES","DERIVADOS",B62="162 - CONVENIOS Y DSC POS ","OTROS"),"OTROS")</f>
        <v>BLEND</v>
      </c>
      <c r="L62" s="27">
        <f t="shared" si="14"/>
        <v>0</v>
      </c>
      <c r="M62" s="27">
        <f t="shared" si="15"/>
        <v>0</v>
      </c>
    </row>
    <row r="63" spans="1:13" ht="16.5" outlineLevel="1">
      <c r="A63" s="38"/>
      <c r="B63" s="39" t="s">
        <v>19</v>
      </c>
      <c r="C63" s="36">
        <v>757596</v>
      </c>
      <c r="D63" s="36">
        <v>0</v>
      </c>
      <c r="E63" s="48">
        <v>0</v>
      </c>
      <c r="F63" s="48">
        <v>3072107.02</v>
      </c>
      <c r="G63" s="49">
        <f t="shared" si="12"/>
        <v>0.24660469022332432</v>
      </c>
      <c r="H63" s="23">
        <f t="shared" si="13"/>
        <v>0</v>
      </c>
      <c r="I63" s="24">
        <f t="shared" si="13"/>
        <v>0</v>
      </c>
      <c r="J63" s="32" t="str" cm="1">
        <f t="array" ref="J63">IFERROR(_xlfn.IFS(B63="044 - BLEND TRADICION","BLEND",B63="113 - CAFÉ GOURMET","GOURMET",B63="114 - CAFÉ CONSUMO","CONSUMO",B63="112 - CAFÉ ORGANICO","GOURMET",B63="172 - CAFÉ COSECHA","ESPECIALES",B63="176 - CAFE DESCAFEINADO","GOURMET",B63="147 - CAPSULAS","CAPSULAS",B63="130 - GALLETAS CAFECITAS","DERIVADOS",B63="140 - MERENGUES","DERIVADOS",B63="100 - CAFÉ ESPECIAL","ESPECIALES",B63="141 - AREQUIPE","DERIVADOS",B63="142 - MERMELADA","DERIVADOS",B63="131 - GALLETAS AVENA","DERIVADOS",B63="160 - SOUVENIR","OTROS",B63="148 - CARAMELOS","DERIVADOS",B63="143 - CHOCOFFES","DERIVADOS",B63="162 - CONVENIOS Y DSC POS ","OTROS"),"OTROS")</f>
        <v>ESPECIALES</v>
      </c>
      <c r="L63" s="27">
        <f t="shared" si="14"/>
        <v>757596</v>
      </c>
      <c r="M63" s="27">
        <f t="shared" si="15"/>
        <v>757596</v>
      </c>
    </row>
    <row r="64" spans="1:13" ht="16.5" outlineLevel="1">
      <c r="A64" s="38"/>
      <c r="B64" s="39" t="s">
        <v>20</v>
      </c>
      <c r="C64" s="36">
        <v>0</v>
      </c>
      <c r="D64" s="36">
        <v>0</v>
      </c>
      <c r="E64" s="48"/>
      <c r="F64" s="48">
        <v>457781.38</v>
      </c>
      <c r="G64" s="49">
        <f t="shared" si="12"/>
        <v>0</v>
      </c>
      <c r="H64" s="23">
        <f t="shared" si="13"/>
        <v>0</v>
      </c>
      <c r="I64" s="24">
        <f t="shared" si="13"/>
        <v>0</v>
      </c>
      <c r="J64" s="32" t="str" cm="1">
        <f t="array" ref="J64">IFERROR(_xlfn.IFS(B64="044 - BLEND TRADICION","BLEND",B64="113 - CAFÉ GOURMET","GOURMET",B64="114 - CAFÉ CONSUMO","CONSUMO",B64="112 - CAFÉ ORGANICO","GOURMET",B64="172 - CAFÉ COSECHA","ESPECIALES",B64="176 - CAFE DESCAFEINADO","GOURMET",B64="147 - CAPSULAS","CAPSULAS",B64="130 - GALLETAS CAFECITAS","DERIVADOS",B64="140 - MERENGUES","DERIVADOS",B64="100 - CAFÉ ESPECIAL","ESPECIALES",B64="141 - AREQUIPE","DERIVADOS",B64="142 - MERMELADA","DERIVADOS",B64="131 - GALLETAS AVENA","DERIVADOS",B64="160 - SOUVENIR","OTROS",B64="148 - CARAMELOS","DERIVADOS",B64="143 - CHOCOFFES","DERIVADOS",B64="162 - CONVENIOS Y DSC POS ","OTROS"),"OTROS")</f>
        <v>GOURMET</v>
      </c>
      <c r="L64" s="27">
        <f t="shared" si="14"/>
        <v>0</v>
      </c>
      <c r="M64" s="27">
        <f t="shared" si="15"/>
        <v>0</v>
      </c>
    </row>
    <row r="65" spans="1:13" ht="16.5" outlineLevel="1">
      <c r="A65" s="38"/>
      <c r="B65" s="39" t="s">
        <v>21</v>
      </c>
      <c r="C65" s="36">
        <v>23711347</v>
      </c>
      <c r="D65" s="36">
        <v>0</v>
      </c>
      <c r="E65" s="48"/>
      <c r="F65" s="48">
        <v>106018093.81999999</v>
      </c>
      <c r="G65" s="49">
        <f t="shared" si="12"/>
        <v>0.22365377593241473</v>
      </c>
      <c r="H65" s="23">
        <f t="shared" si="13"/>
        <v>0</v>
      </c>
      <c r="I65" s="24">
        <f t="shared" si="13"/>
        <v>0</v>
      </c>
      <c r="J65" s="32" t="str" cm="1">
        <f t="array" ref="J65">IFERROR(_xlfn.IFS(B65="044 - BLEND TRADICION","BLEND",B65="113 - CAFÉ GOURMET","GOURMET",B65="114 - CAFÉ CONSUMO","CONSUMO",B65="112 - CAFÉ ORGANICO","GOURMET",B65="172 - CAFÉ COSECHA","ESPECIALES",B65="176 - CAFE DESCAFEINADO","GOURMET",B65="147 - CAPSULAS","CAPSULAS",B65="130 - GALLETAS CAFECITAS","DERIVADOS",B65="140 - MERENGUES","DERIVADOS",B65="100 - CAFÉ ESPECIAL","ESPECIALES",B65="141 - AREQUIPE","DERIVADOS",B65="142 - MERMELADA","DERIVADOS",B65="131 - GALLETAS AVENA","DERIVADOS",B65="160 - SOUVENIR","OTROS",B65="148 - CARAMELOS","DERIVADOS",B65="143 - CHOCOFFES","DERIVADOS",B65="162 - CONVENIOS Y DSC POS ","OTROS"),"OTROS")</f>
        <v>GOURMET</v>
      </c>
      <c r="L65" s="27">
        <f t="shared" si="14"/>
        <v>23711347</v>
      </c>
      <c r="M65" s="27">
        <f t="shared" si="15"/>
        <v>23711347</v>
      </c>
    </row>
    <row r="66" spans="1:13" ht="16.5" outlineLevel="1">
      <c r="A66" s="38"/>
      <c r="B66" s="39" t="s">
        <v>22</v>
      </c>
      <c r="C66" s="36">
        <v>1411702</v>
      </c>
      <c r="D66" s="36">
        <v>0</v>
      </c>
      <c r="E66" s="48"/>
      <c r="F66" s="48">
        <v>5082259.87</v>
      </c>
      <c r="G66" s="49">
        <f t="shared" si="12"/>
        <v>0.27777052651973105</v>
      </c>
      <c r="H66" s="23">
        <f t="shared" si="13"/>
        <v>0</v>
      </c>
      <c r="I66" s="24">
        <f t="shared" si="13"/>
        <v>0</v>
      </c>
      <c r="J66" s="32" t="str" cm="1">
        <f t="array" ref="J66">IFERROR(_xlfn.IFS(B66="044 - BLEND TRADICION","BLEND",B66="113 - CAFÉ GOURMET","GOURMET",B66="114 - CAFÉ CONSUMO","CONSUMO",B66="112 - CAFÉ ORGANICO","GOURMET",B66="172 - CAFÉ COSECHA","ESPECIALES",B66="176 - CAFE DESCAFEINADO","GOURMET",B66="147 - CAPSULAS","CAPSULAS",B66="130 - GALLETAS CAFECITAS","DERIVADOS",B66="140 - MERENGUES","DERIVADOS",B66="100 - CAFÉ ESPECIAL","ESPECIALES",B66="141 - AREQUIPE","DERIVADOS",B66="142 - MERMELADA","DERIVADOS",B66="131 - GALLETAS AVENA","DERIVADOS",B66="160 - SOUVENIR","OTROS",B66="148 - CARAMELOS","DERIVADOS",B66="143 - CHOCOFFES","DERIVADOS",B66="162 - CONVENIOS Y DSC POS ","OTROS"),"OTROS")</f>
        <v>DERIVADOS</v>
      </c>
      <c r="L66" s="27">
        <f t="shared" si="14"/>
        <v>1411702</v>
      </c>
      <c r="M66" s="27">
        <f t="shared" si="15"/>
        <v>1411702</v>
      </c>
    </row>
    <row r="67" spans="1:13" ht="16.5" outlineLevel="1">
      <c r="A67" s="38"/>
      <c r="B67" s="39" t="s">
        <v>23</v>
      </c>
      <c r="C67" s="36">
        <v>0</v>
      </c>
      <c r="D67" s="36">
        <v>0</v>
      </c>
      <c r="E67" s="48"/>
      <c r="F67" s="48">
        <v>42776.35</v>
      </c>
      <c r="G67" s="49">
        <f t="shared" si="12"/>
        <v>0</v>
      </c>
      <c r="H67" s="23">
        <f t="shared" si="13"/>
        <v>0</v>
      </c>
      <c r="I67" s="24">
        <f t="shared" si="13"/>
        <v>0</v>
      </c>
      <c r="J67" s="32" t="str" cm="1">
        <f t="array" ref="J67">IFERROR(_xlfn.IFS(B67="044 - BLEND TRADICION","BLEND",B67="113 - CAFÉ GOURMET","GOURMET",B67="114 - CAFÉ CONSUMO","CONSUMO",B67="112 - CAFÉ ORGANICO","GOURMET",B67="172 - CAFÉ COSECHA","ESPECIALES",B67="176 - CAFE DESCAFEINADO","GOURMET",B67="147 - CAPSULAS","CAPSULAS",B67="130 - GALLETAS CAFECITAS","DERIVADOS",B67="140 - MERENGUES","DERIVADOS",B67="100 - CAFÉ ESPECIAL","ESPECIALES",B67="141 - AREQUIPE","DERIVADOS",B67="142 - MERMELADA","DERIVADOS",B67="131 - GALLETAS AVENA","DERIVADOS",B67="160 - SOUVENIR","OTROS",B67="148 - CARAMELOS","DERIVADOS",B67="143 - CHOCOFFES","DERIVADOS",B67="162 - CONVENIOS Y DSC POS ","OTROS"),"OTROS")</f>
        <v>DERIVADOS</v>
      </c>
      <c r="L67" s="27">
        <f t="shared" si="14"/>
        <v>0</v>
      </c>
      <c r="M67" s="27">
        <f t="shared" si="15"/>
        <v>0</v>
      </c>
    </row>
    <row r="68" spans="1:13" ht="16.5" outlineLevel="1">
      <c r="A68" s="38"/>
      <c r="B68" s="39" t="s">
        <v>24</v>
      </c>
      <c r="C68" s="36">
        <v>0</v>
      </c>
      <c r="D68" s="36">
        <v>0</v>
      </c>
      <c r="E68" s="48">
        <v>0</v>
      </c>
      <c r="F68" s="48">
        <v>253296.1</v>
      </c>
      <c r="G68" s="49">
        <f t="shared" si="12"/>
        <v>0</v>
      </c>
      <c r="H68" s="23">
        <f t="shared" si="13"/>
        <v>0</v>
      </c>
      <c r="I68" s="24">
        <f t="shared" si="13"/>
        <v>0</v>
      </c>
      <c r="J68" s="32" t="str" cm="1">
        <f t="array" ref="J68">IFERROR(_xlfn.IFS(B68="044 - BLEND TRADICION","BLEND",B68="113 - CAFÉ GOURMET","GOURMET",B68="114 - CAFÉ CONSUMO","CONSUMO",B68="112 - CAFÉ ORGANICO","GOURMET",B68="172 - CAFÉ COSECHA","ESPECIALES",B68="176 - CAFE DESCAFEINADO","GOURMET",B68="147 - CAPSULAS","CAPSULAS",B68="130 - GALLETAS CAFECITAS","DERIVADOS",B68="140 - MERENGUES","DERIVADOS",B68="100 - CAFÉ ESPECIAL","ESPECIALES",B68="141 - AREQUIPE","DERIVADOS",B68="142 - MERMELADA","DERIVADOS",B68="131 - GALLETAS AVENA","DERIVADOS",B68="160 - SOUVENIR","OTROS",B68="148 - CARAMELOS","DERIVADOS",B68="143 - CHOCOFFES","DERIVADOS",B68="162 - CONVENIOS Y DSC POS ","OTROS"),"OTROS")</f>
        <v>DERIVADOS</v>
      </c>
      <c r="L68" s="27">
        <f t="shared" si="14"/>
        <v>0</v>
      </c>
      <c r="M68" s="27">
        <f t="shared" si="15"/>
        <v>0</v>
      </c>
    </row>
    <row r="69" spans="1:13" ht="16.5" outlineLevel="1">
      <c r="A69" s="38"/>
      <c r="B69" s="39" t="s">
        <v>25</v>
      </c>
      <c r="C69" s="36">
        <v>3234221</v>
      </c>
      <c r="D69" s="36">
        <v>0</v>
      </c>
      <c r="E69" s="48"/>
      <c r="F69" s="48">
        <v>6237513.8499999996</v>
      </c>
      <c r="G69" s="49">
        <f t="shared" si="12"/>
        <v>0.5185112334459987</v>
      </c>
      <c r="H69" s="23">
        <f t="shared" si="13"/>
        <v>0</v>
      </c>
      <c r="I69" s="24">
        <f t="shared" si="13"/>
        <v>0</v>
      </c>
      <c r="J69" s="32" t="str" cm="1">
        <f t="array" ref="J69">IFERROR(_xlfn.IFS(B69="044 - BLEND TRADICION","BLEND",B69="113 - CAFÉ GOURMET","GOURMET",B69="114 - CAFÉ CONSUMO","CONSUMO",B69="112 - CAFÉ ORGANICO","GOURMET",B69="172 - CAFÉ COSECHA","ESPECIALES",B69="176 - CAFE DESCAFEINADO","GOURMET",B69="147 - CAPSULAS","CAPSULAS",B69="130 - GALLETAS CAFECITAS","DERIVADOS",B69="140 - MERENGUES","DERIVADOS",B69="100 - CAFÉ ESPECIAL","ESPECIALES",B69="141 - AREQUIPE","DERIVADOS",B69="142 - MERMELADA","DERIVADOS",B69="131 - GALLETAS AVENA","DERIVADOS",B69="160 - SOUVENIR","OTROS",B69="148 - CARAMELOS","DERIVADOS",B69="143 - CHOCOFFES","DERIVADOS",B69="162 - CONVENIOS Y DSC POS ","OTROS"),"OTROS")</f>
        <v>DERIVADOS</v>
      </c>
      <c r="L69" s="27">
        <f t="shared" si="14"/>
        <v>3234221</v>
      </c>
      <c r="M69" s="27">
        <f t="shared" si="15"/>
        <v>3234221</v>
      </c>
    </row>
    <row r="70" spans="1:13" ht="16.5" outlineLevel="1">
      <c r="A70" s="38"/>
      <c r="B70" s="39" t="s">
        <v>26</v>
      </c>
      <c r="C70" s="36">
        <v>0</v>
      </c>
      <c r="D70" s="36">
        <v>0</v>
      </c>
      <c r="E70" s="48">
        <v>0</v>
      </c>
      <c r="F70" s="48">
        <v>834555.96</v>
      </c>
      <c r="G70" s="49">
        <f t="shared" si="12"/>
        <v>0</v>
      </c>
      <c r="H70" s="23">
        <f t="shared" si="13"/>
        <v>0</v>
      </c>
      <c r="I70" s="24">
        <f t="shared" si="13"/>
        <v>0</v>
      </c>
      <c r="J70" s="32" t="str" cm="1">
        <f t="array" ref="J70">IFERROR(_xlfn.IFS(B70="044 - BLEND TRADICION","BLEND",B70="113 - CAFÉ GOURMET","GOURMET",B70="114 - CAFÉ CONSUMO","CONSUMO",B70="112 - CAFÉ ORGANICO","GOURMET",B70="172 - CAFÉ COSECHA","ESPECIALES",B70="176 - CAFE DESCAFEINADO","GOURMET",B70="147 - CAPSULAS","CAPSULAS",B70="130 - GALLETAS CAFECITAS","DERIVADOS",B70="140 - MERENGUES","DERIVADOS",B70="100 - CAFÉ ESPECIAL","ESPECIALES",B70="141 - AREQUIPE","DERIVADOS",B70="142 - MERMELADA","DERIVADOS",B70="131 - GALLETAS AVENA","DERIVADOS",B70="160 - SOUVENIR","OTROS",B70="148 - CARAMELOS","DERIVADOS",B70="143 - CHOCOFFES","DERIVADOS",B70="162 - CONVENIOS Y DSC POS ","OTROS"),"OTROS")</f>
        <v>CAPSULAS</v>
      </c>
      <c r="L70" s="27">
        <f t="shared" si="14"/>
        <v>0</v>
      </c>
      <c r="M70" s="27">
        <f t="shared" si="15"/>
        <v>0</v>
      </c>
    </row>
    <row r="71" spans="1:13" ht="16.5" outlineLevel="1">
      <c r="A71" s="38"/>
      <c r="B71" s="39" t="s">
        <v>27</v>
      </c>
      <c r="C71" s="36">
        <v>3586759</v>
      </c>
      <c r="D71" s="36">
        <v>0</v>
      </c>
      <c r="E71" s="48">
        <v>0</v>
      </c>
      <c r="F71" s="48">
        <v>6191934.2800000003</v>
      </c>
      <c r="G71" s="49">
        <f t="shared" si="12"/>
        <v>0.57926309256628605</v>
      </c>
      <c r="H71" s="23">
        <f t="shared" si="13"/>
        <v>0</v>
      </c>
      <c r="I71" s="24">
        <f t="shared" si="13"/>
        <v>0</v>
      </c>
      <c r="J71" s="32" t="str" cm="1">
        <f t="array" ref="J71">IFERROR(_xlfn.IFS(B71="044 - BLEND TRADICION","BLEND",B71="113 - CAFÉ GOURMET","GOURMET",B71="114 - CAFÉ CONSUMO","CONSUMO",B71="112 - CAFÉ ORGANICO","GOURMET",B71="172 - CAFÉ COSECHA","ESPECIALES",B71="176 - CAFE DESCAFEINADO","GOURMET",B71="147 - CAPSULAS","CAPSULAS",B71="130 - GALLETAS CAFECITAS","DERIVADOS",B71="140 - MERENGUES","DERIVADOS",B71="100 - CAFÉ ESPECIAL","ESPECIALES",B71="141 - AREQUIPE","DERIVADOS",B71="142 - MERMELADA","DERIVADOS",B71="131 - GALLETAS AVENA","DERIVADOS",B71="160 - SOUVENIR","OTROS",B71="148 - CARAMELOS","DERIVADOS",B71="143 - CHOCOFFES","DERIVADOS",B71="162 - CONVENIOS Y DSC POS ","OTROS"),"OTROS")</f>
        <v>DERIVADOS</v>
      </c>
      <c r="L71" s="27">
        <f t="shared" si="14"/>
        <v>3586759</v>
      </c>
      <c r="M71" s="27">
        <f t="shared" si="15"/>
        <v>3586759</v>
      </c>
    </row>
    <row r="72" spans="1:13" ht="16.5" outlineLevel="1">
      <c r="A72" s="38"/>
      <c r="B72" s="39" t="s">
        <v>28</v>
      </c>
      <c r="C72" s="36">
        <v>1598594</v>
      </c>
      <c r="D72" s="36">
        <v>0</v>
      </c>
      <c r="E72" s="48"/>
      <c r="F72" s="48">
        <v>6313546.5</v>
      </c>
      <c r="G72" s="49">
        <f t="shared" si="12"/>
        <v>0.25320063770814072</v>
      </c>
      <c r="H72" s="23">
        <f t="shared" si="13"/>
        <v>0</v>
      </c>
      <c r="I72" s="24">
        <f t="shared" si="13"/>
        <v>0</v>
      </c>
      <c r="J72" s="32" t="str" cm="1">
        <f t="array" ref="J72">IFERROR(_xlfn.IFS(B72="044 - BLEND TRADICION","BLEND",B72="113 - CAFÉ GOURMET","GOURMET",B72="114 - CAFÉ CONSUMO","CONSUMO",B72="112 - CAFÉ ORGANICO","GOURMET",B72="172 - CAFÉ COSECHA","ESPECIALES",B72="176 - CAFE DESCAFEINADO","GOURMET",B72="147 - CAPSULAS","CAPSULAS",B72="130 - GALLETAS CAFECITAS","DERIVADOS",B72="140 - MERENGUES","DERIVADOS",B72="100 - CAFÉ ESPECIAL","ESPECIALES",B72="141 - AREQUIPE","DERIVADOS",B72="142 - MERMELADA","DERIVADOS",B72="131 - GALLETAS AVENA","DERIVADOS",B72="160 - SOUVENIR","OTROS",B72="148 - CARAMELOS","DERIVADOS",B72="143 - CHOCOFFES","DERIVADOS",B72="162 - CONVENIOS Y DSC POS ","OTROS"),"OTROS")</f>
        <v>OTROS</v>
      </c>
      <c r="L72" s="27">
        <f t="shared" si="14"/>
        <v>1598594</v>
      </c>
      <c r="M72" s="27">
        <f t="shared" si="15"/>
        <v>1598594</v>
      </c>
    </row>
    <row r="73" spans="1:13" ht="16.5" outlineLevel="1">
      <c r="A73" s="38"/>
      <c r="B73" s="39" t="s">
        <v>29</v>
      </c>
      <c r="C73" s="36">
        <v>0</v>
      </c>
      <c r="D73" s="36">
        <v>0</v>
      </c>
      <c r="E73" s="48">
        <v>0</v>
      </c>
      <c r="F73" s="48">
        <v>10016848.720000001</v>
      </c>
      <c r="G73" s="49">
        <f t="shared" si="12"/>
        <v>0</v>
      </c>
      <c r="H73" s="23">
        <f t="shared" si="13"/>
        <v>0</v>
      </c>
      <c r="I73" s="24">
        <f t="shared" si="13"/>
        <v>0</v>
      </c>
      <c r="J73" s="32" t="str" cm="1">
        <f t="array" ref="J73">IFERROR(_xlfn.IFS(B73="044 - BLEND TRADICION","BLEND",B73="113 - CAFÉ GOURMET","GOURMET",B73="114 - CAFÉ CONSUMO","CONSUMO",B73="112 - CAFÉ ORGANICO","GOURMET",B73="172 - CAFÉ COSECHA","ESPECIALES",B73="176 - CAFE DESCAFEINADO","GOURMET",B73="147 - CAPSULAS","CAPSULAS",B73="130 - GALLETAS CAFECITAS","DERIVADOS",B73="140 - MERENGUES","DERIVADOS",B73="100 - CAFÉ ESPECIAL","ESPECIALES",B73="141 - AREQUIPE","DERIVADOS",B73="142 - MERMELADA","DERIVADOS",B73="131 - GALLETAS AVENA","DERIVADOS",B73="160 - SOUVENIR","OTROS",B73="148 - CARAMELOS","DERIVADOS",B73="143 - CHOCOFFES","DERIVADOS",B73="162 - CONVENIOS Y DSC POS ","OTROS"),"OTROS")</f>
        <v>ESPECIALES</v>
      </c>
      <c r="L73" s="27">
        <f t="shared" si="14"/>
        <v>0</v>
      </c>
      <c r="M73" s="27">
        <f t="shared" si="15"/>
        <v>0</v>
      </c>
    </row>
    <row r="74" spans="1:13" ht="16.5" outlineLevel="1">
      <c r="A74" s="38"/>
      <c r="B74" s="39" t="s">
        <v>30</v>
      </c>
      <c r="C74" s="36">
        <v>0</v>
      </c>
      <c r="D74" s="36">
        <v>0</v>
      </c>
      <c r="E74" s="48">
        <v>0</v>
      </c>
      <c r="F74" s="48">
        <v>1809439.28</v>
      </c>
      <c r="G74" s="49">
        <f t="shared" si="12"/>
        <v>0</v>
      </c>
      <c r="H74" s="23">
        <f t="shared" si="13"/>
        <v>0</v>
      </c>
      <c r="I74" s="24">
        <f t="shared" si="13"/>
        <v>0</v>
      </c>
      <c r="J74" s="32" t="str" cm="1">
        <f t="array" ref="J74">IFERROR(_xlfn.IFS(B74="044 - BLEND TRADICION","BLEND",B74="113 - CAFÉ GOURMET","GOURMET",B74="114 - CAFÉ CONSUMO","CONSUMO",B74="112 - CAFÉ ORGANICO","GOURMET",B74="172 - CAFÉ COSECHA","ESPECIALES",B74="176 - CAFE DESCAFEINADO","GOURMET",B74="147 - CAPSULAS","CAPSULAS",B74="130 - GALLETAS CAFECITAS","DERIVADOS",B74="140 - MERENGUES","DERIVADOS",B74="100 - CAFÉ ESPECIAL","ESPECIALES",B74="141 - AREQUIPE","DERIVADOS",B74="142 - MERMELADA","DERIVADOS",B74="131 - GALLETAS AVENA","DERIVADOS",B74="160 - SOUVENIR","OTROS",B74="148 - CARAMELOS","DERIVADOS",B74="143 - CHOCOFFES","DERIVADOS",B74="162 - CONVENIOS Y DSC POS ","OTROS"),"OTROS")</f>
        <v>GOURMET</v>
      </c>
      <c r="L74" s="27">
        <f t="shared" si="14"/>
        <v>0</v>
      </c>
      <c r="M74" s="27">
        <f t="shared" si="15"/>
        <v>0</v>
      </c>
    </row>
    <row r="75" spans="1:13" ht="16.5" outlineLevel="1">
      <c r="A75" s="19" t="s">
        <v>44</v>
      </c>
      <c r="B75" s="56" t="s">
        <v>32</v>
      </c>
      <c r="C75" s="54">
        <f>SUM(C61:C74)</f>
        <v>34300219</v>
      </c>
      <c r="D75" s="54">
        <f>SUM(D61:D74)</f>
        <v>0</v>
      </c>
      <c r="E75" s="57">
        <v>0</v>
      </c>
      <c r="F75" s="58">
        <f>SUM(F61:F74)</f>
        <v>147679227.71999997</v>
      </c>
      <c r="G75" s="55">
        <f t="shared" si="12"/>
        <v>0.2322616357734025</v>
      </c>
      <c r="H75" s="23">
        <f t="shared" ref="H75:I90" si="16">IFERROR(+D75/L75*100%,0)</f>
        <v>0</v>
      </c>
      <c r="I75" s="24">
        <f t="shared" si="16"/>
        <v>0</v>
      </c>
      <c r="J75" s="32" t="str" cm="1">
        <f t="array" ref="J75">IFERROR(_xlfn.IFS(B75="044 - BLEND TRADICION","BLEND",B75="113 - CAFÉ GOURMET","GOURMET",B75="114 - CAFÉ CONSUMO","CONSUMO",B75="112 - CAFÉ ORGANICO","GOURMET",B75="172 - CAFÉ COSECHA","ESPECIALES",B75="176 - CAFE DESCAFEINADO","GOURMET",B75="147 - CAPSULAS","CAPSULAS",B75="130 - GALLETAS CAFECITAS","DERIVADOS",B75="140 - MERENGUES","DERIVADOS",B75="100 - CAFÉ ESPECIAL","ESPECIALES",B75="141 - AREQUIPE","DERIVADOS",B75="142 - MERMELADA","DERIVADOS",B75="131 - GALLETAS AVENA","DERIVADOS",B75="160 - SOUVENIR","OTROS",B75="148 - CARAMELOS","DERIVADOS",B75="143 - CHOCOFFES","DERIVADOS",B75="162 - CONVENIOS Y DSC POS ","OTROS"),"OTROS")</f>
        <v>OTROS</v>
      </c>
      <c r="L75" s="27">
        <f t="shared" si="14"/>
        <v>34300219</v>
      </c>
      <c r="M75" s="27">
        <f t="shared" si="15"/>
        <v>34300219</v>
      </c>
    </row>
    <row r="76" spans="1:13" ht="16.5" outlineLevel="1">
      <c r="A76" s="59"/>
      <c r="B76" s="39" t="s">
        <v>19</v>
      </c>
      <c r="C76" s="36">
        <v>0</v>
      </c>
      <c r="D76" s="36">
        <v>0</v>
      </c>
      <c r="E76" s="36">
        <v>0</v>
      </c>
      <c r="F76" s="48">
        <v>2429943.91</v>
      </c>
      <c r="G76" s="49">
        <f t="shared" si="12"/>
        <v>0</v>
      </c>
      <c r="H76" s="23">
        <f t="shared" si="16"/>
        <v>0</v>
      </c>
      <c r="I76" s="24">
        <f t="shared" si="16"/>
        <v>0</v>
      </c>
      <c r="J76" s="32" t="str" cm="1">
        <f t="array" ref="J76">IFERROR(_xlfn.IFS(B76="044 - BLEND TRADICION","BLEND",B76="113 - CAFÉ GOURMET","GOURMET",B76="114 - CAFÉ CONSUMO","CONSUMO",B76="112 - CAFÉ ORGANICO","GOURMET",B76="172 - CAFÉ COSECHA","ESPECIALES",B76="176 - CAFE DESCAFEINADO","GOURMET",B76="147 - CAPSULAS","CAPSULAS",B76="130 - GALLETAS CAFECITAS","DERIVADOS",B76="140 - MERENGUES","DERIVADOS",B76="100 - CAFÉ ESPECIAL","ESPECIALES",B76="141 - AREQUIPE","DERIVADOS",B76="142 - MERMELADA","DERIVADOS",B76="131 - GALLETAS AVENA","DERIVADOS",B76="160 - SOUVENIR","OTROS",B76="148 - CARAMELOS","DERIVADOS",B76="143 - CHOCOFFES","DERIVADOS",B76="162 - CONVENIOS Y DSC POS ","OTROS"),"OTROS")</f>
        <v>ESPECIALES</v>
      </c>
      <c r="L76" s="27">
        <f t="shared" si="14"/>
        <v>0</v>
      </c>
      <c r="M76" s="27">
        <f t="shared" si="15"/>
        <v>0</v>
      </c>
    </row>
    <row r="77" spans="1:13" ht="16.5" outlineLevel="1">
      <c r="A77" s="59"/>
      <c r="B77" s="39" t="s">
        <v>20</v>
      </c>
      <c r="C77" s="36">
        <v>0</v>
      </c>
      <c r="D77" s="36">
        <v>0</v>
      </c>
      <c r="E77" s="36">
        <v>0</v>
      </c>
      <c r="F77" s="48">
        <v>2531872.7599999998</v>
      </c>
      <c r="G77" s="49">
        <f t="shared" si="12"/>
        <v>0</v>
      </c>
      <c r="H77" s="23">
        <f t="shared" si="16"/>
        <v>0</v>
      </c>
      <c r="I77" s="24">
        <f t="shared" si="16"/>
        <v>0</v>
      </c>
      <c r="J77" s="32" t="str" cm="1">
        <f t="array" ref="J77">IFERROR(_xlfn.IFS(B77="044 - BLEND TRADICION","BLEND",B77="113 - CAFÉ GOURMET","GOURMET",B77="114 - CAFÉ CONSUMO","CONSUMO",B77="112 - CAFÉ ORGANICO","GOURMET",B77="172 - CAFÉ COSECHA","ESPECIALES",B77="176 - CAFE DESCAFEINADO","GOURMET",B77="147 - CAPSULAS","CAPSULAS",B77="130 - GALLETAS CAFECITAS","DERIVADOS",B77="140 - MERENGUES","DERIVADOS",B77="100 - CAFÉ ESPECIAL","ESPECIALES",B77="141 - AREQUIPE","DERIVADOS",B77="142 - MERMELADA","DERIVADOS",B77="131 - GALLETAS AVENA","DERIVADOS",B77="160 - SOUVENIR","OTROS",B77="148 - CARAMELOS","DERIVADOS",B77="143 - CHOCOFFES","DERIVADOS",B77="162 - CONVENIOS Y DSC POS ","OTROS"),"OTROS")</f>
        <v>GOURMET</v>
      </c>
      <c r="L77" s="27">
        <f t="shared" si="14"/>
        <v>0</v>
      </c>
      <c r="M77" s="27">
        <f t="shared" si="15"/>
        <v>0</v>
      </c>
    </row>
    <row r="78" spans="1:13" ht="16.5" outlineLevel="1">
      <c r="A78" s="59"/>
      <c r="B78" s="39" t="s">
        <v>21</v>
      </c>
      <c r="C78" s="36">
        <v>893970</v>
      </c>
      <c r="D78" s="36">
        <v>-3107055</v>
      </c>
      <c r="E78" s="36">
        <v>0</v>
      </c>
      <c r="F78" s="48">
        <v>112116243.56</v>
      </c>
      <c r="G78" s="49">
        <f t="shared" si="12"/>
        <v>7.9735992895764839E-3</v>
      </c>
      <c r="H78" s="23">
        <f t="shared" si="16"/>
        <v>-0.77656475528145907</v>
      </c>
      <c r="I78" s="24">
        <f t="shared" si="16"/>
        <v>0</v>
      </c>
      <c r="J78" s="32" t="str" cm="1">
        <f t="array" ref="J78">IFERROR(_xlfn.IFS(B78="044 - BLEND TRADICION","BLEND",B78="113 - CAFÉ GOURMET","GOURMET",B78="114 - CAFÉ CONSUMO","CONSUMO",B78="112 - CAFÉ ORGANICO","GOURMET",B78="172 - CAFÉ COSECHA","ESPECIALES",B78="176 - CAFE DESCAFEINADO","GOURMET",B78="147 - CAPSULAS","CAPSULAS",B78="130 - GALLETAS CAFECITAS","DERIVADOS",B78="140 - MERENGUES","DERIVADOS",B78="100 - CAFÉ ESPECIAL","ESPECIALES",B78="141 - AREQUIPE","DERIVADOS",B78="142 - MERMELADA","DERIVADOS",B78="131 - GALLETAS AVENA","DERIVADOS",B78="160 - SOUVENIR","OTROS",B78="148 - CARAMELOS","DERIVADOS",B78="143 - CHOCOFFES","DERIVADOS",B78="162 - CONVENIOS Y DSC POS ","OTROS"),"OTROS")</f>
        <v>GOURMET</v>
      </c>
      <c r="L78" s="27">
        <f t="shared" si="14"/>
        <v>4001025</v>
      </c>
      <c r="M78" s="27">
        <f t="shared" si="15"/>
        <v>4001025</v>
      </c>
    </row>
    <row r="79" spans="1:13" ht="16.5" outlineLevel="1">
      <c r="A79" s="59"/>
      <c r="B79" s="39" t="s">
        <v>22</v>
      </c>
      <c r="C79" s="36">
        <v>446864</v>
      </c>
      <c r="D79" s="36"/>
      <c r="E79" s="36">
        <v>0</v>
      </c>
      <c r="F79" s="48">
        <v>3725758.66</v>
      </c>
      <c r="G79" s="49">
        <f t="shared" si="12"/>
        <v>0.11993906229020213</v>
      </c>
      <c r="H79" s="23">
        <f t="shared" si="16"/>
        <v>0</v>
      </c>
      <c r="I79" s="24">
        <f t="shared" si="16"/>
        <v>0</v>
      </c>
      <c r="J79" s="32" t="str" cm="1">
        <f t="array" ref="J79">IFERROR(_xlfn.IFS(B79="044 - BLEND TRADICION","BLEND",B79="113 - CAFÉ GOURMET","GOURMET",B79="114 - CAFÉ CONSUMO","CONSUMO",B79="112 - CAFÉ ORGANICO","GOURMET",B79="172 - CAFÉ COSECHA","ESPECIALES",B79="176 - CAFE DESCAFEINADO","GOURMET",B79="147 - CAPSULAS","CAPSULAS",B79="130 - GALLETAS CAFECITAS","DERIVADOS",B79="140 - MERENGUES","DERIVADOS",B79="100 - CAFÉ ESPECIAL","ESPECIALES",B79="141 - AREQUIPE","DERIVADOS",B79="142 - MERMELADA","DERIVADOS",B79="131 - GALLETAS AVENA","DERIVADOS",B79="160 - SOUVENIR","OTROS",B79="148 - CARAMELOS","DERIVADOS",B79="143 - CHOCOFFES","DERIVADOS",B79="162 - CONVENIOS Y DSC POS ","OTROS"),"OTROS")</f>
        <v>DERIVADOS</v>
      </c>
      <c r="L79" s="27">
        <f t="shared" si="14"/>
        <v>446864</v>
      </c>
      <c r="M79" s="27">
        <f t="shared" si="15"/>
        <v>446864</v>
      </c>
    </row>
    <row r="80" spans="1:13" ht="16.5" outlineLevel="1">
      <c r="A80" s="59"/>
      <c r="B80" s="39" t="s">
        <v>23</v>
      </c>
      <c r="C80" s="36">
        <v>0</v>
      </c>
      <c r="D80" s="36">
        <v>0</v>
      </c>
      <c r="E80" s="36"/>
      <c r="F80" s="48">
        <v>530387.72</v>
      </c>
      <c r="G80" s="49">
        <f t="shared" si="12"/>
        <v>0</v>
      </c>
      <c r="H80" s="23">
        <f t="shared" si="16"/>
        <v>0</v>
      </c>
      <c r="I80" s="24">
        <f t="shared" si="16"/>
        <v>0</v>
      </c>
      <c r="J80" s="32" t="str" cm="1">
        <f t="array" ref="J80">IFERROR(_xlfn.IFS(B80="044 - BLEND TRADICION","BLEND",B80="113 - CAFÉ GOURMET","GOURMET",B80="114 - CAFÉ CONSUMO","CONSUMO",B80="112 - CAFÉ ORGANICO","GOURMET",B80="172 - CAFÉ COSECHA","ESPECIALES",B80="176 - CAFE DESCAFEINADO","GOURMET",B80="147 - CAPSULAS","CAPSULAS",B80="130 - GALLETAS CAFECITAS","DERIVADOS",B80="140 - MERENGUES","DERIVADOS",B80="100 - CAFÉ ESPECIAL","ESPECIALES",B80="141 - AREQUIPE","DERIVADOS",B80="142 - MERMELADA","DERIVADOS",B80="131 - GALLETAS AVENA","DERIVADOS",B80="160 - SOUVENIR","OTROS",B80="148 - CARAMELOS","DERIVADOS",B80="143 - CHOCOFFES","DERIVADOS",B80="162 - CONVENIOS Y DSC POS ","OTROS"),"OTROS")</f>
        <v>DERIVADOS</v>
      </c>
      <c r="L80" s="27">
        <f t="shared" si="14"/>
        <v>0</v>
      </c>
      <c r="M80" s="27">
        <f t="shared" si="15"/>
        <v>0</v>
      </c>
    </row>
    <row r="81" spans="1:13" ht="16.5" outlineLevel="1">
      <c r="A81" s="59"/>
      <c r="B81" s="39" t="s">
        <v>24</v>
      </c>
      <c r="C81" s="36">
        <v>637730</v>
      </c>
      <c r="D81" s="36">
        <v>0</v>
      </c>
      <c r="E81" s="36"/>
      <c r="F81" s="48">
        <v>1022579.12</v>
      </c>
      <c r="G81" s="49">
        <f t="shared" si="12"/>
        <v>0.62364856423041382</v>
      </c>
      <c r="H81" s="23">
        <f t="shared" si="16"/>
        <v>0</v>
      </c>
      <c r="I81" s="24">
        <f t="shared" si="16"/>
        <v>0</v>
      </c>
      <c r="J81" s="32" t="str" cm="1">
        <f t="array" ref="J81">IFERROR(_xlfn.IFS(B81="044 - BLEND TRADICION","BLEND",B81="113 - CAFÉ GOURMET","GOURMET",B81="114 - CAFÉ CONSUMO","CONSUMO",B81="112 - CAFÉ ORGANICO","GOURMET",B81="172 - CAFÉ COSECHA","ESPECIALES",B81="176 - CAFE DESCAFEINADO","GOURMET",B81="147 - CAPSULAS","CAPSULAS",B81="130 - GALLETAS CAFECITAS","DERIVADOS",B81="140 - MERENGUES","DERIVADOS",B81="100 - CAFÉ ESPECIAL","ESPECIALES",B81="141 - AREQUIPE","DERIVADOS",B81="142 - MERMELADA","DERIVADOS",B81="131 - GALLETAS AVENA","DERIVADOS",B81="160 - SOUVENIR","OTROS",B81="148 - CARAMELOS","DERIVADOS",B81="143 - CHOCOFFES","DERIVADOS",B81="162 - CONVENIOS Y DSC POS ","OTROS"),"OTROS")</f>
        <v>DERIVADOS</v>
      </c>
      <c r="L81" s="27">
        <f t="shared" si="14"/>
        <v>637730</v>
      </c>
      <c r="M81" s="27">
        <f t="shared" si="15"/>
        <v>637730</v>
      </c>
    </row>
    <row r="82" spans="1:13" ht="16.5" outlineLevel="1">
      <c r="A82" s="59"/>
      <c r="B82" s="39" t="s">
        <v>25</v>
      </c>
      <c r="C82" s="36">
        <v>65570</v>
      </c>
      <c r="D82" s="36">
        <v>0</v>
      </c>
      <c r="E82" s="36"/>
      <c r="F82" s="48">
        <v>1766197.25</v>
      </c>
      <c r="G82" s="49">
        <f t="shared" si="12"/>
        <v>3.7124958721343269E-2</v>
      </c>
      <c r="H82" s="23">
        <f t="shared" si="16"/>
        <v>0</v>
      </c>
      <c r="I82" s="24">
        <f t="shared" si="16"/>
        <v>0</v>
      </c>
      <c r="J82" s="32" t="str" cm="1">
        <f t="array" ref="J82">IFERROR(_xlfn.IFS(B82="044 - BLEND TRADICION","BLEND",B82="113 - CAFÉ GOURMET","GOURMET",B82="114 - CAFÉ CONSUMO","CONSUMO",B82="112 - CAFÉ ORGANICO","GOURMET",B82="172 - CAFÉ COSECHA","ESPECIALES",B82="176 - CAFE DESCAFEINADO","GOURMET",B82="147 - CAPSULAS","CAPSULAS",B82="130 - GALLETAS CAFECITAS","DERIVADOS",B82="140 - MERENGUES","DERIVADOS",B82="100 - CAFÉ ESPECIAL","ESPECIALES",B82="141 - AREQUIPE","DERIVADOS",B82="142 - MERMELADA","DERIVADOS",B82="131 - GALLETAS AVENA","DERIVADOS",B82="160 - SOUVENIR","OTROS",B82="148 - CARAMELOS","DERIVADOS",B82="143 - CHOCOFFES","DERIVADOS",B82="162 - CONVENIOS Y DSC POS ","OTROS"),"OTROS")</f>
        <v>DERIVADOS</v>
      </c>
      <c r="L82" s="27">
        <f t="shared" si="14"/>
        <v>65570</v>
      </c>
      <c r="M82" s="27">
        <f t="shared" si="15"/>
        <v>65570</v>
      </c>
    </row>
    <row r="83" spans="1:13" ht="16.5" outlineLevel="1">
      <c r="A83" s="59"/>
      <c r="B83" s="39" t="s">
        <v>26</v>
      </c>
      <c r="C83" s="36">
        <v>909909</v>
      </c>
      <c r="D83" s="36">
        <v>0</v>
      </c>
      <c r="E83" s="36"/>
      <c r="F83" s="48">
        <v>2921002.36</v>
      </c>
      <c r="G83" s="49">
        <f t="shared" si="12"/>
        <v>0.31150573942021742</v>
      </c>
      <c r="H83" s="23">
        <f t="shared" si="16"/>
        <v>0</v>
      </c>
      <c r="I83" s="24">
        <f t="shared" si="16"/>
        <v>0</v>
      </c>
      <c r="J83" s="32" t="str" cm="1">
        <f t="array" ref="J83">IFERROR(_xlfn.IFS(B83="044 - BLEND TRADICION","BLEND",B83="113 - CAFÉ GOURMET","GOURMET",B83="114 - CAFÉ CONSUMO","CONSUMO",B83="112 - CAFÉ ORGANICO","GOURMET",B83="172 - CAFÉ COSECHA","ESPECIALES",B83="176 - CAFE DESCAFEINADO","GOURMET",B83="147 - CAPSULAS","CAPSULAS",B83="130 - GALLETAS CAFECITAS","DERIVADOS",B83="140 - MERENGUES","DERIVADOS",B83="100 - CAFÉ ESPECIAL","ESPECIALES",B83="141 - AREQUIPE","DERIVADOS",B83="142 - MERMELADA","DERIVADOS",B83="131 - GALLETAS AVENA","DERIVADOS",B83="160 - SOUVENIR","OTROS",B83="148 - CARAMELOS","DERIVADOS",B83="143 - CHOCOFFES","DERIVADOS",B83="162 - CONVENIOS Y DSC POS ","OTROS"),"OTROS")</f>
        <v>CAPSULAS</v>
      </c>
      <c r="L83" s="27">
        <f t="shared" si="14"/>
        <v>909909</v>
      </c>
      <c r="M83" s="27">
        <f t="shared" si="15"/>
        <v>909909</v>
      </c>
    </row>
    <row r="84" spans="1:13" ht="16.5" outlineLevel="1">
      <c r="A84" s="59"/>
      <c r="B84" s="39" t="s">
        <v>27</v>
      </c>
      <c r="C84" s="36">
        <v>59531</v>
      </c>
      <c r="D84" s="36">
        <v>0</v>
      </c>
      <c r="E84" s="36"/>
      <c r="F84" s="48">
        <v>1719908.5</v>
      </c>
      <c r="G84" s="49">
        <f t="shared" si="12"/>
        <v>3.4612887836765735E-2</v>
      </c>
      <c r="H84" s="23">
        <f t="shared" si="16"/>
        <v>0</v>
      </c>
      <c r="I84" s="24">
        <f t="shared" si="16"/>
        <v>0</v>
      </c>
      <c r="J84" s="32" t="str" cm="1">
        <f t="array" ref="J84">IFERROR(_xlfn.IFS(B84="044 - BLEND TRADICION","BLEND",B84="113 - CAFÉ GOURMET","GOURMET",B84="114 - CAFÉ CONSUMO","CONSUMO",B84="112 - CAFÉ ORGANICO","GOURMET",B84="172 - CAFÉ COSECHA","ESPECIALES",B84="176 - CAFE DESCAFEINADO","GOURMET",B84="147 - CAPSULAS","CAPSULAS",B84="130 - GALLETAS CAFECITAS","DERIVADOS",B84="140 - MERENGUES","DERIVADOS",B84="100 - CAFÉ ESPECIAL","ESPECIALES",B84="141 - AREQUIPE","DERIVADOS",B84="142 - MERMELADA","DERIVADOS",B84="131 - GALLETAS AVENA","DERIVADOS",B84="160 - SOUVENIR","OTROS",B84="148 - CARAMELOS","DERIVADOS",B84="143 - CHOCOFFES","DERIVADOS",B84="162 - CONVENIOS Y DSC POS ","OTROS"),"OTROS")</f>
        <v>DERIVADOS</v>
      </c>
      <c r="L84" s="27">
        <f t="shared" si="14"/>
        <v>59531</v>
      </c>
      <c r="M84" s="27">
        <f t="shared" si="15"/>
        <v>59531</v>
      </c>
    </row>
    <row r="85" spans="1:13" ht="16.5" outlineLevel="1">
      <c r="A85" s="59"/>
      <c r="B85" s="39" t="s">
        <v>28</v>
      </c>
      <c r="C85" s="36">
        <v>0</v>
      </c>
      <c r="D85" s="36">
        <v>0</v>
      </c>
      <c r="E85" s="36"/>
      <c r="F85" s="48">
        <v>6824547.4699999997</v>
      </c>
      <c r="G85" s="49">
        <f t="shared" si="12"/>
        <v>0</v>
      </c>
      <c r="H85" s="23">
        <f t="shared" si="16"/>
        <v>0</v>
      </c>
      <c r="I85" s="24">
        <f t="shared" si="16"/>
        <v>0</v>
      </c>
      <c r="J85" s="32" t="str" cm="1">
        <f t="array" ref="J85">IFERROR(_xlfn.IFS(B85="044 - BLEND TRADICION","BLEND",B85="113 - CAFÉ GOURMET","GOURMET",B85="114 - CAFÉ CONSUMO","CONSUMO",B85="112 - CAFÉ ORGANICO","GOURMET",B85="172 - CAFÉ COSECHA","ESPECIALES",B85="176 - CAFE DESCAFEINADO","GOURMET",B85="147 - CAPSULAS","CAPSULAS",B85="130 - GALLETAS CAFECITAS","DERIVADOS",B85="140 - MERENGUES","DERIVADOS",B85="100 - CAFÉ ESPECIAL","ESPECIALES",B85="141 - AREQUIPE","DERIVADOS",B85="142 - MERMELADA","DERIVADOS",B85="131 - GALLETAS AVENA","DERIVADOS",B85="160 - SOUVENIR","OTROS",B85="148 - CARAMELOS","DERIVADOS",B85="143 - CHOCOFFES","DERIVADOS",B85="162 - CONVENIOS Y DSC POS ","OTROS"),"OTROS")</f>
        <v>OTROS</v>
      </c>
      <c r="L85" s="27">
        <f t="shared" si="14"/>
        <v>0</v>
      </c>
      <c r="M85" s="27">
        <f t="shared" si="15"/>
        <v>0</v>
      </c>
    </row>
    <row r="86" spans="1:13" ht="16.5" outlineLevel="1">
      <c r="A86" s="59"/>
      <c r="B86" s="39" t="s">
        <v>29</v>
      </c>
      <c r="C86" s="36">
        <v>50940</v>
      </c>
      <c r="D86" s="36">
        <v>0</v>
      </c>
      <c r="E86" s="36"/>
      <c r="F86" s="48">
        <v>1667302.64</v>
      </c>
      <c r="G86" s="49">
        <f t="shared" si="12"/>
        <v>3.0552341715238934E-2</v>
      </c>
      <c r="H86" s="23">
        <f t="shared" si="16"/>
        <v>0</v>
      </c>
      <c r="I86" s="24">
        <f t="shared" si="16"/>
        <v>0</v>
      </c>
      <c r="J86" s="32" t="str" cm="1">
        <f t="array" ref="J86">IFERROR(_xlfn.IFS(B86="044 - BLEND TRADICION","BLEND",B86="113 - CAFÉ GOURMET","GOURMET",B86="114 - CAFÉ CONSUMO","CONSUMO",B86="112 - CAFÉ ORGANICO","GOURMET",B86="172 - CAFÉ COSECHA","ESPECIALES",B86="176 - CAFE DESCAFEINADO","GOURMET",B86="147 - CAPSULAS","CAPSULAS",B86="130 - GALLETAS CAFECITAS","DERIVADOS",B86="140 - MERENGUES","DERIVADOS",B86="100 - CAFÉ ESPECIAL","ESPECIALES",B86="141 - AREQUIPE","DERIVADOS",B86="142 - MERMELADA","DERIVADOS",B86="131 - GALLETAS AVENA","DERIVADOS",B86="160 - SOUVENIR","OTROS",B86="148 - CARAMELOS","DERIVADOS",B86="143 - CHOCOFFES","DERIVADOS",B86="162 - CONVENIOS Y DSC POS ","OTROS"),"OTROS")</f>
        <v>ESPECIALES</v>
      </c>
      <c r="L86" s="27">
        <f t="shared" si="14"/>
        <v>50940</v>
      </c>
      <c r="M86" s="27">
        <f t="shared" si="15"/>
        <v>50940</v>
      </c>
    </row>
    <row r="87" spans="1:13" ht="16.5" outlineLevel="1">
      <c r="A87" s="59"/>
      <c r="B87" s="39" t="s">
        <v>30</v>
      </c>
      <c r="C87" s="36">
        <v>0</v>
      </c>
      <c r="D87" s="36">
        <v>0</v>
      </c>
      <c r="E87" s="36"/>
      <c r="F87" s="48">
        <v>382592.22</v>
      </c>
      <c r="G87" s="49">
        <f t="shared" si="12"/>
        <v>0</v>
      </c>
      <c r="H87" s="23">
        <f t="shared" si="16"/>
        <v>0</v>
      </c>
      <c r="I87" s="24">
        <f t="shared" si="16"/>
        <v>0</v>
      </c>
      <c r="J87" s="32" t="str" cm="1">
        <f t="array" ref="J87">IFERROR(_xlfn.IFS(B87="044 - BLEND TRADICION","BLEND",B87="113 - CAFÉ GOURMET","GOURMET",B87="114 - CAFÉ CONSUMO","CONSUMO",B87="112 - CAFÉ ORGANICO","GOURMET",B87="172 - CAFÉ COSECHA","ESPECIALES",B87="176 - CAFE DESCAFEINADO","GOURMET",B87="147 - CAPSULAS","CAPSULAS",B87="130 - GALLETAS CAFECITAS","DERIVADOS",B87="140 - MERENGUES","DERIVADOS",B87="100 - CAFÉ ESPECIAL","ESPECIALES",B87="141 - AREQUIPE","DERIVADOS",B87="142 - MERMELADA","DERIVADOS",B87="131 - GALLETAS AVENA","DERIVADOS",B87="160 - SOUVENIR","OTROS",B87="148 - CARAMELOS","DERIVADOS",B87="143 - CHOCOFFES","DERIVADOS",B87="162 - CONVENIOS Y DSC POS ","OTROS"),"OTROS")</f>
        <v>GOURMET</v>
      </c>
      <c r="L87" s="27">
        <f t="shared" si="14"/>
        <v>0</v>
      </c>
      <c r="M87" s="27">
        <f t="shared" si="15"/>
        <v>0</v>
      </c>
    </row>
    <row r="88" spans="1:13" ht="16.5" outlineLevel="1">
      <c r="A88" s="59"/>
      <c r="B88" s="39" t="s">
        <v>31</v>
      </c>
      <c r="C88" s="36">
        <v>24000</v>
      </c>
      <c r="D88" s="36">
        <v>0</v>
      </c>
      <c r="E88" s="36"/>
      <c r="F88" s="48">
        <v>0</v>
      </c>
      <c r="G88" s="49" t="str">
        <f t="shared" si="12"/>
        <v>-</v>
      </c>
      <c r="H88" s="23">
        <f t="shared" si="16"/>
        <v>0</v>
      </c>
      <c r="I88" s="24">
        <f t="shared" si="16"/>
        <v>0</v>
      </c>
      <c r="J88" s="32" t="str" cm="1">
        <f t="array" ref="J88">IFERROR(_xlfn.IFS(B88="044 - BLEND TRADICION","BLEND",B88="113 - CAFÉ GOURMET","GOURMET",B88="114 - CAFÉ CONSUMO","CONSUMO",B88="112 - CAFÉ ORGANICO","GOURMET",B88="172 - CAFÉ COSECHA","ESPECIALES",B88="176 - CAFE DESCAFEINADO","GOURMET",B88="147 - CAPSULAS","CAPSULAS",B88="130 - GALLETAS CAFECITAS","DERIVADOS",B88="140 - MERENGUES","DERIVADOS",B88="100 - CAFÉ ESPECIAL","ESPECIALES",B88="141 - AREQUIPE","DERIVADOS",B88="142 - MERMELADA","DERIVADOS",B88="131 - GALLETAS AVENA","DERIVADOS",B88="160 - SOUVENIR","OTROS",B88="148 - CARAMELOS","DERIVADOS",B88="143 - CHOCOFFES","DERIVADOS",B88="162 - CONVENIOS Y DSC POS ","OTROS"),"OTROS")</f>
        <v>OTROS</v>
      </c>
      <c r="L88" s="27">
        <f t="shared" si="14"/>
        <v>24000</v>
      </c>
      <c r="M88" s="27">
        <f t="shared" si="15"/>
        <v>24000</v>
      </c>
    </row>
    <row r="89" spans="1:13" ht="16.5" outlineLevel="1">
      <c r="A89" s="19" t="s">
        <v>45</v>
      </c>
      <c r="B89" s="56" t="s">
        <v>32</v>
      </c>
      <c r="C89" s="54">
        <f>SUM(C76:C88)</f>
        <v>3088514</v>
      </c>
      <c r="D89" s="54">
        <f>SUM(D76:D88)</f>
        <v>-3107055</v>
      </c>
      <c r="E89" s="57">
        <v>0</v>
      </c>
      <c r="F89" s="58">
        <f>SUM(F76:F88)</f>
        <v>137638336.16999999</v>
      </c>
      <c r="G89" s="55">
        <f t="shared" si="12"/>
        <v>2.243934419684725E-2</v>
      </c>
      <c r="H89" s="23">
        <f t="shared" si="16"/>
        <v>-0.50149631131539329</v>
      </c>
      <c r="I89" s="24">
        <f t="shared" si="16"/>
        <v>0</v>
      </c>
      <c r="J89" s="32" t="str" cm="1">
        <f t="array" ref="J89">IFERROR(_xlfn.IFS(B89="044 - BLEND TRADICION","BLEND",B89="113 - CAFÉ GOURMET","GOURMET",B89="114 - CAFÉ CONSUMO","CONSUMO",B89="112 - CAFÉ ORGANICO","GOURMET",B89="172 - CAFÉ COSECHA","ESPECIALES",B89="176 - CAFE DESCAFEINADO","GOURMET",B89="147 - CAPSULAS","CAPSULAS",B89="130 - GALLETAS CAFECITAS","DERIVADOS",B89="140 - MERENGUES","DERIVADOS",B89="100 - CAFÉ ESPECIAL","ESPECIALES",B89="141 - AREQUIPE","DERIVADOS",B89="142 - MERMELADA","DERIVADOS",B89="131 - GALLETAS AVENA","DERIVADOS",B89="160 - SOUVENIR","OTROS",B89="148 - CARAMELOS","DERIVADOS",B89="143 - CHOCOFFES","DERIVADOS",B89="162 - CONVENIOS Y DSC POS ","OTROS"),"OTROS")</f>
        <v>OTROS</v>
      </c>
      <c r="L89" s="27">
        <f t="shared" si="14"/>
        <v>6195569</v>
      </c>
      <c r="M89" s="27">
        <f t="shared" si="15"/>
        <v>6195569</v>
      </c>
    </row>
    <row r="90" spans="1:13" ht="16.5" outlineLevel="1">
      <c r="A90" s="59"/>
      <c r="B90" s="39" t="s">
        <v>18</v>
      </c>
      <c r="C90" s="60">
        <v>521600</v>
      </c>
      <c r="D90" s="60">
        <v>0</v>
      </c>
      <c r="E90" s="36">
        <v>0</v>
      </c>
      <c r="F90" s="48">
        <v>4980625.03</v>
      </c>
      <c r="G90" s="49">
        <f t="shared" ref="G90:G126" si="17">IFERROR(C90/F90*100%,"-")</f>
        <v>0.10472581189272945</v>
      </c>
      <c r="H90" s="23">
        <f t="shared" si="16"/>
        <v>0</v>
      </c>
      <c r="I90" s="24">
        <f t="shared" si="16"/>
        <v>0</v>
      </c>
      <c r="J90" s="32" t="str" cm="1">
        <f t="array" ref="J90">IFERROR(_xlfn.IFS(B90="044 - BLEND TRADICION","BLEND",B90="113 - CAFÉ GOURMET","GOURMET",B90="114 - CAFÉ CONSUMO","CONSUMO",B90="112 - CAFÉ ORGANICO","GOURMET",B90="172 - CAFÉ COSECHA","ESPECIALES",B90="176 - CAFE DESCAFEINADO","GOURMET",B90="147 - CAPSULAS","CAPSULAS",B90="130 - GALLETAS CAFECITAS","DERIVADOS",B90="140 - MERENGUES","DERIVADOS",B90="100 - CAFÉ ESPECIAL","ESPECIALES",B90="141 - AREQUIPE","DERIVADOS",B90="142 - MERMELADA","DERIVADOS",B90="131 - GALLETAS AVENA","DERIVADOS",B90="160 - SOUVENIR","OTROS",B90="148 - CARAMELOS","DERIVADOS",B90="143 - CHOCOFFES","DERIVADOS",B90="162 - CONVENIOS Y DSC POS ","OTROS"),"OTROS")</f>
        <v>BLEND</v>
      </c>
      <c r="L90" s="27">
        <f t="shared" ref="L90:L158" si="18">C90-(D90+E90)</f>
        <v>521600</v>
      </c>
      <c r="M90" s="27">
        <f t="shared" ref="M90:M158" si="19">L90</f>
        <v>521600</v>
      </c>
    </row>
    <row r="91" spans="1:13" ht="16.5" outlineLevel="1">
      <c r="A91" s="59"/>
      <c r="B91" s="39" t="s">
        <v>19</v>
      </c>
      <c r="C91" s="60">
        <v>0</v>
      </c>
      <c r="D91" s="60">
        <v>0</v>
      </c>
      <c r="E91" s="36">
        <v>0</v>
      </c>
      <c r="F91" s="48">
        <v>4364104.07</v>
      </c>
      <c r="G91" s="49">
        <f t="shared" si="17"/>
        <v>0</v>
      </c>
      <c r="H91" s="23">
        <f t="shared" ref="H91:I109" si="20">IFERROR(+D91/L91*100%,0)</f>
        <v>0</v>
      </c>
      <c r="I91" s="24">
        <f t="shared" si="20"/>
        <v>0</v>
      </c>
      <c r="J91" s="32" t="str" cm="1">
        <f t="array" ref="J91">IFERROR(_xlfn.IFS(B91="044 - BLEND TRADICION","BLEND",B91="113 - CAFÉ GOURMET","GOURMET",B91="114 - CAFÉ CONSUMO","CONSUMO",B91="112 - CAFÉ ORGANICO","GOURMET",B91="172 - CAFÉ COSECHA","ESPECIALES",B91="176 - CAFE DESCAFEINADO","GOURMET",B91="147 - CAPSULAS","CAPSULAS",B91="130 - GALLETAS CAFECITAS","DERIVADOS",B91="140 - MERENGUES","DERIVADOS",B91="100 - CAFÉ ESPECIAL","ESPECIALES",B91="141 - AREQUIPE","DERIVADOS",B91="142 - MERMELADA","DERIVADOS",B91="131 - GALLETAS AVENA","DERIVADOS",B91="160 - SOUVENIR","OTROS",B91="148 - CARAMELOS","DERIVADOS",B91="143 - CHOCOFFES","DERIVADOS",B91="162 - CONVENIOS Y DSC POS ","OTROS"),"OTROS")</f>
        <v>ESPECIALES</v>
      </c>
      <c r="L91" s="27">
        <f t="shared" si="18"/>
        <v>0</v>
      </c>
      <c r="M91" s="27">
        <f t="shared" si="19"/>
        <v>0</v>
      </c>
    </row>
    <row r="92" spans="1:13" ht="16.5" outlineLevel="1">
      <c r="A92" s="59"/>
      <c r="B92" s="39" t="s">
        <v>20</v>
      </c>
      <c r="C92" s="60">
        <v>0</v>
      </c>
      <c r="D92" s="60">
        <v>0</v>
      </c>
      <c r="E92" s="36">
        <v>0</v>
      </c>
      <c r="F92" s="48">
        <v>6833481.9699999997</v>
      </c>
      <c r="G92" s="49">
        <f t="shared" si="17"/>
        <v>0</v>
      </c>
      <c r="H92" s="23">
        <f t="shared" si="20"/>
        <v>0</v>
      </c>
      <c r="I92" s="24">
        <f t="shared" si="20"/>
        <v>0</v>
      </c>
      <c r="J92" s="32" t="str" cm="1">
        <f t="array" ref="J92">IFERROR(_xlfn.IFS(B92="044 - BLEND TRADICION","BLEND",B92="113 - CAFÉ GOURMET","GOURMET",B92="114 - CAFÉ CONSUMO","CONSUMO",B92="112 - CAFÉ ORGANICO","GOURMET",B92="172 - CAFÉ COSECHA","ESPECIALES",B92="176 - CAFE DESCAFEINADO","GOURMET",B92="147 - CAPSULAS","CAPSULAS",B92="130 - GALLETAS CAFECITAS","DERIVADOS",B92="140 - MERENGUES","DERIVADOS",B92="100 - CAFÉ ESPECIAL","ESPECIALES",B92="141 - AREQUIPE","DERIVADOS",B92="142 - MERMELADA","DERIVADOS",B92="131 - GALLETAS AVENA","DERIVADOS",B92="160 - SOUVENIR","OTROS",B92="148 - CARAMELOS","DERIVADOS",B92="143 - CHOCOFFES","DERIVADOS",B92="162 - CONVENIOS Y DSC POS ","OTROS"),"OTROS")</f>
        <v>GOURMET</v>
      </c>
      <c r="L92" s="27">
        <f t="shared" si="18"/>
        <v>0</v>
      </c>
      <c r="M92" s="27">
        <f t="shared" si="19"/>
        <v>0</v>
      </c>
    </row>
    <row r="93" spans="1:13" ht="16.5" outlineLevel="1">
      <c r="A93" s="59"/>
      <c r="B93" s="39" t="s">
        <v>21</v>
      </c>
      <c r="C93" s="60">
        <v>7752818</v>
      </c>
      <c r="D93" s="60">
        <v>0</v>
      </c>
      <c r="E93" s="36">
        <v>0</v>
      </c>
      <c r="F93" s="48">
        <v>128071723.90000001</v>
      </c>
      <c r="G93" s="49">
        <f t="shared" si="17"/>
        <v>6.0534970280040089E-2</v>
      </c>
      <c r="H93" s="23">
        <f t="shared" si="20"/>
        <v>0</v>
      </c>
      <c r="I93" s="24">
        <f t="shared" si="20"/>
        <v>0</v>
      </c>
      <c r="J93" s="32" t="str" cm="1">
        <f t="array" ref="J93">IFERROR(_xlfn.IFS(B93="044 - BLEND TRADICION","BLEND",B93="113 - CAFÉ GOURMET","GOURMET",B93="114 - CAFÉ CONSUMO","CONSUMO",B93="112 - CAFÉ ORGANICO","GOURMET",B93="172 - CAFÉ COSECHA","ESPECIALES",B93="176 - CAFE DESCAFEINADO","GOURMET",B93="147 - CAPSULAS","CAPSULAS",B93="130 - GALLETAS CAFECITAS","DERIVADOS",B93="140 - MERENGUES","DERIVADOS",B93="100 - CAFÉ ESPECIAL","ESPECIALES",B93="141 - AREQUIPE","DERIVADOS",B93="142 - MERMELADA","DERIVADOS",B93="131 - GALLETAS AVENA","DERIVADOS",B93="160 - SOUVENIR","OTROS",B93="148 - CARAMELOS","DERIVADOS",B93="143 - CHOCOFFES","DERIVADOS",B93="162 - CONVENIOS Y DSC POS ","OTROS"),"OTROS")</f>
        <v>GOURMET</v>
      </c>
      <c r="L93" s="27">
        <f t="shared" si="18"/>
        <v>7752818</v>
      </c>
      <c r="M93" s="27">
        <f t="shared" si="19"/>
        <v>7752818</v>
      </c>
    </row>
    <row r="94" spans="1:13" ht="16.5" outlineLevel="1">
      <c r="A94" s="59"/>
      <c r="B94" s="39" t="s">
        <v>22</v>
      </c>
      <c r="C94" s="60">
        <v>0</v>
      </c>
      <c r="D94" s="60">
        <v>0</v>
      </c>
      <c r="E94" s="36">
        <v>0</v>
      </c>
      <c r="F94" s="48">
        <v>5287340.72</v>
      </c>
      <c r="G94" s="49">
        <f t="shared" si="17"/>
        <v>0</v>
      </c>
      <c r="H94" s="23">
        <f t="shared" si="20"/>
        <v>0</v>
      </c>
      <c r="I94" s="24">
        <f t="shared" si="20"/>
        <v>0</v>
      </c>
      <c r="J94" s="32" t="str" cm="1">
        <f t="array" ref="J94">IFERROR(_xlfn.IFS(B94="044 - BLEND TRADICION","BLEND",B94="113 - CAFÉ GOURMET","GOURMET",B94="114 - CAFÉ CONSUMO","CONSUMO",B94="112 - CAFÉ ORGANICO","GOURMET",B94="172 - CAFÉ COSECHA","ESPECIALES",B94="176 - CAFE DESCAFEINADO","GOURMET",B94="147 - CAPSULAS","CAPSULAS",B94="130 - GALLETAS CAFECITAS","DERIVADOS",B94="140 - MERENGUES","DERIVADOS",B94="100 - CAFÉ ESPECIAL","ESPECIALES",B94="141 - AREQUIPE","DERIVADOS",B94="142 - MERMELADA","DERIVADOS",B94="131 - GALLETAS AVENA","DERIVADOS",B94="160 - SOUVENIR","OTROS",B94="148 - CARAMELOS","DERIVADOS",B94="143 - CHOCOFFES","DERIVADOS",B94="162 - CONVENIOS Y DSC POS ","OTROS"),"OTROS")</f>
        <v>DERIVADOS</v>
      </c>
      <c r="L94" s="27">
        <f t="shared" si="18"/>
        <v>0</v>
      </c>
      <c r="M94" s="27">
        <f t="shared" si="19"/>
        <v>0</v>
      </c>
    </row>
    <row r="95" spans="1:13" ht="16.5" outlineLevel="1">
      <c r="A95" s="59"/>
      <c r="B95" s="39" t="s">
        <v>24</v>
      </c>
      <c r="C95" s="60">
        <v>0</v>
      </c>
      <c r="D95" s="60">
        <v>0</v>
      </c>
      <c r="E95" s="36"/>
      <c r="F95" s="48">
        <v>843982.64</v>
      </c>
      <c r="G95" s="49">
        <f t="shared" si="17"/>
        <v>0</v>
      </c>
      <c r="H95" s="23">
        <f t="shared" si="20"/>
        <v>0</v>
      </c>
      <c r="I95" s="24">
        <f t="shared" si="20"/>
        <v>0</v>
      </c>
      <c r="J95" s="32" t="str" cm="1">
        <f t="array" ref="J95">IFERROR(_xlfn.IFS(B95="044 - BLEND TRADICION","BLEND",B95="113 - CAFÉ GOURMET","GOURMET",B95="114 - CAFÉ CONSUMO","CONSUMO",B95="112 - CAFÉ ORGANICO","GOURMET",B95="172 - CAFÉ COSECHA","ESPECIALES",B95="176 - CAFE DESCAFEINADO","GOURMET",B95="147 - CAPSULAS","CAPSULAS",B95="130 - GALLETAS CAFECITAS","DERIVADOS",B95="140 - MERENGUES","DERIVADOS",B95="100 - CAFÉ ESPECIAL","ESPECIALES",B95="141 - AREQUIPE","DERIVADOS",B95="142 - MERMELADA","DERIVADOS",B95="131 - GALLETAS AVENA","DERIVADOS",B95="160 - SOUVENIR","OTROS",B95="148 - CARAMELOS","DERIVADOS",B95="143 - CHOCOFFES","DERIVADOS",B95="162 - CONVENIOS Y DSC POS ","OTROS"),"OTROS")</f>
        <v>DERIVADOS</v>
      </c>
      <c r="L95" s="27">
        <f t="shared" si="18"/>
        <v>0</v>
      </c>
      <c r="M95" s="27">
        <f t="shared" si="19"/>
        <v>0</v>
      </c>
    </row>
    <row r="96" spans="1:13" ht="16.5" outlineLevel="1">
      <c r="A96" s="59"/>
      <c r="B96" s="39" t="s">
        <v>25</v>
      </c>
      <c r="C96" s="60">
        <v>282429</v>
      </c>
      <c r="D96" s="60">
        <v>0</v>
      </c>
      <c r="E96" s="36"/>
      <c r="F96" s="48">
        <v>5547744.04</v>
      </c>
      <c r="G96" s="49">
        <f t="shared" si="17"/>
        <v>5.0908801481043091E-2</v>
      </c>
      <c r="H96" s="23">
        <f t="shared" si="20"/>
        <v>0</v>
      </c>
      <c r="I96" s="24">
        <f t="shared" si="20"/>
        <v>0</v>
      </c>
      <c r="J96" s="32" t="str" cm="1">
        <f t="array" ref="J96">IFERROR(_xlfn.IFS(B96="044 - BLEND TRADICION","BLEND",B96="113 - CAFÉ GOURMET","GOURMET",B96="114 - CAFÉ CONSUMO","CONSUMO",B96="112 - CAFÉ ORGANICO","GOURMET",B96="172 - CAFÉ COSECHA","ESPECIALES",B96="176 - CAFE DESCAFEINADO","GOURMET",B96="147 - CAPSULAS","CAPSULAS",B96="130 - GALLETAS CAFECITAS","DERIVADOS",B96="140 - MERENGUES","DERIVADOS",B96="100 - CAFÉ ESPECIAL","ESPECIALES",B96="141 - AREQUIPE","DERIVADOS",B96="142 - MERMELADA","DERIVADOS",B96="131 - GALLETAS AVENA","DERIVADOS",B96="160 - SOUVENIR","OTROS",B96="148 - CARAMELOS","DERIVADOS",B96="143 - CHOCOFFES","DERIVADOS",B96="162 - CONVENIOS Y DSC POS ","OTROS"),"OTROS")</f>
        <v>DERIVADOS</v>
      </c>
      <c r="L96" s="27">
        <f t="shared" si="18"/>
        <v>282429</v>
      </c>
      <c r="M96" s="27">
        <f t="shared" si="19"/>
        <v>282429</v>
      </c>
    </row>
    <row r="97" spans="1:13" ht="16.5" outlineLevel="1">
      <c r="A97" s="59"/>
      <c r="B97" s="39" t="s">
        <v>26</v>
      </c>
      <c r="C97" s="60">
        <v>0</v>
      </c>
      <c r="D97" s="60">
        <v>0</v>
      </c>
      <c r="E97" s="36"/>
      <c r="F97" s="48">
        <v>1612858.44</v>
      </c>
      <c r="G97" s="49">
        <f t="shared" si="17"/>
        <v>0</v>
      </c>
      <c r="H97" s="23">
        <f t="shared" si="20"/>
        <v>0</v>
      </c>
      <c r="I97" s="24">
        <f t="shared" si="20"/>
        <v>0</v>
      </c>
      <c r="J97" s="32" t="str" cm="1">
        <f t="array" ref="J97">IFERROR(_xlfn.IFS(B97="044 - BLEND TRADICION","BLEND",B97="113 - CAFÉ GOURMET","GOURMET",B97="114 - CAFÉ CONSUMO","CONSUMO",B97="112 - CAFÉ ORGANICO","GOURMET",B97="172 - CAFÉ COSECHA","ESPECIALES",B97="176 - CAFE DESCAFEINADO","GOURMET",B97="147 - CAPSULAS","CAPSULAS",B97="130 - GALLETAS CAFECITAS","DERIVADOS",B97="140 - MERENGUES","DERIVADOS",B97="100 - CAFÉ ESPECIAL","ESPECIALES",B97="141 - AREQUIPE","DERIVADOS",B97="142 - MERMELADA","DERIVADOS",B97="131 - GALLETAS AVENA","DERIVADOS",B97="160 - SOUVENIR","OTROS",B97="148 - CARAMELOS","DERIVADOS",B97="143 - CHOCOFFES","DERIVADOS",B97="162 - CONVENIOS Y DSC POS ","OTROS"),"OTROS")</f>
        <v>CAPSULAS</v>
      </c>
      <c r="L97" s="27">
        <f t="shared" si="18"/>
        <v>0</v>
      </c>
      <c r="M97" s="27">
        <f t="shared" si="19"/>
        <v>0</v>
      </c>
    </row>
    <row r="98" spans="1:13" ht="16.5" outlineLevel="1">
      <c r="A98" s="59"/>
      <c r="B98" s="39" t="s">
        <v>27</v>
      </c>
      <c r="C98" s="60">
        <v>0</v>
      </c>
      <c r="D98" s="60">
        <v>0</v>
      </c>
      <c r="E98" s="36"/>
      <c r="F98" s="48">
        <v>6748851.9699999997</v>
      </c>
      <c r="G98" s="49">
        <f t="shared" si="17"/>
        <v>0</v>
      </c>
      <c r="H98" s="23">
        <f t="shared" si="20"/>
        <v>0</v>
      </c>
      <c r="I98" s="24">
        <f t="shared" si="20"/>
        <v>0</v>
      </c>
      <c r="J98" s="32" t="str" cm="1">
        <f t="array" ref="J98">IFERROR(_xlfn.IFS(B98="044 - BLEND TRADICION","BLEND",B98="113 - CAFÉ GOURMET","GOURMET",B98="114 - CAFÉ CONSUMO","CONSUMO",B98="112 - CAFÉ ORGANICO","GOURMET",B98="172 - CAFÉ COSECHA","ESPECIALES",B98="176 - CAFE DESCAFEINADO","GOURMET",B98="147 - CAPSULAS","CAPSULAS",B98="130 - GALLETAS CAFECITAS","DERIVADOS",B98="140 - MERENGUES","DERIVADOS",B98="100 - CAFÉ ESPECIAL","ESPECIALES",B98="141 - AREQUIPE","DERIVADOS",B98="142 - MERMELADA","DERIVADOS",B98="131 - GALLETAS AVENA","DERIVADOS",B98="160 - SOUVENIR","OTROS",B98="148 - CARAMELOS","DERIVADOS",B98="143 - CHOCOFFES","DERIVADOS",B98="162 - CONVENIOS Y DSC POS ","OTROS"),"OTROS")</f>
        <v>DERIVADOS</v>
      </c>
      <c r="L98" s="27">
        <f t="shared" si="18"/>
        <v>0</v>
      </c>
      <c r="M98" s="27">
        <f t="shared" si="19"/>
        <v>0</v>
      </c>
    </row>
    <row r="99" spans="1:13" ht="16.5" outlineLevel="1">
      <c r="A99" s="59"/>
      <c r="B99" s="39" t="s">
        <v>28</v>
      </c>
      <c r="C99" s="60">
        <v>0</v>
      </c>
      <c r="D99" s="60">
        <v>0</v>
      </c>
      <c r="E99" s="36"/>
      <c r="F99" s="48">
        <v>13175768.16</v>
      </c>
      <c r="G99" s="49">
        <f t="shared" si="17"/>
        <v>0</v>
      </c>
      <c r="H99" s="23">
        <f t="shared" si="20"/>
        <v>0</v>
      </c>
      <c r="I99" s="24">
        <f t="shared" si="20"/>
        <v>0</v>
      </c>
      <c r="J99" s="32" t="str" cm="1">
        <f t="array" ref="J99">IFERROR(_xlfn.IFS(B99="044 - BLEND TRADICION","BLEND",B99="113 - CAFÉ GOURMET","GOURMET",B99="114 - CAFÉ CONSUMO","CONSUMO",B99="112 - CAFÉ ORGANICO","GOURMET",B99="172 - CAFÉ COSECHA","ESPECIALES",B99="176 - CAFE DESCAFEINADO","GOURMET",B99="147 - CAPSULAS","CAPSULAS",B99="130 - GALLETAS CAFECITAS","DERIVADOS",B99="140 - MERENGUES","DERIVADOS",B99="100 - CAFÉ ESPECIAL","ESPECIALES",B99="141 - AREQUIPE","DERIVADOS",B99="142 - MERMELADA","DERIVADOS",B99="131 - GALLETAS AVENA","DERIVADOS",B99="160 - SOUVENIR","OTROS",B99="148 - CARAMELOS","DERIVADOS",B99="143 - CHOCOFFES","DERIVADOS",B99="162 - CONVENIOS Y DSC POS ","OTROS"),"OTROS")</f>
        <v>OTROS</v>
      </c>
      <c r="L99" s="27">
        <f t="shared" si="18"/>
        <v>0</v>
      </c>
      <c r="M99" s="27">
        <f t="shared" si="19"/>
        <v>0</v>
      </c>
    </row>
    <row r="100" spans="1:13" ht="16.5" outlineLevel="1">
      <c r="A100" s="59"/>
      <c r="B100" s="39" t="s">
        <v>29</v>
      </c>
      <c r="C100" s="60">
        <v>382056</v>
      </c>
      <c r="D100" s="60">
        <v>0</v>
      </c>
      <c r="E100" s="36"/>
      <c r="F100" s="48">
        <v>23863639.710000001</v>
      </c>
      <c r="G100" s="49">
        <f t="shared" si="17"/>
        <v>1.6009963469231409E-2</v>
      </c>
      <c r="H100" s="23">
        <f t="shared" si="20"/>
        <v>0</v>
      </c>
      <c r="I100" s="24">
        <f t="shared" si="20"/>
        <v>0</v>
      </c>
      <c r="J100" s="32" t="str" cm="1">
        <f t="array" ref="J100">IFERROR(_xlfn.IFS(B100="044 - BLEND TRADICION","BLEND",B100="113 - CAFÉ GOURMET","GOURMET",B100="114 - CAFÉ CONSUMO","CONSUMO",B100="112 - CAFÉ ORGANICO","GOURMET",B100="172 - CAFÉ COSECHA","ESPECIALES",B100="176 - CAFE DESCAFEINADO","GOURMET",B100="147 - CAPSULAS","CAPSULAS",B100="130 - GALLETAS CAFECITAS","DERIVADOS",B100="140 - MERENGUES","DERIVADOS",B100="100 - CAFÉ ESPECIAL","ESPECIALES",B100="141 - AREQUIPE","DERIVADOS",B100="142 - MERMELADA","DERIVADOS",B100="131 - GALLETAS AVENA","DERIVADOS",B100="160 - SOUVENIR","OTROS",B100="148 - CARAMELOS","DERIVADOS",B100="143 - CHOCOFFES","DERIVADOS",B100="162 - CONVENIOS Y DSC POS ","OTROS"),"OTROS")</f>
        <v>ESPECIALES</v>
      </c>
      <c r="L100" s="27">
        <f t="shared" si="18"/>
        <v>382056</v>
      </c>
      <c r="M100" s="27">
        <f t="shared" si="19"/>
        <v>382056</v>
      </c>
    </row>
    <row r="101" spans="1:13" ht="16.5" outlineLevel="1">
      <c r="A101" s="59"/>
      <c r="B101" s="39" t="s">
        <v>30</v>
      </c>
      <c r="C101" s="60">
        <v>1265243</v>
      </c>
      <c r="D101" s="60">
        <v>0</v>
      </c>
      <c r="E101" s="36">
        <v>0</v>
      </c>
      <c r="F101" s="48">
        <v>1665594.24</v>
      </c>
      <c r="G101" s="49">
        <f t="shared" si="17"/>
        <v>0.75963459143566681</v>
      </c>
      <c r="H101" s="23">
        <f t="shared" si="20"/>
        <v>0</v>
      </c>
      <c r="I101" s="24">
        <f t="shared" si="20"/>
        <v>0</v>
      </c>
      <c r="J101" s="32" t="str" cm="1">
        <f t="array" ref="J101">IFERROR(_xlfn.IFS(B101="044 - BLEND TRADICION","BLEND",B101="113 - CAFÉ GOURMET","GOURMET",B101="114 - CAFÉ CONSUMO","CONSUMO",B101="112 - CAFÉ ORGANICO","GOURMET",B101="172 - CAFÉ COSECHA","ESPECIALES",B101="176 - CAFE DESCAFEINADO","GOURMET",B101="147 - CAPSULAS","CAPSULAS",B101="130 - GALLETAS CAFECITAS","DERIVADOS",B101="140 - MERENGUES","DERIVADOS",B101="100 - CAFÉ ESPECIAL","ESPECIALES",B101="141 - AREQUIPE","DERIVADOS",B101="142 - MERMELADA","DERIVADOS",B101="131 - GALLETAS AVENA","DERIVADOS",B101="160 - SOUVENIR","OTROS",B101="148 - CARAMELOS","DERIVADOS",B101="143 - CHOCOFFES","DERIVADOS",B101="162 - CONVENIOS Y DSC POS ","OTROS"),"OTROS")</f>
        <v>GOURMET</v>
      </c>
      <c r="L101" s="27">
        <f t="shared" si="18"/>
        <v>1265243</v>
      </c>
      <c r="M101" s="27">
        <f t="shared" si="19"/>
        <v>1265243</v>
      </c>
    </row>
    <row r="102" spans="1:13" ht="16.5" outlineLevel="1">
      <c r="A102" s="19" t="s">
        <v>46</v>
      </c>
      <c r="B102" s="56" t="s">
        <v>32</v>
      </c>
      <c r="C102" s="54">
        <f>SUM(C90:C101)</f>
        <v>10204146</v>
      </c>
      <c r="D102" s="54">
        <f>SUM(D90:D101)</f>
        <v>0</v>
      </c>
      <c r="E102" s="54">
        <f>SUM(E90:E101)</f>
        <v>0</v>
      </c>
      <c r="F102" s="54">
        <f>SUM(F90:F101)</f>
        <v>202995714.88999999</v>
      </c>
      <c r="G102" s="55">
        <f t="shared" si="17"/>
        <v>5.026779016261234E-2</v>
      </c>
      <c r="H102" s="23">
        <f t="shared" si="20"/>
        <v>0</v>
      </c>
      <c r="I102" s="24">
        <f t="shared" si="20"/>
        <v>0</v>
      </c>
      <c r="J102" s="32" t="str" cm="1">
        <f t="array" ref="J102">IFERROR(_xlfn.IFS(B102="044 - BLEND TRADICION","BLEND",B102="113 - CAFÉ GOURMET","GOURMET",B102="114 - CAFÉ CONSUMO","CONSUMO",B102="112 - CAFÉ ORGANICO","GOURMET",B102="172 - CAFÉ COSECHA","ESPECIALES",B102="176 - CAFE DESCAFEINADO","GOURMET",B102="147 - CAPSULAS","CAPSULAS",B102="130 - GALLETAS CAFECITAS","DERIVADOS",B102="140 - MERENGUES","DERIVADOS",B102="100 - CAFÉ ESPECIAL","ESPECIALES",B102="141 - AREQUIPE","DERIVADOS",B102="142 - MERMELADA","DERIVADOS",B102="131 - GALLETAS AVENA","DERIVADOS",B102="160 - SOUVENIR","OTROS",B102="148 - CARAMELOS","DERIVADOS",B102="143 - CHOCOFFES","DERIVADOS",B102="162 - CONVENIOS Y DSC POS ","OTROS"),"OTROS")</f>
        <v>OTROS</v>
      </c>
      <c r="L102" s="27">
        <f t="shared" si="18"/>
        <v>10204146</v>
      </c>
      <c r="M102" s="27">
        <f t="shared" si="19"/>
        <v>10204146</v>
      </c>
    </row>
    <row r="103" spans="1:13" ht="16.5">
      <c r="A103" s="28" t="s">
        <v>47</v>
      </c>
      <c r="B103" s="29" t="s">
        <v>17</v>
      </c>
      <c r="C103" s="30">
        <f>+C124+C138+C154+C169+C184+C110</f>
        <v>55016717</v>
      </c>
      <c r="D103" s="30">
        <f>+D124+D138+D154+D169+D184+D110</f>
        <v>0</v>
      </c>
      <c r="E103" s="30">
        <f>+E124+E138+E154+E169+E184+E110</f>
        <v>0</v>
      </c>
      <c r="F103" s="30">
        <f>+F124+F138+F154+F169+F184+F110</f>
        <v>664228042.13999987</v>
      </c>
      <c r="G103" s="31">
        <f t="shared" si="17"/>
        <v>8.2828055290691996E-2</v>
      </c>
      <c r="H103" s="23">
        <f t="shared" si="20"/>
        <v>0</v>
      </c>
      <c r="I103" s="24">
        <f t="shared" si="20"/>
        <v>0</v>
      </c>
      <c r="J103" s="32" t="str" cm="1">
        <f t="array" ref="J103">IFERROR(_xlfn.IFS(B103="044 - BLEND TRADICION","BLEND",B103="113 - CAFÉ GOURMET","GOURMET",B103="114 - CAFÉ CONSUMO","CONSUMO",B103="112 - CAFÉ ORGANICO","GOURMET",B103="172 - CAFÉ COSECHA","ESPECIALES",B103="176 - CAFE DESCAFEINADO","GOURMET",B103="147 - CAPSULAS","CAPSULAS",B103="130 - GALLETAS CAFECITAS","DERIVADOS",B103="140 - MERENGUES","DERIVADOS",B103="100 - CAFÉ ESPECIAL","ESPECIALES",B103="141 - AREQUIPE","DERIVADOS",B103="142 - MERMELADA","DERIVADOS",B103="131 - GALLETAS AVENA","DERIVADOS",B103="160 - SOUVENIR","OTROS",B103="148 - CARAMELOS","DERIVADOS",B103="143 - CHOCOFFES","DERIVADOS",B103="162 - CONVENIOS Y DSC POS ","OTROS"),"OTROS")</f>
        <v>OTROS</v>
      </c>
      <c r="L103" s="27">
        <f t="shared" si="18"/>
        <v>55016717</v>
      </c>
      <c r="M103" s="27">
        <f t="shared" si="19"/>
        <v>55016717</v>
      </c>
    </row>
    <row r="104" spans="1:13" ht="16.5" outlineLevel="1">
      <c r="A104" s="38"/>
      <c r="B104" s="39" t="s">
        <v>19</v>
      </c>
      <c r="C104" s="36">
        <v>0</v>
      </c>
      <c r="D104" s="36">
        <v>0</v>
      </c>
      <c r="E104" s="36">
        <v>0</v>
      </c>
      <c r="F104" s="36">
        <v>397872.45</v>
      </c>
      <c r="G104" s="37">
        <f t="shared" si="17"/>
        <v>0</v>
      </c>
      <c r="H104" s="23">
        <f t="shared" si="20"/>
        <v>0</v>
      </c>
      <c r="I104" s="24">
        <f t="shared" si="20"/>
        <v>0</v>
      </c>
      <c r="J104" s="32" t="str" cm="1">
        <f t="array" ref="J104">IFERROR(_xlfn.IFS(B104="044 - BLEND TRADICION","BLEND",B104="113 - CAFÉ GOURMET","GOURMET",B104="114 - CAFÉ CONSUMO","CONSUMO",B104="112 - CAFÉ ORGANICO","GOURMET",B104="172 - CAFÉ COSECHA","ESPECIALES",B104="176 - CAFE DESCAFEINADO","GOURMET",B104="147 - CAPSULAS","CAPSULAS",B104="130 - GALLETAS CAFECITAS","DERIVADOS",B104="140 - MERENGUES","DERIVADOS",B104="100 - CAFÉ ESPECIAL","ESPECIALES",B104="141 - AREQUIPE","DERIVADOS",B104="142 - MERMELADA","DERIVADOS",B104="131 - GALLETAS AVENA","DERIVADOS",B104="160 - SOUVENIR","OTROS",B104="148 - CARAMELOS","DERIVADOS",B104="143 - CHOCOFFES","DERIVADOS",B104="162 - CONVENIOS Y DSC POS ","OTROS"),"OTROS")</f>
        <v>ESPECIALES</v>
      </c>
      <c r="L104" s="27">
        <f t="shared" si="18"/>
        <v>0</v>
      </c>
      <c r="M104" s="27">
        <f t="shared" si="19"/>
        <v>0</v>
      </c>
    </row>
    <row r="105" spans="1:13" ht="16.5" outlineLevel="1">
      <c r="A105" s="38"/>
      <c r="B105" s="39" t="s">
        <v>20</v>
      </c>
      <c r="C105" s="36">
        <v>0</v>
      </c>
      <c r="D105" s="36">
        <v>0</v>
      </c>
      <c r="E105" s="36"/>
      <c r="F105" s="36">
        <v>550199.43000000005</v>
      </c>
      <c r="G105" s="37">
        <f t="shared" si="17"/>
        <v>0</v>
      </c>
      <c r="H105" s="23">
        <f t="shared" si="20"/>
        <v>0</v>
      </c>
      <c r="I105" s="24">
        <f t="shared" si="20"/>
        <v>0</v>
      </c>
      <c r="J105" s="32" t="str" cm="1">
        <f t="array" ref="J105">IFERROR(_xlfn.IFS(B105="044 - BLEND TRADICION","BLEND",B105="113 - CAFÉ GOURMET","GOURMET",B105="114 - CAFÉ CONSUMO","CONSUMO",B105="112 - CAFÉ ORGANICO","GOURMET",B105="172 - CAFÉ COSECHA","ESPECIALES",B105="176 - CAFE DESCAFEINADO","GOURMET",B105="147 - CAPSULAS","CAPSULAS",B105="130 - GALLETAS CAFECITAS","DERIVADOS",B105="140 - MERENGUES","DERIVADOS",B105="100 - CAFÉ ESPECIAL","ESPECIALES",B105="141 - AREQUIPE","DERIVADOS",B105="142 - MERMELADA","DERIVADOS",B105="131 - GALLETAS AVENA","DERIVADOS",B105="160 - SOUVENIR","OTROS",B105="148 - CARAMELOS","DERIVADOS",B105="143 - CHOCOFFES","DERIVADOS",B105="162 - CONVENIOS Y DSC POS ","OTROS"),"OTROS")</f>
        <v>GOURMET</v>
      </c>
      <c r="L105" s="27">
        <f t="shared" si="18"/>
        <v>0</v>
      </c>
      <c r="M105" s="27">
        <f t="shared" si="19"/>
        <v>0</v>
      </c>
    </row>
    <row r="106" spans="1:13" ht="16.5" outlineLevel="1">
      <c r="A106" s="38"/>
      <c r="B106" s="39" t="s">
        <v>21</v>
      </c>
      <c r="C106" s="36">
        <v>0</v>
      </c>
      <c r="D106" s="36">
        <v>0</v>
      </c>
      <c r="E106" s="36"/>
      <c r="F106" s="36">
        <v>1226924.78</v>
      </c>
      <c r="G106" s="37">
        <f t="shared" si="17"/>
        <v>0</v>
      </c>
      <c r="H106" s="23">
        <f t="shared" si="20"/>
        <v>0</v>
      </c>
      <c r="I106" s="24">
        <f t="shared" si="20"/>
        <v>0</v>
      </c>
      <c r="J106" s="32" t="str" cm="1">
        <f t="array" ref="J106">IFERROR(_xlfn.IFS(B106="044 - BLEND TRADICION","BLEND",B106="113 - CAFÉ GOURMET","GOURMET",B106="114 - CAFÉ CONSUMO","CONSUMO",B106="112 - CAFÉ ORGANICO","GOURMET",B106="172 - CAFÉ COSECHA","ESPECIALES",B106="176 - CAFE DESCAFEINADO","GOURMET",B106="147 - CAPSULAS","CAPSULAS",B106="130 - GALLETAS CAFECITAS","DERIVADOS",B106="140 - MERENGUES","DERIVADOS",B106="100 - CAFÉ ESPECIAL","ESPECIALES",B106="141 - AREQUIPE","DERIVADOS",B106="142 - MERMELADA","DERIVADOS",B106="131 - GALLETAS AVENA","DERIVADOS",B106="160 - SOUVENIR","OTROS",B106="148 - CARAMELOS","DERIVADOS",B106="143 - CHOCOFFES","DERIVADOS",B106="162 - CONVENIOS Y DSC POS ","OTROS"),"OTROS")</f>
        <v>GOURMET</v>
      </c>
      <c r="L106" s="27">
        <f t="shared" si="18"/>
        <v>0</v>
      </c>
      <c r="M106" s="27">
        <f t="shared" si="19"/>
        <v>0</v>
      </c>
    </row>
    <row r="107" spans="1:13" ht="16.5" outlineLevel="1">
      <c r="A107" s="38"/>
      <c r="B107" s="39" t="s">
        <v>22</v>
      </c>
      <c r="C107" s="36">
        <v>0</v>
      </c>
      <c r="D107" s="36">
        <v>0</v>
      </c>
      <c r="E107" s="36"/>
      <c r="F107" s="36">
        <v>231859.77</v>
      </c>
      <c r="G107" s="37">
        <f t="shared" si="17"/>
        <v>0</v>
      </c>
      <c r="H107" s="23">
        <f t="shared" si="20"/>
        <v>0</v>
      </c>
      <c r="I107" s="24">
        <f t="shared" si="20"/>
        <v>0</v>
      </c>
      <c r="J107" s="32" t="str" cm="1">
        <f t="array" ref="J107">IFERROR(_xlfn.IFS(B107="044 - BLEND TRADICION","BLEND",B107="113 - CAFÉ GOURMET","GOURMET",B107="114 - CAFÉ CONSUMO","CONSUMO",B107="112 - CAFÉ ORGANICO","GOURMET",B107="172 - CAFÉ COSECHA","ESPECIALES",B107="176 - CAFE DESCAFEINADO","GOURMET",B107="147 - CAPSULAS","CAPSULAS",B107="130 - GALLETAS CAFECITAS","DERIVADOS",B107="140 - MERENGUES","DERIVADOS",B107="100 - CAFÉ ESPECIAL","ESPECIALES",B107="141 - AREQUIPE","DERIVADOS",B107="142 - MERMELADA","DERIVADOS",B107="131 - GALLETAS AVENA","DERIVADOS",B107="160 - SOUVENIR","OTROS",B107="148 - CARAMELOS","DERIVADOS",B107="143 - CHOCOFFES","DERIVADOS",B107="162 - CONVENIOS Y DSC POS ","OTROS"),"OTROS")</f>
        <v>DERIVADOS</v>
      </c>
      <c r="L107" s="27">
        <f t="shared" si="18"/>
        <v>0</v>
      </c>
      <c r="M107" s="27">
        <f t="shared" si="19"/>
        <v>0</v>
      </c>
    </row>
    <row r="108" spans="1:13" ht="16.5" outlineLevel="1">
      <c r="A108" s="38"/>
      <c r="B108" s="39" t="s">
        <v>28</v>
      </c>
      <c r="C108" s="36">
        <v>0</v>
      </c>
      <c r="D108" s="36">
        <v>0</v>
      </c>
      <c r="E108" s="36"/>
      <c r="F108" s="36">
        <v>197515.99</v>
      </c>
      <c r="G108" s="37">
        <f t="shared" si="17"/>
        <v>0</v>
      </c>
      <c r="H108" s="23">
        <f t="shared" si="20"/>
        <v>0</v>
      </c>
      <c r="I108" s="24">
        <f t="shared" si="20"/>
        <v>0</v>
      </c>
      <c r="J108" s="32" t="str" cm="1">
        <f t="array" ref="J108">IFERROR(_xlfn.IFS(B108="044 - BLEND TRADICION","BLEND",B108="113 - CAFÉ GOURMET","GOURMET",B108="114 - CAFÉ CONSUMO","CONSUMO",B108="112 - CAFÉ ORGANICO","GOURMET",B108="172 - CAFÉ COSECHA","ESPECIALES",B108="176 - CAFE DESCAFEINADO","GOURMET",B108="147 - CAPSULAS","CAPSULAS",B108="130 - GALLETAS CAFECITAS","DERIVADOS",B108="140 - MERENGUES","DERIVADOS",B108="100 - CAFÉ ESPECIAL","ESPECIALES",B108="141 - AREQUIPE","DERIVADOS",B108="142 - MERMELADA","DERIVADOS",B108="131 - GALLETAS AVENA","DERIVADOS",B108="160 - SOUVENIR","OTROS",B108="148 - CARAMELOS","DERIVADOS",B108="143 - CHOCOFFES","DERIVADOS",B108="162 - CONVENIOS Y DSC POS ","OTROS"),"OTROS")</f>
        <v>OTROS</v>
      </c>
      <c r="L108" s="27">
        <f t="shared" si="18"/>
        <v>0</v>
      </c>
      <c r="M108" s="27">
        <f t="shared" si="19"/>
        <v>0</v>
      </c>
    </row>
    <row r="109" spans="1:13" ht="16.5" outlineLevel="1">
      <c r="A109" s="38"/>
      <c r="B109" s="39" t="s">
        <v>29</v>
      </c>
      <c r="C109" s="36">
        <v>0</v>
      </c>
      <c r="D109" s="36">
        <v>0</v>
      </c>
      <c r="E109" s="36"/>
      <c r="F109" s="36">
        <v>934062.72</v>
      </c>
      <c r="G109" s="37">
        <f t="shared" si="17"/>
        <v>0</v>
      </c>
      <c r="H109" s="23">
        <f t="shared" si="20"/>
        <v>0</v>
      </c>
      <c r="I109" s="24">
        <f t="shared" si="20"/>
        <v>0</v>
      </c>
      <c r="J109" s="32" t="str" cm="1">
        <f t="array" ref="J109">IFERROR(_xlfn.IFS(B109="044 - BLEND TRADICION","BLEND",B109="113 - CAFÉ GOURMET","GOURMET",B109="114 - CAFÉ CONSUMO","CONSUMO",B109="112 - CAFÉ ORGANICO","GOURMET",B109="172 - CAFÉ COSECHA","ESPECIALES",B109="176 - CAFE DESCAFEINADO","GOURMET",B109="147 - CAPSULAS","CAPSULAS",B109="130 - GALLETAS CAFECITAS","DERIVADOS",B109="140 - MERENGUES","DERIVADOS",B109="100 - CAFÉ ESPECIAL","ESPECIALES",B109="141 - AREQUIPE","DERIVADOS",B109="142 - MERMELADA","DERIVADOS",B109="131 - GALLETAS AVENA","DERIVADOS",B109="160 - SOUVENIR","OTROS",B109="148 - CARAMELOS","DERIVADOS",B109="143 - CHOCOFFES","DERIVADOS",B109="162 - CONVENIOS Y DSC POS ","OTROS"),"OTROS")</f>
        <v>ESPECIALES</v>
      </c>
      <c r="L109" s="27">
        <f t="shared" si="18"/>
        <v>0</v>
      </c>
      <c r="M109" s="27">
        <f t="shared" si="19"/>
        <v>0</v>
      </c>
    </row>
    <row r="110" spans="1:13" ht="16.5" outlineLevel="1">
      <c r="A110" s="19" t="s">
        <v>48</v>
      </c>
      <c r="B110" s="56" t="s">
        <v>32</v>
      </c>
      <c r="C110" s="54">
        <f>SUM(C104:C109)</f>
        <v>0</v>
      </c>
      <c r="D110" s="54">
        <f>SUM(D104:D109)</f>
        <v>0</v>
      </c>
      <c r="E110" s="54">
        <f>SUM(E104:E109)</f>
        <v>0</v>
      </c>
      <c r="F110" s="54">
        <f>SUM(F104:F109)</f>
        <v>3538435.1399999997</v>
      </c>
      <c r="G110" s="55">
        <f t="shared" si="17"/>
        <v>0</v>
      </c>
      <c r="H110" s="23">
        <f t="shared" ref="H110:I125" si="21">IFERROR(+D110/L110*100%,0)</f>
        <v>0</v>
      </c>
      <c r="I110" s="24">
        <f t="shared" si="21"/>
        <v>0</v>
      </c>
      <c r="J110" s="32" t="str" cm="1">
        <f t="array" ref="J110">IFERROR(_xlfn.IFS(B110="044 - BLEND TRADICION","BLEND",B110="113 - CAFÉ GOURMET","GOURMET",B110="114 - CAFÉ CONSUMO","CONSUMO",B110="112 - CAFÉ ORGANICO","GOURMET",B110="172 - CAFÉ COSECHA","ESPECIALES",B110="176 - CAFE DESCAFEINADO","GOURMET",B110="147 - CAPSULAS","CAPSULAS",B110="130 - GALLETAS CAFECITAS","DERIVADOS",B110="140 - MERENGUES","DERIVADOS",B110="100 - CAFÉ ESPECIAL","ESPECIALES",B110="141 - AREQUIPE","DERIVADOS",B110="142 - MERMELADA","DERIVADOS",B110="131 - GALLETAS AVENA","DERIVADOS",B110="160 - SOUVENIR","OTROS",B110="148 - CARAMELOS","DERIVADOS",B110="143 - CHOCOFFES","DERIVADOS",B110="162 - CONVENIOS Y DSC POS ","OTROS"),"OTROS")</f>
        <v>OTROS</v>
      </c>
      <c r="L110" s="27">
        <f t="shared" si="18"/>
        <v>0</v>
      </c>
      <c r="M110" s="27">
        <f t="shared" si="19"/>
        <v>0</v>
      </c>
    </row>
    <row r="111" spans="1:13" ht="16.5" outlineLevel="1">
      <c r="A111" s="33"/>
      <c r="B111" s="39" t="s">
        <v>18</v>
      </c>
      <c r="C111" s="36">
        <v>869768</v>
      </c>
      <c r="D111" s="36">
        <v>0</v>
      </c>
      <c r="E111" s="36">
        <v>0</v>
      </c>
      <c r="F111" s="36">
        <v>4604527.18</v>
      </c>
      <c r="G111" s="37">
        <f t="shared" si="17"/>
        <v>0.18889409617949091</v>
      </c>
      <c r="H111" s="23">
        <f t="shared" si="21"/>
        <v>0</v>
      </c>
      <c r="I111" s="24">
        <f t="shared" si="21"/>
        <v>0</v>
      </c>
      <c r="J111" s="32" t="str" cm="1">
        <f t="array" ref="J111">IFERROR(_xlfn.IFS(B111="044 - BLEND TRADICION","BLEND",B111="113 - CAFÉ GOURMET","GOURMET",B111="114 - CAFÉ CONSUMO","CONSUMO",B111="112 - CAFÉ ORGANICO","GOURMET",B111="172 - CAFÉ COSECHA","ESPECIALES",B111="176 - CAFE DESCAFEINADO","GOURMET",B111="147 - CAPSULAS","CAPSULAS",B111="130 - GALLETAS CAFECITAS","DERIVADOS",B111="140 - MERENGUES","DERIVADOS",B111="100 - CAFÉ ESPECIAL","ESPECIALES",B111="141 - AREQUIPE","DERIVADOS",B111="142 - MERMELADA","DERIVADOS",B111="131 - GALLETAS AVENA","DERIVADOS",B111="160 - SOUVENIR","OTROS",B111="148 - CARAMELOS","DERIVADOS",B111="143 - CHOCOFFES","DERIVADOS",B111="162 - CONVENIOS Y DSC POS ","OTROS"),"OTROS")</f>
        <v>BLEND</v>
      </c>
      <c r="L111" s="27">
        <f t="shared" si="18"/>
        <v>869768</v>
      </c>
      <c r="M111" s="27">
        <f t="shared" si="19"/>
        <v>869768</v>
      </c>
    </row>
    <row r="112" spans="1:13" ht="16.5" outlineLevel="1">
      <c r="A112" s="38"/>
      <c r="B112" s="39" t="s">
        <v>19</v>
      </c>
      <c r="C112" s="36">
        <v>28524</v>
      </c>
      <c r="D112" s="36">
        <v>0</v>
      </c>
      <c r="E112" s="36">
        <v>0</v>
      </c>
      <c r="F112" s="36">
        <v>904271.48</v>
      </c>
      <c r="G112" s="37">
        <f t="shared" si="17"/>
        <v>3.1543624487637277E-2</v>
      </c>
      <c r="H112" s="23">
        <f t="shared" si="21"/>
        <v>0</v>
      </c>
      <c r="I112" s="24">
        <f t="shared" si="21"/>
        <v>0</v>
      </c>
      <c r="J112" s="32" t="str" cm="1">
        <f t="array" ref="J112">IFERROR(_xlfn.IFS(B112="044 - BLEND TRADICION","BLEND",B112="113 - CAFÉ GOURMET","GOURMET",B112="114 - CAFÉ CONSUMO","CONSUMO",B112="112 - CAFÉ ORGANICO","GOURMET",B112="172 - CAFÉ COSECHA","ESPECIALES",B112="176 - CAFE DESCAFEINADO","GOURMET",B112="147 - CAPSULAS","CAPSULAS",B112="130 - GALLETAS CAFECITAS","DERIVADOS",B112="140 - MERENGUES","DERIVADOS",B112="100 - CAFÉ ESPECIAL","ESPECIALES",B112="141 - AREQUIPE","DERIVADOS",B112="142 - MERMELADA","DERIVADOS",B112="131 - GALLETAS AVENA","DERIVADOS",B112="160 - SOUVENIR","OTROS",B112="148 - CARAMELOS","DERIVADOS",B112="143 - CHOCOFFES","DERIVADOS",B112="162 - CONVENIOS Y DSC POS ","OTROS"),"OTROS")</f>
        <v>ESPECIALES</v>
      </c>
      <c r="L112" s="27">
        <f t="shared" si="18"/>
        <v>28524</v>
      </c>
      <c r="M112" s="27">
        <f t="shared" si="19"/>
        <v>28524</v>
      </c>
    </row>
    <row r="113" spans="1:13" ht="16.5" outlineLevel="1">
      <c r="A113" s="38"/>
      <c r="B113" s="39" t="s">
        <v>20</v>
      </c>
      <c r="C113" s="36">
        <v>191941</v>
      </c>
      <c r="D113" s="36">
        <v>0</v>
      </c>
      <c r="E113" s="36">
        <v>0</v>
      </c>
      <c r="F113" s="36">
        <v>1000950.28</v>
      </c>
      <c r="G113" s="37">
        <f t="shared" si="17"/>
        <v>0.19175877547084555</v>
      </c>
      <c r="H113" s="23">
        <f t="shared" si="21"/>
        <v>0</v>
      </c>
      <c r="I113" s="24">
        <f t="shared" si="21"/>
        <v>0</v>
      </c>
      <c r="J113" s="32" t="str" cm="1">
        <f t="array" ref="J113">IFERROR(_xlfn.IFS(B113="044 - BLEND TRADICION","BLEND",B113="113 - CAFÉ GOURMET","GOURMET",B113="114 - CAFÉ CONSUMO","CONSUMO",B113="112 - CAFÉ ORGANICO","GOURMET",B113="172 - CAFÉ COSECHA","ESPECIALES",B113="176 - CAFE DESCAFEINADO","GOURMET",B113="147 - CAPSULAS","CAPSULAS",B113="130 - GALLETAS CAFECITAS","DERIVADOS",B113="140 - MERENGUES","DERIVADOS",B113="100 - CAFÉ ESPECIAL","ESPECIALES",B113="141 - AREQUIPE","DERIVADOS",B113="142 - MERMELADA","DERIVADOS",B113="131 - GALLETAS AVENA","DERIVADOS",B113="160 - SOUVENIR","OTROS",B113="148 - CARAMELOS","DERIVADOS",B113="143 - CHOCOFFES","DERIVADOS",B113="162 - CONVENIOS Y DSC POS ","OTROS"),"OTROS")</f>
        <v>GOURMET</v>
      </c>
      <c r="L113" s="27">
        <f t="shared" si="18"/>
        <v>191941</v>
      </c>
      <c r="M113" s="27">
        <f t="shared" si="19"/>
        <v>191941</v>
      </c>
    </row>
    <row r="114" spans="1:13" ht="16.5" outlineLevel="1">
      <c r="A114" s="38"/>
      <c r="B114" s="39" t="s">
        <v>21</v>
      </c>
      <c r="C114" s="36">
        <v>3610565</v>
      </c>
      <c r="D114" s="36">
        <v>0</v>
      </c>
      <c r="E114" s="36">
        <v>0</v>
      </c>
      <c r="F114" s="36">
        <v>29634733.52</v>
      </c>
      <c r="G114" s="37">
        <f t="shared" si="17"/>
        <v>0.12183558180347019</v>
      </c>
      <c r="H114" s="23">
        <f t="shared" si="21"/>
        <v>0</v>
      </c>
      <c r="I114" s="24">
        <f t="shared" si="21"/>
        <v>0</v>
      </c>
      <c r="J114" s="32" t="str" cm="1">
        <f t="array" ref="J114">IFERROR(_xlfn.IFS(B114="044 - BLEND TRADICION","BLEND",B114="113 - CAFÉ GOURMET","GOURMET",B114="114 - CAFÉ CONSUMO","CONSUMO",B114="112 - CAFÉ ORGANICO","GOURMET",B114="172 - CAFÉ COSECHA","ESPECIALES",B114="176 - CAFE DESCAFEINADO","GOURMET",B114="147 - CAPSULAS","CAPSULAS",B114="130 - GALLETAS CAFECITAS","DERIVADOS",B114="140 - MERENGUES","DERIVADOS",B114="100 - CAFÉ ESPECIAL","ESPECIALES",B114="141 - AREQUIPE","DERIVADOS",B114="142 - MERMELADA","DERIVADOS",B114="131 - GALLETAS AVENA","DERIVADOS",B114="160 - SOUVENIR","OTROS",B114="148 - CARAMELOS","DERIVADOS",B114="143 - CHOCOFFES","DERIVADOS",B114="162 - CONVENIOS Y DSC POS ","OTROS"),"OTROS")</f>
        <v>GOURMET</v>
      </c>
      <c r="L114" s="27">
        <f t="shared" si="18"/>
        <v>3610565</v>
      </c>
      <c r="M114" s="27">
        <f t="shared" si="19"/>
        <v>3610565</v>
      </c>
    </row>
    <row r="115" spans="1:13" ht="16.5" outlineLevel="1">
      <c r="A115" s="38"/>
      <c r="B115" s="39" t="s">
        <v>22</v>
      </c>
      <c r="C115" s="36">
        <v>1388212</v>
      </c>
      <c r="D115" s="36">
        <v>0</v>
      </c>
      <c r="E115" s="36"/>
      <c r="F115" s="36">
        <v>7797334.1100000003</v>
      </c>
      <c r="G115" s="37">
        <f t="shared" si="17"/>
        <v>0.17803674697222893</v>
      </c>
      <c r="H115" s="23">
        <f t="shared" si="21"/>
        <v>0</v>
      </c>
      <c r="I115" s="24">
        <f t="shared" si="21"/>
        <v>0</v>
      </c>
      <c r="J115" s="32" t="str" cm="1">
        <f t="array" ref="J115">IFERROR(_xlfn.IFS(B115="044 - BLEND TRADICION","BLEND",B115="113 - CAFÉ GOURMET","GOURMET",B115="114 - CAFÉ CONSUMO","CONSUMO",B115="112 - CAFÉ ORGANICO","GOURMET",B115="172 - CAFÉ COSECHA","ESPECIALES",B115="176 - CAFE DESCAFEINADO","GOURMET",B115="147 - CAPSULAS","CAPSULAS",B115="130 - GALLETAS CAFECITAS","DERIVADOS",B115="140 - MERENGUES","DERIVADOS",B115="100 - CAFÉ ESPECIAL","ESPECIALES",B115="141 - AREQUIPE","DERIVADOS",B115="142 - MERMELADA","DERIVADOS",B115="131 - GALLETAS AVENA","DERIVADOS",B115="160 - SOUVENIR","OTROS",B115="148 - CARAMELOS","DERIVADOS",B115="143 - CHOCOFFES","DERIVADOS",B115="162 - CONVENIOS Y DSC POS ","OTROS"),"OTROS")</f>
        <v>DERIVADOS</v>
      </c>
      <c r="L115" s="27">
        <f t="shared" si="18"/>
        <v>1388212</v>
      </c>
      <c r="M115" s="27">
        <f t="shared" si="19"/>
        <v>1388212</v>
      </c>
    </row>
    <row r="116" spans="1:13" ht="16.5" outlineLevel="1">
      <c r="A116" s="38"/>
      <c r="B116" s="39" t="s">
        <v>23</v>
      </c>
      <c r="C116" s="36">
        <v>0</v>
      </c>
      <c r="D116" s="36">
        <v>0</v>
      </c>
      <c r="E116" s="36">
        <v>0</v>
      </c>
      <c r="F116" s="36">
        <v>251654.35</v>
      </c>
      <c r="G116" s="37">
        <f t="shared" si="17"/>
        <v>0</v>
      </c>
      <c r="H116" s="23">
        <f t="shared" si="21"/>
        <v>0</v>
      </c>
      <c r="I116" s="24">
        <f t="shared" si="21"/>
        <v>0</v>
      </c>
      <c r="J116" s="32" t="str" cm="1">
        <f t="array" ref="J116">IFERROR(_xlfn.IFS(B116="044 - BLEND TRADICION","BLEND",B116="113 - CAFÉ GOURMET","GOURMET",B116="114 - CAFÉ CONSUMO","CONSUMO",B116="112 - CAFÉ ORGANICO","GOURMET",B116="172 - CAFÉ COSECHA","ESPECIALES",B116="176 - CAFE DESCAFEINADO","GOURMET",B116="147 - CAPSULAS","CAPSULAS",B116="130 - GALLETAS CAFECITAS","DERIVADOS",B116="140 - MERENGUES","DERIVADOS",B116="100 - CAFÉ ESPECIAL","ESPECIALES",B116="141 - AREQUIPE","DERIVADOS",B116="142 - MERMELADA","DERIVADOS",B116="131 - GALLETAS AVENA","DERIVADOS",B116="160 - SOUVENIR","OTROS",B116="148 - CARAMELOS","DERIVADOS",B116="143 - CHOCOFFES","DERIVADOS",B116="162 - CONVENIOS Y DSC POS ","OTROS"),"OTROS")</f>
        <v>DERIVADOS</v>
      </c>
      <c r="L116" s="27">
        <f t="shared" si="18"/>
        <v>0</v>
      </c>
      <c r="M116" s="27">
        <f t="shared" si="19"/>
        <v>0</v>
      </c>
    </row>
    <row r="117" spans="1:13" ht="16.5" outlineLevel="1">
      <c r="A117" s="38"/>
      <c r="B117" s="39" t="s">
        <v>24</v>
      </c>
      <c r="C117" s="36">
        <v>101892</v>
      </c>
      <c r="D117" s="36">
        <v>0</v>
      </c>
      <c r="E117" s="36">
        <v>0</v>
      </c>
      <c r="F117" s="36">
        <v>965398.25</v>
      </c>
      <c r="G117" s="37">
        <f t="shared" si="17"/>
        <v>0.10554400735654948</v>
      </c>
      <c r="H117" s="23">
        <f t="shared" si="21"/>
        <v>0</v>
      </c>
      <c r="I117" s="24">
        <f t="shared" si="21"/>
        <v>0</v>
      </c>
      <c r="J117" s="32" t="str" cm="1">
        <f t="array" ref="J117">IFERROR(_xlfn.IFS(B117="044 - BLEND TRADICION","BLEND",B117="113 - CAFÉ GOURMET","GOURMET",B117="114 - CAFÉ CONSUMO","CONSUMO",B117="112 - CAFÉ ORGANICO","GOURMET",B117="172 - CAFÉ COSECHA","ESPECIALES",B117="176 - CAFE DESCAFEINADO","GOURMET",B117="147 - CAPSULAS","CAPSULAS",B117="130 - GALLETAS CAFECITAS","DERIVADOS",B117="140 - MERENGUES","DERIVADOS",B117="100 - CAFÉ ESPECIAL","ESPECIALES",B117="141 - AREQUIPE","DERIVADOS",B117="142 - MERMELADA","DERIVADOS",B117="131 - GALLETAS AVENA","DERIVADOS",B117="160 - SOUVENIR","OTROS",B117="148 - CARAMELOS","DERIVADOS",B117="143 - CHOCOFFES","DERIVADOS",B117="162 - CONVENIOS Y DSC POS ","OTROS"),"OTROS")</f>
        <v>DERIVADOS</v>
      </c>
      <c r="L117" s="27">
        <f t="shared" si="18"/>
        <v>101892</v>
      </c>
      <c r="M117" s="27">
        <f t="shared" si="19"/>
        <v>101892</v>
      </c>
    </row>
    <row r="118" spans="1:13" ht="16.5" outlineLevel="1">
      <c r="A118" s="38"/>
      <c r="B118" s="39" t="s">
        <v>25</v>
      </c>
      <c r="C118" s="36">
        <v>560688</v>
      </c>
      <c r="D118" s="36">
        <v>0</v>
      </c>
      <c r="E118" s="36"/>
      <c r="F118" s="36">
        <v>4939039.0999999996</v>
      </c>
      <c r="G118" s="37">
        <f t="shared" si="17"/>
        <v>0.11352167671642852</v>
      </c>
      <c r="H118" s="23">
        <f t="shared" si="21"/>
        <v>0</v>
      </c>
      <c r="I118" s="24">
        <f t="shared" si="21"/>
        <v>0</v>
      </c>
      <c r="J118" s="32" t="str" cm="1">
        <f t="array" ref="J118">IFERROR(_xlfn.IFS(B118="044 - BLEND TRADICION","BLEND",B118="113 - CAFÉ GOURMET","GOURMET",B118="114 - CAFÉ CONSUMO","CONSUMO",B118="112 - CAFÉ ORGANICO","GOURMET",B118="172 - CAFÉ COSECHA","ESPECIALES",B118="176 - CAFE DESCAFEINADO","GOURMET",B118="147 - CAPSULAS","CAPSULAS",B118="130 - GALLETAS CAFECITAS","DERIVADOS",B118="140 - MERENGUES","DERIVADOS",B118="100 - CAFÉ ESPECIAL","ESPECIALES",B118="141 - AREQUIPE","DERIVADOS",B118="142 - MERMELADA","DERIVADOS",B118="131 - GALLETAS AVENA","DERIVADOS",B118="160 - SOUVENIR","OTROS",B118="148 - CARAMELOS","DERIVADOS",B118="143 - CHOCOFFES","DERIVADOS",B118="162 - CONVENIOS Y DSC POS ","OTROS"),"OTROS")</f>
        <v>DERIVADOS</v>
      </c>
      <c r="L118" s="27">
        <f t="shared" si="18"/>
        <v>560688</v>
      </c>
      <c r="M118" s="27">
        <f t="shared" si="19"/>
        <v>560688</v>
      </c>
    </row>
    <row r="119" spans="1:13" ht="16.5" outlineLevel="1">
      <c r="A119" s="38"/>
      <c r="B119" s="39" t="s">
        <v>26</v>
      </c>
      <c r="C119" s="36">
        <v>228552</v>
      </c>
      <c r="D119" s="36">
        <v>0</v>
      </c>
      <c r="E119" s="36"/>
      <c r="F119" s="36">
        <v>1642173.15</v>
      </c>
      <c r="G119" s="37">
        <f t="shared" si="17"/>
        <v>0.1391765539462145</v>
      </c>
      <c r="H119" s="23">
        <f t="shared" si="21"/>
        <v>0</v>
      </c>
      <c r="I119" s="24">
        <f t="shared" si="21"/>
        <v>0</v>
      </c>
      <c r="J119" s="32" t="str" cm="1">
        <f t="array" ref="J119">IFERROR(_xlfn.IFS(B119="044 - BLEND TRADICION","BLEND",B119="113 - CAFÉ GOURMET","GOURMET",B119="114 - CAFÉ CONSUMO","CONSUMO",B119="112 - CAFÉ ORGANICO","GOURMET",B119="172 - CAFÉ COSECHA","ESPECIALES",B119="176 - CAFE DESCAFEINADO","GOURMET",B119="147 - CAPSULAS","CAPSULAS",B119="130 - GALLETAS CAFECITAS","DERIVADOS",B119="140 - MERENGUES","DERIVADOS",B119="100 - CAFÉ ESPECIAL","ESPECIALES",B119="141 - AREQUIPE","DERIVADOS",B119="142 - MERMELADA","DERIVADOS",B119="131 - GALLETAS AVENA","DERIVADOS",B119="160 - SOUVENIR","OTROS",B119="148 - CARAMELOS","DERIVADOS",B119="143 - CHOCOFFES","DERIVADOS",B119="162 - CONVENIOS Y DSC POS ","OTROS"),"OTROS")</f>
        <v>CAPSULAS</v>
      </c>
      <c r="L119" s="27">
        <f t="shared" si="18"/>
        <v>228552</v>
      </c>
      <c r="M119" s="27">
        <f t="shared" si="19"/>
        <v>228552</v>
      </c>
    </row>
    <row r="120" spans="1:13" ht="16.5" outlineLevel="1">
      <c r="A120" s="38"/>
      <c r="B120" s="39" t="s">
        <v>27</v>
      </c>
      <c r="C120" s="36">
        <v>758965</v>
      </c>
      <c r="D120" s="36">
        <v>0</v>
      </c>
      <c r="E120" s="36"/>
      <c r="F120" s="36">
        <v>3108561.46</v>
      </c>
      <c r="G120" s="37">
        <f t="shared" si="17"/>
        <v>0.24415312670060577</v>
      </c>
      <c r="H120" s="23">
        <f t="shared" si="21"/>
        <v>0</v>
      </c>
      <c r="I120" s="24">
        <f t="shared" si="21"/>
        <v>0</v>
      </c>
      <c r="J120" s="32" t="str" cm="1">
        <f t="array" ref="J120">IFERROR(_xlfn.IFS(B120="044 - BLEND TRADICION","BLEND",B120="113 - CAFÉ GOURMET","GOURMET",B120="114 - CAFÉ CONSUMO","CONSUMO",B120="112 - CAFÉ ORGANICO","GOURMET",B120="172 - CAFÉ COSECHA","ESPECIALES",B120="176 - CAFE DESCAFEINADO","GOURMET",B120="147 - CAPSULAS","CAPSULAS",B120="130 - GALLETAS CAFECITAS","DERIVADOS",B120="140 - MERENGUES","DERIVADOS",B120="100 - CAFÉ ESPECIAL","ESPECIALES",B120="141 - AREQUIPE","DERIVADOS",B120="142 - MERMELADA","DERIVADOS",B120="131 - GALLETAS AVENA","DERIVADOS",B120="160 - SOUVENIR","OTROS",B120="148 - CARAMELOS","DERIVADOS",B120="143 - CHOCOFFES","DERIVADOS",B120="162 - CONVENIOS Y DSC POS ","OTROS"),"OTROS")</f>
        <v>DERIVADOS</v>
      </c>
      <c r="L120" s="27">
        <f t="shared" si="18"/>
        <v>758965</v>
      </c>
      <c r="M120" s="27">
        <f t="shared" si="19"/>
        <v>758965</v>
      </c>
    </row>
    <row r="121" spans="1:13" ht="16.5" outlineLevel="1">
      <c r="A121" s="38"/>
      <c r="B121" s="39" t="s">
        <v>28</v>
      </c>
      <c r="C121" s="36">
        <v>79379</v>
      </c>
      <c r="D121" s="36">
        <v>0</v>
      </c>
      <c r="E121" s="36">
        <v>0</v>
      </c>
      <c r="F121" s="36">
        <v>1929397.03</v>
      </c>
      <c r="G121" s="37">
        <f t="shared" si="17"/>
        <v>4.1141869073987328E-2</v>
      </c>
      <c r="H121" s="23">
        <f t="shared" si="21"/>
        <v>0</v>
      </c>
      <c r="I121" s="24">
        <f t="shared" si="21"/>
        <v>0</v>
      </c>
      <c r="J121" s="32" t="str" cm="1">
        <f t="array" ref="J121">IFERROR(_xlfn.IFS(B121="044 - BLEND TRADICION","BLEND",B121="113 - CAFÉ GOURMET","GOURMET",B121="114 - CAFÉ CONSUMO","CONSUMO",B121="112 - CAFÉ ORGANICO","GOURMET",B121="172 - CAFÉ COSECHA","ESPECIALES",B121="176 - CAFE DESCAFEINADO","GOURMET",B121="147 - CAPSULAS","CAPSULAS",B121="130 - GALLETAS CAFECITAS","DERIVADOS",B121="140 - MERENGUES","DERIVADOS",B121="100 - CAFÉ ESPECIAL","ESPECIALES",B121="141 - AREQUIPE","DERIVADOS",B121="142 - MERMELADA","DERIVADOS",B121="131 - GALLETAS AVENA","DERIVADOS",B121="160 - SOUVENIR","OTROS",B121="148 - CARAMELOS","DERIVADOS",B121="143 - CHOCOFFES","DERIVADOS",B121="162 - CONVENIOS Y DSC POS ","OTROS"),"OTROS")</f>
        <v>OTROS</v>
      </c>
      <c r="L121" s="27">
        <f t="shared" si="18"/>
        <v>79379</v>
      </c>
      <c r="M121" s="27">
        <f t="shared" si="19"/>
        <v>79379</v>
      </c>
    </row>
    <row r="122" spans="1:13" ht="16.5" outlineLevel="1">
      <c r="A122" s="38"/>
      <c r="B122" s="39" t="s">
        <v>29</v>
      </c>
      <c r="C122" s="36">
        <v>0</v>
      </c>
      <c r="D122" s="36">
        <v>0</v>
      </c>
      <c r="E122" s="36"/>
      <c r="F122" s="36">
        <v>2019776.56</v>
      </c>
      <c r="G122" s="37">
        <f t="shared" si="17"/>
        <v>0</v>
      </c>
      <c r="H122" s="23">
        <f t="shared" si="21"/>
        <v>0</v>
      </c>
      <c r="I122" s="24">
        <f t="shared" si="21"/>
        <v>0</v>
      </c>
      <c r="J122" s="32" t="str" cm="1">
        <f t="array" ref="J122">IFERROR(_xlfn.IFS(B122="044 - BLEND TRADICION","BLEND",B122="113 - CAFÉ GOURMET","GOURMET",B122="114 - CAFÉ CONSUMO","CONSUMO",B122="112 - CAFÉ ORGANICO","GOURMET",B122="172 - CAFÉ COSECHA","ESPECIALES",B122="176 - CAFE DESCAFEINADO","GOURMET",B122="147 - CAPSULAS","CAPSULAS",B122="130 - GALLETAS CAFECITAS","DERIVADOS",B122="140 - MERENGUES","DERIVADOS",B122="100 - CAFÉ ESPECIAL","ESPECIALES",B122="141 - AREQUIPE","DERIVADOS",B122="142 - MERMELADA","DERIVADOS",B122="131 - GALLETAS AVENA","DERIVADOS",B122="160 - SOUVENIR","OTROS",B122="148 - CARAMELOS","DERIVADOS",B122="143 - CHOCOFFES","DERIVADOS",B122="162 - CONVENIOS Y DSC POS ","OTROS"),"OTROS")</f>
        <v>ESPECIALES</v>
      </c>
      <c r="L122" s="27">
        <f t="shared" si="18"/>
        <v>0</v>
      </c>
      <c r="M122" s="27">
        <f t="shared" si="19"/>
        <v>0</v>
      </c>
    </row>
    <row r="123" spans="1:13" ht="16.5" outlineLevel="1">
      <c r="A123" s="38"/>
      <c r="B123" s="39" t="s">
        <v>30</v>
      </c>
      <c r="C123" s="36">
        <v>0</v>
      </c>
      <c r="D123" s="36">
        <v>0</v>
      </c>
      <c r="E123" s="36">
        <v>0</v>
      </c>
      <c r="F123" s="36">
        <v>75457.58</v>
      </c>
      <c r="G123" s="37">
        <f t="shared" si="17"/>
        <v>0</v>
      </c>
      <c r="H123" s="23">
        <f t="shared" si="21"/>
        <v>0</v>
      </c>
      <c r="I123" s="24">
        <f t="shared" si="21"/>
        <v>0</v>
      </c>
      <c r="J123" s="32" t="str" cm="1">
        <f t="array" ref="J123">IFERROR(_xlfn.IFS(B123="044 - BLEND TRADICION","BLEND",B123="113 - CAFÉ GOURMET","GOURMET",B123="114 - CAFÉ CONSUMO","CONSUMO",B123="112 - CAFÉ ORGANICO","GOURMET",B123="172 - CAFÉ COSECHA","ESPECIALES",B123="176 - CAFE DESCAFEINADO","GOURMET",B123="147 - CAPSULAS","CAPSULAS",B123="130 - GALLETAS CAFECITAS","DERIVADOS",B123="140 - MERENGUES","DERIVADOS",B123="100 - CAFÉ ESPECIAL","ESPECIALES",B123="141 - AREQUIPE","DERIVADOS",B123="142 - MERMELADA","DERIVADOS",B123="131 - GALLETAS AVENA","DERIVADOS",B123="160 - SOUVENIR","OTROS",B123="148 - CARAMELOS","DERIVADOS",B123="143 - CHOCOFFES","DERIVADOS",B123="162 - CONVENIOS Y DSC POS ","OTROS"),"OTROS")</f>
        <v>GOURMET</v>
      </c>
      <c r="L123" s="27">
        <f t="shared" si="18"/>
        <v>0</v>
      </c>
      <c r="M123" s="27">
        <f t="shared" si="19"/>
        <v>0</v>
      </c>
    </row>
    <row r="124" spans="1:13" ht="16.5" outlineLevel="1">
      <c r="A124" s="19" t="s">
        <v>49</v>
      </c>
      <c r="B124" s="56" t="s">
        <v>32</v>
      </c>
      <c r="C124" s="54">
        <f>SUM(C111:C123)</f>
        <v>7818486</v>
      </c>
      <c r="D124" s="54">
        <f>SUM(D111:D123)</f>
        <v>0</v>
      </c>
      <c r="E124" s="54">
        <f>SUM(E111:E123)</f>
        <v>0</v>
      </c>
      <c r="F124" s="58">
        <f>SUM(F111:F123)</f>
        <v>58873274.050000004</v>
      </c>
      <c r="G124" s="55">
        <f t="shared" si="17"/>
        <v>0.13280195684989257</v>
      </c>
      <c r="H124" s="23">
        <f t="shared" si="21"/>
        <v>0</v>
      </c>
      <c r="I124" s="24">
        <f t="shared" si="21"/>
        <v>0</v>
      </c>
      <c r="J124" s="32" t="str" cm="1">
        <f t="array" ref="J124">IFERROR(_xlfn.IFS(B124="044 - BLEND TRADICION","BLEND",B124="113 - CAFÉ GOURMET","GOURMET",B124="114 - CAFÉ CONSUMO","CONSUMO",B124="112 - CAFÉ ORGANICO","GOURMET",B124="172 - CAFÉ COSECHA","ESPECIALES",B124="176 - CAFE DESCAFEINADO","GOURMET",B124="147 - CAPSULAS","CAPSULAS",B124="130 - GALLETAS CAFECITAS","DERIVADOS",B124="140 - MERENGUES","DERIVADOS",B124="100 - CAFÉ ESPECIAL","ESPECIALES",B124="141 - AREQUIPE","DERIVADOS",B124="142 - MERMELADA","DERIVADOS",B124="131 - GALLETAS AVENA","DERIVADOS",B124="160 - SOUVENIR","OTROS",B124="148 - CARAMELOS","DERIVADOS",B124="143 - CHOCOFFES","DERIVADOS",B124="162 - CONVENIOS Y DSC POS ","OTROS"),"OTROS")</f>
        <v>OTROS</v>
      </c>
      <c r="L124" s="27">
        <f t="shared" si="18"/>
        <v>7818486</v>
      </c>
      <c r="M124" s="27">
        <f t="shared" si="19"/>
        <v>7818486</v>
      </c>
    </row>
    <row r="125" spans="1:13" ht="16.5" outlineLevel="1">
      <c r="A125" s="33"/>
      <c r="B125" s="39" t="s">
        <v>18</v>
      </c>
      <c r="C125" s="36">
        <v>0</v>
      </c>
      <c r="D125" s="36">
        <v>0</v>
      </c>
      <c r="E125" s="36"/>
      <c r="F125" s="36">
        <v>5334403.3099999996</v>
      </c>
      <c r="G125" s="37">
        <f t="shared" si="17"/>
        <v>0</v>
      </c>
      <c r="H125" s="23">
        <f t="shared" si="21"/>
        <v>0</v>
      </c>
      <c r="I125" s="24">
        <f t="shared" si="21"/>
        <v>0</v>
      </c>
      <c r="J125" s="32" t="str" cm="1">
        <f t="array" ref="J125">IFERROR(_xlfn.IFS(B125="044 - BLEND TRADICION","BLEND",B125="113 - CAFÉ GOURMET","GOURMET",B125="114 - CAFÉ CONSUMO","CONSUMO",B125="112 - CAFÉ ORGANICO","GOURMET",B125="172 - CAFÉ COSECHA","ESPECIALES",B125="176 - CAFE DESCAFEINADO","GOURMET",B125="147 - CAPSULAS","CAPSULAS",B125="130 - GALLETAS CAFECITAS","DERIVADOS",B125="140 - MERENGUES","DERIVADOS",B125="100 - CAFÉ ESPECIAL","ESPECIALES",B125="141 - AREQUIPE","DERIVADOS",B125="142 - MERMELADA","DERIVADOS",B125="131 - GALLETAS AVENA","DERIVADOS",B125="160 - SOUVENIR","OTROS",B125="148 - CARAMELOS","DERIVADOS",B125="143 - CHOCOFFES","DERIVADOS",B125="162 - CONVENIOS Y DSC POS ","OTROS"),"OTROS")</f>
        <v>BLEND</v>
      </c>
      <c r="L125" s="27">
        <f t="shared" si="18"/>
        <v>0</v>
      </c>
      <c r="M125" s="27">
        <f t="shared" si="19"/>
        <v>0</v>
      </c>
    </row>
    <row r="126" spans="1:13" ht="16.5" outlineLevel="1">
      <c r="A126" s="38"/>
      <c r="B126" s="39" t="s">
        <v>19</v>
      </c>
      <c r="C126" s="36">
        <v>0</v>
      </c>
      <c r="D126" s="36">
        <v>0</v>
      </c>
      <c r="E126" s="36"/>
      <c r="F126" s="36">
        <v>1332928.3500000001</v>
      </c>
      <c r="G126" s="37">
        <f t="shared" si="17"/>
        <v>0</v>
      </c>
      <c r="H126" s="23">
        <f t="shared" ref="H126:I156" si="22">IFERROR(+D126/L126*100%,0)</f>
        <v>0</v>
      </c>
      <c r="I126" s="24">
        <f t="shared" si="22"/>
        <v>0</v>
      </c>
      <c r="J126" s="32" t="str" cm="1">
        <f t="array" ref="J126">IFERROR(_xlfn.IFS(B126="044 - BLEND TRADICION","BLEND",B126="113 - CAFÉ GOURMET","GOURMET",B126="114 - CAFÉ CONSUMO","CONSUMO",B126="112 - CAFÉ ORGANICO","GOURMET",B126="172 - CAFÉ COSECHA","ESPECIALES",B126="176 - CAFE DESCAFEINADO","GOURMET",B126="147 - CAPSULAS","CAPSULAS",B126="130 - GALLETAS CAFECITAS","DERIVADOS",B126="140 - MERENGUES","DERIVADOS",B126="100 - CAFÉ ESPECIAL","ESPECIALES",B126="141 - AREQUIPE","DERIVADOS",B126="142 - MERMELADA","DERIVADOS",B126="131 - GALLETAS AVENA","DERIVADOS",B126="160 - SOUVENIR","OTROS",B126="148 - CARAMELOS","DERIVADOS",B126="143 - CHOCOFFES","DERIVADOS",B126="162 - CONVENIOS Y DSC POS ","OTROS"),"OTROS")</f>
        <v>ESPECIALES</v>
      </c>
      <c r="L126" s="27">
        <f t="shared" si="18"/>
        <v>0</v>
      </c>
      <c r="M126" s="27">
        <f t="shared" si="19"/>
        <v>0</v>
      </c>
    </row>
    <row r="127" spans="1:13" ht="16.5" outlineLevel="1">
      <c r="A127" s="38"/>
      <c r="B127" s="39" t="s">
        <v>20</v>
      </c>
      <c r="C127" s="36">
        <v>0</v>
      </c>
      <c r="D127" s="36">
        <v>0</v>
      </c>
      <c r="E127" s="36"/>
      <c r="F127" s="36">
        <v>1484611.46</v>
      </c>
      <c r="G127" s="37">
        <f>IFERROR(C127/F127*100%,"-")</f>
        <v>0</v>
      </c>
      <c r="H127" s="23">
        <f t="shared" si="22"/>
        <v>0</v>
      </c>
      <c r="I127" s="24">
        <f t="shared" si="22"/>
        <v>0</v>
      </c>
      <c r="J127" s="32" t="str" cm="1">
        <f t="array" ref="J127">IFERROR(_xlfn.IFS(B127="044 - BLEND TRADICION","BLEND",B127="113 - CAFÉ GOURMET","GOURMET",B127="114 - CAFÉ CONSUMO","CONSUMO",B127="112 - CAFÉ ORGANICO","GOURMET",B127="172 - CAFÉ COSECHA","ESPECIALES",B127="176 - CAFE DESCAFEINADO","GOURMET",B127="147 - CAPSULAS","CAPSULAS",B127="130 - GALLETAS CAFECITAS","DERIVADOS",B127="140 - MERENGUES","DERIVADOS",B127="100 - CAFÉ ESPECIAL","ESPECIALES",B127="141 - AREQUIPE","DERIVADOS",B127="142 - MERMELADA","DERIVADOS",B127="131 - GALLETAS AVENA","DERIVADOS",B127="160 - SOUVENIR","OTROS",B127="148 - CARAMELOS","DERIVADOS",B127="143 - CHOCOFFES","DERIVADOS",B127="162 - CONVENIOS Y DSC POS ","OTROS"),"OTROS")</f>
        <v>GOURMET</v>
      </c>
      <c r="L127" s="27">
        <f t="shared" si="18"/>
        <v>0</v>
      </c>
      <c r="M127" s="27">
        <f t="shared" si="19"/>
        <v>0</v>
      </c>
    </row>
    <row r="128" spans="1:13" ht="16.5" outlineLevel="1">
      <c r="A128" s="38"/>
      <c r="B128" s="39" t="s">
        <v>21</v>
      </c>
      <c r="C128" s="36">
        <v>0</v>
      </c>
      <c r="D128" s="36">
        <v>0</v>
      </c>
      <c r="E128" s="36"/>
      <c r="F128" s="36">
        <v>49968995.509999998</v>
      </c>
      <c r="G128" s="37">
        <f t="shared" ref="G128:G137" si="23">IFERROR(C128/F128*100%,"-")</f>
        <v>0</v>
      </c>
      <c r="H128" s="23">
        <f t="shared" si="22"/>
        <v>0</v>
      </c>
      <c r="I128" s="24">
        <f t="shared" si="22"/>
        <v>0</v>
      </c>
      <c r="J128" s="32" t="str" cm="1">
        <f t="array" ref="J128">IFERROR(_xlfn.IFS(B128="044 - BLEND TRADICION","BLEND",B128="113 - CAFÉ GOURMET","GOURMET",B128="114 - CAFÉ CONSUMO","CONSUMO",B128="112 - CAFÉ ORGANICO","GOURMET",B128="172 - CAFÉ COSECHA","ESPECIALES",B128="176 - CAFE DESCAFEINADO","GOURMET",B128="147 - CAPSULAS","CAPSULAS",B128="130 - GALLETAS CAFECITAS","DERIVADOS",B128="140 - MERENGUES","DERIVADOS",B128="100 - CAFÉ ESPECIAL","ESPECIALES",B128="141 - AREQUIPE","DERIVADOS",B128="142 - MERMELADA","DERIVADOS",B128="131 - GALLETAS AVENA","DERIVADOS",B128="160 - SOUVENIR","OTROS",B128="148 - CARAMELOS","DERIVADOS",B128="143 - CHOCOFFES","DERIVADOS",B128="162 - CONVENIOS Y DSC POS ","OTROS"),"OTROS")</f>
        <v>GOURMET</v>
      </c>
      <c r="L128" s="27">
        <f t="shared" si="18"/>
        <v>0</v>
      </c>
      <c r="M128" s="27">
        <f t="shared" si="19"/>
        <v>0</v>
      </c>
    </row>
    <row r="129" spans="1:13" ht="16.5" outlineLevel="1">
      <c r="A129" s="38"/>
      <c r="B129" s="39" t="s">
        <v>22</v>
      </c>
      <c r="C129" s="36">
        <v>0</v>
      </c>
      <c r="D129" s="36">
        <v>0</v>
      </c>
      <c r="E129" s="36"/>
      <c r="F129" s="36">
        <v>9961569.3200000003</v>
      </c>
      <c r="G129" s="37">
        <f t="shared" si="23"/>
        <v>0</v>
      </c>
      <c r="H129" s="23">
        <f t="shared" si="22"/>
        <v>0</v>
      </c>
      <c r="I129" s="24">
        <f t="shared" si="22"/>
        <v>0</v>
      </c>
      <c r="J129" s="32" t="str" cm="1">
        <f t="array" ref="J129">IFERROR(_xlfn.IFS(B129="044 - BLEND TRADICION","BLEND",B129="113 - CAFÉ GOURMET","GOURMET",B129="114 - CAFÉ CONSUMO","CONSUMO",B129="112 - CAFÉ ORGANICO","GOURMET",B129="172 - CAFÉ COSECHA","ESPECIALES",B129="176 - CAFE DESCAFEINADO","GOURMET",B129="147 - CAPSULAS","CAPSULAS",B129="130 - GALLETAS CAFECITAS","DERIVADOS",B129="140 - MERENGUES","DERIVADOS",B129="100 - CAFÉ ESPECIAL","ESPECIALES",B129="141 - AREQUIPE","DERIVADOS",B129="142 - MERMELADA","DERIVADOS",B129="131 - GALLETAS AVENA","DERIVADOS",B129="160 - SOUVENIR","OTROS",B129="148 - CARAMELOS","DERIVADOS",B129="143 - CHOCOFFES","DERIVADOS",B129="162 - CONVENIOS Y DSC POS ","OTROS"),"OTROS")</f>
        <v>DERIVADOS</v>
      </c>
      <c r="L129" s="27">
        <f t="shared" si="18"/>
        <v>0</v>
      </c>
      <c r="M129" s="27">
        <f t="shared" si="19"/>
        <v>0</v>
      </c>
    </row>
    <row r="130" spans="1:13" ht="16.5" outlineLevel="1">
      <c r="A130" s="38"/>
      <c r="B130" s="39" t="s">
        <v>23</v>
      </c>
      <c r="C130" s="36">
        <v>0</v>
      </c>
      <c r="D130" s="36">
        <v>0</v>
      </c>
      <c r="E130" s="36"/>
      <c r="F130" s="36">
        <v>11794.96</v>
      </c>
      <c r="G130" s="37">
        <f t="shared" si="23"/>
        <v>0</v>
      </c>
      <c r="H130" s="23">
        <f t="shared" si="22"/>
        <v>0</v>
      </c>
      <c r="I130" s="24">
        <f t="shared" si="22"/>
        <v>0</v>
      </c>
      <c r="J130" s="32" t="str" cm="1">
        <f t="array" ref="J130">IFERROR(_xlfn.IFS(B130="044 - BLEND TRADICION","BLEND",B130="113 - CAFÉ GOURMET","GOURMET",B130="114 - CAFÉ CONSUMO","CONSUMO",B130="112 - CAFÉ ORGANICO","GOURMET",B130="172 - CAFÉ COSECHA","ESPECIALES",B130="176 - CAFE DESCAFEINADO","GOURMET",B130="147 - CAPSULAS","CAPSULAS",B130="130 - GALLETAS CAFECITAS","DERIVADOS",B130="140 - MERENGUES","DERIVADOS",B130="100 - CAFÉ ESPECIAL","ESPECIALES",B130="141 - AREQUIPE","DERIVADOS",B130="142 - MERMELADA","DERIVADOS",B130="131 - GALLETAS AVENA","DERIVADOS",B130="160 - SOUVENIR","OTROS",B130="148 - CARAMELOS","DERIVADOS",B130="143 - CHOCOFFES","DERIVADOS",B130="162 - CONVENIOS Y DSC POS ","OTROS"),"OTROS")</f>
        <v>DERIVADOS</v>
      </c>
      <c r="L130" s="27">
        <f t="shared" si="18"/>
        <v>0</v>
      </c>
      <c r="M130" s="27">
        <f t="shared" si="19"/>
        <v>0</v>
      </c>
    </row>
    <row r="131" spans="1:13" ht="16.5" outlineLevel="1">
      <c r="A131" s="38"/>
      <c r="B131" s="39" t="s">
        <v>24</v>
      </c>
      <c r="C131" s="36">
        <v>0</v>
      </c>
      <c r="D131" s="36">
        <v>0</v>
      </c>
      <c r="E131" s="36"/>
      <c r="F131" s="36">
        <v>854376.78</v>
      </c>
      <c r="G131" s="37">
        <f t="shared" si="23"/>
        <v>0</v>
      </c>
      <c r="H131" s="23">
        <f t="shared" si="22"/>
        <v>0</v>
      </c>
      <c r="I131" s="24">
        <f t="shared" si="22"/>
        <v>0</v>
      </c>
      <c r="J131" s="32" t="str" cm="1">
        <f t="array" ref="J131">IFERROR(_xlfn.IFS(B131="044 - BLEND TRADICION","BLEND",B131="113 - CAFÉ GOURMET","GOURMET",B131="114 - CAFÉ CONSUMO","CONSUMO",B131="112 - CAFÉ ORGANICO","GOURMET",B131="172 - CAFÉ COSECHA","ESPECIALES",B131="176 - CAFE DESCAFEINADO","GOURMET",B131="147 - CAPSULAS","CAPSULAS",B131="130 - GALLETAS CAFECITAS","DERIVADOS",B131="140 - MERENGUES","DERIVADOS",B131="100 - CAFÉ ESPECIAL","ESPECIALES",B131="141 - AREQUIPE","DERIVADOS",B131="142 - MERMELADA","DERIVADOS",B131="131 - GALLETAS AVENA","DERIVADOS",B131="160 - SOUVENIR","OTROS",B131="148 - CARAMELOS","DERIVADOS",B131="143 - CHOCOFFES","DERIVADOS",B131="162 - CONVENIOS Y DSC POS ","OTROS"),"OTROS")</f>
        <v>DERIVADOS</v>
      </c>
      <c r="L131" s="27">
        <f t="shared" si="18"/>
        <v>0</v>
      </c>
      <c r="M131" s="27">
        <f t="shared" si="19"/>
        <v>0</v>
      </c>
    </row>
    <row r="132" spans="1:13" ht="16.5" outlineLevel="1">
      <c r="A132" s="38"/>
      <c r="B132" s="39" t="s">
        <v>25</v>
      </c>
      <c r="C132" s="36">
        <v>0</v>
      </c>
      <c r="D132" s="36">
        <v>0</v>
      </c>
      <c r="E132" s="36"/>
      <c r="F132" s="36">
        <v>3865702.13</v>
      </c>
      <c r="G132" s="37">
        <f t="shared" si="23"/>
        <v>0</v>
      </c>
      <c r="H132" s="23">
        <f t="shared" si="22"/>
        <v>0</v>
      </c>
      <c r="I132" s="24">
        <f t="shared" si="22"/>
        <v>0</v>
      </c>
      <c r="J132" s="32" t="str" cm="1">
        <f t="array" ref="J132">IFERROR(_xlfn.IFS(B132="044 - BLEND TRADICION","BLEND",B132="113 - CAFÉ GOURMET","GOURMET",B132="114 - CAFÉ CONSUMO","CONSUMO",B132="112 - CAFÉ ORGANICO","GOURMET",B132="172 - CAFÉ COSECHA","ESPECIALES",B132="176 - CAFE DESCAFEINADO","GOURMET",B132="147 - CAPSULAS","CAPSULAS",B132="130 - GALLETAS CAFECITAS","DERIVADOS",B132="140 - MERENGUES","DERIVADOS",B132="100 - CAFÉ ESPECIAL","ESPECIALES",B132="141 - AREQUIPE","DERIVADOS",B132="142 - MERMELADA","DERIVADOS",B132="131 - GALLETAS AVENA","DERIVADOS",B132="160 - SOUVENIR","OTROS",B132="148 - CARAMELOS","DERIVADOS",B132="143 - CHOCOFFES","DERIVADOS",B132="162 - CONVENIOS Y DSC POS ","OTROS"),"OTROS")</f>
        <v>DERIVADOS</v>
      </c>
      <c r="L132" s="27">
        <f t="shared" si="18"/>
        <v>0</v>
      </c>
      <c r="M132" s="27">
        <f t="shared" si="19"/>
        <v>0</v>
      </c>
    </row>
    <row r="133" spans="1:13" ht="16.5" outlineLevel="1">
      <c r="A133" s="38"/>
      <c r="B133" s="39" t="s">
        <v>26</v>
      </c>
      <c r="C133" s="36">
        <v>0</v>
      </c>
      <c r="D133" s="36">
        <v>0</v>
      </c>
      <c r="E133" s="36"/>
      <c r="F133" s="36">
        <v>866649.1</v>
      </c>
      <c r="G133" s="37">
        <f t="shared" si="23"/>
        <v>0</v>
      </c>
      <c r="H133" s="23">
        <f t="shared" si="22"/>
        <v>0</v>
      </c>
      <c r="I133" s="24">
        <f t="shared" si="22"/>
        <v>0</v>
      </c>
      <c r="J133" s="32" t="str" cm="1">
        <f t="array" ref="J133">IFERROR(_xlfn.IFS(B133="044 - BLEND TRADICION","BLEND",B133="113 - CAFÉ GOURMET","GOURMET",B133="114 - CAFÉ CONSUMO","CONSUMO",B133="112 - CAFÉ ORGANICO","GOURMET",B133="172 - CAFÉ COSECHA","ESPECIALES",B133="176 - CAFE DESCAFEINADO","GOURMET",B133="147 - CAPSULAS","CAPSULAS",B133="130 - GALLETAS CAFECITAS","DERIVADOS",B133="140 - MERENGUES","DERIVADOS",B133="100 - CAFÉ ESPECIAL","ESPECIALES",B133="141 - AREQUIPE","DERIVADOS",B133="142 - MERMELADA","DERIVADOS",B133="131 - GALLETAS AVENA","DERIVADOS",B133="160 - SOUVENIR","OTROS",B133="148 - CARAMELOS","DERIVADOS",B133="143 - CHOCOFFES","DERIVADOS",B133="162 - CONVENIOS Y DSC POS ","OTROS"),"OTROS")</f>
        <v>CAPSULAS</v>
      </c>
      <c r="L133" s="27">
        <f t="shared" si="18"/>
        <v>0</v>
      </c>
      <c r="M133" s="27">
        <f t="shared" si="19"/>
        <v>0</v>
      </c>
    </row>
    <row r="134" spans="1:13" ht="16.5" outlineLevel="1">
      <c r="A134" s="38"/>
      <c r="B134" s="39" t="s">
        <v>27</v>
      </c>
      <c r="C134" s="36">
        <v>0</v>
      </c>
      <c r="D134" s="36">
        <v>0</v>
      </c>
      <c r="E134" s="36"/>
      <c r="F134" s="36">
        <v>6049716.3799999999</v>
      </c>
      <c r="G134" s="37">
        <f t="shared" si="23"/>
        <v>0</v>
      </c>
      <c r="H134" s="23">
        <f t="shared" si="22"/>
        <v>0</v>
      </c>
      <c r="I134" s="24">
        <f t="shared" si="22"/>
        <v>0</v>
      </c>
      <c r="J134" s="32" t="str" cm="1">
        <f t="array" ref="J134">IFERROR(_xlfn.IFS(B134="044 - BLEND TRADICION","BLEND",B134="113 - CAFÉ GOURMET","GOURMET",B134="114 - CAFÉ CONSUMO","CONSUMO",B134="112 - CAFÉ ORGANICO","GOURMET",B134="172 - CAFÉ COSECHA","ESPECIALES",B134="176 - CAFE DESCAFEINADO","GOURMET",B134="147 - CAPSULAS","CAPSULAS",B134="130 - GALLETAS CAFECITAS","DERIVADOS",B134="140 - MERENGUES","DERIVADOS",B134="100 - CAFÉ ESPECIAL","ESPECIALES",B134="141 - AREQUIPE","DERIVADOS",B134="142 - MERMELADA","DERIVADOS",B134="131 - GALLETAS AVENA","DERIVADOS",B134="160 - SOUVENIR","OTROS",B134="148 - CARAMELOS","DERIVADOS",B134="143 - CHOCOFFES","DERIVADOS",B134="162 - CONVENIOS Y DSC POS ","OTROS"),"OTROS")</f>
        <v>DERIVADOS</v>
      </c>
      <c r="L134" s="27">
        <f t="shared" si="18"/>
        <v>0</v>
      </c>
      <c r="M134" s="27">
        <f t="shared" si="19"/>
        <v>0</v>
      </c>
    </row>
    <row r="135" spans="1:13" ht="16.5" outlineLevel="1">
      <c r="A135" s="38"/>
      <c r="B135" s="39" t="s">
        <v>28</v>
      </c>
      <c r="C135" s="36">
        <v>0</v>
      </c>
      <c r="D135" s="36">
        <v>0</v>
      </c>
      <c r="E135" s="36"/>
      <c r="F135" s="36">
        <v>2122980.0499999998</v>
      </c>
      <c r="G135" s="37">
        <f t="shared" si="23"/>
        <v>0</v>
      </c>
      <c r="H135" s="23">
        <f t="shared" si="22"/>
        <v>0</v>
      </c>
      <c r="I135" s="24">
        <f t="shared" si="22"/>
        <v>0</v>
      </c>
      <c r="J135" s="32" t="str" cm="1">
        <f t="array" ref="J135">IFERROR(_xlfn.IFS(B135="044 - BLEND TRADICION","BLEND",B135="113 - CAFÉ GOURMET","GOURMET",B135="114 - CAFÉ CONSUMO","CONSUMO",B135="112 - CAFÉ ORGANICO","GOURMET",B135="172 - CAFÉ COSECHA","ESPECIALES",B135="176 - CAFE DESCAFEINADO","GOURMET",B135="147 - CAPSULAS","CAPSULAS",B135="130 - GALLETAS CAFECITAS","DERIVADOS",B135="140 - MERENGUES","DERIVADOS",B135="100 - CAFÉ ESPECIAL","ESPECIALES",B135="141 - AREQUIPE","DERIVADOS",B135="142 - MERMELADA","DERIVADOS",B135="131 - GALLETAS AVENA","DERIVADOS",B135="160 - SOUVENIR","OTROS",B135="148 - CARAMELOS","DERIVADOS",B135="143 - CHOCOFFES","DERIVADOS",B135="162 - CONVENIOS Y DSC POS ","OTROS"),"OTROS")</f>
        <v>OTROS</v>
      </c>
      <c r="L135" s="27">
        <f t="shared" si="18"/>
        <v>0</v>
      </c>
      <c r="M135" s="27">
        <f t="shared" si="19"/>
        <v>0</v>
      </c>
    </row>
    <row r="136" spans="1:13" ht="16.5" outlineLevel="1">
      <c r="A136" s="38"/>
      <c r="B136" s="39" t="s">
        <v>29</v>
      </c>
      <c r="C136" s="36">
        <v>0</v>
      </c>
      <c r="D136" s="36">
        <v>0</v>
      </c>
      <c r="E136" s="36"/>
      <c r="F136" s="36">
        <v>6357550.9400000004</v>
      </c>
      <c r="G136" s="37">
        <f t="shared" si="23"/>
        <v>0</v>
      </c>
      <c r="H136" s="23">
        <f t="shared" si="22"/>
        <v>0</v>
      </c>
      <c r="I136" s="24">
        <f t="shared" si="22"/>
        <v>0</v>
      </c>
      <c r="J136" s="32" t="str" cm="1">
        <f t="array" ref="J136">IFERROR(_xlfn.IFS(B136="044 - BLEND TRADICION","BLEND",B136="113 - CAFÉ GOURMET","GOURMET",B136="114 - CAFÉ CONSUMO","CONSUMO",B136="112 - CAFÉ ORGANICO","GOURMET",B136="172 - CAFÉ COSECHA","ESPECIALES",B136="176 - CAFE DESCAFEINADO","GOURMET",B136="147 - CAPSULAS","CAPSULAS",B136="130 - GALLETAS CAFECITAS","DERIVADOS",B136="140 - MERENGUES","DERIVADOS",B136="100 - CAFÉ ESPECIAL","ESPECIALES",B136="141 - AREQUIPE","DERIVADOS",B136="142 - MERMELADA","DERIVADOS",B136="131 - GALLETAS AVENA","DERIVADOS",B136="160 - SOUVENIR","OTROS",B136="148 - CARAMELOS","DERIVADOS",B136="143 - CHOCOFFES","DERIVADOS",B136="162 - CONVENIOS Y DSC POS ","OTROS"),"OTROS")</f>
        <v>ESPECIALES</v>
      </c>
      <c r="L136" s="27">
        <f t="shared" si="18"/>
        <v>0</v>
      </c>
      <c r="M136" s="27">
        <f t="shared" si="19"/>
        <v>0</v>
      </c>
    </row>
    <row r="137" spans="1:13" ht="16.5" outlineLevel="1">
      <c r="A137" s="38"/>
      <c r="B137" s="61" t="s">
        <v>30</v>
      </c>
      <c r="C137" s="100">
        <v>0</v>
      </c>
      <c r="D137" s="36">
        <v>0</v>
      </c>
      <c r="E137" s="36"/>
      <c r="F137" s="36">
        <v>974571.04</v>
      </c>
      <c r="G137" s="37">
        <f t="shared" si="23"/>
        <v>0</v>
      </c>
      <c r="H137" s="23">
        <f t="shared" si="22"/>
        <v>0</v>
      </c>
      <c r="I137" s="24">
        <f t="shared" si="22"/>
        <v>0</v>
      </c>
      <c r="J137" s="32" t="str" cm="1">
        <f t="array" ref="J137">IFERROR(_xlfn.IFS(B137="044 - BLEND TRADICION","BLEND",B137="113 - CAFÉ GOURMET","GOURMET",B137="114 - CAFÉ CONSUMO","CONSUMO",B137="112 - CAFÉ ORGANICO","GOURMET",B137="172 - CAFÉ COSECHA","ESPECIALES",B137="176 - CAFE DESCAFEINADO","GOURMET",B137="147 - CAPSULAS","CAPSULAS",B137="130 - GALLETAS CAFECITAS","DERIVADOS",B137="140 - MERENGUES","DERIVADOS",B137="100 - CAFÉ ESPECIAL","ESPECIALES",B137="141 - AREQUIPE","DERIVADOS",B137="142 - MERMELADA","DERIVADOS",B137="131 - GALLETAS AVENA","DERIVADOS",B137="160 - SOUVENIR","OTROS",B137="148 - CARAMELOS","DERIVADOS",B137="143 - CHOCOFFES","DERIVADOS",B137="162 - CONVENIOS Y DSC POS ","OTROS"),"OTROS")</f>
        <v>GOURMET</v>
      </c>
      <c r="L137" s="27">
        <f t="shared" si="18"/>
        <v>0</v>
      </c>
      <c r="M137" s="27">
        <f t="shared" si="19"/>
        <v>0</v>
      </c>
    </row>
    <row r="138" spans="1:13" ht="16.5" outlineLevel="1">
      <c r="A138" s="52" t="s">
        <v>51</v>
      </c>
      <c r="B138" s="20" t="s">
        <v>32</v>
      </c>
      <c r="C138" s="21">
        <f>SUM(C125:C137)</f>
        <v>0</v>
      </c>
      <c r="D138" s="53">
        <f>SUM(D125:D137)</f>
        <v>0</v>
      </c>
      <c r="E138" s="54">
        <f>SUM(E125:E137)</f>
        <v>0</v>
      </c>
      <c r="F138" s="58">
        <f>SUM(F125:F137)</f>
        <v>89185849.329999968</v>
      </c>
      <c r="G138" s="55">
        <f>IFERROR(C138/F138*100%,"-")</f>
        <v>0</v>
      </c>
      <c r="H138" s="23">
        <f t="shared" si="22"/>
        <v>0</v>
      </c>
      <c r="I138" s="24">
        <f t="shared" si="22"/>
        <v>0</v>
      </c>
      <c r="J138" s="32" t="str" cm="1">
        <f t="array" ref="J138">IFERROR(_xlfn.IFS(B138="044 - BLEND TRADICION","BLEND",B138="113 - CAFÉ GOURMET","GOURMET",B138="114 - CAFÉ CONSUMO","CONSUMO",B138="112 - CAFÉ ORGANICO","GOURMET",B138="172 - CAFÉ COSECHA","ESPECIALES",B138="176 - CAFE DESCAFEINADO","GOURMET",B138="147 - CAPSULAS","CAPSULAS",B138="130 - GALLETAS CAFECITAS","DERIVADOS",B138="140 - MERENGUES","DERIVADOS",B138="100 - CAFÉ ESPECIAL","ESPECIALES",B138="141 - AREQUIPE","DERIVADOS",B138="142 - MERMELADA","DERIVADOS",B138="131 - GALLETAS AVENA","DERIVADOS",B138="160 - SOUVENIR","OTROS",B138="148 - CARAMELOS","DERIVADOS",B138="143 - CHOCOFFES","DERIVADOS",B138="162 - CONVENIOS Y DSC POS ","OTROS"),"OTROS")</f>
        <v>OTROS</v>
      </c>
      <c r="L138" s="27">
        <f t="shared" si="18"/>
        <v>0</v>
      </c>
      <c r="M138" s="27">
        <f t="shared" si="19"/>
        <v>0</v>
      </c>
    </row>
    <row r="139" spans="1:13" ht="16.5" outlineLevel="1">
      <c r="A139" s="33"/>
      <c r="B139" s="45" t="s">
        <v>42</v>
      </c>
      <c r="C139" s="46">
        <v>40584</v>
      </c>
      <c r="D139" s="47">
        <v>0</v>
      </c>
      <c r="E139" s="36">
        <v>0</v>
      </c>
      <c r="F139" s="36">
        <v>0</v>
      </c>
      <c r="G139" s="37" t="str">
        <f t="shared" ref="G139:G204" si="24">IFERROR(C139/F139*100%,"-")</f>
        <v>-</v>
      </c>
      <c r="H139" s="23">
        <f t="shared" si="22"/>
        <v>0</v>
      </c>
      <c r="I139" s="24">
        <f t="shared" si="22"/>
        <v>0</v>
      </c>
      <c r="J139" s="32" t="str" cm="1">
        <f t="array" ref="J139">IFERROR(_xlfn.IFS(B139="044 - BLEND TRADICION","BLEND",B139="113 - CAFÉ GOURMET","GOURMET",B139="114 - CAFÉ CONSUMO","CONSUMO",B139="112 - CAFÉ ORGANICO","GOURMET",B139="172 - CAFÉ COSECHA","ESPECIALES",B139="176 - CAFE DESCAFEINADO","GOURMET",B139="147 - CAPSULAS","CAPSULAS",B139="130 - GALLETAS CAFECITAS","DERIVADOS",B139="140 - MERENGUES","DERIVADOS",B139="100 - CAFÉ ESPECIAL","ESPECIALES",B139="141 - AREQUIPE","DERIVADOS",B139="142 - MERMELADA","DERIVADOS",B139="131 - GALLETAS AVENA","DERIVADOS",B139="160 - SOUVENIR","OTROS",B139="148 - CARAMELOS","DERIVADOS",B139="143 - CHOCOFFES","DERIVADOS",B139="162 - CONVENIOS Y DSC POS ","OTROS"),"OTROS")</f>
        <v>OTROS</v>
      </c>
      <c r="L139" s="27">
        <f t="shared" si="18"/>
        <v>40584</v>
      </c>
      <c r="M139" s="27">
        <f t="shared" si="19"/>
        <v>40584</v>
      </c>
    </row>
    <row r="140" spans="1:13" ht="16.5" outlineLevel="1">
      <c r="A140" s="44"/>
      <c r="B140" s="45" t="s">
        <v>18</v>
      </c>
      <c r="C140" s="46">
        <v>1304000</v>
      </c>
      <c r="D140" s="47">
        <v>0</v>
      </c>
      <c r="E140" s="36">
        <v>0</v>
      </c>
      <c r="F140" s="36">
        <v>14379067.41</v>
      </c>
      <c r="G140" s="37">
        <f t="shared" si="24"/>
        <v>9.0687383459453444E-2</v>
      </c>
      <c r="H140" s="23">
        <f t="shared" si="22"/>
        <v>0</v>
      </c>
      <c r="I140" s="24">
        <f t="shared" si="22"/>
        <v>0</v>
      </c>
      <c r="J140" s="32" t="str" cm="1">
        <f t="array" ref="J140">IFERROR(_xlfn.IFS(B140="044 - BLEND TRADICION","BLEND",B140="113 - CAFÉ GOURMET","GOURMET",B140="114 - CAFÉ CONSUMO","CONSUMO",B140="112 - CAFÉ ORGANICO","GOURMET",B140="172 - CAFÉ COSECHA","ESPECIALES",B140="176 - CAFE DESCAFEINADO","GOURMET",B140="147 - CAPSULAS","CAPSULAS",B140="130 - GALLETAS CAFECITAS","DERIVADOS",B140="140 - MERENGUES","DERIVADOS",B140="100 - CAFÉ ESPECIAL","ESPECIALES",B140="141 - AREQUIPE","DERIVADOS",B140="142 - MERMELADA","DERIVADOS",B140="131 - GALLETAS AVENA","DERIVADOS",B140="160 - SOUVENIR","OTROS",B140="148 - CARAMELOS","DERIVADOS",B140="143 - CHOCOFFES","DERIVADOS",B140="162 - CONVENIOS Y DSC POS ","OTROS"),"OTROS")</f>
        <v>BLEND</v>
      </c>
      <c r="L140" s="27">
        <f t="shared" si="18"/>
        <v>1304000</v>
      </c>
      <c r="M140" s="27">
        <f t="shared" si="19"/>
        <v>1304000</v>
      </c>
    </row>
    <row r="141" spans="1:13" ht="16.5" outlineLevel="1">
      <c r="A141" s="44"/>
      <c r="B141" s="45" t="s">
        <v>19</v>
      </c>
      <c r="C141" s="46">
        <v>1026864</v>
      </c>
      <c r="D141" s="47">
        <v>0</v>
      </c>
      <c r="E141" s="36">
        <v>0</v>
      </c>
      <c r="F141" s="36">
        <v>3909295.37</v>
      </c>
      <c r="G141" s="37">
        <f t="shared" si="24"/>
        <v>0.26267240072985326</v>
      </c>
      <c r="H141" s="23">
        <f t="shared" si="22"/>
        <v>0</v>
      </c>
      <c r="I141" s="24">
        <f t="shared" si="22"/>
        <v>0</v>
      </c>
      <c r="J141" s="32" t="str" cm="1">
        <f t="array" ref="J141">IFERROR(_xlfn.IFS(B141="044 - BLEND TRADICION","BLEND",B141="113 - CAFÉ GOURMET","GOURMET",B141="114 - CAFÉ CONSUMO","CONSUMO",B141="112 - CAFÉ ORGANICO","GOURMET",B141="172 - CAFÉ COSECHA","ESPECIALES",B141="176 - CAFE DESCAFEINADO","GOURMET",B141="147 - CAPSULAS","CAPSULAS",B141="130 - GALLETAS CAFECITAS","DERIVADOS",B141="140 - MERENGUES","DERIVADOS",B141="100 - CAFÉ ESPECIAL","ESPECIALES",B141="141 - AREQUIPE","DERIVADOS",B141="142 - MERMELADA","DERIVADOS",B141="131 - GALLETAS AVENA","DERIVADOS",B141="160 - SOUVENIR","OTROS",B141="148 - CARAMELOS","DERIVADOS",B141="143 - CHOCOFFES","DERIVADOS",B141="162 - CONVENIOS Y DSC POS ","OTROS"),"OTROS")</f>
        <v>ESPECIALES</v>
      </c>
      <c r="L141" s="27">
        <f t="shared" si="18"/>
        <v>1026864</v>
      </c>
      <c r="M141" s="27">
        <f t="shared" si="19"/>
        <v>1026864</v>
      </c>
    </row>
    <row r="142" spans="1:13" ht="16.5" outlineLevel="1">
      <c r="A142" s="44"/>
      <c r="B142" s="45" t="s">
        <v>20</v>
      </c>
      <c r="C142" s="46">
        <v>767760</v>
      </c>
      <c r="D142" s="47">
        <v>0</v>
      </c>
      <c r="E142" s="36">
        <v>0</v>
      </c>
      <c r="F142" s="36">
        <v>4626025.21</v>
      </c>
      <c r="G142" s="37">
        <f t="shared" si="24"/>
        <v>0.16596537311131515</v>
      </c>
      <c r="H142" s="23">
        <f t="shared" si="22"/>
        <v>0</v>
      </c>
      <c r="I142" s="24">
        <f t="shared" si="22"/>
        <v>0</v>
      </c>
      <c r="J142" s="32" t="str" cm="1">
        <f t="array" ref="J142">IFERROR(_xlfn.IFS(B142="044 - BLEND TRADICION","BLEND",B142="113 - CAFÉ GOURMET","GOURMET",B142="114 - CAFÉ CONSUMO","CONSUMO",B142="112 - CAFÉ ORGANICO","GOURMET",B142="172 - CAFÉ COSECHA","ESPECIALES",B142="176 - CAFE DESCAFEINADO","GOURMET",B142="147 - CAPSULAS","CAPSULAS",B142="130 - GALLETAS CAFECITAS","DERIVADOS",B142="140 - MERENGUES","DERIVADOS",B142="100 - CAFÉ ESPECIAL","ESPECIALES",B142="141 - AREQUIPE","DERIVADOS",B142="142 - MERMELADA","DERIVADOS",B142="131 - GALLETAS AVENA","DERIVADOS",B142="160 - SOUVENIR","OTROS",B142="148 - CARAMELOS","DERIVADOS",B142="143 - CHOCOFFES","DERIVADOS",B142="162 - CONVENIOS Y DSC POS ","OTROS"),"OTROS")</f>
        <v>GOURMET</v>
      </c>
      <c r="L142" s="27">
        <f t="shared" si="18"/>
        <v>767760</v>
      </c>
      <c r="M142" s="27">
        <f t="shared" si="19"/>
        <v>767760</v>
      </c>
    </row>
    <row r="143" spans="1:13" ht="16.5" outlineLevel="1">
      <c r="A143" s="44"/>
      <c r="B143" s="45" t="s">
        <v>21</v>
      </c>
      <c r="C143" s="46">
        <v>11796408</v>
      </c>
      <c r="D143" s="47">
        <v>0</v>
      </c>
      <c r="E143" s="36"/>
      <c r="F143" s="36">
        <v>114747780.18000001</v>
      </c>
      <c r="G143" s="37">
        <f t="shared" si="24"/>
        <v>0.10280292988235129</v>
      </c>
      <c r="H143" s="23">
        <f t="shared" si="22"/>
        <v>0</v>
      </c>
      <c r="I143" s="24">
        <f t="shared" si="22"/>
        <v>0</v>
      </c>
      <c r="J143" s="32" t="str" cm="1">
        <f t="array" ref="J143">IFERROR(_xlfn.IFS(B143="044 - BLEND TRADICION","BLEND",B143="113 - CAFÉ GOURMET","GOURMET",B143="114 - CAFÉ CONSUMO","CONSUMO",B143="112 - CAFÉ ORGANICO","GOURMET",B143="172 - CAFÉ COSECHA","ESPECIALES",B143="176 - CAFE DESCAFEINADO","GOURMET",B143="147 - CAPSULAS","CAPSULAS",B143="130 - GALLETAS CAFECITAS","DERIVADOS",B143="140 - MERENGUES","DERIVADOS",B143="100 - CAFÉ ESPECIAL","ESPECIALES",B143="141 - AREQUIPE","DERIVADOS",B143="142 - MERMELADA","DERIVADOS",B143="131 - GALLETAS AVENA","DERIVADOS",B143="160 - SOUVENIR","OTROS",B143="148 - CARAMELOS","DERIVADOS",B143="143 - CHOCOFFES","DERIVADOS",B143="162 - CONVENIOS Y DSC POS ","OTROS"),"OTROS")</f>
        <v>GOURMET</v>
      </c>
      <c r="L143" s="27">
        <f t="shared" si="18"/>
        <v>11796408</v>
      </c>
      <c r="M143" s="27">
        <f t="shared" si="19"/>
        <v>11796408</v>
      </c>
    </row>
    <row r="144" spans="1:13" ht="16.5" outlineLevel="1">
      <c r="A144" s="38"/>
      <c r="B144" s="34" t="s">
        <v>38</v>
      </c>
      <c r="C144" s="35">
        <v>0</v>
      </c>
      <c r="D144" s="36">
        <v>0</v>
      </c>
      <c r="E144" s="36"/>
      <c r="F144" s="36">
        <v>353869.81</v>
      </c>
      <c r="G144" s="37">
        <f t="shared" si="24"/>
        <v>0</v>
      </c>
      <c r="H144" s="23">
        <f t="shared" si="22"/>
        <v>0</v>
      </c>
      <c r="I144" s="24">
        <f t="shared" si="22"/>
        <v>0</v>
      </c>
      <c r="J144" s="32" t="str" cm="1">
        <f t="array" ref="J144">IFERROR(_xlfn.IFS(B144="044 - BLEND TRADICION","BLEND",B144="113 - CAFÉ GOURMET","GOURMET",B144="114 - CAFÉ CONSUMO","CONSUMO",B144="112 - CAFÉ ORGANICO","GOURMET",B144="172 - CAFÉ COSECHA","ESPECIALES",B144="176 - CAFE DESCAFEINADO","GOURMET",B144="147 - CAPSULAS","CAPSULAS",B144="130 - GALLETAS CAFECITAS","DERIVADOS",B144="140 - MERENGUES","DERIVADOS",B144="100 - CAFÉ ESPECIAL","ESPECIALES",B144="141 - AREQUIPE","DERIVADOS",B144="142 - MERMELADA","DERIVADOS",B144="131 - GALLETAS AVENA","DERIVADOS",B144="160 - SOUVENIR","OTROS",B144="148 - CARAMELOS","DERIVADOS",B144="143 - CHOCOFFES","DERIVADOS",B144="162 - CONVENIOS Y DSC POS ","OTROS"),"OTROS")</f>
        <v>CONSUMO</v>
      </c>
      <c r="L144" s="27">
        <f t="shared" si="18"/>
        <v>0</v>
      </c>
      <c r="M144" s="27">
        <f t="shared" si="19"/>
        <v>0</v>
      </c>
    </row>
    <row r="145" spans="1:13" ht="16.5" outlineLevel="1">
      <c r="A145" s="38"/>
      <c r="B145" s="39" t="s">
        <v>22</v>
      </c>
      <c r="C145" s="36">
        <v>2365492</v>
      </c>
      <c r="D145" s="36">
        <v>0</v>
      </c>
      <c r="E145" s="36"/>
      <c r="F145" s="36">
        <v>21366443.850000001</v>
      </c>
      <c r="G145" s="37">
        <f t="shared" si="24"/>
        <v>0.11071060849463725</v>
      </c>
      <c r="H145" s="23">
        <f t="shared" si="22"/>
        <v>0</v>
      </c>
      <c r="I145" s="24">
        <f t="shared" si="22"/>
        <v>0</v>
      </c>
      <c r="J145" s="32" t="str" cm="1">
        <f t="array" ref="J145">IFERROR(_xlfn.IFS(B145="044 - BLEND TRADICION","BLEND",B145="113 - CAFÉ GOURMET","GOURMET",B145="114 - CAFÉ CONSUMO","CONSUMO",B145="112 - CAFÉ ORGANICO","GOURMET",B145="172 - CAFÉ COSECHA","ESPECIALES",B145="176 - CAFE DESCAFEINADO","GOURMET",B145="147 - CAPSULAS","CAPSULAS",B145="130 - GALLETAS CAFECITAS","DERIVADOS",B145="140 - MERENGUES","DERIVADOS",B145="100 - CAFÉ ESPECIAL","ESPECIALES",B145="141 - AREQUIPE","DERIVADOS",B145="142 - MERMELADA","DERIVADOS",B145="131 - GALLETAS AVENA","DERIVADOS",B145="160 - SOUVENIR","OTROS",B145="148 - CARAMELOS","DERIVADOS",B145="143 - CHOCOFFES","DERIVADOS",B145="162 - CONVENIOS Y DSC POS ","OTROS"),"OTROS")</f>
        <v>DERIVADOS</v>
      </c>
      <c r="L145" s="27">
        <f t="shared" si="18"/>
        <v>2365492</v>
      </c>
      <c r="M145" s="27">
        <f t="shared" si="19"/>
        <v>2365492</v>
      </c>
    </row>
    <row r="146" spans="1:13" ht="16.5" outlineLevel="1">
      <c r="A146" s="38"/>
      <c r="B146" s="39" t="s">
        <v>23</v>
      </c>
      <c r="C146" s="36">
        <v>59664</v>
      </c>
      <c r="D146" s="36">
        <v>0</v>
      </c>
      <c r="E146" s="36"/>
      <c r="F146" s="36">
        <v>227657.98</v>
      </c>
      <c r="G146" s="37">
        <f t="shared" si="24"/>
        <v>0.26207734953986678</v>
      </c>
      <c r="H146" s="23">
        <f t="shared" si="22"/>
        <v>0</v>
      </c>
      <c r="I146" s="24">
        <f t="shared" si="22"/>
        <v>0</v>
      </c>
      <c r="J146" s="32" t="str" cm="1">
        <f t="array" ref="J146">IFERROR(_xlfn.IFS(B146="044 - BLEND TRADICION","BLEND",B146="113 - CAFÉ GOURMET","GOURMET",B146="114 - CAFÉ CONSUMO","CONSUMO",B146="112 - CAFÉ ORGANICO","GOURMET",B146="172 - CAFÉ COSECHA","ESPECIALES",B146="176 - CAFE DESCAFEINADO","GOURMET",B146="147 - CAPSULAS","CAPSULAS",B146="130 - GALLETAS CAFECITAS","DERIVADOS",B146="140 - MERENGUES","DERIVADOS",B146="100 - CAFÉ ESPECIAL","ESPECIALES",B146="141 - AREQUIPE","DERIVADOS",B146="142 - MERMELADA","DERIVADOS",B146="131 - GALLETAS AVENA","DERIVADOS",B146="160 - SOUVENIR","OTROS",B146="148 - CARAMELOS","DERIVADOS",B146="143 - CHOCOFFES","DERIVADOS",B146="162 - CONVENIOS Y DSC POS ","OTROS"),"OTROS")</f>
        <v>DERIVADOS</v>
      </c>
      <c r="L146" s="27">
        <f t="shared" si="18"/>
        <v>59664</v>
      </c>
      <c r="M146" s="27">
        <f t="shared" si="19"/>
        <v>59664</v>
      </c>
    </row>
    <row r="147" spans="1:13" ht="16.5" outlineLevel="1">
      <c r="A147" s="38"/>
      <c r="B147" s="39" t="s">
        <v>24</v>
      </c>
      <c r="C147" s="36">
        <v>242944</v>
      </c>
      <c r="D147" s="36">
        <v>0</v>
      </c>
      <c r="E147" s="36"/>
      <c r="F147" s="36">
        <v>2117327.71</v>
      </c>
      <c r="G147" s="37">
        <f t="shared" si="24"/>
        <v>0.11474085889141837</v>
      </c>
      <c r="H147" s="23">
        <f t="shared" si="22"/>
        <v>0</v>
      </c>
      <c r="I147" s="24">
        <f t="shared" si="22"/>
        <v>0</v>
      </c>
      <c r="J147" s="32" t="str" cm="1">
        <f t="array" ref="J147">IFERROR(_xlfn.IFS(B147="044 - BLEND TRADICION","BLEND",B147="113 - CAFÉ GOURMET","GOURMET",B147="114 - CAFÉ CONSUMO","CONSUMO",B147="112 - CAFÉ ORGANICO","GOURMET",B147="172 - CAFÉ COSECHA","ESPECIALES",B147="176 - CAFE DESCAFEINADO","GOURMET",B147="147 - CAPSULAS","CAPSULAS",B147="130 - GALLETAS CAFECITAS","DERIVADOS",B147="140 - MERENGUES","DERIVADOS",B147="100 - CAFÉ ESPECIAL","ESPECIALES",B147="141 - AREQUIPE","DERIVADOS",B147="142 - MERMELADA","DERIVADOS",B147="131 - GALLETAS AVENA","DERIVADOS",B147="160 - SOUVENIR","OTROS",B147="148 - CARAMELOS","DERIVADOS",B147="143 - CHOCOFFES","DERIVADOS",B147="162 - CONVENIOS Y DSC POS ","OTROS"),"OTROS")</f>
        <v>DERIVADOS</v>
      </c>
      <c r="L147" s="27">
        <f t="shared" si="18"/>
        <v>242944</v>
      </c>
      <c r="M147" s="27">
        <f t="shared" si="19"/>
        <v>242944</v>
      </c>
    </row>
    <row r="148" spans="1:13" ht="16.5" outlineLevel="1">
      <c r="A148" s="38"/>
      <c r="B148" s="39" t="s">
        <v>25</v>
      </c>
      <c r="C148" s="36">
        <v>1143180</v>
      </c>
      <c r="D148" s="36">
        <v>0</v>
      </c>
      <c r="E148" s="36"/>
      <c r="F148" s="36">
        <v>5087944.59</v>
      </c>
      <c r="G148" s="37">
        <f t="shared" si="24"/>
        <v>0.22468405065708469</v>
      </c>
      <c r="H148" s="23">
        <f t="shared" si="22"/>
        <v>0</v>
      </c>
      <c r="I148" s="24">
        <f t="shared" si="22"/>
        <v>0</v>
      </c>
      <c r="J148" s="32" t="str" cm="1">
        <f t="array" ref="J148">IFERROR(_xlfn.IFS(B148="044 - BLEND TRADICION","BLEND",B148="113 - CAFÉ GOURMET","GOURMET",B148="114 - CAFÉ CONSUMO","CONSUMO",B148="112 - CAFÉ ORGANICO","GOURMET",B148="172 - CAFÉ COSECHA","ESPECIALES",B148="176 - CAFE DESCAFEINADO","GOURMET",B148="147 - CAPSULAS","CAPSULAS",B148="130 - GALLETAS CAFECITAS","DERIVADOS",B148="140 - MERENGUES","DERIVADOS",B148="100 - CAFÉ ESPECIAL","ESPECIALES",B148="141 - AREQUIPE","DERIVADOS",B148="142 - MERMELADA","DERIVADOS",B148="131 - GALLETAS AVENA","DERIVADOS",B148="160 - SOUVENIR","OTROS",B148="148 - CARAMELOS","DERIVADOS",B148="143 - CHOCOFFES","DERIVADOS",B148="162 - CONVENIOS Y DSC POS ","OTROS"),"OTROS")</f>
        <v>DERIVADOS</v>
      </c>
      <c r="L148" s="27">
        <f t="shared" si="18"/>
        <v>1143180</v>
      </c>
      <c r="M148" s="27">
        <f t="shared" si="19"/>
        <v>1143180</v>
      </c>
    </row>
    <row r="149" spans="1:13" ht="16.5" outlineLevel="1">
      <c r="A149" s="38"/>
      <c r="B149" s="39" t="s">
        <v>26</v>
      </c>
      <c r="C149" s="36">
        <v>660216</v>
      </c>
      <c r="D149" s="36">
        <v>0</v>
      </c>
      <c r="E149" s="36"/>
      <c r="F149" s="36">
        <v>4929036.9800000004</v>
      </c>
      <c r="G149" s="37">
        <f t="shared" si="24"/>
        <v>0.13394421723328193</v>
      </c>
      <c r="H149" s="23">
        <f t="shared" si="22"/>
        <v>0</v>
      </c>
      <c r="I149" s="24">
        <f t="shared" si="22"/>
        <v>0</v>
      </c>
      <c r="J149" s="32" t="str" cm="1">
        <f t="array" ref="J149">IFERROR(_xlfn.IFS(B149="044 - BLEND TRADICION","BLEND",B149="113 - CAFÉ GOURMET","GOURMET",B149="114 - CAFÉ CONSUMO","CONSUMO",B149="112 - CAFÉ ORGANICO","GOURMET",B149="172 - CAFÉ COSECHA","ESPECIALES",B149="176 - CAFE DESCAFEINADO","GOURMET",B149="147 - CAPSULAS","CAPSULAS",B149="130 - GALLETAS CAFECITAS","DERIVADOS",B149="140 - MERENGUES","DERIVADOS",B149="100 - CAFÉ ESPECIAL","ESPECIALES",B149="141 - AREQUIPE","DERIVADOS",B149="142 - MERMELADA","DERIVADOS",B149="131 - GALLETAS AVENA","DERIVADOS",B149="160 - SOUVENIR","OTROS",B149="148 - CARAMELOS","DERIVADOS",B149="143 - CHOCOFFES","DERIVADOS",B149="162 - CONVENIOS Y DSC POS ","OTROS"),"OTROS")</f>
        <v>CAPSULAS</v>
      </c>
      <c r="L149" s="27">
        <f t="shared" si="18"/>
        <v>660216</v>
      </c>
      <c r="M149" s="27">
        <f t="shared" si="19"/>
        <v>660216</v>
      </c>
    </row>
    <row r="150" spans="1:13" ht="16.5" outlineLevel="1">
      <c r="A150" s="38"/>
      <c r="B150" s="39" t="s">
        <v>27</v>
      </c>
      <c r="C150" s="36">
        <v>625086</v>
      </c>
      <c r="D150" s="36">
        <v>0</v>
      </c>
      <c r="E150" s="36"/>
      <c r="F150" s="36">
        <v>3748792.41</v>
      </c>
      <c r="G150" s="37">
        <f t="shared" si="24"/>
        <v>0.1667432953429395</v>
      </c>
      <c r="H150" s="23">
        <f t="shared" si="22"/>
        <v>0</v>
      </c>
      <c r="I150" s="24">
        <f t="shared" si="22"/>
        <v>0</v>
      </c>
      <c r="J150" s="32" t="str" cm="1">
        <f t="array" ref="J150">IFERROR(_xlfn.IFS(B150="044 - BLEND TRADICION","BLEND",B150="113 - CAFÉ GOURMET","GOURMET",B150="114 - CAFÉ CONSUMO","CONSUMO",B150="112 - CAFÉ ORGANICO","GOURMET",B150="172 - CAFÉ COSECHA","ESPECIALES",B150="176 - CAFE DESCAFEINADO","GOURMET",B150="147 - CAPSULAS","CAPSULAS",B150="130 - GALLETAS CAFECITAS","DERIVADOS",B150="140 - MERENGUES","DERIVADOS",B150="100 - CAFÉ ESPECIAL","ESPECIALES",B150="141 - AREQUIPE","DERIVADOS",B150="142 - MERMELADA","DERIVADOS",B150="131 - GALLETAS AVENA","DERIVADOS",B150="160 - SOUVENIR","OTROS",B150="148 - CARAMELOS","DERIVADOS",B150="143 - CHOCOFFES","DERIVADOS",B150="162 - CONVENIOS Y DSC POS ","OTROS"),"OTROS")</f>
        <v>DERIVADOS</v>
      </c>
      <c r="L150" s="27">
        <f t="shared" si="18"/>
        <v>625086</v>
      </c>
      <c r="M150" s="27">
        <f t="shared" si="19"/>
        <v>625086</v>
      </c>
    </row>
    <row r="151" spans="1:13" ht="16.5" outlineLevel="1">
      <c r="A151" s="38"/>
      <c r="B151" s="39" t="s">
        <v>28</v>
      </c>
      <c r="C151" s="36">
        <v>275620</v>
      </c>
      <c r="D151" s="36">
        <v>0</v>
      </c>
      <c r="E151" s="36">
        <v>0</v>
      </c>
      <c r="F151" s="36">
        <v>3497038.66</v>
      </c>
      <c r="G151" s="37">
        <f t="shared" si="24"/>
        <v>7.8815256792156826E-2</v>
      </c>
      <c r="H151" s="23">
        <f t="shared" si="22"/>
        <v>0</v>
      </c>
      <c r="I151" s="24">
        <f t="shared" si="22"/>
        <v>0</v>
      </c>
      <c r="J151" s="32" t="str" cm="1">
        <f t="array" ref="J151">IFERROR(_xlfn.IFS(B151="044 - BLEND TRADICION","BLEND",B151="113 - CAFÉ GOURMET","GOURMET",B151="114 - CAFÉ CONSUMO","CONSUMO",B151="112 - CAFÉ ORGANICO","GOURMET",B151="172 - CAFÉ COSECHA","ESPECIALES",B151="176 - CAFE DESCAFEINADO","GOURMET",B151="147 - CAPSULAS","CAPSULAS",B151="130 - GALLETAS CAFECITAS","DERIVADOS",B151="140 - MERENGUES","DERIVADOS",B151="100 - CAFÉ ESPECIAL","ESPECIALES",B151="141 - AREQUIPE","DERIVADOS",B151="142 - MERMELADA","DERIVADOS",B151="131 - GALLETAS AVENA","DERIVADOS",B151="160 - SOUVENIR","OTROS",B151="148 - CARAMELOS","DERIVADOS",B151="143 - CHOCOFFES","DERIVADOS",B151="162 - CONVENIOS Y DSC POS ","OTROS"),"OTROS")</f>
        <v>OTROS</v>
      </c>
      <c r="L151" s="27">
        <f t="shared" si="18"/>
        <v>275620</v>
      </c>
      <c r="M151" s="27">
        <f t="shared" si="19"/>
        <v>275620</v>
      </c>
    </row>
    <row r="152" spans="1:13" ht="16.5" outlineLevel="1">
      <c r="A152" s="38"/>
      <c r="B152" s="39" t="s">
        <v>29</v>
      </c>
      <c r="C152" s="36">
        <v>421842</v>
      </c>
      <c r="D152" s="36">
        <v>0</v>
      </c>
      <c r="E152" s="36">
        <v>0</v>
      </c>
      <c r="F152" s="36">
        <v>7182790.8499999996</v>
      </c>
      <c r="G152" s="37">
        <f t="shared" si="24"/>
        <v>5.8729539646835187E-2</v>
      </c>
      <c r="H152" s="23">
        <f t="shared" si="22"/>
        <v>0</v>
      </c>
      <c r="I152" s="24">
        <f t="shared" si="22"/>
        <v>0</v>
      </c>
      <c r="J152" s="32" t="str" cm="1">
        <f t="array" ref="J152">IFERROR(_xlfn.IFS(B152="044 - BLEND TRADICION","BLEND",B152="113 - CAFÉ GOURMET","GOURMET",B152="114 - CAFÉ CONSUMO","CONSUMO",B152="112 - CAFÉ ORGANICO","GOURMET",B152="172 - CAFÉ COSECHA","ESPECIALES",B152="176 - CAFE DESCAFEINADO","GOURMET",B152="147 - CAPSULAS","CAPSULAS",B152="130 - GALLETAS CAFECITAS","DERIVADOS",B152="140 - MERENGUES","DERIVADOS",B152="100 - CAFÉ ESPECIAL","ESPECIALES",B152="141 - AREQUIPE","DERIVADOS",B152="142 - MERMELADA","DERIVADOS",B152="131 - GALLETAS AVENA","DERIVADOS",B152="160 - SOUVENIR","OTROS",B152="148 - CARAMELOS","DERIVADOS",B152="143 - CHOCOFFES","DERIVADOS",B152="162 - CONVENIOS Y DSC POS ","OTROS"),"OTROS")</f>
        <v>ESPECIALES</v>
      </c>
      <c r="L152" s="27">
        <f t="shared" si="18"/>
        <v>421842</v>
      </c>
      <c r="M152" s="27">
        <f t="shared" si="19"/>
        <v>421842</v>
      </c>
    </row>
    <row r="153" spans="1:13" ht="16.5" outlineLevel="1">
      <c r="A153" s="38"/>
      <c r="B153" s="39" t="s">
        <v>30</v>
      </c>
      <c r="C153" s="36">
        <v>189786</v>
      </c>
      <c r="D153" s="36">
        <v>0</v>
      </c>
      <c r="E153" s="36"/>
      <c r="F153" s="36">
        <v>1596976.67</v>
      </c>
      <c r="G153" s="37">
        <f t="shared" si="24"/>
        <v>0.11884080936511114</v>
      </c>
      <c r="H153" s="23">
        <f t="shared" si="22"/>
        <v>0</v>
      </c>
      <c r="I153" s="24">
        <f t="shared" si="22"/>
        <v>0</v>
      </c>
      <c r="J153" s="32" t="str" cm="1">
        <f t="array" ref="J153">IFERROR(_xlfn.IFS(B153="044 - BLEND TRADICION","BLEND",B153="113 - CAFÉ GOURMET","GOURMET",B153="114 - CAFÉ CONSUMO","CONSUMO",B153="112 - CAFÉ ORGANICO","GOURMET",B153="172 - CAFÉ COSECHA","ESPECIALES",B153="176 - CAFE DESCAFEINADO","GOURMET",B153="147 - CAPSULAS","CAPSULAS",B153="130 - GALLETAS CAFECITAS","DERIVADOS",B153="140 - MERENGUES","DERIVADOS",B153="100 - CAFÉ ESPECIAL","ESPECIALES",B153="141 - AREQUIPE","DERIVADOS",B153="142 - MERMELADA","DERIVADOS",B153="131 - GALLETAS AVENA","DERIVADOS",B153="160 - SOUVENIR","OTROS",B153="148 - CARAMELOS","DERIVADOS",B153="143 - CHOCOFFES","DERIVADOS",B153="162 - CONVENIOS Y DSC POS ","OTROS"),"OTROS")</f>
        <v>GOURMET</v>
      </c>
      <c r="L153" s="27">
        <f t="shared" si="18"/>
        <v>189786</v>
      </c>
      <c r="M153" s="27">
        <f t="shared" si="19"/>
        <v>189786</v>
      </c>
    </row>
    <row r="154" spans="1:13" ht="16.5" outlineLevel="1">
      <c r="A154" s="19" t="s">
        <v>52</v>
      </c>
      <c r="B154" s="56" t="s">
        <v>32</v>
      </c>
      <c r="C154" s="54">
        <f>SUM(C139:C153)</f>
        <v>20919446</v>
      </c>
      <c r="D154" s="54">
        <f>SUM(D139:D153)</f>
        <v>0</v>
      </c>
      <c r="E154" s="54">
        <f>SUM(E139:E153)</f>
        <v>0</v>
      </c>
      <c r="F154" s="58">
        <f>SUM(F139:F153)</f>
        <v>187770047.67999998</v>
      </c>
      <c r="G154" s="55">
        <f t="shared" si="24"/>
        <v>0.11140992005099332</v>
      </c>
      <c r="H154" s="23">
        <f t="shared" si="22"/>
        <v>0</v>
      </c>
      <c r="I154" s="24">
        <f t="shared" si="22"/>
        <v>0</v>
      </c>
      <c r="J154" s="32" t="str" cm="1">
        <f t="array" ref="J154">IFERROR(_xlfn.IFS(B154="044 - BLEND TRADICION","BLEND",B154="113 - CAFÉ GOURMET","GOURMET",B154="114 - CAFÉ CONSUMO","CONSUMO",B154="112 - CAFÉ ORGANICO","GOURMET",B154="172 - CAFÉ COSECHA","ESPECIALES",B154="176 - CAFE DESCAFEINADO","GOURMET",B154="147 - CAPSULAS","CAPSULAS",B154="130 - GALLETAS CAFECITAS","DERIVADOS",B154="140 - MERENGUES","DERIVADOS",B154="100 - CAFÉ ESPECIAL","ESPECIALES",B154="141 - AREQUIPE","DERIVADOS",B154="142 - MERMELADA","DERIVADOS",B154="131 - GALLETAS AVENA","DERIVADOS",B154="160 - SOUVENIR","OTROS",B154="148 - CARAMELOS","DERIVADOS",B154="143 - CHOCOFFES","DERIVADOS",B154="162 - CONVENIOS Y DSC POS ","OTROS"),"OTROS")</f>
        <v>OTROS</v>
      </c>
      <c r="L154" s="27">
        <f t="shared" si="18"/>
        <v>20919446</v>
      </c>
      <c r="M154" s="27">
        <f t="shared" si="19"/>
        <v>20919446</v>
      </c>
    </row>
    <row r="155" spans="1:13" ht="16.5" outlineLevel="1">
      <c r="A155" s="33"/>
      <c r="B155" s="39" t="s">
        <v>18</v>
      </c>
      <c r="C155" s="36">
        <v>518992</v>
      </c>
      <c r="D155" s="36">
        <v>0</v>
      </c>
      <c r="E155" s="36">
        <v>0</v>
      </c>
      <c r="F155" s="36">
        <v>9645193.6699999999</v>
      </c>
      <c r="G155" s="37">
        <f t="shared" si="24"/>
        <v>5.3808354477551924E-2</v>
      </c>
      <c r="H155" s="23">
        <f t="shared" si="22"/>
        <v>0</v>
      </c>
      <c r="I155" s="24">
        <f t="shared" si="22"/>
        <v>0</v>
      </c>
      <c r="J155" s="32" t="str" cm="1">
        <f t="array" ref="J155">IFERROR(_xlfn.IFS(B155="044 - BLEND TRADICION","BLEND",B155="113 - CAFÉ GOURMET","GOURMET",B155="114 - CAFÉ CONSUMO","CONSUMO",B155="112 - CAFÉ ORGANICO","GOURMET",B155="172 - CAFÉ COSECHA","ESPECIALES",B155="176 - CAFE DESCAFEINADO","GOURMET",B155="147 - CAPSULAS","CAPSULAS",B155="130 - GALLETAS CAFECITAS","DERIVADOS",B155="140 - MERENGUES","DERIVADOS",B155="100 - CAFÉ ESPECIAL","ESPECIALES",B155="141 - AREQUIPE","DERIVADOS",B155="142 - MERMELADA","DERIVADOS",B155="131 - GALLETAS AVENA","DERIVADOS",B155="160 - SOUVENIR","OTROS",B155="148 - CARAMELOS","DERIVADOS",B155="143 - CHOCOFFES","DERIVADOS",B155="162 - CONVENIOS Y DSC POS ","OTROS"),"OTROS")</f>
        <v>BLEND</v>
      </c>
      <c r="L155" s="27">
        <f t="shared" si="18"/>
        <v>518992</v>
      </c>
      <c r="M155" s="27">
        <f t="shared" si="19"/>
        <v>518992</v>
      </c>
    </row>
    <row r="156" spans="1:13" ht="16.5" outlineLevel="1">
      <c r="A156" s="38"/>
      <c r="B156" s="39" t="s">
        <v>19</v>
      </c>
      <c r="C156" s="36">
        <v>0</v>
      </c>
      <c r="D156" s="36">
        <v>0</v>
      </c>
      <c r="E156" s="36">
        <v>0</v>
      </c>
      <c r="F156" s="36">
        <v>2739705.11</v>
      </c>
      <c r="G156" s="37">
        <f t="shared" si="24"/>
        <v>0</v>
      </c>
      <c r="H156" s="23">
        <f t="shared" si="22"/>
        <v>0</v>
      </c>
      <c r="I156" s="24">
        <f t="shared" si="22"/>
        <v>0</v>
      </c>
      <c r="J156" s="32" t="str" cm="1">
        <f t="array" ref="J156">IFERROR(_xlfn.IFS(B156="044 - BLEND TRADICION","BLEND",B156="113 - CAFÉ GOURMET","GOURMET",B156="114 - CAFÉ CONSUMO","CONSUMO",B156="112 - CAFÉ ORGANICO","GOURMET",B156="172 - CAFÉ COSECHA","ESPECIALES",B156="176 - CAFE DESCAFEINADO","GOURMET",B156="147 - CAPSULAS","CAPSULAS",B156="130 - GALLETAS CAFECITAS","DERIVADOS",B156="140 - MERENGUES","DERIVADOS",B156="100 - CAFÉ ESPECIAL","ESPECIALES",B156="141 - AREQUIPE","DERIVADOS",B156="142 - MERMELADA","DERIVADOS",B156="131 - GALLETAS AVENA","DERIVADOS",B156="160 - SOUVENIR","OTROS",B156="148 - CARAMELOS","DERIVADOS",B156="143 - CHOCOFFES","DERIVADOS",B156="162 - CONVENIOS Y DSC POS ","OTROS"),"OTROS")</f>
        <v>ESPECIALES</v>
      </c>
      <c r="L156" s="27">
        <f t="shared" si="18"/>
        <v>0</v>
      </c>
      <c r="M156" s="27">
        <f t="shared" si="19"/>
        <v>0</v>
      </c>
    </row>
    <row r="157" spans="1:13" ht="16.5" outlineLevel="1">
      <c r="A157" s="38"/>
      <c r="B157" s="39" t="s">
        <v>20</v>
      </c>
      <c r="C157" s="36">
        <v>0</v>
      </c>
      <c r="D157" s="36">
        <v>0</v>
      </c>
      <c r="E157" s="36"/>
      <c r="F157" s="36">
        <v>825254.9</v>
      </c>
      <c r="G157" s="37">
        <f t="shared" si="24"/>
        <v>0</v>
      </c>
      <c r="H157" s="23">
        <f t="shared" ref="H157:I172" si="25">IFERROR(+D157/L157*100%,0)</f>
        <v>0</v>
      </c>
      <c r="I157" s="24">
        <f t="shared" si="25"/>
        <v>0</v>
      </c>
      <c r="J157" s="32" t="str" cm="1">
        <f t="array" ref="J157">IFERROR(_xlfn.IFS(B157="044 - BLEND TRADICION","BLEND",B157="113 - CAFÉ GOURMET","GOURMET",B157="114 - CAFÉ CONSUMO","CONSUMO",B157="112 - CAFÉ ORGANICO","GOURMET",B157="172 - CAFÉ COSECHA","ESPECIALES",B157="176 - CAFE DESCAFEINADO","GOURMET",B157="147 - CAPSULAS","CAPSULAS",B157="130 - GALLETAS CAFECITAS","DERIVADOS",B157="140 - MERENGUES","DERIVADOS",B157="100 - CAFÉ ESPECIAL","ESPECIALES",B157="141 - AREQUIPE","DERIVADOS",B157="142 - MERMELADA","DERIVADOS",B157="131 - GALLETAS AVENA","DERIVADOS",B157="160 - SOUVENIR","OTROS",B157="148 - CARAMELOS","DERIVADOS",B157="143 - CHOCOFFES","DERIVADOS",B157="162 - CONVENIOS Y DSC POS ","OTROS"),"OTROS")</f>
        <v>GOURMET</v>
      </c>
      <c r="L157" s="27">
        <f t="shared" si="18"/>
        <v>0</v>
      </c>
      <c r="M157" s="27">
        <f t="shared" si="19"/>
        <v>0</v>
      </c>
    </row>
    <row r="158" spans="1:13" ht="16.5" outlineLevel="1">
      <c r="A158" s="38"/>
      <c r="B158" s="39" t="s">
        <v>21</v>
      </c>
      <c r="C158" s="36">
        <v>2082838</v>
      </c>
      <c r="D158" s="36">
        <v>0</v>
      </c>
      <c r="E158" s="36">
        <v>0</v>
      </c>
      <c r="F158" s="36">
        <v>43096072.049999997</v>
      </c>
      <c r="G158" s="37">
        <f t="shared" si="24"/>
        <v>4.8330112256715518E-2</v>
      </c>
      <c r="H158" s="23">
        <f t="shared" si="25"/>
        <v>0</v>
      </c>
      <c r="I158" s="24">
        <f t="shared" si="25"/>
        <v>0</v>
      </c>
      <c r="J158" s="32" t="str" cm="1">
        <f t="array" ref="J158">IFERROR(_xlfn.IFS(B158="044 - BLEND TRADICION","BLEND",B158="113 - CAFÉ GOURMET","GOURMET",B158="114 - CAFÉ CONSUMO","CONSUMO",B158="112 - CAFÉ ORGANICO","GOURMET",B158="172 - CAFÉ COSECHA","ESPECIALES",B158="176 - CAFE DESCAFEINADO","GOURMET",B158="147 - CAPSULAS","CAPSULAS",B158="130 - GALLETAS CAFECITAS","DERIVADOS",B158="140 - MERENGUES","DERIVADOS",B158="100 - CAFÉ ESPECIAL","ESPECIALES",B158="141 - AREQUIPE","DERIVADOS",B158="142 - MERMELADA","DERIVADOS",B158="131 - GALLETAS AVENA","DERIVADOS",B158="160 - SOUVENIR","OTROS",B158="148 - CARAMELOS","DERIVADOS",B158="143 - CHOCOFFES","DERIVADOS",B158="162 - CONVENIOS Y DSC POS ","OTROS"),"OTROS")</f>
        <v>GOURMET</v>
      </c>
      <c r="L158" s="27">
        <f t="shared" si="18"/>
        <v>2082838</v>
      </c>
      <c r="M158" s="27">
        <f t="shared" si="19"/>
        <v>2082838</v>
      </c>
    </row>
    <row r="159" spans="1:13" ht="16.5" outlineLevel="1">
      <c r="A159" s="38"/>
      <c r="B159" s="39" t="s">
        <v>38</v>
      </c>
      <c r="C159" s="36">
        <v>359022</v>
      </c>
      <c r="D159" s="36">
        <v>0</v>
      </c>
      <c r="E159" s="36">
        <v>0</v>
      </c>
      <c r="F159" s="36">
        <v>16145456.630000001</v>
      </c>
      <c r="G159" s="37">
        <f t="shared" si="24"/>
        <v>2.2236720101982025E-2</v>
      </c>
      <c r="H159" s="23">
        <f t="shared" si="25"/>
        <v>0</v>
      </c>
      <c r="I159" s="24">
        <f t="shared" si="25"/>
        <v>0</v>
      </c>
      <c r="J159" s="32" t="str" cm="1">
        <f t="array" ref="J159">IFERROR(_xlfn.IFS(B159="044 - BLEND TRADICION","BLEND",B159="113 - CAFÉ GOURMET","GOURMET",B159="114 - CAFÉ CONSUMO","CONSUMO",B159="112 - CAFÉ ORGANICO","GOURMET",B159="172 - CAFÉ COSECHA","ESPECIALES",B159="176 - CAFE DESCAFEINADO","GOURMET",B159="147 - CAPSULAS","CAPSULAS",B159="130 - GALLETAS CAFECITAS","DERIVADOS",B159="140 - MERENGUES","DERIVADOS",B159="100 - CAFÉ ESPECIAL","ESPECIALES",B159="141 - AREQUIPE","DERIVADOS",B159="142 - MERMELADA","DERIVADOS",B159="131 - GALLETAS AVENA","DERIVADOS",B159="160 - SOUVENIR","OTROS",B159="148 - CARAMELOS","DERIVADOS",B159="143 - CHOCOFFES","DERIVADOS",B159="162 - CONVENIOS Y DSC POS ","OTROS"),"OTROS")</f>
        <v>CONSUMO</v>
      </c>
      <c r="L159" s="27">
        <f t="shared" ref="L159:L214" si="26">C159-(D159+E159)</f>
        <v>359022</v>
      </c>
      <c r="M159" s="27">
        <f t="shared" ref="M159:M214" si="27">L159</f>
        <v>359022</v>
      </c>
    </row>
    <row r="160" spans="1:13" ht="16.5" outlineLevel="1">
      <c r="A160" s="38"/>
      <c r="B160" s="39" t="s">
        <v>22</v>
      </c>
      <c r="C160" s="36">
        <v>1663540</v>
      </c>
      <c r="D160" s="36">
        <v>0</v>
      </c>
      <c r="E160" s="36">
        <v>0</v>
      </c>
      <c r="F160" s="36">
        <v>33513805.359999999</v>
      </c>
      <c r="G160" s="37">
        <f t="shared" si="24"/>
        <v>4.9637454837805385E-2</v>
      </c>
      <c r="H160" s="23">
        <f t="shared" si="25"/>
        <v>0</v>
      </c>
      <c r="I160" s="24">
        <f t="shared" si="25"/>
        <v>0</v>
      </c>
      <c r="J160" s="32" t="str" cm="1">
        <f t="array" ref="J160">IFERROR(_xlfn.IFS(B160="044 - BLEND TRADICION","BLEND",B160="113 - CAFÉ GOURMET","GOURMET",B160="114 - CAFÉ CONSUMO","CONSUMO",B160="112 - CAFÉ ORGANICO","GOURMET",B160="172 - CAFÉ COSECHA","ESPECIALES",B160="176 - CAFE DESCAFEINADO","GOURMET",B160="147 - CAPSULAS","CAPSULAS",B160="130 - GALLETAS CAFECITAS","DERIVADOS",B160="140 - MERENGUES","DERIVADOS",B160="100 - CAFÉ ESPECIAL","ESPECIALES",B160="141 - AREQUIPE","DERIVADOS",B160="142 - MERMELADA","DERIVADOS",B160="131 - GALLETAS AVENA","DERIVADOS",B160="160 - SOUVENIR","OTROS",B160="148 - CARAMELOS","DERIVADOS",B160="143 - CHOCOFFES","DERIVADOS",B160="162 - CONVENIOS Y DSC POS ","OTROS"),"OTROS")</f>
        <v>DERIVADOS</v>
      </c>
      <c r="L160" s="27">
        <f t="shared" si="26"/>
        <v>1663540</v>
      </c>
      <c r="M160" s="27">
        <f t="shared" si="27"/>
        <v>1663540</v>
      </c>
    </row>
    <row r="161" spans="1:13" ht="16.5" outlineLevel="1">
      <c r="A161" s="38"/>
      <c r="B161" s="39" t="s">
        <v>23</v>
      </c>
      <c r="C161" s="36">
        <v>0</v>
      </c>
      <c r="D161" s="36">
        <v>0</v>
      </c>
      <c r="E161" s="36"/>
      <c r="F161" s="36">
        <v>174887.86</v>
      </c>
      <c r="G161" s="37">
        <f t="shared" si="24"/>
        <v>0</v>
      </c>
      <c r="H161" s="23">
        <f t="shared" si="25"/>
        <v>0</v>
      </c>
      <c r="I161" s="24">
        <f t="shared" si="25"/>
        <v>0</v>
      </c>
      <c r="J161" s="32" t="str" cm="1">
        <f t="array" ref="J161">IFERROR(_xlfn.IFS(B161="044 - BLEND TRADICION","BLEND",B161="113 - CAFÉ GOURMET","GOURMET",B161="114 - CAFÉ CONSUMO","CONSUMO",B161="112 - CAFÉ ORGANICO","GOURMET",B161="172 - CAFÉ COSECHA","ESPECIALES",B161="176 - CAFE DESCAFEINADO","GOURMET",B161="147 - CAPSULAS","CAPSULAS",B161="130 - GALLETAS CAFECITAS","DERIVADOS",B161="140 - MERENGUES","DERIVADOS",B161="100 - CAFÉ ESPECIAL","ESPECIALES",B161="141 - AREQUIPE","DERIVADOS",B161="142 - MERMELADA","DERIVADOS",B161="131 - GALLETAS AVENA","DERIVADOS",B161="160 - SOUVENIR","OTROS",B161="148 - CARAMELOS","DERIVADOS",B161="143 - CHOCOFFES","DERIVADOS",B161="162 - CONVENIOS Y DSC POS ","OTROS"),"OTROS")</f>
        <v>DERIVADOS</v>
      </c>
      <c r="L161" s="27">
        <f t="shared" si="26"/>
        <v>0</v>
      </c>
      <c r="M161" s="27">
        <f t="shared" si="27"/>
        <v>0</v>
      </c>
    </row>
    <row r="162" spans="1:13" ht="16.5" outlineLevel="1">
      <c r="A162" s="38"/>
      <c r="B162" s="39" t="s">
        <v>24</v>
      </c>
      <c r="C162" s="36">
        <v>122564</v>
      </c>
      <c r="D162" s="36">
        <v>0</v>
      </c>
      <c r="E162" s="36">
        <v>0</v>
      </c>
      <c r="F162" s="36">
        <v>2405932.35</v>
      </c>
      <c r="G162" s="37">
        <f t="shared" si="24"/>
        <v>5.0942413239507753E-2</v>
      </c>
      <c r="H162" s="23">
        <f t="shared" si="25"/>
        <v>0</v>
      </c>
      <c r="I162" s="24">
        <f t="shared" si="25"/>
        <v>0</v>
      </c>
      <c r="J162" s="32" t="str" cm="1">
        <f t="array" ref="J162">IFERROR(_xlfn.IFS(B162="044 - BLEND TRADICION","BLEND",B162="113 - CAFÉ GOURMET","GOURMET",B162="114 - CAFÉ CONSUMO","CONSUMO",B162="112 - CAFÉ ORGANICO","GOURMET",B162="172 - CAFÉ COSECHA","ESPECIALES",B162="176 - CAFE DESCAFEINADO","GOURMET",B162="147 - CAPSULAS","CAPSULAS",B162="130 - GALLETAS CAFECITAS","DERIVADOS",B162="140 - MERENGUES","DERIVADOS",B162="100 - CAFÉ ESPECIAL","ESPECIALES",B162="141 - AREQUIPE","DERIVADOS",B162="142 - MERMELADA","DERIVADOS",B162="131 - GALLETAS AVENA","DERIVADOS",B162="160 - SOUVENIR","OTROS",B162="148 - CARAMELOS","DERIVADOS",B162="143 - CHOCOFFES","DERIVADOS",B162="162 - CONVENIOS Y DSC POS ","OTROS"),"OTROS")</f>
        <v>DERIVADOS</v>
      </c>
      <c r="L162" s="27">
        <f t="shared" si="26"/>
        <v>122564</v>
      </c>
      <c r="M162" s="27">
        <f t="shared" si="27"/>
        <v>122564</v>
      </c>
    </row>
    <row r="163" spans="1:13" ht="16.5" outlineLevel="1">
      <c r="A163" s="38"/>
      <c r="B163" s="39" t="s">
        <v>25</v>
      </c>
      <c r="C163" s="36">
        <v>1064415</v>
      </c>
      <c r="D163" s="36">
        <v>0</v>
      </c>
      <c r="E163" s="36"/>
      <c r="F163" s="36">
        <v>9395897.5299999993</v>
      </c>
      <c r="G163" s="37">
        <f t="shared" si="24"/>
        <v>0.1132850796426257</v>
      </c>
      <c r="H163" s="23">
        <f t="shared" si="25"/>
        <v>0</v>
      </c>
      <c r="I163" s="24">
        <f t="shared" si="25"/>
        <v>0</v>
      </c>
      <c r="J163" s="32" t="str" cm="1">
        <f t="array" ref="J163">IFERROR(_xlfn.IFS(B163="044 - BLEND TRADICION","BLEND",B163="113 - CAFÉ GOURMET","GOURMET",B163="114 - CAFÉ CONSUMO","CONSUMO",B163="112 - CAFÉ ORGANICO","GOURMET",B163="172 - CAFÉ COSECHA","ESPECIALES",B163="176 - CAFE DESCAFEINADO","GOURMET",B163="147 - CAPSULAS","CAPSULAS",B163="130 - GALLETAS CAFECITAS","DERIVADOS",B163="140 - MERENGUES","DERIVADOS",B163="100 - CAFÉ ESPECIAL","ESPECIALES",B163="141 - AREQUIPE","DERIVADOS",B163="142 - MERMELADA","DERIVADOS",B163="131 - GALLETAS AVENA","DERIVADOS",B163="160 - SOUVENIR","OTROS",B163="148 - CARAMELOS","DERIVADOS",B163="143 - CHOCOFFES","DERIVADOS",B163="162 - CONVENIOS Y DSC POS ","OTROS"),"OTROS")</f>
        <v>DERIVADOS</v>
      </c>
      <c r="L163" s="27">
        <f t="shared" si="26"/>
        <v>1064415</v>
      </c>
      <c r="M163" s="27">
        <f t="shared" si="27"/>
        <v>1064415</v>
      </c>
    </row>
    <row r="164" spans="1:13" ht="16.5" outlineLevel="1">
      <c r="A164" s="38"/>
      <c r="B164" s="39" t="s">
        <v>26</v>
      </c>
      <c r="C164" s="36">
        <v>0</v>
      </c>
      <c r="D164" s="36">
        <v>0</v>
      </c>
      <c r="E164" s="36"/>
      <c r="F164" s="36">
        <v>297105.94</v>
      </c>
      <c r="G164" s="37">
        <f t="shared" si="24"/>
        <v>0</v>
      </c>
      <c r="H164" s="23">
        <f t="shared" si="25"/>
        <v>0</v>
      </c>
      <c r="I164" s="24">
        <f t="shared" si="25"/>
        <v>0</v>
      </c>
      <c r="J164" s="32" t="str" cm="1">
        <f t="array" ref="J164">IFERROR(_xlfn.IFS(B164="044 - BLEND TRADICION","BLEND",B164="113 - CAFÉ GOURMET","GOURMET",B164="114 - CAFÉ CONSUMO","CONSUMO",B164="112 - CAFÉ ORGANICO","GOURMET",B164="172 - CAFÉ COSECHA","ESPECIALES",B164="176 - CAFE DESCAFEINADO","GOURMET",B164="147 - CAPSULAS","CAPSULAS",B164="130 - GALLETAS CAFECITAS","DERIVADOS",B164="140 - MERENGUES","DERIVADOS",B164="100 - CAFÉ ESPECIAL","ESPECIALES",B164="141 - AREQUIPE","DERIVADOS",B164="142 - MERMELADA","DERIVADOS",B164="131 - GALLETAS AVENA","DERIVADOS",B164="160 - SOUVENIR","OTROS",B164="148 - CARAMELOS","DERIVADOS",B164="143 - CHOCOFFES","DERIVADOS",B164="162 - CONVENIOS Y DSC POS ","OTROS"),"OTROS")</f>
        <v>CAPSULAS</v>
      </c>
      <c r="L164" s="27">
        <f t="shared" si="26"/>
        <v>0</v>
      </c>
      <c r="M164" s="27">
        <f t="shared" si="27"/>
        <v>0</v>
      </c>
    </row>
    <row r="165" spans="1:13" ht="16.5" outlineLevel="1">
      <c r="A165" s="38"/>
      <c r="B165" s="39" t="s">
        <v>27</v>
      </c>
      <c r="C165" s="36">
        <v>721820</v>
      </c>
      <c r="D165" s="36">
        <v>0</v>
      </c>
      <c r="E165" s="36">
        <v>0</v>
      </c>
      <c r="F165" s="36">
        <v>18205206.140000001</v>
      </c>
      <c r="G165" s="37">
        <f t="shared" si="24"/>
        <v>3.9649097870638007E-2</v>
      </c>
      <c r="H165" s="23">
        <f t="shared" si="25"/>
        <v>0</v>
      </c>
      <c r="I165" s="24">
        <f t="shared" si="25"/>
        <v>0</v>
      </c>
      <c r="J165" s="32" t="str" cm="1">
        <f t="array" ref="J165">IFERROR(_xlfn.IFS(B165="044 - BLEND TRADICION","BLEND",B165="113 - CAFÉ GOURMET","GOURMET",B165="114 - CAFÉ CONSUMO","CONSUMO",B165="112 - CAFÉ ORGANICO","GOURMET",B165="172 - CAFÉ COSECHA","ESPECIALES",B165="176 - CAFE DESCAFEINADO","GOURMET",B165="147 - CAPSULAS","CAPSULAS",B165="130 - GALLETAS CAFECITAS","DERIVADOS",B165="140 - MERENGUES","DERIVADOS",B165="100 - CAFÉ ESPECIAL","ESPECIALES",B165="141 - AREQUIPE","DERIVADOS",B165="142 - MERMELADA","DERIVADOS",B165="131 - GALLETAS AVENA","DERIVADOS",B165="160 - SOUVENIR","OTROS",B165="148 - CARAMELOS","DERIVADOS",B165="143 - CHOCOFFES","DERIVADOS",B165="162 - CONVENIOS Y DSC POS ","OTROS"),"OTROS")</f>
        <v>DERIVADOS</v>
      </c>
      <c r="L165" s="27">
        <f t="shared" si="26"/>
        <v>721820</v>
      </c>
      <c r="M165" s="27">
        <f t="shared" si="27"/>
        <v>721820</v>
      </c>
    </row>
    <row r="166" spans="1:13" ht="16.5" outlineLevel="1">
      <c r="A166" s="38"/>
      <c r="B166" s="39" t="s">
        <v>28</v>
      </c>
      <c r="C166" s="36">
        <v>55124</v>
      </c>
      <c r="D166" s="36">
        <v>0</v>
      </c>
      <c r="E166" s="36"/>
      <c r="F166" s="36">
        <v>6286220.4699999997</v>
      </c>
      <c r="G166" s="37">
        <f t="shared" si="24"/>
        <v>8.7690211094362085E-3</v>
      </c>
      <c r="H166" s="23">
        <f t="shared" si="25"/>
        <v>0</v>
      </c>
      <c r="I166" s="24">
        <f t="shared" si="25"/>
        <v>0</v>
      </c>
      <c r="J166" s="32" t="str" cm="1">
        <f t="array" ref="J166">IFERROR(_xlfn.IFS(B166="044 - BLEND TRADICION","BLEND",B166="113 - CAFÉ GOURMET","GOURMET",B166="114 - CAFÉ CONSUMO","CONSUMO",B166="112 - CAFÉ ORGANICO","GOURMET",B166="172 - CAFÉ COSECHA","ESPECIALES",B166="176 - CAFE DESCAFEINADO","GOURMET",B166="147 - CAPSULAS","CAPSULAS",B166="130 - GALLETAS CAFECITAS","DERIVADOS",B166="140 - MERENGUES","DERIVADOS",B166="100 - CAFÉ ESPECIAL","ESPECIALES",B166="141 - AREQUIPE","DERIVADOS",B166="142 - MERMELADA","DERIVADOS",B166="131 - GALLETAS AVENA","DERIVADOS",B166="160 - SOUVENIR","OTROS",B166="148 - CARAMELOS","DERIVADOS",B166="143 - CHOCOFFES","DERIVADOS",B166="162 - CONVENIOS Y DSC POS ","OTROS"),"OTROS")</f>
        <v>OTROS</v>
      </c>
      <c r="L166" s="27">
        <f t="shared" si="26"/>
        <v>55124</v>
      </c>
      <c r="M166" s="27">
        <f t="shared" si="27"/>
        <v>55124</v>
      </c>
    </row>
    <row r="167" spans="1:13" ht="16.5" outlineLevel="1">
      <c r="A167" s="38"/>
      <c r="B167" s="39" t="s">
        <v>29</v>
      </c>
      <c r="C167" s="36">
        <v>65280</v>
      </c>
      <c r="D167" s="36">
        <v>0</v>
      </c>
      <c r="E167" s="36"/>
      <c r="F167" s="36">
        <v>2023867.68</v>
      </c>
      <c r="G167" s="37">
        <f t="shared" si="24"/>
        <v>3.2255073118218874E-2</v>
      </c>
      <c r="H167" s="23">
        <f t="shared" si="25"/>
        <v>0</v>
      </c>
      <c r="I167" s="24">
        <f t="shared" si="25"/>
        <v>0</v>
      </c>
      <c r="J167" s="32" t="str" cm="1">
        <f t="array" ref="J167">IFERROR(_xlfn.IFS(B167="044 - BLEND TRADICION","BLEND",B167="113 - CAFÉ GOURMET","GOURMET",B167="114 - CAFÉ CONSUMO","CONSUMO",B167="112 - CAFÉ ORGANICO","GOURMET",B167="172 - CAFÉ COSECHA","ESPECIALES",B167="176 - CAFE DESCAFEINADO","GOURMET",B167="147 - CAPSULAS","CAPSULAS",B167="130 - GALLETAS CAFECITAS","DERIVADOS",B167="140 - MERENGUES","DERIVADOS",B167="100 - CAFÉ ESPECIAL","ESPECIALES",B167="141 - AREQUIPE","DERIVADOS",B167="142 - MERMELADA","DERIVADOS",B167="131 - GALLETAS AVENA","DERIVADOS",B167="160 - SOUVENIR","OTROS",B167="148 - CARAMELOS","DERIVADOS",B167="143 - CHOCOFFES","DERIVADOS",B167="162 - CONVENIOS Y DSC POS ","OTROS"),"OTROS")</f>
        <v>ESPECIALES</v>
      </c>
      <c r="L167" s="27">
        <f t="shared" si="26"/>
        <v>65280</v>
      </c>
      <c r="M167" s="27">
        <f t="shared" si="27"/>
        <v>65280</v>
      </c>
    </row>
    <row r="168" spans="1:13" ht="16.5" outlineLevel="1">
      <c r="A168" s="38"/>
      <c r="B168" s="39" t="s">
        <v>30</v>
      </c>
      <c r="C168" s="36">
        <v>0</v>
      </c>
      <c r="D168" s="36">
        <v>0</v>
      </c>
      <c r="E168" s="36"/>
      <c r="F168" s="36">
        <v>160123.85</v>
      </c>
      <c r="G168" s="37">
        <f t="shared" si="24"/>
        <v>0</v>
      </c>
      <c r="H168" s="23">
        <f t="shared" si="25"/>
        <v>0</v>
      </c>
      <c r="I168" s="24">
        <f t="shared" si="25"/>
        <v>0</v>
      </c>
      <c r="J168" s="32" t="str" cm="1">
        <f t="array" ref="J168">IFERROR(_xlfn.IFS(B168="044 - BLEND TRADICION","BLEND",B168="113 - CAFÉ GOURMET","GOURMET",B168="114 - CAFÉ CONSUMO","CONSUMO",B168="112 - CAFÉ ORGANICO","GOURMET",B168="172 - CAFÉ COSECHA","ESPECIALES",B168="176 - CAFE DESCAFEINADO","GOURMET",B168="147 - CAPSULAS","CAPSULAS",B168="130 - GALLETAS CAFECITAS","DERIVADOS",B168="140 - MERENGUES","DERIVADOS",B168="100 - CAFÉ ESPECIAL","ESPECIALES",B168="141 - AREQUIPE","DERIVADOS",B168="142 - MERMELADA","DERIVADOS",B168="131 - GALLETAS AVENA","DERIVADOS",B168="160 - SOUVENIR","OTROS",B168="148 - CARAMELOS","DERIVADOS",B168="143 - CHOCOFFES","DERIVADOS",B168="162 - CONVENIOS Y DSC POS ","OTROS"),"OTROS")</f>
        <v>GOURMET</v>
      </c>
      <c r="L168" s="27">
        <f t="shared" si="26"/>
        <v>0</v>
      </c>
      <c r="M168" s="27">
        <f t="shared" si="27"/>
        <v>0</v>
      </c>
    </row>
    <row r="169" spans="1:13" ht="16.5" outlineLevel="1">
      <c r="A169" s="19" t="s">
        <v>53</v>
      </c>
      <c r="B169" s="56" t="s">
        <v>32</v>
      </c>
      <c r="C169" s="54">
        <f>SUM(C155:C168)</f>
        <v>6653595</v>
      </c>
      <c r="D169" s="54">
        <f>SUM(D155:D168)</f>
        <v>0</v>
      </c>
      <c r="E169" s="54">
        <f>SUM(E155:E168)</f>
        <v>0</v>
      </c>
      <c r="F169" s="54">
        <f>SUM(F155:F168)</f>
        <v>144914729.53999999</v>
      </c>
      <c r="G169" s="55">
        <f t="shared" si="24"/>
        <v>4.5913862732383223E-2</v>
      </c>
      <c r="H169" s="23">
        <f t="shared" si="25"/>
        <v>0</v>
      </c>
      <c r="I169" s="24">
        <f t="shared" si="25"/>
        <v>0</v>
      </c>
      <c r="J169" s="32" t="str" cm="1">
        <f t="array" ref="J169">IFERROR(_xlfn.IFS(B169="044 - BLEND TRADICION","BLEND",B169="113 - CAFÉ GOURMET","GOURMET",B169="114 - CAFÉ CONSUMO","CONSUMO",B169="112 - CAFÉ ORGANICO","GOURMET",B169="172 - CAFÉ COSECHA","ESPECIALES",B169="176 - CAFE DESCAFEINADO","GOURMET",B169="147 - CAPSULAS","CAPSULAS",B169="130 - GALLETAS CAFECITAS","DERIVADOS",B169="140 - MERENGUES","DERIVADOS",B169="100 - CAFÉ ESPECIAL","ESPECIALES",B169="141 - AREQUIPE","DERIVADOS",B169="142 - MERMELADA","DERIVADOS",B169="131 - GALLETAS AVENA","DERIVADOS",B169="160 - SOUVENIR","OTROS",B169="148 - CARAMELOS","DERIVADOS",B169="143 - CHOCOFFES","DERIVADOS",B169="162 - CONVENIOS Y DSC POS ","OTROS"),"OTROS")</f>
        <v>OTROS</v>
      </c>
      <c r="L169" s="27">
        <f t="shared" si="26"/>
        <v>6653595</v>
      </c>
      <c r="M169" s="27">
        <f t="shared" si="27"/>
        <v>6653595</v>
      </c>
    </row>
    <row r="170" spans="1:13" ht="16.5" outlineLevel="1">
      <c r="A170" s="33"/>
      <c r="B170" s="39" t="s">
        <v>42</v>
      </c>
      <c r="C170" s="36">
        <v>40584</v>
      </c>
      <c r="D170" s="36">
        <v>0</v>
      </c>
      <c r="E170" s="36">
        <v>0</v>
      </c>
      <c r="F170" s="36">
        <v>0</v>
      </c>
      <c r="G170" s="37" t="str">
        <f t="shared" si="24"/>
        <v>-</v>
      </c>
      <c r="H170" s="23">
        <f t="shared" si="25"/>
        <v>0</v>
      </c>
      <c r="I170" s="24">
        <f t="shared" si="25"/>
        <v>0</v>
      </c>
      <c r="J170" s="32" t="str" cm="1">
        <f t="array" ref="J170">IFERROR(_xlfn.IFS(B170="044 - BLEND TRADICION","BLEND",B170="113 - CAFÉ GOURMET","GOURMET",B170="114 - CAFÉ CONSUMO","CONSUMO",B170="112 - CAFÉ ORGANICO","GOURMET",B170="172 - CAFÉ COSECHA","ESPECIALES",B170="176 - CAFE DESCAFEINADO","GOURMET",B170="147 - CAPSULAS","CAPSULAS",B170="130 - GALLETAS CAFECITAS","DERIVADOS",B170="140 - MERENGUES","DERIVADOS",B170="100 - CAFÉ ESPECIAL","ESPECIALES",B170="141 - AREQUIPE","DERIVADOS",B170="142 - MERMELADA","DERIVADOS",B170="131 - GALLETAS AVENA","DERIVADOS",B170="160 - SOUVENIR","OTROS",B170="148 - CARAMELOS","DERIVADOS",B170="143 - CHOCOFFES","DERIVADOS",B170="162 - CONVENIOS Y DSC POS ","OTROS"),"OTROS")</f>
        <v>OTROS</v>
      </c>
      <c r="L170" s="27">
        <f t="shared" si="26"/>
        <v>40584</v>
      </c>
      <c r="M170" s="27">
        <f t="shared" si="27"/>
        <v>40584</v>
      </c>
    </row>
    <row r="171" spans="1:13" ht="16.5" outlineLevel="1">
      <c r="A171" s="33"/>
      <c r="B171" s="39" t="s">
        <v>18</v>
      </c>
      <c r="C171" s="36">
        <v>1125352</v>
      </c>
      <c r="D171" s="36">
        <v>0</v>
      </c>
      <c r="E171" s="36"/>
      <c r="F171" s="36">
        <v>10236889.550000001</v>
      </c>
      <c r="G171" s="37">
        <f t="shared" si="24"/>
        <v>0.10993104834270678</v>
      </c>
      <c r="H171" s="23">
        <f t="shared" si="25"/>
        <v>0</v>
      </c>
      <c r="I171" s="24">
        <f t="shared" si="25"/>
        <v>0</v>
      </c>
      <c r="J171" s="32" t="str" cm="1">
        <f t="array" ref="J171">IFERROR(_xlfn.IFS(B171="044 - BLEND TRADICION","BLEND",B171="113 - CAFÉ GOURMET","GOURMET",B171="114 - CAFÉ CONSUMO","CONSUMO",B171="112 - CAFÉ ORGANICO","GOURMET",B171="172 - CAFÉ COSECHA","ESPECIALES",B171="176 - CAFE DESCAFEINADO","GOURMET",B171="147 - CAPSULAS","CAPSULAS",B171="130 - GALLETAS CAFECITAS","DERIVADOS",B171="140 - MERENGUES","DERIVADOS",B171="100 - CAFÉ ESPECIAL","ESPECIALES",B171="141 - AREQUIPE","DERIVADOS",B171="142 - MERMELADA","DERIVADOS",B171="131 - GALLETAS AVENA","DERIVADOS",B171="160 - SOUVENIR","OTROS",B171="148 - CARAMELOS","DERIVADOS",B171="143 - CHOCOFFES","DERIVADOS",B171="162 - CONVENIOS Y DSC POS ","OTROS"),"OTROS")</f>
        <v>BLEND</v>
      </c>
      <c r="L171" s="27">
        <f t="shared" si="26"/>
        <v>1125352</v>
      </c>
      <c r="M171" s="27">
        <f t="shared" si="27"/>
        <v>1125352</v>
      </c>
    </row>
    <row r="172" spans="1:13" ht="16.5" outlineLevel="1">
      <c r="A172" s="38"/>
      <c r="B172" s="39" t="s">
        <v>19</v>
      </c>
      <c r="C172" s="36">
        <v>1163126</v>
      </c>
      <c r="D172" s="36">
        <v>0</v>
      </c>
      <c r="E172" s="36">
        <v>0</v>
      </c>
      <c r="F172" s="36">
        <v>6016526.7400000002</v>
      </c>
      <c r="G172" s="37">
        <f t="shared" si="24"/>
        <v>0.19332183671139139</v>
      </c>
      <c r="H172" s="23">
        <f t="shared" si="25"/>
        <v>0</v>
      </c>
      <c r="I172" s="24">
        <f t="shared" si="25"/>
        <v>0</v>
      </c>
      <c r="J172" s="32" t="str" cm="1">
        <f t="array" ref="J172">IFERROR(_xlfn.IFS(B172="044 - BLEND TRADICION","BLEND",B172="113 - CAFÉ GOURMET","GOURMET",B172="114 - CAFÉ CONSUMO","CONSUMO",B172="112 - CAFÉ ORGANICO","GOURMET",B172="172 - CAFÉ COSECHA","ESPECIALES",B172="176 - CAFE DESCAFEINADO","GOURMET",B172="147 - CAPSULAS","CAPSULAS",B172="130 - GALLETAS CAFECITAS","DERIVADOS",B172="140 - MERENGUES","DERIVADOS",B172="100 - CAFÉ ESPECIAL","ESPECIALES",B172="141 - AREQUIPE","DERIVADOS",B172="142 - MERMELADA","DERIVADOS",B172="131 - GALLETAS AVENA","DERIVADOS",B172="160 - SOUVENIR","OTROS",B172="148 - CARAMELOS","DERIVADOS",B172="143 - CHOCOFFES","DERIVADOS",B172="162 - CONVENIOS Y DSC POS ","OTROS"),"OTROS")</f>
        <v>ESPECIALES</v>
      </c>
      <c r="L172" s="27">
        <f t="shared" si="26"/>
        <v>1163126</v>
      </c>
      <c r="M172" s="27">
        <f t="shared" si="27"/>
        <v>1163126</v>
      </c>
    </row>
    <row r="173" spans="1:13" ht="16.5" outlineLevel="1">
      <c r="A173" s="38"/>
      <c r="B173" s="39" t="s">
        <v>20</v>
      </c>
      <c r="C173" s="36">
        <v>383882</v>
      </c>
      <c r="D173" s="36">
        <v>0</v>
      </c>
      <c r="E173" s="36">
        <v>0</v>
      </c>
      <c r="F173" s="36">
        <v>1636189.73</v>
      </c>
      <c r="G173" s="37">
        <f t="shared" si="24"/>
        <v>0.2346194900025439</v>
      </c>
      <c r="H173" s="23">
        <f t="shared" ref="H173:I237" si="28">IFERROR(+D173/L173*100%,0)</f>
        <v>0</v>
      </c>
      <c r="I173" s="24">
        <f t="shared" si="28"/>
        <v>0</v>
      </c>
      <c r="J173" s="32" t="str" cm="1">
        <f t="array" ref="J173">IFERROR(_xlfn.IFS(B173="044 - BLEND TRADICION","BLEND",B173="113 - CAFÉ GOURMET","GOURMET",B173="114 - CAFÉ CONSUMO","CONSUMO",B173="112 - CAFÉ ORGANICO","GOURMET",B173="172 - CAFÉ COSECHA","ESPECIALES",B173="176 - CAFE DESCAFEINADO","GOURMET",B173="147 - CAPSULAS","CAPSULAS",B173="130 - GALLETAS CAFECITAS","DERIVADOS",B173="140 - MERENGUES","DERIVADOS",B173="100 - CAFÉ ESPECIAL","ESPECIALES",B173="141 - AREQUIPE","DERIVADOS",B173="142 - MERMELADA","DERIVADOS",B173="131 - GALLETAS AVENA","DERIVADOS",B173="160 - SOUVENIR","OTROS",B173="148 - CARAMELOS","DERIVADOS",B173="143 - CHOCOFFES","DERIVADOS",B173="162 - CONVENIOS Y DSC POS ","OTROS"),"OTROS")</f>
        <v>GOURMET</v>
      </c>
      <c r="L173" s="27">
        <f t="shared" si="26"/>
        <v>383882</v>
      </c>
      <c r="M173" s="27">
        <f t="shared" si="27"/>
        <v>383882</v>
      </c>
    </row>
    <row r="174" spans="1:13" ht="16.5" outlineLevel="1">
      <c r="A174" s="38"/>
      <c r="B174" s="39" t="s">
        <v>21</v>
      </c>
      <c r="C174" s="36">
        <v>6563897</v>
      </c>
      <c r="D174" s="36">
        <v>0</v>
      </c>
      <c r="E174" s="36"/>
      <c r="F174" s="36">
        <v>64517931.119999997</v>
      </c>
      <c r="G174" s="37">
        <f t="shared" si="24"/>
        <v>0.10173756172980025</v>
      </c>
      <c r="H174" s="23">
        <f t="shared" si="28"/>
        <v>0</v>
      </c>
      <c r="I174" s="24">
        <f t="shared" si="28"/>
        <v>0</v>
      </c>
      <c r="J174" s="32" t="str" cm="1">
        <f t="array" ref="J174">IFERROR(_xlfn.IFS(B174="044 - BLEND TRADICION","BLEND",B174="113 - CAFÉ GOURMET","GOURMET",B174="114 - CAFÉ CONSUMO","CONSUMO",B174="112 - CAFÉ ORGANICO","GOURMET",B174="172 - CAFÉ COSECHA","ESPECIALES",B174="176 - CAFE DESCAFEINADO","GOURMET",B174="147 - CAPSULAS","CAPSULAS",B174="130 - GALLETAS CAFECITAS","DERIVADOS",B174="140 - MERENGUES","DERIVADOS",B174="100 - CAFÉ ESPECIAL","ESPECIALES",B174="141 - AREQUIPE","DERIVADOS",B174="142 - MERMELADA","DERIVADOS",B174="131 - GALLETAS AVENA","DERIVADOS",B174="160 - SOUVENIR","OTROS",B174="148 - CARAMELOS","DERIVADOS",B174="143 - CHOCOFFES","DERIVADOS",B174="162 - CONVENIOS Y DSC POS ","OTROS"),"OTROS")</f>
        <v>GOURMET</v>
      </c>
      <c r="L174" s="27">
        <f t="shared" si="26"/>
        <v>6563897</v>
      </c>
      <c r="M174" s="27">
        <f t="shared" si="27"/>
        <v>6563897</v>
      </c>
    </row>
    <row r="175" spans="1:13" ht="16.5" outlineLevel="1">
      <c r="A175" s="38"/>
      <c r="B175" s="39" t="s">
        <v>38</v>
      </c>
      <c r="C175" s="36">
        <v>1076962</v>
      </c>
      <c r="D175" s="36">
        <v>0</v>
      </c>
      <c r="E175" s="36"/>
      <c r="F175" s="36">
        <v>9597044.6699999999</v>
      </c>
      <c r="G175" s="37">
        <f t="shared" si="24"/>
        <v>0.11221808765426951</v>
      </c>
      <c r="H175" s="23">
        <f t="shared" si="28"/>
        <v>0</v>
      </c>
      <c r="I175" s="24">
        <f t="shared" si="28"/>
        <v>0</v>
      </c>
      <c r="J175" s="32" t="str" cm="1">
        <f t="array" ref="J175">IFERROR(_xlfn.IFS(B175="044 - BLEND TRADICION","BLEND",B175="113 - CAFÉ GOURMET","GOURMET",B175="114 - CAFÉ CONSUMO","CONSUMO",B175="112 - CAFÉ ORGANICO","GOURMET",B175="172 - CAFÉ COSECHA","ESPECIALES",B175="176 - CAFE DESCAFEINADO","GOURMET",B175="147 - CAPSULAS","CAPSULAS",B175="130 - GALLETAS CAFECITAS","DERIVADOS",B175="140 - MERENGUES","DERIVADOS",B175="100 - CAFÉ ESPECIAL","ESPECIALES",B175="141 - AREQUIPE","DERIVADOS",B175="142 - MERMELADA","DERIVADOS",B175="131 - GALLETAS AVENA","DERIVADOS",B175="160 - SOUVENIR","OTROS",B175="148 - CARAMELOS","DERIVADOS",B175="143 - CHOCOFFES","DERIVADOS",B175="162 - CONVENIOS Y DSC POS ","OTROS"),"OTROS")</f>
        <v>CONSUMO</v>
      </c>
      <c r="L175" s="27">
        <f t="shared" si="26"/>
        <v>1076962</v>
      </c>
      <c r="M175" s="27">
        <f t="shared" si="27"/>
        <v>1076962</v>
      </c>
    </row>
    <row r="176" spans="1:13" ht="16.5" outlineLevel="1">
      <c r="A176" s="38"/>
      <c r="B176" s="39" t="s">
        <v>22</v>
      </c>
      <c r="C176" s="36">
        <v>1932809</v>
      </c>
      <c r="D176" s="36">
        <v>0</v>
      </c>
      <c r="E176" s="36"/>
      <c r="F176" s="36">
        <v>25972256.75</v>
      </c>
      <c r="G176" s="37">
        <f t="shared" si="24"/>
        <v>7.4418215506051474E-2</v>
      </c>
      <c r="H176" s="23">
        <f t="shared" si="28"/>
        <v>0</v>
      </c>
      <c r="I176" s="24">
        <f t="shared" si="28"/>
        <v>0</v>
      </c>
      <c r="J176" s="32" t="str" cm="1">
        <f t="array" ref="J176">IFERROR(_xlfn.IFS(B176="044 - BLEND TRADICION","BLEND",B176="113 - CAFÉ GOURMET","GOURMET",B176="114 - CAFÉ CONSUMO","CONSUMO",B176="112 - CAFÉ ORGANICO","GOURMET",B176="172 - CAFÉ COSECHA","ESPECIALES",B176="176 - CAFE DESCAFEINADO","GOURMET",B176="147 - CAPSULAS","CAPSULAS",B176="130 - GALLETAS CAFECITAS","DERIVADOS",B176="140 - MERENGUES","DERIVADOS",B176="100 - CAFÉ ESPECIAL","ESPECIALES",B176="141 - AREQUIPE","DERIVADOS",B176="142 - MERMELADA","DERIVADOS",B176="131 - GALLETAS AVENA","DERIVADOS",B176="160 - SOUVENIR","OTROS",B176="148 - CARAMELOS","DERIVADOS",B176="143 - CHOCOFFES","DERIVADOS",B176="162 - CONVENIOS Y DSC POS ","OTROS"),"OTROS")</f>
        <v>DERIVADOS</v>
      </c>
      <c r="L176" s="27">
        <f t="shared" si="26"/>
        <v>1932809</v>
      </c>
      <c r="M176" s="27">
        <f t="shared" si="27"/>
        <v>1932809</v>
      </c>
    </row>
    <row r="177" spans="1:13" ht="16.5" outlineLevel="1">
      <c r="A177" s="38"/>
      <c r="B177" s="39" t="s">
        <v>24</v>
      </c>
      <c r="C177" s="36">
        <v>81373</v>
      </c>
      <c r="D177" s="36">
        <v>0</v>
      </c>
      <c r="E177" s="36"/>
      <c r="F177" s="36">
        <v>2464599.98</v>
      </c>
      <c r="G177" s="37">
        <f t="shared" si="24"/>
        <v>3.3016716976521275E-2</v>
      </c>
      <c r="H177" s="23">
        <f t="shared" si="28"/>
        <v>0</v>
      </c>
      <c r="I177" s="24">
        <f t="shared" si="28"/>
        <v>0</v>
      </c>
      <c r="J177" s="32" t="str" cm="1">
        <f t="array" ref="J177">IFERROR(_xlfn.IFS(B177="044 - BLEND TRADICION","BLEND",B177="113 - CAFÉ GOURMET","GOURMET",B177="114 - CAFÉ CONSUMO","CONSUMO",B177="112 - CAFÉ ORGANICO","GOURMET",B177="172 - CAFÉ COSECHA","ESPECIALES",B177="176 - CAFE DESCAFEINADO","GOURMET",B177="147 - CAPSULAS","CAPSULAS",B177="130 - GALLETAS CAFECITAS","DERIVADOS",B177="140 - MERENGUES","DERIVADOS",B177="100 - CAFÉ ESPECIAL","ESPECIALES",B177="141 - AREQUIPE","DERIVADOS",B177="142 - MERMELADA","DERIVADOS",B177="131 - GALLETAS AVENA","DERIVADOS",B177="160 - SOUVENIR","OTROS",B177="148 - CARAMELOS","DERIVADOS",B177="143 - CHOCOFFES","DERIVADOS",B177="162 - CONVENIOS Y DSC POS ","OTROS"),"OTROS")</f>
        <v>DERIVADOS</v>
      </c>
      <c r="L177" s="27">
        <f t="shared" si="26"/>
        <v>81373</v>
      </c>
      <c r="M177" s="27">
        <f t="shared" si="27"/>
        <v>81373</v>
      </c>
    </row>
    <row r="178" spans="1:13" ht="16.5" outlineLevel="1">
      <c r="A178" s="38"/>
      <c r="B178" s="39" t="s">
        <v>25</v>
      </c>
      <c r="C178" s="36">
        <v>1485546</v>
      </c>
      <c r="D178" s="36">
        <v>0</v>
      </c>
      <c r="E178" s="36"/>
      <c r="F178" s="36">
        <v>12421685.26</v>
      </c>
      <c r="G178" s="37">
        <f t="shared" si="24"/>
        <v>0.11959295127076823</v>
      </c>
      <c r="H178" s="23">
        <f t="shared" si="28"/>
        <v>0</v>
      </c>
      <c r="I178" s="24">
        <f t="shared" si="28"/>
        <v>0</v>
      </c>
      <c r="J178" s="32" t="str" cm="1">
        <f t="array" ref="J178">IFERROR(_xlfn.IFS(B178="044 - BLEND TRADICION","BLEND",B178="113 - CAFÉ GOURMET","GOURMET",B178="114 - CAFÉ CONSUMO","CONSUMO",B178="112 - CAFÉ ORGANICO","GOURMET",B178="172 - CAFÉ COSECHA","ESPECIALES",B178="176 - CAFE DESCAFEINADO","GOURMET",B178="147 - CAPSULAS","CAPSULAS",B178="130 - GALLETAS CAFECITAS","DERIVADOS",B178="140 - MERENGUES","DERIVADOS",B178="100 - CAFÉ ESPECIAL","ESPECIALES",B178="141 - AREQUIPE","DERIVADOS",B178="142 - MERMELADA","DERIVADOS",B178="131 - GALLETAS AVENA","DERIVADOS",B178="160 - SOUVENIR","OTROS",B178="148 - CARAMELOS","DERIVADOS",B178="143 - CHOCOFFES","DERIVADOS",B178="162 - CONVENIOS Y DSC POS ","OTROS"),"OTROS")</f>
        <v>DERIVADOS</v>
      </c>
      <c r="L178" s="27">
        <f t="shared" si="26"/>
        <v>1485546</v>
      </c>
      <c r="M178" s="27">
        <f t="shared" si="27"/>
        <v>1485546</v>
      </c>
    </row>
    <row r="179" spans="1:13" ht="16.5" outlineLevel="1">
      <c r="A179" s="38"/>
      <c r="B179" s="39" t="s">
        <v>26</v>
      </c>
      <c r="C179" s="36">
        <v>95442</v>
      </c>
      <c r="D179" s="36">
        <v>0</v>
      </c>
      <c r="E179" s="36"/>
      <c r="F179" s="36">
        <v>2257638.58</v>
      </c>
      <c r="G179" s="37">
        <f t="shared" si="24"/>
        <v>4.2275145740998096E-2</v>
      </c>
      <c r="H179" s="23">
        <f t="shared" si="28"/>
        <v>0</v>
      </c>
      <c r="I179" s="24">
        <f t="shared" si="28"/>
        <v>0</v>
      </c>
      <c r="J179" s="32" t="str" cm="1">
        <f t="array" ref="J179">IFERROR(_xlfn.IFS(B179="044 - BLEND TRADICION","BLEND",B179="113 - CAFÉ GOURMET","GOURMET",B179="114 - CAFÉ CONSUMO","CONSUMO",B179="112 - CAFÉ ORGANICO","GOURMET",B179="172 - CAFÉ COSECHA","ESPECIALES",B179="176 - CAFE DESCAFEINADO","GOURMET",B179="147 - CAPSULAS","CAPSULAS",B179="130 - GALLETAS CAFECITAS","DERIVADOS",B179="140 - MERENGUES","DERIVADOS",B179="100 - CAFÉ ESPECIAL","ESPECIALES",B179="141 - AREQUIPE","DERIVADOS",B179="142 - MERMELADA","DERIVADOS",B179="131 - GALLETAS AVENA","DERIVADOS",B179="160 - SOUVENIR","OTROS",B179="148 - CARAMELOS","DERIVADOS",B179="143 - CHOCOFFES","DERIVADOS",B179="162 - CONVENIOS Y DSC POS ","OTROS"),"OTROS")</f>
        <v>CAPSULAS</v>
      </c>
      <c r="L179" s="27">
        <f t="shared" si="26"/>
        <v>95442</v>
      </c>
      <c r="M179" s="27">
        <f t="shared" si="27"/>
        <v>95442</v>
      </c>
    </row>
    <row r="180" spans="1:13" ht="16.5" outlineLevel="1">
      <c r="A180" s="38"/>
      <c r="B180" s="39" t="s">
        <v>27</v>
      </c>
      <c r="C180" s="36">
        <v>2617271</v>
      </c>
      <c r="D180" s="36">
        <v>0</v>
      </c>
      <c r="E180" s="36"/>
      <c r="F180" s="36">
        <v>20712565.039999999</v>
      </c>
      <c r="G180" s="37">
        <f t="shared" si="24"/>
        <v>0.12636151026903428</v>
      </c>
      <c r="H180" s="23">
        <f t="shared" si="28"/>
        <v>0</v>
      </c>
      <c r="I180" s="24">
        <f t="shared" si="28"/>
        <v>0</v>
      </c>
      <c r="J180" s="32" t="str" cm="1">
        <f t="array" ref="J180">IFERROR(_xlfn.IFS(B180="044 - BLEND TRADICION","BLEND",B180="113 - CAFÉ GOURMET","GOURMET",B180="114 - CAFÉ CONSUMO","CONSUMO",B180="112 - CAFÉ ORGANICO","GOURMET",B180="172 - CAFÉ COSECHA","ESPECIALES",B180="176 - CAFE DESCAFEINADO","GOURMET",B180="147 - CAPSULAS","CAPSULAS",B180="130 - GALLETAS CAFECITAS","DERIVADOS",B180="140 - MERENGUES","DERIVADOS",B180="100 - CAFÉ ESPECIAL","ESPECIALES",B180="141 - AREQUIPE","DERIVADOS",B180="142 - MERMELADA","DERIVADOS",B180="131 - GALLETAS AVENA","DERIVADOS",B180="160 - SOUVENIR","OTROS",B180="148 - CARAMELOS","DERIVADOS",B180="143 - CHOCOFFES","DERIVADOS",B180="162 - CONVENIOS Y DSC POS ","OTROS"),"OTROS")</f>
        <v>DERIVADOS</v>
      </c>
      <c r="L180" s="27">
        <f t="shared" si="26"/>
        <v>2617271</v>
      </c>
      <c r="M180" s="27">
        <f t="shared" si="27"/>
        <v>2617271</v>
      </c>
    </row>
    <row r="181" spans="1:13" ht="16.5" outlineLevel="1">
      <c r="A181" s="38"/>
      <c r="B181" s="39" t="s">
        <v>28</v>
      </c>
      <c r="C181" s="36">
        <v>1354857</v>
      </c>
      <c r="D181" s="36">
        <v>0</v>
      </c>
      <c r="E181" s="36"/>
      <c r="F181" s="36">
        <v>14886549.630000001</v>
      </c>
      <c r="G181" s="37">
        <f t="shared" si="24"/>
        <v>9.1012157529749893E-2</v>
      </c>
      <c r="H181" s="23">
        <f t="shared" si="28"/>
        <v>0</v>
      </c>
      <c r="I181" s="24">
        <f t="shared" si="28"/>
        <v>0</v>
      </c>
      <c r="J181" s="32" t="str" cm="1">
        <f t="array" ref="J181">IFERROR(_xlfn.IFS(B181="044 - BLEND TRADICION","BLEND",B181="113 - CAFÉ GOURMET","GOURMET",B181="114 - CAFÉ CONSUMO","CONSUMO",B181="112 - CAFÉ ORGANICO","GOURMET",B181="172 - CAFÉ COSECHA","ESPECIALES",B181="176 - CAFE DESCAFEINADO","GOURMET",B181="147 - CAPSULAS","CAPSULAS",B181="130 - GALLETAS CAFECITAS","DERIVADOS",B181="140 - MERENGUES","DERIVADOS",B181="100 - CAFÉ ESPECIAL","ESPECIALES",B181="141 - AREQUIPE","DERIVADOS",B181="142 - MERMELADA","DERIVADOS",B181="131 - GALLETAS AVENA","DERIVADOS",B181="160 - SOUVENIR","OTROS",B181="148 - CARAMELOS","DERIVADOS",B181="143 - CHOCOFFES","DERIVADOS",B181="162 - CONVENIOS Y DSC POS ","OTROS"),"OTROS")</f>
        <v>OTROS</v>
      </c>
      <c r="L181" s="27">
        <f t="shared" si="26"/>
        <v>1354857</v>
      </c>
      <c r="M181" s="27">
        <f t="shared" si="27"/>
        <v>1354857</v>
      </c>
    </row>
    <row r="182" spans="1:13" ht="16.5" outlineLevel="1">
      <c r="A182" s="38"/>
      <c r="B182" s="39" t="s">
        <v>29</v>
      </c>
      <c r="C182" s="36">
        <v>1583891</v>
      </c>
      <c r="D182" s="36">
        <v>0</v>
      </c>
      <c r="E182" s="36"/>
      <c r="F182" s="36">
        <v>8209679.5599999996</v>
      </c>
      <c r="G182" s="37">
        <f t="shared" si="24"/>
        <v>0.19292969822076711</v>
      </c>
      <c r="H182" s="23">
        <f t="shared" si="28"/>
        <v>0</v>
      </c>
      <c r="I182" s="24">
        <f t="shared" si="28"/>
        <v>0</v>
      </c>
      <c r="J182" s="32" t="str" cm="1">
        <f t="array" ref="J182">IFERROR(_xlfn.IFS(B182="044 - BLEND TRADICION","BLEND",B182="113 - CAFÉ GOURMET","GOURMET",B182="114 - CAFÉ CONSUMO","CONSUMO",B182="112 - CAFÉ ORGANICO","GOURMET",B182="172 - CAFÉ COSECHA","ESPECIALES",B182="176 - CAFE DESCAFEINADO","GOURMET",B182="147 - CAPSULAS","CAPSULAS",B182="130 - GALLETAS CAFECITAS","DERIVADOS",B182="140 - MERENGUES","DERIVADOS",B182="100 - CAFÉ ESPECIAL","ESPECIALES",B182="141 - AREQUIPE","DERIVADOS",B182="142 - MERMELADA","DERIVADOS",B182="131 - GALLETAS AVENA","DERIVADOS",B182="160 - SOUVENIR","OTROS",B182="148 - CARAMELOS","DERIVADOS",B182="143 - CHOCOFFES","DERIVADOS",B182="162 - CONVENIOS Y DSC POS ","OTROS"),"OTROS")</f>
        <v>ESPECIALES</v>
      </c>
      <c r="L182" s="27">
        <f t="shared" si="26"/>
        <v>1583891</v>
      </c>
      <c r="M182" s="27">
        <f t="shared" si="27"/>
        <v>1583891</v>
      </c>
    </row>
    <row r="183" spans="1:13" ht="16.5" outlineLevel="1">
      <c r="A183" s="38"/>
      <c r="B183" s="39" t="s">
        <v>30</v>
      </c>
      <c r="C183" s="36">
        <v>120198</v>
      </c>
      <c r="D183" s="36">
        <v>0</v>
      </c>
      <c r="E183" s="36"/>
      <c r="F183" s="36">
        <v>1016149.79</v>
      </c>
      <c r="G183" s="37">
        <f t="shared" si="24"/>
        <v>0.11828767882735083</v>
      </c>
      <c r="H183" s="23">
        <f t="shared" si="28"/>
        <v>0</v>
      </c>
      <c r="I183" s="24">
        <f t="shared" si="28"/>
        <v>0</v>
      </c>
      <c r="J183" s="32" t="str" cm="1">
        <f t="array" ref="J183">IFERROR(_xlfn.IFS(B183="044 - BLEND TRADICION","BLEND",B183="113 - CAFÉ GOURMET","GOURMET",B183="114 - CAFÉ CONSUMO","CONSUMO",B183="112 - CAFÉ ORGANICO","GOURMET",B183="172 - CAFÉ COSECHA","ESPECIALES",B183="176 - CAFE DESCAFEINADO","GOURMET",B183="147 - CAPSULAS","CAPSULAS",B183="130 - GALLETAS CAFECITAS","DERIVADOS",B183="140 - MERENGUES","DERIVADOS",B183="100 - CAFÉ ESPECIAL","ESPECIALES",B183="141 - AREQUIPE","DERIVADOS",B183="142 - MERMELADA","DERIVADOS",B183="131 - GALLETAS AVENA","DERIVADOS",B183="160 - SOUVENIR","OTROS",B183="148 - CARAMELOS","DERIVADOS",B183="143 - CHOCOFFES","DERIVADOS",B183="162 - CONVENIOS Y DSC POS ","OTROS"),"OTROS")</f>
        <v>GOURMET</v>
      </c>
      <c r="L183" s="27">
        <f t="shared" si="26"/>
        <v>120198</v>
      </c>
      <c r="M183" s="27">
        <f t="shared" si="27"/>
        <v>120198</v>
      </c>
    </row>
    <row r="184" spans="1:13" ht="16.5" outlineLevel="1">
      <c r="A184" s="19" t="s">
        <v>54</v>
      </c>
      <c r="B184" s="56" t="s">
        <v>32</v>
      </c>
      <c r="C184" s="54">
        <f>SUM(C170:C183)</f>
        <v>19625190</v>
      </c>
      <c r="D184" s="54">
        <f>SUM(D170:D183)</f>
        <v>0</v>
      </c>
      <c r="E184" s="54">
        <f>SUM(E170:E183)</f>
        <v>0</v>
      </c>
      <c r="F184" s="58">
        <f>SUM(F170:F183)</f>
        <v>179945706.40000001</v>
      </c>
      <c r="G184" s="55">
        <f t="shared" si="24"/>
        <v>0.10906172974405573</v>
      </c>
      <c r="H184" s="23">
        <f t="shared" si="28"/>
        <v>0</v>
      </c>
      <c r="I184" s="24">
        <f t="shared" si="28"/>
        <v>0</v>
      </c>
      <c r="J184" s="32" t="str" cm="1">
        <f t="array" ref="J184">IFERROR(_xlfn.IFS(B184="044 - BLEND TRADICION","BLEND",B184="113 - CAFÉ GOURMET","GOURMET",B184="114 - CAFÉ CONSUMO","CONSUMO",B184="112 - CAFÉ ORGANICO","GOURMET",B184="172 - CAFÉ COSECHA","ESPECIALES",B184="176 - CAFE DESCAFEINADO","GOURMET",B184="147 - CAPSULAS","CAPSULAS",B184="130 - GALLETAS CAFECITAS","DERIVADOS",B184="140 - MERENGUES","DERIVADOS",B184="100 - CAFÉ ESPECIAL","ESPECIALES",B184="141 - AREQUIPE","DERIVADOS",B184="142 - MERMELADA","DERIVADOS",B184="131 - GALLETAS AVENA","DERIVADOS",B184="160 - SOUVENIR","OTROS",B184="148 - CARAMELOS","DERIVADOS",B184="143 - CHOCOFFES","DERIVADOS",B184="162 - CONVENIOS Y DSC POS ","OTROS"),"OTROS")</f>
        <v>OTROS</v>
      </c>
      <c r="L184" s="27">
        <f t="shared" si="26"/>
        <v>19625190</v>
      </c>
      <c r="M184" s="27">
        <f t="shared" si="27"/>
        <v>19625190</v>
      </c>
    </row>
    <row r="185" spans="1:13" ht="16.5">
      <c r="A185" s="28" t="s">
        <v>55</v>
      </c>
      <c r="B185" s="29" t="s">
        <v>17</v>
      </c>
      <c r="C185" s="30">
        <f>+C199</f>
        <v>21162638</v>
      </c>
      <c r="D185" s="30">
        <f t="shared" ref="D185:E185" si="29">+D199</f>
        <v>0</v>
      </c>
      <c r="E185" s="30">
        <f t="shared" si="29"/>
        <v>0</v>
      </c>
      <c r="F185" s="30">
        <f>+F199</f>
        <v>251466278.25</v>
      </c>
      <c r="G185" s="31">
        <f t="shared" si="24"/>
        <v>8.4156961908668962E-2</v>
      </c>
      <c r="H185" s="23">
        <f t="shared" si="28"/>
        <v>0</v>
      </c>
      <c r="I185" s="24">
        <f t="shared" si="28"/>
        <v>0</v>
      </c>
      <c r="J185" s="32" t="str" cm="1">
        <f t="array" ref="J185">IFERROR(_xlfn.IFS(B185="044 - BLEND TRADICION","BLEND",B185="113 - CAFÉ GOURMET","GOURMET",B185="114 - CAFÉ CONSUMO","CONSUMO",B185="112 - CAFÉ ORGANICO","GOURMET",B185="172 - CAFÉ COSECHA","ESPECIALES",B185="176 - CAFE DESCAFEINADO","GOURMET",B185="147 - CAPSULAS","CAPSULAS",B185="130 - GALLETAS CAFECITAS","DERIVADOS",B185="140 - MERENGUES","DERIVADOS",B185="100 - CAFÉ ESPECIAL","ESPECIALES",B185="141 - AREQUIPE","DERIVADOS",B185="142 - MERMELADA","DERIVADOS",B185="131 - GALLETAS AVENA","DERIVADOS",B185="160 - SOUVENIR","OTROS",B185="148 - CARAMELOS","DERIVADOS",B185="143 - CHOCOFFES","DERIVADOS",B185="162 - CONVENIOS Y DSC POS ","OTROS"),"OTROS")</f>
        <v>OTROS</v>
      </c>
      <c r="L185" s="27">
        <f t="shared" si="26"/>
        <v>21162638</v>
      </c>
      <c r="M185" s="27">
        <f t="shared" si="27"/>
        <v>21162638</v>
      </c>
    </row>
    <row r="186" spans="1:13" ht="16.5" outlineLevel="1">
      <c r="A186" s="38"/>
      <c r="B186" s="39" t="s">
        <v>34</v>
      </c>
      <c r="C186" s="36">
        <v>0</v>
      </c>
      <c r="D186" s="36">
        <v>0</v>
      </c>
      <c r="E186" s="36">
        <v>0</v>
      </c>
      <c r="F186" s="36">
        <v>4405498.4400000004</v>
      </c>
      <c r="G186" s="37">
        <f t="shared" si="24"/>
        <v>0</v>
      </c>
      <c r="H186" s="23">
        <f t="shared" si="28"/>
        <v>0</v>
      </c>
      <c r="I186" s="24">
        <f t="shared" si="28"/>
        <v>0</v>
      </c>
      <c r="J186" s="32" t="str" cm="1">
        <f t="array" ref="J186">IFERROR(_xlfn.IFS(B186="044 - BLEND TRADICION","BLEND",B186="113 - CAFÉ GOURMET","GOURMET",B186="114 - CAFÉ CONSUMO","CONSUMO",B186="112 - CAFÉ ORGANICO","GOURMET",B186="172 - CAFÉ COSECHA","ESPECIALES",B186="176 - CAFE DESCAFEINADO","GOURMET",B186="147 - CAPSULAS","CAPSULAS",B186="130 - GALLETAS CAFECITAS","DERIVADOS",B186="140 - MERENGUES","DERIVADOS",B186="100 - CAFÉ ESPECIAL","ESPECIALES",B186="141 - AREQUIPE","DERIVADOS",B186="142 - MERMELADA","DERIVADOS",B186="131 - GALLETAS AVENA","DERIVADOS",B186="160 - SOUVENIR","OTROS",B186="148 - CARAMELOS","DERIVADOS",B186="143 - CHOCOFFES","DERIVADOS",B186="162 - CONVENIOS Y DSC POS ","OTROS"),"OTROS")</f>
        <v>OTROS</v>
      </c>
      <c r="K186" s="62"/>
      <c r="L186" s="27">
        <f t="shared" si="26"/>
        <v>0</v>
      </c>
      <c r="M186" s="27">
        <f t="shared" si="27"/>
        <v>0</v>
      </c>
    </row>
    <row r="187" spans="1:13" ht="16.5" outlineLevel="1">
      <c r="A187" s="38"/>
      <c r="B187" s="39" t="s">
        <v>18</v>
      </c>
      <c r="C187" s="36">
        <v>0</v>
      </c>
      <c r="D187" s="36">
        <v>0</v>
      </c>
      <c r="E187" s="36"/>
      <c r="F187" s="36">
        <v>1752263.11</v>
      </c>
      <c r="G187" s="37">
        <f t="shared" si="24"/>
        <v>0</v>
      </c>
      <c r="H187" s="23">
        <f t="shared" si="28"/>
        <v>0</v>
      </c>
      <c r="I187" s="24">
        <f t="shared" si="28"/>
        <v>0</v>
      </c>
      <c r="J187" s="32" t="str" cm="1">
        <f t="array" ref="J187">IFERROR(_xlfn.IFS(B187="044 - BLEND TRADICION","BLEND",B187="113 - CAFÉ GOURMET","GOURMET",B187="114 - CAFÉ CONSUMO","CONSUMO",B187="112 - CAFÉ ORGANICO","GOURMET",B187="172 - CAFÉ COSECHA","ESPECIALES",B187="176 - CAFE DESCAFEINADO","GOURMET",B187="147 - CAPSULAS","CAPSULAS",B187="130 - GALLETAS CAFECITAS","DERIVADOS",B187="140 - MERENGUES","DERIVADOS",B187="100 - CAFÉ ESPECIAL","ESPECIALES",B187="141 - AREQUIPE","DERIVADOS",B187="142 - MERMELADA","DERIVADOS",B187="131 - GALLETAS AVENA","DERIVADOS",B187="160 - SOUVENIR","OTROS",B187="148 - CARAMELOS","DERIVADOS",B187="143 - CHOCOFFES","DERIVADOS",B187="162 - CONVENIOS Y DSC POS ","OTROS"),"OTROS")</f>
        <v>BLEND</v>
      </c>
      <c r="K187" s="62"/>
      <c r="L187" s="27">
        <f t="shared" si="26"/>
        <v>0</v>
      </c>
      <c r="M187" s="27">
        <f t="shared" si="27"/>
        <v>0</v>
      </c>
    </row>
    <row r="188" spans="1:13" ht="16.5" outlineLevel="1">
      <c r="A188" s="38"/>
      <c r="B188" s="39" t="s">
        <v>19</v>
      </c>
      <c r="C188" s="36">
        <v>0</v>
      </c>
      <c r="D188" s="36">
        <v>0</v>
      </c>
      <c r="E188" s="36"/>
      <c r="F188" s="36">
        <v>5187386.37</v>
      </c>
      <c r="G188" s="37">
        <f t="shared" si="24"/>
        <v>0</v>
      </c>
      <c r="H188" s="23">
        <f t="shared" si="28"/>
        <v>0</v>
      </c>
      <c r="I188" s="24">
        <f t="shared" si="28"/>
        <v>0</v>
      </c>
      <c r="J188" s="32" t="str" cm="1">
        <f t="array" ref="J188">IFERROR(_xlfn.IFS(B188="044 - BLEND TRADICION","BLEND",B188="113 - CAFÉ GOURMET","GOURMET",B188="114 - CAFÉ CONSUMO","CONSUMO",B188="112 - CAFÉ ORGANICO","GOURMET",B188="172 - CAFÉ COSECHA","ESPECIALES",B188="176 - CAFE DESCAFEINADO","GOURMET",B188="147 - CAPSULAS","CAPSULAS",B188="130 - GALLETAS CAFECITAS","DERIVADOS",B188="140 - MERENGUES","DERIVADOS",B188="100 - CAFÉ ESPECIAL","ESPECIALES",B188="141 - AREQUIPE","DERIVADOS",B188="142 - MERMELADA","DERIVADOS",B188="131 - GALLETAS AVENA","DERIVADOS",B188="160 - SOUVENIR","OTROS",B188="148 - CARAMELOS","DERIVADOS",B188="143 - CHOCOFFES","DERIVADOS",B188="162 - CONVENIOS Y DSC POS ","OTROS"),"OTROS")</f>
        <v>ESPECIALES</v>
      </c>
      <c r="K188" s="62"/>
      <c r="L188" s="27">
        <f t="shared" si="26"/>
        <v>0</v>
      </c>
      <c r="M188" s="27">
        <f t="shared" si="27"/>
        <v>0</v>
      </c>
    </row>
    <row r="189" spans="1:13" ht="16.5" outlineLevel="1">
      <c r="A189" s="38"/>
      <c r="B189" s="39" t="s">
        <v>20</v>
      </c>
      <c r="C189" s="36">
        <v>0</v>
      </c>
      <c r="D189" s="36">
        <v>0</v>
      </c>
      <c r="E189" s="36"/>
      <c r="F189" s="36">
        <v>7440163.29</v>
      </c>
      <c r="G189" s="37">
        <f t="shared" si="24"/>
        <v>0</v>
      </c>
      <c r="H189" s="23">
        <f t="shared" si="28"/>
        <v>0</v>
      </c>
      <c r="I189" s="24">
        <f t="shared" si="28"/>
        <v>0</v>
      </c>
      <c r="J189" s="32" t="str" cm="1">
        <f t="array" ref="J189">IFERROR(_xlfn.IFS(B189="044 - BLEND TRADICION","BLEND",B189="113 - CAFÉ GOURMET","GOURMET",B189="114 - CAFÉ CONSUMO","CONSUMO",B189="112 - CAFÉ ORGANICO","GOURMET",B189="172 - CAFÉ COSECHA","ESPECIALES",B189="176 - CAFE DESCAFEINADO","GOURMET",B189="147 - CAPSULAS","CAPSULAS",B189="130 - GALLETAS CAFECITAS","DERIVADOS",B189="140 - MERENGUES","DERIVADOS",B189="100 - CAFÉ ESPECIAL","ESPECIALES",B189="141 - AREQUIPE","DERIVADOS",B189="142 - MERMELADA","DERIVADOS",B189="131 - GALLETAS AVENA","DERIVADOS",B189="160 - SOUVENIR","OTROS",B189="148 - CARAMELOS","DERIVADOS",B189="143 - CHOCOFFES","DERIVADOS",B189="162 - CONVENIOS Y DSC POS ","OTROS"),"OTROS")</f>
        <v>GOURMET</v>
      </c>
      <c r="K189" s="62"/>
      <c r="L189" s="27">
        <f t="shared" si="26"/>
        <v>0</v>
      </c>
      <c r="M189" s="27">
        <f t="shared" si="27"/>
        <v>0</v>
      </c>
    </row>
    <row r="190" spans="1:13" ht="16.5" outlineLevel="1">
      <c r="A190" s="38"/>
      <c r="B190" s="39" t="s">
        <v>21</v>
      </c>
      <c r="C190" s="36">
        <v>6731045</v>
      </c>
      <c r="D190" s="36">
        <v>0</v>
      </c>
      <c r="E190" s="36"/>
      <c r="F190" s="36">
        <v>142013899.65000001</v>
      </c>
      <c r="G190" s="37">
        <f t="shared" si="24"/>
        <v>4.7397085895035482E-2</v>
      </c>
      <c r="H190" s="23">
        <f t="shared" si="28"/>
        <v>0</v>
      </c>
      <c r="I190" s="24">
        <f t="shared" si="28"/>
        <v>0</v>
      </c>
      <c r="J190" s="32" t="str" cm="1">
        <f t="array" ref="J190">IFERROR(_xlfn.IFS(B190="044 - BLEND TRADICION","BLEND",B190="113 - CAFÉ GOURMET","GOURMET",B190="114 - CAFÉ CONSUMO","CONSUMO",B190="112 - CAFÉ ORGANICO","GOURMET",B190="172 - CAFÉ COSECHA","ESPECIALES",B190="176 - CAFE DESCAFEINADO","GOURMET",B190="147 - CAPSULAS","CAPSULAS",B190="130 - GALLETAS CAFECITAS","DERIVADOS",B190="140 - MERENGUES","DERIVADOS",B190="100 - CAFÉ ESPECIAL","ESPECIALES",B190="141 - AREQUIPE","DERIVADOS",B190="142 - MERMELADA","DERIVADOS",B190="131 - GALLETAS AVENA","DERIVADOS",B190="160 - SOUVENIR","OTROS",B190="148 - CARAMELOS","DERIVADOS",B190="143 - CHOCOFFES","DERIVADOS",B190="162 - CONVENIOS Y DSC POS ","OTROS"),"OTROS")</f>
        <v>GOURMET</v>
      </c>
      <c r="K190" s="62"/>
      <c r="L190" s="27">
        <f t="shared" si="26"/>
        <v>6731045</v>
      </c>
      <c r="M190" s="27">
        <f t="shared" si="27"/>
        <v>6731045</v>
      </c>
    </row>
    <row r="191" spans="1:13" ht="16.5" outlineLevel="1">
      <c r="A191" s="38"/>
      <c r="B191" s="39" t="s">
        <v>22</v>
      </c>
      <c r="C191" s="36">
        <v>0</v>
      </c>
      <c r="D191" s="36">
        <v>0</v>
      </c>
      <c r="E191" s="36"/>
      <c r="F191" s="36">
        <v>2033308.06</v>
      </c>
      <c r="G191" s="37">
        <f t="shared" si="24"/>
        <v>0</v>
      </c>
      <c r="H191" s="23">
        <f t="shared" si="28"/>
        <v>0</v>
      </c>
      <c r="I191" s="24">
        <f t="shared" si="28"/>
        <v>0</v>
      </c>
      <c r="J191" s="32" t="str" cm="1">
        <f t="array" ref="J191">IFERROR(_xlfn.IFS(B191="044 - BLEND TRADICION","BLEND",B191="113 - CAFÉ GOURMET","GOURMET",B191="114 - CAFÉ CONSUMO","CONSUMO",B191="112 - CAFÉ ORGANICO","GOURMET",B191="172 - CAFÉ COSECHA","ESPECIALES",B191="176 - CAFE DESCAFEINADO","GOURMET",B191="147 - CAPSULAS","CAPSULAS",B191="130 - GALLETAS CAFECITAS","DERIVADOS",B191="140 - MERENGUES","DERIVADOS",B191="100 - CAFÉ ESPECIAL","ESPECIALES",B191="141 - AREQUIPE","DERIVADOS",B191="142 - MERMELADA","DERIVADOS",B191="131 - GALLETAS AVENA","DERIVADOS",B191="160 - SOUVENIR","OTROS",B191="148 - CARAMELOS","DERIVADOS",B191="143 - CHOCOFFES","DERIVADOS",B191="162 - CONVENIOS Y DSC POS ","OTROS"),"OTROS")</f>
        <v>DERIVADOS</v>
      </c>
      <c r="K191" s="62"/>
      <c r="L191" s="27">
        <f t="shared" si="26"/>
        <v>0</v>
      </c>
      <c r="M191" s="27">
        <f t="shared" si="27"/>
        <v>0</v>
      </c>
    </row>
    <row r="192" spans="1:13" ht="16.5" outlineLevel="1">
      <c r="A192" s="38"/>
      <c r="B192" s="39" t="s">
        <v>24</v>
      </c>
      <c r="C192" s="36">
        <v>0</v>
      </c>
      <c r="D192" s="36">
        <v>0</v>
      </c>
      <c r="E192" s="36"/>
      <c r="F192" s="36">
        <v>5794.52</v>
      </c>
      <c r="G192" s="37">
        <f t="shared" si="24"/>
        <v>0</v>
      </c>
      <c r="H192" s="23">
        <f t="shared" si="28"/>
        <v>0</v>
      </c>
      <c r="I192" s="24">
        <f t="shared" si="28"/>
        <v>0</v>
      </c>
      <c r="J192" s="32" t="str" cm="1">
        <f t="array" ref="J192">IFERROR(_xlfn.IFS(B192="044 - BLEND TRADICION","BLEND",B192="113 - CAFÉ GOURMET","GOURMET",B192="114 - CAFÉ CONSUMO","CONSUMO",B192="112 - CAFÉ ORGANICO","GOURMET",B192="172 - CAFÉ COSECHA","ESPECIALES",B192="176 - CAFE DESCAFEINADO","GOURMET",B192="147 - CAPSULAS","CAPSULAS",B192="130 - GALLETAS CAFECITAS","DERIVADOS",B192="140 - MERENGUES","DERIVADOS",B192="100 - CAFÉ ESPECIAL","ESPECIALES",B192="141 - AREQUIPE","DERIVADOS",B192="142 - MERMELADA","DERIVADOS",B192="131 - GALLETAS AVENA","DERIVADOS",B192="160 - SOUVENIR","OTROS",B192="148 - CARAMELOS","DERIVADOS",B192="143 - CHOCOFFES","DERIVADOS",B192="162 - CONVENIOS Y DSC POS ","OTROS"),"OTROS")</f>
        <v>DERIVADOS</v>
      </c>
      <c r="K192" s="62"/>
      <c r="L192" s="27">
        <f t="shared" si="26"/>
        <v>0</v>
      </c>
      <c r="M192" s="27">
        <f t="shared" si="27"/>
        <v>0</v>
      </c>
    </row>
    <row r="193" spans="1:13" ht="16.5" outlineLevel="1">
      <c r="A193" s="38"/>
      <c r="B193" s="39" t="s">
        <v>25</v>
      </c>
      <c r="C193" s="36">
        <v>0</v>
      </c>
      <c r="D193" s="36">
        <v>0</v>
      </c>
      <c r="E193" s="36"/>
      <c r="F193" s="36">
        <v>3644356.83</v>
      </c>
      <c r="G193" s="37">
        <f t="shared" si="24"/>
        <v>0</v>
      </c>
      <c r="H193" s="23">
        <f t="shared" si="28"/>
        <v>0</v>
      </c>
      <c r="I193" s="24">
        <f t="shared" si="28"/>
        <v>0</v>
      </c>
      <c r="J193" s="32" t="str" cm="1">
        <f t="array" ref="J193">IFERROR(_xlfn.IFS(B193="044 - BLEND TRADICION","BLEND",B193="113 - CAFÉ GOURMET","GOURMET",B193="114 - CAFÉ CONSUMO","CONSUMO",B193="112 - CAFÉ ORGANICO","GOURMET",B193="172 - CAFÉ COSECHA","ESPECIALES",B193="176 - CAFE DESCAFEINADO","GOURMET",B193="147 - CAPSULAS","CAPSULAS",B193="130 - GALLETAS CAFECITAS","DERIVADOS",B193="140 - MERENGUES","DERIVADOS",B193="100 - CAFÉ ESPECIAL","ESPECIALES",B193="141 - AREQUIPE","DERIVADOS",B193="142 - MERMELADA","DERIVADOS",B193="131 - GALLETAS AVENA","DERIVADOS",B193="160 - SOUVENIR","OTROS",B193="148 - CARAMELOS","DERIVADOS",B193="143 - CHOCOFFES","DERIVADOS",B193="162 - CONVENIOS Y DSC POS ","OTROS"),"OTROS")</f>
        <v>DERIVADOS</v>
      </c>
      <c r="K193" s="62"/>
      <c r="L193" s="27">
        <f t="shared" si="26"/>
        <v>0</v>
      </c>
      <c r="M193" s="27">
        <f t="shared" si="27"/>
        <v>0</v>
      </c>
    </row>
    <row r="194" spans="1:13" ht="16.5" outlineLevel="1">
      <c r="A194" s="38"/>
      <c r="B194" s="39" t="s">
        <v>26</v>
      </c>
      <c r="C194" s="36">
        <v>12596991</v>
      </c>
      <c r="D194" s="36">
        <v>0</v>
      </c>
      <c r="E194" s="36"/>
      <c r="F194" s="36">
        <v>59490908.259999998</v>
      </c>
      <c r="G194" s="37">
        <f t="shared" si="24"/>
        <v>0.21174648981565239</v>
      </c>
      <c r="H194" s="23">
        <f t="shared" si="28"/>
        <v>0</v>
      </c>
      <c r="I194" s="24">
        <f t="shared" si="28"/>
        <v>0</v>
      </c>
      <c r="J194" s="32" t="str" cm="1">
        <f t="array" ref="J194">IFERROR(_xlfn.IFS(B194="044 - BLEND TRADICION","BLEND",B194="113 - CAFÉ GOURMET","GOURMET",B194="114 - CAFÉ CONSUMO","CONSUMO",B194="112 - CAFÉ ORGANICO","GOURMET",B194="172 - CAFÉ COSECHA","ESPECIALES",B194="176 - CAFE DESCAFEINADO","GOURMET",B194="147 - CAPSULAS","CAPSULAS",B194="130 - GALLETAS CAFECITAS","DERIVADOS",B194="140 - MERENGUES","DERIVADOS",B194="100 - CAFÉ ESPECIAL","ESPECIALES",B194="141 - AREQUIPE","DERIVADOS",B194="142 - MERMELADA","DERIVADOS",B194="131 - GALLETAS AVENA","DERIVADOS",B194="160 - SOUVENIR","OTROS",B194="148 - CARAMELOS","DERIVADOS",B194="143 - CHOCOFFES","DERIVADOS",B194="162 - CONVENIOS Y DSC POS ","OTROS"),"OTROS")</f>
        <v>CAPSULAS</v>
      </c>
      <c r="K194" s="62"/>
      <c r="L194" s="27">
        <f t="shared" si="26"/>
        <v>12596991</v>
      </c>
      <c r="M194" s="27">
        <f t="shared" si="27"/>
        <v>12596991</v>
      </c>
    </row>
    <row r="195" spans="1:13" ht="16.5" outlineLevel="1">
      <c r="A195" s="38"/>
      <c r="B195" s="39" t="s">
        <v>27</v>
      </c>
      <c r="C195" s="36">
        <v>0</v>
      </c>
      <c r="D195" s="36">
        <v>0</v>
      </c>
      <c r="E195" s="36"/>
      <c r="F195" s="36">
        <v>3108564.42</v>
      </c>
      <c r="G195" s="37">
        <f t="shared" si="24"/>
        <v>0</v>
      </c>
      <c r="H195" s="23">
        <f t="shared" si="28"/>
        <v>0</v>
      </c>
      <c r="I195" s="24">
        <f t="shared" si="28"/>
        <v>0</v>
      </c>
      <c r="J195" s="32" t="str" cm="1">
        <f t="array" ref="J195">IFERROR(_xlfn.IFS(B195="044 - BLEND TRADICION","BLEND",B195="113 - CAFÉ GOURMET","GOURMET",B195="114 - CAFÉ CONSUMO","CONSUMO",B195="112 - CAFÉ ORGANICO","GOURMET",B195="172 - CAFÉ COSECHA","ESPECIALES",B195="176 - CAFE DESCAFEINADO","GOURMET",B195="147 - CAPSULAS","CAPSULAS",B195="130 - GALLETAS CAFECITAS","DERIVADOS",B195="140 - MERENGUES","DERIVADOS",B195="100 - CAFÉ ESPECIAL","ESPECIALES",B195="141 - AREQUIPE","DERIVADOS",B195="142 - MERMELADA","DERIVADOS",B195="131 - GALLETAS AVENA","DERIVADOS",B195="160 - SOUVENIR","OTROS",B195="148 - CARAMELOS","DERIVADOS",B195="143 - CHOCOFFES","DERIVADOS",B195="162 - CONVENIOS Y DSC POS ","OTROS"),"OTROS")</f>
        <v>DERIVADOS</v>
      </c>
      <c r="K195" s="62"/>
      <c r="L195" s="27">
        <f t="shared" si="26"/>
        <v>0</v>
      </c>
      <c r="M195" s="27">
        <f t="shared" si="27"/>
        <v>0</v>
      </c>
    </row>
    <row r="196" spans="1:13" ht="16.5" outlineLevel="1">
      <c r="A196" s="38"/>
      <c r="B196" s="39" t="s">
        <v>28</v>
      </c>
      <c r="C196" s="36">
        <v>0</v>
      </c>
      <c r="D196" s="36">
        <v>0</v>
      </c>
      <c r="E196" s="36"/>
      <c r="F196" s="36">
        <v>7821246.9800000004</v>
      </c>
      <c r="G196" s="37">
        <f t="shared" si="24"/>
        <v>0</v>
      </c>
      <c r="H196" s="23">
        <f t="shared" si="28"/>
        <v>0</v>
      </c>
      <c r="I196" s="24">
        <f t="shared" si="28"/>
        <v>0</v>
      </c>
      <c r="J196" s="32" t="str" cm="1">
        <f t="array" ref="J196">IFERROR(_xlfn.IFS(B196="044 - BLEND TRADICION","BLEND",B196="113 - CAFÉ GOURMET","GOURMET",B196="114 - CAFÉ CONSUMO","CONSUMO",B196="112 - CAFÉ ORGANICO","GOURMET",B196="172 - CAFÉ COSECHA","ESPECIALES",B196="176 - CAFE DESCAFEINADO","GOURMET",B196="147 - CAPSULAS","CAPSULAS",B196="130 - GALLETAS CAFECITAS","DERIVADOS",B196="140 - MERENGUES","DERIVADOS",B196="100 - CAFÉ ESPECIAL","ESPECIALES",B196="141 - AREQUIPE","DERIVADOS",B196="142 - MERMELADA","DERIVADOS",B196="131 - GALLETAS AVENA","DERIVADOS",B196="160 - SOUVENIR","OTROS",B196="148 - CARAMELOS","DERIVADOS",B196="143 - CHOCOFFES","DERIVADOS",B196="162 - CONVENIOS Y DSC POS ","OTROS"),"OTROS")</f>
        <v>OTROS</v>
      </c>
      <c r="K196" s="62"/>
      <c r="L196" s="27">
        <f t="shared" si="26"/>
        <v>0</v>
      </c>
      <c r="M196" s="27">
        <f t="shared" si="27"/>
        <v>0</v>
      </c>
    </row>
    <row r="197" spans="1:13" ht="16.5" outlineLevel="1">
      <c r="A197" s="38"/>
      <c r="B197" s="39" t="s">
        <v>29</v>
      </c>
      <c r="C197" s="36">
        <v>0</v>
      </c>
      <c r="D197" s="36">
        <v>0</v>
      </c>
      <c r="E197" s="36"/>
      <c r="F197" s="36">
        <v>12404965.970000001</v>
      </c>
      <c r="G197" s="37">
        <f t="shared" si="24"/>
        <v>0</v>
      </c>
      <c r="H197" s="23">
        <f t="shared" si="28"/>
        <v>0</v>
      </c>
      <c r="I197" s="24">
        <f t="shared" si="28"/>
        <v>0</v>
      </c>
      <c r="J197" s="32" t="str" cm="1">
        <f t="array" ref="J197">IFERROR(_xlfn.IFS(B197="044 - BLEND TRADICION","BLEND",B197="113 - CAFÉ GOURMET","GOURMET",B197="114 - CAFÉ CONSUMO","CONSUMO",B197="112 - CAFÉ ORGANICO","GOURMET",B197="172 - CAFÉ COSECHA","ESPECIALES",B197="176 - CAFE DESCAFEINADO","GOURMET",B197="147 - CAPSULAS","CAPSULAS",B197="130 - GALLETAS CAFECITAS","DERIVADOS",B197="140 - MERENGUES","DERIVADOS",B197="100 - CAFÉ ESPECIAL","ESPECIALES",B197="141 - AREQUIPE","DERIVADOS",B197="142 - MERMELADA","DERIVADOS",B197="131 - GALLETAS AVENA","DERIVADOS",B197="160 - SOUVENIR","OTROS",B197="148 - CARAMELOS","DERIVADOS",B197="143 - CHOCOFFES","DERIVADOS",B197="162 - CONVENIOS Y DSC POS ","OTROS"),"OTROS")</f>
        <v>ESPECIALES</v>
      </c>
      <c r="K197" s="62"/>
      <c r="L197" s="27">
        <f t="shared" si="26"/>
        <v>0</v>
      </c>
      <c r="M197" s="27">
        <f t="shared" si="27"/>
        <v>0</v>
      </c>
    </row>
    <row r="198" spans="1:13" ht="16.5" outlineLevel="1">
      <c r="A198" s="38"/>
      <c r="B198" s="39" t="s">
        <v>30</v>
      </c>
      <c r="C198" s="36">
        <v>1834602</v>
      </c>
      <c r="D198" s="36">
        <v>0</v>
      </c>
      <c r="E198" s="36"/>
      <c r="F198" s="36">
        <v>2157922.35</v>
      </c>
      <c r="G198" s="37">
        <f t="shared" si="24"/>
        <v>0.8501705355616711</v>
      </c>
      <c r="H198" s="23">
        <f t="shared" si="28"/>
        <v>0</v>
      </c>
      <c r="I198" s="24">
        <f t="shared" si="28"/>
        <v>0</v>
      </c>
      <c r="J198" s="32" t="str" cm="1">
        <f t="array" ref="J198">IFERROR(_xlfn.IFS(B198="044 - BLEND TRADICION","BLEND",B198="113 - CAFÉ GOURMET","GOURMET",B198="114 - CAFÉ CONSUMO","CONSUMO",B198="112 - CAFÉ ORGANICO","GOURMET",B198="172 - CAFÉ COSECHA","ESPECIALES",B198="176 - CAFE DESCAFEINADO","GOURMET",B198="147 - CAPSULAS","CAPSULAS",B198="130 - GALLETAS CAFECITAS","DERIVADOS",B198="140 - MERENGUES","DERIVADOS",B198="100 - CAFÉ ESPECIAL","ESPECIALES",B198="141 - AREQUIPE","DERIVADOS",B198="142 - MERMELADA","DERIVADOS",B198="131 - GALLETAS AVENA","DERIVADOS",B198="160 - SOUVENIR","OTROS",B198="148 - CARAMELOS","DERIVADOS",B198="143 - CHOCOFFES","DERIVADOS",B198="162 - CONVENIOS Y DSC POS ","OTROS"),"OTROS")</f>
        <v>GOURMET</v>
      </c>
      <c r="K198" s="62"/>
      <c r="L198" s="27">
        <f t="shared" si="26"/>
        <v>1834602</v>
      </c>
      <c r="M198" s="27">
        <f t="shared" si="27"/>
        <v>1834602</v>
      </c>
    </row>
    <row r="199" spans="1:13" ht="16.5" outlineLevel="1">
      <c r="A199" s="19" t="s">
        <v>56</v>
      </c>
      <c r="B199" s="56" t="s">
        <v>32</v>
      </c>
      <c r="C199" s="54">
        <f>SUM(C186:C198)</f>
        <v>21162638</v>
      </c>
      <c r="D199" s="54">
        <f>SUM(D186:D198)</f>
        <v>0</v>
      </c>
      <c r="E199" s="54">
        <f>SUM(E186:E198)</f>
        <v>0</v>
      </c>
      <c r="F199" s="58">
        <f>SUM(F186:F198)</f>
        <v>251466278.25</v>
      </c>
      <c r="G199" s="55">
        <f t="shared" si="24"/>
        <v>8.4156961908668962E-2</v>
      </c>
      <c r="H199" s="23">
        <f t="shared" si="28"/>
        <v>0</v>
      </c>
      <c r="I199" s="24">
        <f t="shared" si="28"/>
        <v>0</v>
      </c>
      <c r="J199" s="32" t="str" cm="1">
        <f t="array" ref="J199">IFERROR(_xlfn.IFS(B199="044 - BLEND TRADICION","BLEND",B199="113 - CAFÉ GOURMET","GOURMET",B199="114 - CAFÉ CONSUMO","CONSUMO",B199="112 - CAFÉ ORGANICO","GOURMET",B199="172 - CAFÉ COSECHA","ESPECIALES",B199="176 - CAFE DESCAFEINADO","GOURMET",B199="147 - CAPSULAS","CAPSULAS",B199="130 - GALLETAS CAFECITAS","DERIVADOS",B199="140 - MERENGUES","DERIVADOS",B199="100 - CAFÉ ESPECIAL","ESPECIALES",B199="141 - AREQUIPE","DERIVADOS",B199="142 - MERMELADA","DERIVADOS",B199="131 - GALLETAS AVENA","DERIVADOS",B199="160 - SOUVENIR","OTROS",B199="148 - CARAMELOS","DERIVADOS",B199="143 - CHOCOFFES","DERIVADOS",B199="162 - CONVENIOS Y DSC POS ","OTROS"),"OTROS")</f>
        <v>OTROS</v>
      </c>
      <c r="K199" s="62">
        <f>C199-E199</f>
        <v>21162638</v>
      </c>
      <c r="L199" s="27">
        <f t="shared" si="26"/>
        <v>21162638</v>
      </c>
      <c r="M199" s="27">
        <f t="shared" si="27"/>
        <v>21162638</v>
      </c>
    </row>
    <row r="200" spans="1:13" ht="16.5">
      <c r="A200" s="28" t="s">
        <v>57</v>
      </c>
      <c r="B200" s="29" t="s">
        <v>17</v>
      </c>
      <c r="C200" s="30">
        <f>+C215</f>
        <v>14313867</v>
      </c>
      <c r="D200" s="30">
        <f>+D215</f>
        <v>0</v>
      </c>
      <c r="E200" s="30">
        <f>+E215</f>
        <v>0</v>
      </c>
      <c r="F200" s="30">
        <f>+F215</f>
        <v>242185563.47000003</v>
      </c>
      <c r="G200" s="31">
        <f t="shared" si="24"/>
        <v>5.9102891167057879E-2</v>
      </c>
      <c r="H200" s="23">
        <f t="shared" si="28"/>
        <v>0</v>
      </c>
      <c r="I200" s="24">
        <f t="shared" si="28"/>
        <v>0</v>
      </c>
      <c r="J200" s="32" t="str" cm="1">
        <f t="array" ref="J200">IFERROR(_xlfn.IFS(B200="044 - BLEND TRADICION","BLEND",B200="113 - CAFÉ GOURMET","GOURMET",B200="114 - CAFÉ CONSUMO","CONSUMO",B200="112 - CAFÉ ORGANICO","GOURMET",B200="172 - CAFÉ COSECHA","ESPECIALES",B200="176 - CAFE DESCAFEINADO","GOURMET",B200="147 - CAPSULAS","CAPSULAS",B200="130 - GALLETAS CAFECITAS","DERIVADOS",B200="140 - MERENGUES","DERIVADOS",B200="100 - CAFÉ ESPECIAL","ESPECIALES",B200="141 - AREQUIPE","DERIVADOS",B200="142 - MERMELADA","DERIVADOS",B200="131 - GALLETAS AVENA","DERIVADOS",B200="160 - SOUVENIR","OTROS",B200="148 - CARAMELOS","DERIVADOS",B200="143 - CHOCOFFES","DERIVADOS",B200="162 - CONVENIOS Y DSC POS ","OTROS"),"OTROS")</f>
        <v>OTROS</v>
      </c>
      <c r="K200" s="62">
        <f>C200-E200</f>
        <v>14313867</v>
      </c>
      <c r="L200" s="27">
        <f t="shared" si="26"/>
        <v>14313867</v>
      </c>
      <c r="M200" s="27">
        <f t="shared" si="27"/>
        <v>14313867</v>
      </c>
    </row>
    <row r="201" spans="1:13" ht="15.75" customHeight="1" outlineLevel="1">
      <c r="A201" s="44"/>
      <c r="B201" s="45" t="s">
        <v>34</v>
      </c>
      <c r="C201" s="46">
        <v>0</v>
      </c>
      <c r="D201" s="46">
        <v>0</v>
      </c>
      <c r="E201" s="46"/>
      <c r="F201" s="46">
        <v>183711.31</v>
      </c>
      <c r="G201" s="37">
        <f t="shared" si="24"/>
        <v>0</v>
      </c>
      <c r="H201" s="23">
        <f t="shared" si="28"/>
        <v>0</v>
      </c>
      <c r="I201" s="24">
        <f t="shared" si="28"/>
        <v>0</v>
      </c>
      <c r="J201" s="32" t="str" cm="1">
        <f t="array" ref="J201">IFERROR(_xlfn.IFS(B201="044 - BLEND TRADICION","BLEND",B201="113 - CAFÉ GOURMET","GOURMET",B201="114 - CAFÉ CONSUMO","CONSUMO",B201="112 - CAFÉ ORGANICO","GOURMET",B201="172 - CAFÉ COSECHA","ESPECIALES",B201="176 - CAFE DESCAFEINADO","GOURMET",B201="147 - CAPSULAS","CAPSULAS",B201="130 - GALLETAS CAFECITAS","DERIVADOS",B201="140 - MERENGUES","DERIVADOS",B201="100 - CAFÉ ESPECIAL","ESPECIALES",B201="141 - AREQUIPE","DERIVADOS",B201="142 - MERMELADA","DERIVADOS",B201="131 - GALLETAS AVENA","DERIVADOS",B201="160 - SOUVENIR","OTROS",B201="148 - CARAMELOS","DERIVADOS",B201="143 - CHOCOFFES","DERIVADOS",B201="162 - CONVENIOS Y DSC POS ","OTROS"),"OTROS")</f>
        <v>OTROS</v>
      </c>
      <c r="K201" s="62">
        <f>C201-E201</f>
        <v>0</v>
      </c>
      <c r="L201" s="27">
        <f t="shared" si="26"/>
        <v>0</v>
      </c>
      <c r="M201" s="27">
        <f t="shared" si="27"/>
        <v>0</v>
      </c>
    </row>
    <row r="202" spans="1:13" ht="15.75" customHeight="1" outlineLevel="1">
      <c r="A202" s="44"/>
      <c r="B202" s="45" t="s">
        <v>18</v>
      </c>
      <c r="C202" s="46">
        <v>0</v>
      </c>
      <c r="D202" s="46">
        <v>0</v>
      </c>
      <c r="E202" s="46"/>
      <c r="F202" s="46">
        <v>22057449.760000002</v>
      </c>
      <c r="G202" s="37">
        <f t="shared" si="24"/>
        <v>0</v>
      </c>
      <c r="H202" s="23">
        <f t="shared" si="28"/>
        <v>0</v>
      </c>
      <c r="I202" s="24">
        <f t="shared" si="28"/>
        <v>0</v>
      </c>
      <c r="J202" s="32" t="str" cm="1">
        <f t="array" ref="J202">IFERROR(_xlfn.IFS(B202="044 - BLEND TRADICION","BLEND",B202="113 - CAFÉ GOURMET","GOURMET",B202="114 - CAFÉ CONSUMO","CONSUMO",B202="112 - CAFÉ ORGANICO","GOURMET",B202="172 - CAFÉ COSECHA","ESPECIALES",B202="176 - CAFE DESCAFEINADO","GOURMET",B202="147 - CAPSULAS","CAPSULAS",B202="130 - GALLETAS CAFECITAS","DERIVADOS",B202="140 - MERENGUES","DERIVADOS",B202="100 - CAFÉ ESPECIAL","ESPECIALES",B202="141 - AREQUIPE","DERIVADOS",B202="142 - MERMELADA","DERIVADOS",B202="131 - GALLETAS AVENA","DERIVADOS",B202="160 - SOUVENIR","OTROS",B202="148 - CARAMELOS","DERIVADOS",B202="143 - CHOCOFFES","DERIVADOS",B202="162 - CONVENIOS Y DSC POS ","OTROS"),"OTROS")</f>
        <v>BLEND</v>
      </c>
      <c r="K202" s="62">
        <f>C202-E202</f>
        <v>0</v>
      </c>
      <c r="L202" s="27">
        <f t="shared" si="26"/>
        <v>0</v>
      </c>
      <c r="M202" s="27">
        <f t="shared" si="27"/>
        <v>0</v>
      </c>
    </row>
    <row r="203" spans="1:13" ht="15.75" customHeight="1" outlineLevel="1">
      <c r="A203" s="44"/>
      <c r="B203" s="45" t="s">
        <v>19</v>
      </c>
      <c r="C203" s="46">
        <v>928737</v>
      </c>
      <c r="D203" s="46">
        <v>0</v>
      </c>
      <c r="E203" s="46"/>
      <c r="F203" s="46">
        <v>4724786.33</v>
      </c>
      <c r="G203" s="37">
        <f t="shared" si="24"/>
        <v>0.19656698422593005</v>
      </c>
      <c r="H203" s="23">
        <f t="shared" si="28"/>
        <v>0</v>
      </c>
      <c r="I203" s="24">
        <f t="shared" si="28"/>
        <v>0</v>
      </c>
      <c r="J203" s="32" t="str" cm="1">
        <f t="array" ref="J203">IFERROR(_xlfn.IFS(B203="044 - BLEND TRADICION","BLEND",B203="113 - CAFÉ GOURMET","GOURMET",B203="114 - CAFÉ CONSUMO","CONSUMO",B203="112 - CAFÉ ORGANICO","GOURMET",B203="172 - CAFÉ COSECHA","ESPECIALES",B203="176 - CAFE DESCAFEINADO","GOURMET",B203="147 - CAPSULAS","CAPSULAS",B203="130 - GALLETAS CAFECITAS","DERIVADOS",B203="140 - MERENGUES","DERIVADOS",B203="100 - CAFÉ ESPECIAL","ESPECIALES",B203="141 - AREQUIPE","DERIVADOS",B203="142 - MERMELADA","DERIVADOS",B203="131 - GALLETAS AVENA","DERIVADOS",B203="160 - SOUVENIR","OTROS",B203="148 - CARAMELOS","DERIVADOS",B203="143 - CHOCOFFES","DERIVADOS",B203="162 - CONVENIOS Y DSC POS ","OTROS"),"OTROS")</f>
        <v>ESPECIALES</v>
      </c>
      <c r="K203" s="62"/>
      <c r="L203" s="27">
        <f t="shared" si="26"/>
        <v>928737</v>
      </c>
      <c r="M203" s="27">
        <f t="shared" si="27"/>
        <v>928737</v>
      </c>
    </row>
    <row r="204" spans="1:13" ht="15.75" customHeight="1" outlineLevel="1">
      <c r="A204" s="44"/>
      <c r="B204" s="45" t="s">
        <v>20</v>
      </c>
      <c r="C204" s="46">
        <v>0</v>
      </c>
      <c r="D204" s="46">
        <v>0</v>
      </c>
      <c r="E204" s="46"/>
      <c r="F204" s="46">
        <v>4267385.9800000004</v>
      </c>
      <c r="G204" s="37">
        <f t="shared" si="24"/>
        <v>0</v>
      </c>
      <c r="H204" s="23">
        <f t="shared" si="28"/>
        <v>0</v>
      </c>
      <c r="I204" s="24">
        <f t="shared" si="28"/>
        <v>0</v>
      </c>
      <c r="J204" s="32" t="str" cm="1">
        <f t="array" ref="J204">IFERROR(_xlfn.IFS(B204="044 - BLEND TRADICION","BLEND",B204="113 - CAFÉ GOURMET","GOURMET",B204="114 - CAFÉ CONSUMO","CONSUMO",B204="112 - CAFÉ ORGANICO","GOURMET",B204="172 - CAFÉ COSECHA","ESPECIALES",B204="176 - CAFE DESCAFEINADO","GOURMET",B204="147 - CAPSULAS","CAPSULAS",B204="130 - GALLETAS CAFECITAS","DERIVADOS",B204="140 - MERENGUES","DERIVADOS",B204="100 - CAFÉ ESPECIAL","ESPECIALES",B204="141 - AREQUIPE","DERIVADOS",B204="142 - MERMELADA","DERIVADOS",B204="131 - GALLETAS AVENA","DERIVADOS",B204="160 - SOUVENIR","OTROS",B204="148 - CARAMELOS","DERIVADOS",B204="143 - CHOCOFFES","DERIVADOS",B204="162 - CONVENIOS Y DSC POS ","OTROS"),"OTROS")</f>
        <v>GOURMET</v>
      </c>
      <c r="K204" s="62"/>
      <c r="L204" s="27">
        <f t="shared" si="26"/>
        <v>0</v>
      </c>
      <c r="M204" s="27">
        <f t="shared" si="27"/>
        <v>0</v>
      </c>
    </row>
    <row r="205" spans="1:13" ht="15.75" customHeight="1" outlineLevel="1">
      <c r="A205" s="44"/>
      <c r="B205" s="45" t="s">
        <v>21</v>
      </c>
      <c r="C205" s="46">
        <v>9603132</v>
      </c>
      <c r="D205" s="46">
        <v>0</v>
      </c>
      <c r="E205" s="46"/>
      <c r="F205" s="46">
        <v>156321504.86000001</v>
      </c>
      <c r="G205" s="37">
        <f t="shared" ref="G205:G259" si="30">IFERROR(C205/F205*100%,"-")</f>
        <v>6.1431931637303962E-2</v>
      </c>
      <c r="H205" s="23">
        <f t="shared" si="28"/>
        <v>0</v>
      </c>
      <c r="I205" s="24">
        <f t="shared" si="28"/>
        <v>0</v>
      </c>
      <c r="J205" s="32" t="str" cm="1">
        <f t="array" ref="J205">IFERROR(_xlfn.IFS(B205="044 - BLEND TRADICION","BLEND",B205="113 - CAFÉ GOURMET","GOURMET",B205="114 - CAFÉ CONSUMO","CONSUMO",B205="112 - CAFÉ ORGANICO","GOURMET",B205="172 - CAFÉ COSECHA","ESPECIALES",B205="176 - CAFE DESCAFEINADO","GOURMET",B205="147 - CAPSULAS","CAPSULAS",B205="130 - GALLETAS CAFECITAS","DERIVADOS",B205="140 - MERENGUES","DERIVADOS",B205="100 - CAFÉ ESPECIAL","ESPECIALES",B205="141 - AREQUIPE","DERIVADOS",B205="142 - MERMELADA","DERIVADOS",B205="131 - GALLETAS AVENA","DERIVADOS",B205="160 - SOUVENIR","OTROS",B205="148 - CARAMELOS","DERIVADOS",B205="143 - CHOCOFFES","DERIVADOS",B205="162 - CONVENIOS Y DSC POS ","OTROS"),"OTROS")</f>
        <v>GOURMET</v>
      </c>
      <c r="K205" s="62">
        <f t="shared" ref="K205" si="31">C205-E205</f>
        <v>9603132</v>
      </c>
      <c r="L205" s="27">
        <f t="shared" si="26"/>
        <v>9603132</v>
      </c>
      <c r="M205" s="27">
        <f t="shared" si="27"/>
        <v>9603132</v>
      </c>
    </row>
    <row r="206" spans="1:13" ht="15.75" customHeight="1" outlineLevel="1">
      <c r="A206" s="44"/>
      <c r="B206" s="45" t="s">
        <v>22</v>
      </c>
      <c r="C206" s="46">
        <v>659657</v>
      </c>
      <c r="D206" s="46">
        <v>0</v>
      </c>
      <c r="E206" s="46"/>
      <c r="F206" s="46">
        <v>7161969.0599999996</v>
      </c>
      <c r="G206" s="37">
        <f t="shared" si="30"/>
        <v>9.2105536127518539E-2</v>
      </c>
      <c r="H206" s="23">
        <f t="shared" si="28"/>
        <v>0</v>
      </c>
      <c r="I206" s="24">
        <f t="shared" si="28"/>
        <v>0</v>
      </c>
      <c r="J206" s="32" t="str" cm="1">
        <f t="array" ref="J206">IFERROR(_xlfn.IFS(B206="044 - BLEND TRADICION","BLEND",B206="113 - CAFÉ GOURMET","GOURMET",B206="114 - CAFÉ CONSUMO","CONSUMO",B206="112 - CAFÉ ORGANICO","GOURMET",B206="172 - CAFÉ COSECHA","ESPECIALES",B206="176 - CAFE DESCAFEINADO","GOURMET",B206="147 - CAPSULAS","CAPSULAS",B206="130 - GALLETAS CAFECITAS","DERIVADOS",B206="140 - MERENGUES","DERIVADOS",B206="100 - CAFÉ ESPECIAL","ESPECIALES",B206="141 - AREQUIPE","DERIVADOS",B206="142 - MERMELADA","DERIVADOS",B206="131 - GALLETAS AVENA","DERIVADOS",B206="160 - SOUVENIR","OTROS",B206="148 - CARAMELOS","DERIVADOS",B206="143 - CHOCOFFES","DERIVADOS",B206="162 - CONVENIOS Y DSC POS ","OTROS"),"OTROS")</f>
        <v>DERIVADOS</v>
      </c>
      <c r="K206" s="62"/>
      <c r="L206" s="27">
        <f t="shared" si="26"/>
        <v>659657</v>
      </c>
      <c r="M206" s="27">
        <f t="shared" si="27"/>
        <v>659657</v>
      </c>
    </row>
    <row r="207" spans="1:13" ht="15.75" customHeight="1" outlineLevel="1">
      <c r="A207" s="44"/>
      <c r="B207" s="45" t="s">
        <v>23</v>
      </c>
      <c r="C207" s="46">
        <v>0</v>
      </c>
      <c r="D207" s="46">
        <v>0</v>
      </c>
      <c r="E207" s="46"/>
      <c r="F207" s="46">
        <v>19945.96</v>
      </c>
      <c r="G207" s="37">
        <f t="shared" si="30"/>
        <v>0</v>
      </c>
      <c r="H207" s="23">
        <f t="shared" si="28"/>
        <v>0</v>
      </c>
      <c r="I207" s="24">
        <f t="shared" si="28"/>
        <v>0</v>
      </c>
      <c r="J207" s="32" t="str" cm="1">
        <f t="array" ref="J207">IFERROR(_xlfn.IFS(B207="044 - BLEND TRADICION","BLEND",B207="113 - CAFÉ GOURMET","GOURMET",B207="114 - CAFÉ CONSUMO","CONSUMO",B207="112 - CAFÉ ORGANICO","GOURMET",B207="172 - CAFÉ COSECHA","ESPECIALES",B207="176 - CAFE DESCAFEINADO","GOURMET",B207="147 - CAPSULAS","CAPSULAS",B207="130 - GALLETAS CAFECITAS","DERIVADOS",B207="140 - MERENGUES","DERIVADOS",B207="100 - CAFÉ ESPECIAL","ESPECIALES",B207="141 - AREQUIPE","DERIVADOS",B207="142 - MERMELADA","DERIVADOS",B207="131 - GALLETAS AVENA","DERIVADOS",B207="160 - SOUVENIR","OTROS",B207="148 - CARAMELOS","DERIVADOS",B207="143 - CHOCOFFES","DERIVADOS",B207="162 - CONVENIOS Y DSC POS ","OTROS"),"OTROS")</f>
        <v>DERIVADOS</v>
      </c>
      <c r="K207" s="62"/>
      <c r="L207" s="27">
        <f t="shared" si="26"/>
        <v>0</v>
      </c>
      <c r="M207" s="27">
        <f t="shared" si="27"/>
        <v>0</v>
      </c>
    </row>
    <row r="208" spans="1:13" ht="15.75" customHeight="1" outlineLevel="1">
      <c r="A208" s="44"/>
      <c r="B208" s="45" t="s">
        <v>24</v>
      </c>
      <c r="C208" s="46">
        <v>91104</v>
      </c>
      <c r="D208" s="46">
        <v>0</v>
      </c>
      <c r="E208" s="46"/>
      <c r="F208" s="46">
        <v>1393477.12</v>
      </c>
      <c r="G208" s="37">
        <f t="shared" si="30"/>
        <v>6.537889908088336E-2</v>
      </c>
      <c r="H208" s="23">
        <f t="shared" si="28"/>
        <v>0</v>
      </c>
      <c r="I208" s="24">
        <f t="shared" si="28"/>
        <v>0</v>
      </c>
      <c r="J208" s="32" t="str" cm="1">
        <f t="array" ref="J208">IFERROR(_xlfn.IFS(B208="044 - BLEND TRADICION","BLEND",B208="113 - CAFÉ GOURMET","GOURMET",B208="114 - CAFÉ CONSUMO","CONSUMO",B208="112 - CAFÉ ORGANICO","GOURMET",B208="172 - CAFÉ COSECHA","ESPECIALES",B208="176 - CAFE DESCAFEINADO","GOURMET",B208="147 - CAPSULAS","CAPSULAS",B208="130 - GALLETAS CAFECITAS","DERIVADOS",B208="140 - MERENGUES","DERIVADOS",B208="100 - CAFÉ ESPECIAL","ESPECIALES",B208="141 - AREQUIPE","DERIVADOS",B208="142 - MERMELADA","DERIVADOS",B208="131 - GALLETAS AVENA","DERIVADOS",B208="160 - SOUVENIR","OTROS",B208="148 - CARAMELOS","DERIVADOS",B208="143 - CHOCOFFES","DERIVADOS",B208="162 - CONVENIOS Y DSC POS ","OTROS"),"OTROS")</f>
        <v>DERIVADOS</v>
      </c>
      <c r="K208" s="62">
        <f t="shared" ref="K208" si="32">C208-E208</f>
        <v>91104</v>
      </c>
      <c r="L208" s="27">
        <f t="shared" si="26"/>
        <v>91104</v>
      </c>
      <c r="M208" s="27">
        <f t="shared" si="27"/>
        <v>91104</v>
      </c>
    </row>
    <row r="209" spans="1:13" ht="15.75" customHeight="1" outlineLevel="1">
      <c r="A209" s="44"/>
      <c r="B209" s="45" t="s">
        <v>25</v>
      </c>
      <c r="C209" s="46">
        <v>623815</v>
      </c>
      <c r="D209" s="46">
        <v>0</v>
      </c>
      <c r="E209" s="46"/>
      <c r="F209" s="46">
        <v>2683173.4900000002</v>
      </c>
      <c r="G209" s="37">
        <f t="shared" si="30"/>
        <v>0.23249148902406602</v>
      </c>
      <c r="H209" s="23">
        <f t="shared" si="28"/>
        <v>0</v>
      </c>
      <c r="I209" s="24">
        <f t="shared" si="28"/>
        <v>0</v>
      </c>
      <c r="J209" s="32" t="str" cm="1">
        <f t="array" ref="J209">IFERROR(_xlfn.IFS(B209="044 - BLEND TRADICION","BLEND",B209="113 - CAFÉ GOURMET","GOURMET",B209="114 - CAFÉ CONSUMO","CONSUMO",B209="112 - CAFÉ ORGANICO","GOURMET",B209="172 - CAFÉ COSECHA","ESPECIALES",B209="176 - CAFE DESCAFEINADO","GOURMET",B209="147 - CAPSULAS","CAPSULAS",B209="130 - GALLETAS CAFECITAS","DERIVADOS",B209="140 - MERENGUES","DERIVADOS",B209="100 - CAFÉ ESPECIAL","ESPECIALES",B209="141 - AREQUIPE","DERIVADOS",B209="142 - MERMELADA","DERIVADOS",B209="131 - GALLETAS AVENA","DERIVADOS",B209="160 - SOUVENIR","OTROS",B209="148 - CARAMELOS","DERIVADOS",B209="143 - CHOCOFFES","DERIVADOS",B209="162 - CONVENIOS Y DSC POS ","OTROS"),"OTROS")</f>
        <v>DERIVADOS</v>
      </c>
      <c r="K209" s="62"/>
      <c r="L209" s="27">
        <f t="shared" si="26"/>
        <v>623815</v>
      </c>
      <c r="M209" s="27">
        <f t="shared" si="27"/>
        <v>623815</v>
      </c>
    </row>
    <row r="210" spans="1:13" ht="15.75" customHeight="1" outlineLevel="1">
      <c r="A210" s="44"/>
      <c r="B210" s="45" t="s">
        <v>26</v>
      </c>
      <c r="C210" s="46">
        <v>909909</v>
      </c>
      <c r="D210" s="46">
        <v>0</v>
      </c>
      <c r="E210" s="46"/>
      <c r="F210" s="46">
        <v>14923818.029999999</v>
      </c>
      <c r="G210" s="37">
        <f t="shared" si="30"/>
        <v>6.0970255612263054E-2</v>
      </c>
      <c r="H210" s="23">
        <f t="shared" si="28"/>
        <v>0</v>
      </c>
      <c r="I210" s="24">
        <f t="shared" si="28"/>
        <v>0</v>
      </c>
      <c r="J210" s="32" t="str" cm="1">
        <f t="array" ref="J210">IFERROR(_xlfn.IFS(B210="044 - BLEND TRADICION","BLEND",B210="113 - CAFÉ GOURMET","GOURMET",B210="114 - CAFÉ CONSUMO","CONSUMO",B210="112 - CAFÉ ORGANICO","GOURMET",B210="172 - CAFÉ COSECHA","ESPECIALES",B210="176 - CAFE DESCAFEINADO","GOURMET",B210="147 - CAPSULAS","CAPSULAS",B210="130 - GALLETAS CAFECITAS","DERIVADOS",B210="140 - MERENGUES","DERIVADOS",B210="100 - CAFÉ ESPECIAL","ESPECIALES",B210="141 - AREQUIPE","DERIVADOS",B210="142 - MERMELADA","DERIVADOS",B210="131 - GALLETAS AVENA","DERIVADOS",B210="160 - SOUVENIR","OTROS",B210="148 - CARAMELOS","DERIVADOS",B210="143 - CHOCOFFES","DERIVADOS",B210="162 - CONVENIOS Y DSC POS ","OTROS"),"OTROS")</f>
        <v>CAPSULAS</v>
      </c>
      <c r="K210" s="62"/>
      <c r="L210" s="27">
        <f t="shared" si="26"/>
        <v>909909</v>
      </c>
      <c r="M210" s="27">
        <f t="shared" si="27"/>
        <v>909909</v>
      </c>
    </row>
    <row r="211" spans="1:13" ht="15.75" customHeight="1" outlineLevel="1">
      <c r="A211" s="44"/>
      <c r="B211" s="45" t="s">
        <v>27</v>
      </c>
      <c r="C211" s="46">
        <v>946274</v>
      </c>
      <c r="D211" s="46">
        <v>0</v>
      </c>
      <c r="E211" s="46"/>
      <c r="F211" s="46">
        <v>3692134.82</v>
      </c>
      <c r="G211" s="37">
        <f t="shared" si="30"/>
        <v>0.25629454127029955</v>
      </c>
      <c r="H211" s="23">
        <f t="shared" si="28"/>
        <v>0</v>
      </c>
      <c r="I211" s="24">
        <f t="shared" si="28"/>
        <v>0</v>
      </c>
      <c r="J211" s="32" t="str" cm="1">
        <f t="array" ref="J211">IFERROR(_xlfn.IFS(B211="044 - BLEND TRADICION","BLEND",B211="113 - CAFÉ GOURMET","GOURMET",B211="114 - CAFÉ CONSUMO","CONSUMO",B211="112 - CAFÉ ORGANICO","GOURMET",B211="172 - CAFÉ COSECHA","ESPECIALES",B211="176 - CAFE DESCAFEINADO","GOURMET",B211="147 - CAPSULAS","CAPSULAS",B211="130 - GALLETAS CAFECITAS","DERIVADOS",B211="140 - MERENGUES","DERIVADOS",B211="100 - CAFÉ ESPECIAL","ESPECIALES",B211="141 - AREQUIPE","DERIVADOS",B211="142 - MERMELADA","DERIVADOS",B211="131 - GALLETAS AVENA","DERIVADOS",B211="160 - SOUVENIR","OTROS",B211="148 - CARAMELOS","DERIVADOS",B211="143 - CHOCOFFES","DERIVADOS",B211="162 - CONVENIOS Y DSC POS ","OTROS"),"OTROS")</f>
        <v>DERIVADOS</v>
      </c>
      <c r="K211" s="62">
        <f t="shared" ref="K211" si="33">C211-E211</f>
        <v>946274</v>
      </c>
      <c r="L211" s="27">
        <f t="shared" si="26"/>
        <v>946274</v>
      </c>
      <c r="M211" s="27">
        <f t="shared" si="27"/>
        <v>946274</v>
      </c>
    </row>
    <row r="212" spans="1:13" ht="15.75" customHeight="1" outlineLevel="1">
      <c r="A212" s="44"/>
      <c r="B212" s="45" t="s">
        <v>28</v>
      </c>
      <c r="C212" s="46">
        <v>551239</v>
      </c>
      <c r="D212" s="46">
        <v>0</v>
      </c>
      <c r="E212" s="46"/>
      <c r="F212" s="46">
        <v>11283255.869999999</v>
      </c>
      <c r="G212" s="37">
        <f t="shared" si="30"/>
        <v>4.8854604234017079E-2</v>
      </c>
      <c r="H212" s="23">
        <f t="shared" si="28"/>
        <v>0</v>
      </c>
      <c r="I212" s="24">
        <f t="shared" si="28"/>
        <v>0</v>
      </c>
      <c r="J212" s="32" t="str" cm="1">
        <f t="array" ref="J212">IFERROR(_xlfn.IFS(B212="044 - BLEND TRADICION","BLEND",B212="113 - CAFÉ GOURMET","GOURMET",B212="114 - CAFÉ CONSUMO","CONSUMO",B212="112 - CAFÉ ORGANICO","GOURMET",B212="172 - CAFÉ COSECHA","ESPECIALES",B212="176 - CAFE DESCAFEINADO","GOURMET",B212="147 - CAPSULAS","CAPSULAS",B212="130 - GALLETAS CAFECITAS","DERIVADOS",B212="140 - MERENGUES","DERIVADOS",B212="100 - CAFÉ ESPECIAL","ESPECIALES",B212="141 - AREQUIPE","DERIVADOS",B212="142 - MERMELADA","DERIVADOS",B212="131 - GALLETAS AVENA","DERIVADOS",B212="160 - SOUVENIR","OTROS",B212="148 - CARAMELOS","DERIVADOS",B212="143 - CHOCOFFES","DERIVADOS",B212="162 - CONVENIOS Y DSC POS ","OTROS"),"OTROS")</f>
        <v>OTROS</v>
      </c>
      <c r="K212" s="62"/>
      <c r="L212" s="27">
        <f t="shared" si="26"/>
        <v>551239</v>
      </c>
      <c r="M212" s="27">
        <f t="shared" si="27"/>
        <v>551239</v>
      </c>
    </row>
    <row r="213" spans="1:13" ht="15.75" customHeight="1" outlineLevel="1">
      <c r="A213" s="44"/>
      <c r="B213" s="45" t="s">
        <v>29</v>
      </c>
      <c r="C213" s="46">
        <v>0</v>
      </c>
      <c r="D213" s="46">
        <v>0</v>
      </c>
      <c r="E213" s="46"/>
      <c r="F213" s="46">
        <v>12790414.619999999</v>
      </c>
      <c r="G213" s="37">
        <f t="shared" si="30"/>
        <v>0</v>
      </c>
      <c r="H213" s="23">
        <f t="shared" si="28"/>
        <v>0</v>
      </c>
      <c r="I213" s="24">
        <f t="shared" si="28"/>
        <v>0</v>
      </c>
      <c r="J213" s="32" t="str" cm="1">
        <f t="array" ref="J213">IFERROR(_xlfn.IFS(B213="044 - BLEND TRADICION","BLEND",B213="113 - CAFÉ GOURMET","GOURMET",B213="114 - CAFÉ CONSUMO","CONSUMO",B213="112 - CAFÉ ORGANICO","GOURMET",B213="172 - CAFÉ COSECHA","ESPECIALES",B213="176 - CAFE DESCAFEINADO","GOURMET",B213="147 - CAPSULAS","CAPSULAS",B213="130 - GALLETAS CAFECITAS","DERIVADOS",B213="140 - MERENGUES","DERIVADOS",B213="100 - CAFÉ ESPECIAL","ESPECIALES",B213="141 - AREQUIPE","DERIVADOS",B213="142 - MERMELADA","DERIVADOS",B213="131 - GALLETAS AVENA","DERIVADOS",B213="160 - SOUVENIR","OTROS",B213="148 - CARAMELOS","DERIVADOS",B213="143 - CHOCOFFES","DERIVADOS",B213="162 - CONVENIOS Y DSC POS ","OTROS"),"OTROS")</f>
        <v>ESPECIALES</v>
      </c>
      <c r="K213" s="62"/>
      <c r="L213" s="27">
        <f t="shared" si="26"/>
        <v>0</v>
      </c>
      <c r="M213" s="27">
        <f t="shared" si="27"/>
        <v>0</v>
      </c>
    </row>
    <row r="214" spans="1:13" ht="15.75" customHeight="1" outlineLevel="1">
      <c r="A214" s="44"/>
      <c r="B214" s="45" t="s">
        <v>30</v>
      </c>
      <c r="C214" s="46">
        <v>0</v>
      </c>
      <c r="D214" s="46">
        <v>0</v>
      </c>
      <c r="E214" s="46"/>
      <c r="F214" s="46">
        <v>682536.26</v>
      </c>
      <c r="G214" s="37">
        <f t="shared" si="30"/>
        <v>0</v>
      </c>
      <c r="H214" s="23">
        <f t="shared" si="28"/>
        <v>0</v>
      </c>
      <c r="I214" s="24">
        <f t="shared" si="28"/>
        <v>0</v>
      </c>
      <c r="J214" s="32" t="str" cm="1">
        <f t="array" ref="J214">IFERROR(_xlfn.IFS(B214="044 - BLEND TRADICION","BLEND",B214="113 - CAFÉ GOURMET","GOURMET",B214="114 - CAFÉ CONSUMO","CONSUMO",B214="112 - CAFÉ ORGANICO","GOURMET",B214="172 - CAFÉ COSECHA","ESPECIALES",B214="176 - CAFE DESCAFEINADO","GOURMET",B214="147 - CAPSULAS","CAPSULAS",B214="130 - GALLETAS CAFECITAS","DERIVADOS",B214="140 - MERENGUES","DERIVADOS",B214="100 - CAFÉ ESPECIAL","ESPECIALES",B214="141 - AREQUIPE","DERIVADOS",B214="142 - MERMELADA","DERIVADOS",B214="131 - GALLETAS AVENA","DERIVADOS",B214="160 - SOUVENIR","OTROS",B214="148 - CARAMELOS","DERIVADOS",B214="143 - CHOCOFFES","DERIVADOS",B214="162 - CONVENIOS Y DSC POS ","OTROS"),"OTROS")</f>
        <v>GOURMET</v>
      </c>
      <c r="K214" s="62">
        <f t="shared" ref="K214" si="34">C214-E214</f>
        <v>0</v>
      </c>
      <c r="L214" s="27">
        <f t="shared" si="26"/>
        <v>0</v>
      </c>
      <c r="M214" s="27">
        <f t="shared" si="27"/>
        <v>0</v>
      </c>
    </row>
    <row r="215" spans="1:13" ht="15.75" customHeight="1" outlineLevel="1">
      <c r="A215" s="19" t="s">
        <v>58</v>
      </c>
      <c r="B215" s="40" t="s">
        <v>32</v>
      </c>
      <c r="C215" s="41">
        <f>SUM(C201:C214)</f>
        <v>14313867</v>
      </c>
      <c r="D215" s="41">
        <f>SUM(D201:D214)</f>
        <v>0</v>
      </c>
      <c r="E215" s="41">
        <f>SUM(E201:E214)</f>
        <v>0</v>
      </c>
      <c r="F215" s="41">
        <f>SUM(F201:F214)</f>
        <v>242185563.47000003</v>
      </c>
      <c r="G215" s="42">
        <f t="shared" si="30"/>
        <v>5.9102891167057879E-2</v>
      </c>
      <c r="H215" s="43">
        <f t="shared" si="28"/>
        <v>0</v>
      </c>
      <c r="I215" s="24">
        <f t="shared" si="28"/>
        <v>0</v>
      </c>
      <c r="J215" s="32" t="str" cm="1">
        <f t="array" ref="J215">IFERROR(_xlfn.IFS(B215="044 - BLEND TRADICION","BLEND",B215="113 - CAFÉ GOURMET","GOURMET",B215="114 - CAFÉ CONSUMO","CONSUMO",B215="112 - CAFÉ ORGANICO","GOURMET",B215="172 - CAFÉ COSECHA","ESPECIALES",B215="176 - CAFE DESCAFEINADO","GOURMET",B215="147 - CAPSULAS","CAPSULAS",B215="130 - GALLETAS CAFECITAS","DERIVADOS",B215="140 - MERENGUES","DERIVADOS",B215="100 - CAFÉ ESPECIAL","ESPECIALES",B215="141 - AREQUIPE","DERIVADOS",B215="142 - MERMELADA","DERIVADOS",B215="131 - GALLETAS AVENA","DERIVADOS",B215="160 - SOUVENIR","OTROS",B215="148 - CARAMELOS","DERIVADOS",B215="143 - CHOCOFFES","DERIVADOS",B215="162 - CONVENIOS Y DSC POS ","OTROS"),"OTROS")</f>
        <v>OTROS</v>
      </c>
      <c r="L215" s="27">
        <f t="shared" ref="L215:L242" si="35">C215-(D215+E215)</f>
        <v>14313867</v>
      </c>
      <c r="M215" s="27">
        <f t="shared" ref="M215:M259" si="36">L215</f>
        <v>14313867</v>
      </c>
    </row>
    <row r="216" spans="1:13" ht="16.5">
      <c r="A216" s="28" t="s">
        <v>59</v>
      </c>
      <c r="B216" s="29" t="s">
        <v>17</v>
      </c>
      <c r="C216" s="30">
        <f>+C230</f>
        <v>36714910</v>
      </c>
      <c r="D216" s="30">
        <f>+D230</f>
        <v>0</v>
      </c>
      <c r="E216" s="30">
        <f>+E230</f>
        <v>0</v>
      </c>
      <c r="F216" s="30">
        <f>+F230</f>
        <v>278548044.25999999</v>
      </c>
      <c r="G216" s="31">
        <f t="shared" si="30"/>
        <v>0.13180817728423852</v>
      </c>
      <c r="H216" s="23">
        <f t="shared" si="28"/>
        <v>0</v>
      </c>
      <c r="I216" s="24">
        <f t="shared" si="28"/>
        <v>0</v>
      </c>
      <c r="J216" s="32" t="str" cm="1">
        <f t="array" ref="J216">IFERROR(_xlfn.IFS(B216="044 - BLEND TRADICION","BLEND",B216="113 - CAFÉ GOURMET","GOURMET",B216="114 - CAFÉ CONSUMO","CONSUMO",B216="112 - CAFÉ ORGANICO","GOURMET",B216="172 - CAFÉ COSECHA","ESPECIALES",B216="176 - CAFE DESCAFEINADO","GOURMET",B216="147 - CAPSULAS","CAPSULAS",B216="130 - GALLETAS CAFECITAS","DERIVADOS",B216="140 - MERENGUES","DERIVADOS",B216="100 - CAFÉ ESPECIAL","ESPECIALES",B216="141 - AREQUIPE","DERIVADOS",B216="142 - MERMELADA","DERIVADOS",B216="131 - GALLETAS AVENA","DERIVADOS",B216="160 - SOUVENIR","OTROS",B216="148 - CARAMELOS","DERIVADOS",B216="143 - CHOCOFFES","DERIVADOS",B216="162 - CONVENIOS Y DSC POS ","OTROS"),"OTROS")</f>
        <v>OTROS</v>
      </c>
      <c r="K216" s="6"/>
      <c r="L216" s="27">
        <f t="shared" si="35"/>
        <v>36714910</v>
      </c>
      <c r="M216" s="27">
        <f t="shared" si="36"/>
        <v>36714910</v>
      </c>
    </row>
    <row r="217" spans="1:13" ht="15.75" customHeight="1" outlineLevel="2">
      <c r="A217" s="33"/>
      <c r="B217" s="39" t="s">
        <v>18</v>
      </c>
      <c r="C217" s="36">
        <v>2347200</v>
      </c>
      <c r="D217" s="36">
        <v>0</v>
      </c>
      <c r="E217" s="36">
        <v>0</v>
      </c>
      <c r="F217" s="35">
        <v>12548768.83</v>
      </c>
      <c r="G217" s="37">
        <f t="shared" si="30"/>
        <v>0.18704623790571492</v>
      </c>
      <c r="H217" s="23">
        <f t="shared" si="28"/>
        <v>0</v>
      </c>
      <c r="I217" s="24">
        <f t="shared" si="28"/>
        <v>0</v>
      </c>
      <c r="J217" s="32" t="str" cm="1">
        <f t="array" ref="J217">IFERROR(_xlfn.IFS(B217="044 - BLEND TRADICION","BLEND",B217="113 - CAFÉ GOURMET","GOURMET",B217="114 - CAFÉ CONSUMO","CONSUMO",B217="112 - CAFÉ ORGANICO","GOURMET",B217="172 - CAFÉ COSECHA","ESPECIALES",B217="176 - CAFE DESCAFEINADO","GOURMET",B217="147 - CAPSULAS","CAPSULAS",B217="130 - GALLETAS CAFECITAS","DERIVADOS",B217="140 - MERENGUES","DERIVADOS",B217="100 - CAFÉ ESPECIAL","ESPECIALES",B217="141 - AREQUIPE","DERIVADOS",B217="142 - MERMELADA","DERIVADOS",B217="131 - GALLETAS AVENA","DERIVADOS",B217="160 - SOUVENIR","OTROS",B217="148 - CARAMELOS","DERIVADOS",B217="143 - CHOCOFFES","DERIVADOS",B217="162 - CONVENIOS Y DSC POS ","OTROS"),"OTROS")</f>
        <v>BLEND</v>
      </c>
      <c r="K217" s="6"/>
      <c r="L217" s="27">
        <f t="shared" si="35"/>
        <v>2347200</v>
      </c>
      <c r="M217" s="27">
        <f t="shared" si="36"/>
        <v>2347200</v>
      </c>
    </row>
    <row r="218" spans="1:13" ht="15.75" customHeight="1" outlineLevel="2">
      <c r="A218" s="33"/>
      <c r="B218" s="39" t="s">
        <v>19</v>
      </c>
      <c r="C218" s="36">
        <v>1625868</v>
      </c>
      <c r="D218" s="36">
        <v>0</v>
      </c>
      <c r="E218" s="36"/>
      <c r="F218" s="35">
        <v>15024939.119999999</v>
      </c>
      <c r="G218" s="37">
        <f t="shared" si="30"/>
        <v>0.10821128704846293</v>
      </c>
      <c r="H218" s="23">
        <f t="shared" si="28"/>
        <v>0</v>
      </c>
      <c r="I218" s="24">
        <f t="shared" si="28"/>
        <v>0</v>
      </c>
      <c r="J218" s="32" t="str" cm="1">
        <f t="array" ref="J218">IFERROR(_xlfn.IFS(B218="044 - BLEND TRADICION","BLEND",B218="113 - CAFÉ GOURMET","GOURMET",B218="114 - CAFÉ CONSUMO","CONSUMO",B218="112 - CAFÉ ORGANICO","GOURMET",B218="172 - CAFÉ COSECHA","ESPECIALES",B218="176 - CAFE DESCAFEINADO","GOURMET",B218="147 - CAPSULAS","CAPSULAS",B218="130 - GALLETAS CAFECITAS","DERIVADOS",B218="140 - MERENGUES","DERIVADOS",B218="100 - CAFÉ ESPECIAL","ESPECIALES",B218="141 - AREQUIPE","DERIVADOS",B218="142 - MERMELADA","DERIVADOS",B218="131 - GALLETAS AVENA","DERIVADOS",B218="160 - SOUVENIR","OTROS",B218="148 - CARAMELOS","DERIVADOS",B218="143 - CHOCOFFES","DERIVADOS",B218="162 - CONVENIOS Y DSC POS ","OTROS"),"OTROS")</f>
        <v>ESPECIALES</v>
      </c>
      <c r="K218" s="6"/>
      <c r="L218" s="27">
        <f t="shared" si="35"/>
        <v>1625868</v>
      </c>
      <c r="M218" s="27">
        <f t="shared" si="36"/>
        <v>1625868</v>
      </c>
    </row>
    <row r="219" spans="1:13" ht="15.75" customHeight="1" outlineLevel="2">
      <c r="A219" s="38"/>
      <c r="B219" s="39" t="s">
        <v>20</v>
      </c>
      <c r="C219" s="36">
        <v>2303280</v>
      </c>
      <c r="D219" s="36">
        <v>0</v>
      </c>
      <c r="E219" s="36">
        <v>0</v>
      </c>
      <c r="F219" s="36">
        <v>16967408.859999999</v>
      </c>
      <c r="G219" s="37">
        <f t="shared" si="30"/>
        <v>0.13574730349251454</v>
      </c>
      <c r="H219" s="23">
        <f t="shared" si="28"/>
        <v>0</v>
      </c>
      <c r="I219" s="24">
        <f t="shared" si="28"/>
        <v>0</v>
      </c>
      <c r="J219" s="32" t="str" cm="1">
        <f t="array" ref="J219">IFERROR(_xlfn.IFS(B219="044 - BLEND TRADICION","BLEND",B219="113 - CAFÉ GOURMET","GOURMET",B219="114 - CAFÉ CONSUMO","CONSUMO",B219="112 - CAFÉ ORGANICO","GOURMET",B219="172 - CAFÉ COSECHA","ESPECIALES",B219="176 - CAFE DESCAFEINADO","GOURMET",B219="147 - CAPSULAS","CAPSULAS",B219="130 - GALLETAS CAFECITAS","DERIVADOS",B219="140 - MERENGUES","DERIVADOS",B219="100 - CAFÉ ESPECIAL","ESPECIALES",B219="141 - AREQUIPE","DERIVADOS",B219="142 - MERMELADA","DERIVADOS",B219="131 - GALLETAS AVENA","DERIVADOS",B219="160 - SOUVENIR","OTROS",B219="148 - CARAMELOS","DERIVADOS",B219="143 - CHOCOFFES","DERIVADOS",B219="162 - CONVENIOS Y DSC POS ","OTROS"),"OTROS")</f>
        <v>GOURMET</v>
      </c>
      <c r="K219" s="6"/>
      <c r="L219" s="27">
        <f t="shared" si="35"/>
        <v>2303280</v>
      </c>
      <c r="M219" s="27">
        <f t="shared" si="36"/>
        <v>2303280</v>
      </c>
    </row>
    <row r="220" spans="1:13" ht="15.75" customHeight="1" outlineLevel="2">
      <c r="A220" s="38"/>
      <c r="B220" s="39" t="s">
        <v>21</v>
      </c>
      <c r="C220" s="36">
        <v>21720462</v>
      </c>
      <c r="D220" s="36">
        <v>0</v>
      </c>
      <c r="E220" s="36">
        <v>0</v>
      </c>
      <c r="F220" s="36">
        <v>189138509.15000001</v>
      </c>
      <c r="G220" s="37">
        <f t="shared" si="30"/>
        <v>0.11483891935922029</v>
      </c>
      <c r="H220" s="23">
        <f t="shared" si="28"/>
        <v>0</v>
      </c>
      <c r="I220" s="24">
        <f t="shared" si="28"/>
        <v>0</v>
      </c>
      <c r="J220" s="32" t="str" cm="1">
        <f t="array" ref="J220">IFERROR(_xlfn.IFS(B220="044 - BLEND TRADICION","BLEND",B220="113 - CAFÉ GOURMET","GOURMET",B220="114 - CAFÉ CONSUMO","CONSUMO",B220="112 - CAFÉ ORGANICO","GOURMET",B220="172 - CAFÉ COSECHA","ESPECIALES",B220="176 - CAFE DESCAFEINADO","GOURMET",B220="147 - CAPSULAS","CAPSULAS",B220="130 - GALLETAS CAFECITAS","DERIVADOS",B220="140 - MERENGUES","DERIVADOS",B220="100 - CAFÉ ESPECIAL","ESPECIALES",B220="141 - AREQUIPE","DERIVADOS",B220="142 - MERMELADA","DERIVADOS",B220="131 - GALLETAS AVENA","DERIVADOS",B220="160 - SOUVENIR","OTROS",B220="148 - CARAMELOS","DERIVADOS",B220="143 - CHOCOFFES","DERIVADOS",B220="162 - CONVENIOS Y DSC POS ","OTROS"),"OTROS")</f>
        <v>GOURMET</v>
      </c>
      <c r="K220" s="6"/>
      <c r="L220" s="27">
        <f t="shared" si="35"/>
        <v>21720462</v>
      </c>
      <c r="M220" s="27">
        <f t="shared" si="36"/>
        <v>21720462</v>
      </c>
    </row>
    <row r="221" spans="1:13" ht="15.75" customHeight="1" outlineLevel="2">
      <c r="A221" s="38"/>
      <c r="B221" s="39" t="s">
        <v>38</v>
      </c>
      <c r="C221" s="36">
        <v>0</v>
      </c>
      <c r="D221" s="36">
        <v>0</v>
      </c>
      <c r="E221" s="36">
        <v>0</v>
      </c>
      <c r="F221" s="36">
        <v>1194829.97</v>
      </c>
      <c r="G221" s="37">
        <f t="shared" si="30"/>
        <v>0</v>
      </c>
      <c r="H221" s="23">
        <f t="shared" si="28"/>
        <v>0</v>
      </c>
      <c r="I221" s="24">
        <f t="shared" si="28"/>
        <v>0</v>
      </c>
      <c r="J221" s="32" t="str" cm="1">
        <f t="array" ref="J221">IFERROR(_xlfn.IFS(B221="044 - BLEND TRADICION","BLEND",B221="113 - CAFÉ GOURMET","GOURMET",B221="114 - CAFÉ CONSUMO","CONSUMO",B221="112 - CAFÉ ORGANICO","GOURMET",B221="172 - CAFÉ COSECHA","ESPECIALES",B221="176 - CAFE DESCAFEINADO","GOURMET",B221="147 - CAPSULAS","CAPSULAS",B221="130 - GALLETAS CAFECITAS","DERIVADOS",B221="140 - MERENGUES","DERIVADOS",B221="100 - CAFÉ ESPECIAL","ESPECIALES",B221="141 - AREQUIPE","DERIVADOS",B221="142 - MERMELADA","DERIVADOS",B221="131 - GALLETAS AVENA","DERIVADOS",B221="160 - SOUVENIR","OTROS",B221="148 - CARAMELOS","DERIVADOS",B221="143 - CHOCOFFES","DERIVADOS",B221="162 - CONVENIOS Y DSC POS ","OTROS"),"OTROS")</f>
        <v>CONSUMO</v>
      </c>
      <c r="K221" s="6"/>
      <c r="L221" s="27">
        <f t="shared" si="35"/>
        <v>0</v>
      </c>
      <c r="M221" s="27">
        <f t="shared" si="36"/>
        <v>0</v>
      </c>
    </row>
    <row r="222" spans="1:13" ht="15.75" customHeight="1" outlineLevel="2">
      <c r="A222" s="38"/>
      <c r="B222" s="39" t="s">
        <v>22</v>
      </c>
      <c r="C222" s="36">
        <v>681062</v>
      </c>
      <c r="D222" s="36">
        <v>0</v>
      </c>
      <c r="E222" s="36"/>
      <c r="F222" s="36">
        <v>4066253.4</v>
      </c>
      <c r="G222" s="37">
        <f t="shared" si="30"/>
        <v>0.16749128325352278</v>
      </c>
      <c r="H222" s="23">
        <f t="shared" si="28"/>
        <v>0</v>
      </c>
      <c r="I222" s="24">
        <f t="shared" si="28"/>
        <v>0</v>
      </c>
      <c r="J222" s="32" t="str" cm="1">
        <f t="array" ref="J222">IFERROR(_xlfn.IFS(B222="044 - BLEND TRADICION","BLEND",B222="113 - CAFÉ GOURMET","GOURMET",B222="114 - CAFÉ CONSUMO","CONSUMO",B222="112 - CAFÉ ORGANICO","GOURMET",B222="172 - CAFÉ COSECHA","ESPECIALES",B222="176 - CAFE DESCAFEINADO","GOURMET",B222="147 - CAPSULAS","CAPSULAS",B222="130 - GALLETAS CAFECITAS","DERIVADOS",B222="140 - MERENGUES","DERIVADOS",B222="100 - CAFÉ ESPECIAL","ESPECIALES",B222="141 - AREQUIPE","DERIVADOS",B222="142 - MERMELADA","DERIVADOS",B222="131 - GALLETAS AVENA","DERIVADOS",B222="160 - SOUVENIR","OTROS",B222="148 - CARAMELOS","DERIVADOS",B222="143 - CHOCOFFES","DERIVADOS",B222="162 - CONVENIOS Y DSC POS ","OTROS"),"OTROS")</f>
        <v>DERIVADOS</v>
      </c>
      <c r="K222" s="6"/>
      <c r="L222" s="27">
        <f t="shared" si="35"/>
        <v>681062</v>
      </c>
      <c r="M222" s="27">
        <f t="shared" si="36"/>
        <v>681062</v>
      </c>
    </row>
    <row r="223" spans="1:13" ht="15.75" customHeight="1" outlineLevel="2">
      <c r="A223" s="38"/>
      <c r="B223" s="39" t="s">
        <v>24</v>
      </c>
      <c r="C223" s="36">
        <v>0</v>
      </c>
      <c r="D223" s="36">
        <v>0</v>
      </c>
      <c r="E223" s="36"/>
      <c r="F223" s="36">
        <v>552955.56000000006</v>
      </c>
      <c r="G223" s="37">
        <f t="shared" si="30"/>
        <v>0</v>
      </c>
      <c r="H223" s="23">
        <f t="shared" si="28"/>
        <v>0</v>
      </c>
      <c r="I223" s="24">
        <f t="shared" si="28"/>
        <v>0</v>
      </c>
      <c r="J223" s="32" t="str" cm="1">
        <f t="array" ref="J223">IFERROR(_xlfn.IFS(B223="044 - BLEND TRADICION","BLEND",B223="113 - CAFÉ GOURMET","GOURMET",B223="114 - CAFÉ CONSUMO","CONSUMO",B223="112 - CAFÉ ORGANICO","GOURMET",B223="172 - CAFÉ COSECHA","ESPECIALES",B223="176 - CAFE DESCAFEINADO","GOURMET",B223="147 - CAPSULAS","CAPSULAS",B223="130 - GALLETAS CAFECITAS","DERIVADOS",B223="140 - MERENGUES","DERIVADOS",B223="100 - CAFÉ ESPECIAL","ESPECIALES",B223="141 - AREQUIPE","DERIVADOS",B223="142 - MERMELADA","DERIVADOS",B223="131 - GALLETAS AVENA","DERIVADOS",B223="160 - SOUVENIR","OTROS",B223="148 - CARAMELOS","DERIVADOS",B223="143 - CHOCOFFES","DERIVADOS",B223="162 - CONVENIOS Y DSC POS ","OTROS"),"OTROS")</f>
        <v>DERIVADOS</v>
      </c>
      <c r="K223" s="6"/>
      <c r="L223" s="27">
        <f t="shared" si="35"/>
        <v>0</v>
      </c>
      <c r="M223" s="27">
        <f t="shared" si="36"/>
        <v>0</v>
      </c>
    </row>
    <row r="224" spans="1:13" ht="15.75" customHeight="1" outlineLevel="2">
      <c r="A224" s="38"/>
      <c r="B224" s="39" t="s">
        <v>25</v>
      </c>
      <c r="C224" s="36">
        <v>263156</v>
      </c>
      <c r="D224" s="36">
        <v>0</v>
      </c>
      <c r="E224" s="36"/>
      <c r="F224" s="36">
        <v>2361213.7599999998</v>
      </c>
      <c r="G224" s="37">
        <f t="shared" si="30"/>
        <v>0.11144946063671932</v>
      </c>
      <c r="H224" s="23">
        <f t="shared" si="28"/>
        <v>0</v>
      </c>
      <c r="I224" s="24">
        <f t="shared" si="28"/>
        <v>0</v>
      </c>
      <c r="J224" s="32" t="str" cm="1">
        <f t="array" ref="J224">IFERROR(_xlfn.IFS(B224="044 - BLEND TRADICION","BLEND",B224="113 - CAFÉ GOURMET","GOURMET",B224="114 - CAFÉ CONSUMO","CONSUMO",B224="112 - CAFÉ ORGANICO","GOURMET",B224="172 - CAFÉ COSECHA","ESPECIALES",B224="176 - CAFE DESCAFEINADO","GOURMET",B224="147 - CAPSULAS","CAPSULAS",B224="130 - GALLETAS CAFECITAS","DERIVADOS",B224="140 - MERENGUES","DERIVADOS",B224="100 - CAFÉ ESPECIAL","ESPECIALES",B224="141 - AREQUIPE","DERIVADOS",B224="142 - MERMELADA","DERIVADOS",B224="131 - GALLETAS AVENA","DERIVADOS",B224="160 - SOUVENIR","OTROS",B224="148 - CARAMELOS","DERIVADOS",B224="143 - CHOCOFFES","DERIVADOS",B224="162 - CONVENIOS Y DSC POS ","OTROS"),"OTROS")</f>
        <v>DERIVADOS</v>
      </c>
      <c r="K224" s="6"/>
      <c r="L224" s="27">
        <f t="shared" si="35"/>
        <v>263156</v>
      </c>
      <c r="M224" s="27">
        <f t="shared" si="36"/>
        <v>263156</v>
      </c>
    </row>
    <row r="225" spans="1:13" ht="15.75" customHeight="1" outlineLevel="2">
      <c r="A225" s="38"/>
      <c r="B225" s="39" t="s">
        <v>26</v>
      </c>
      <c r="C225" s="36">
        <v>1236378</v>
      </c>
      <c r="D225" s="36">
        <v>0</v>
      </c>
      <c r="E225" s="36"/>
      <c r="F225" s="36">
        <v>4996182.5999999996</v>
      </c>
      <c r="G225" s="37">
        <f t="shared" si="30"/>
        <v>0.24746453422258827</v>
      </c>
      <c r="H225" s="23">
        <f t="shared" si="28"/>
        <v>0</v>
      </c>
      <c r="I225" s="24">
        <f t="shared" si="28"/>
        <v>0</v>
      </c>
      <c r="J225" s="32" t="str" cm="1">
        <f t="array" ref="J225">IFERROR(_xlfn.IFS(B225="044 - BLEND TRADICION","BLEND",B225="113 - CAFÉ GOURMET","GOURMET",B225="114 - CAFÉ CONSUMO","CONSUMO",B225="112 - CAFÉ ORGANICO","GOURMET",B225="172 - CAFÉ COSECHA","ESPECIALES",B225="176 - CAFE DESCAFEINADO","GOURMET",B225="147 - CAPSULAS","CAPSULAS",B225="130 - GALLETAS CAFECITAS","DERIVADOS",B225="140 - MERENGUES","DERIVADOS",B225="100 - CAFÉ ESPECIAL","ESPECIALES",B225="141 - AREQUIPE","DERIVADOS",B225="142 - MERMELADA","DERIVADOS",B225="131 - GALLETAS AVENA","DERIVADOS",B225="160 - SOUVENIR","OTROS",B225="148 - CARAMELOS","DERIVADOS",B225="143 - CHOCOFFES","DERIVADOS",B225="162 - CONVENIOS Y DSC POS ","OTROS"),"OTROS")</f>
        <v>CAPSULAS</v>
      </c>
      <c r="K225" s="6"/>
      <c r="L225" s="27">
        <f t="shared" si="35"/>
        <v>1236378</v>
      </c>
      <c r="M225" s="27">
        <f t="shared" si="36"/>
        <v>1236378</v>
      </c>
    </row>
    <row r="226" spans="1:13" ht="15.75" customHeight="1" outlineLevel="2">
      <c r="A226" s="38"/>
      <c r="B226" s="39" t="s">
        <v>27</v>
      </c>
      <c r="C226" s="36">
        <v>0</v>
      </c>
      <c r="D226" s="36">
        <v>0</v>
      </c>
      <c r="E226" s="36">
        <v>0</v>
      </c>
      <c r="F226" s="36">
        <v>1098154.5900000001</v>
      </c>
      <c r="G226" s="37">
        <f t="shared" si="30"/>
        <v>0</v>
      </c>
      <c r="H226" s="23">
        <f t="shared" si="28"/>
        <v>0</v>
      </c>
      <c r="I226" s="24">
        <f t="shared" si="28"/>
        <v>0</v>
      </c>
      <c r="J226" s="32" t="str" cm="1">
        <f t="array" ref="J226">IFERROR(_xlfn.IFS(B226="044 - BLEND TRADICION","BLEND",B226="113 - CAFÉ GOURMET","GOURMET",B226="114 - CAFÉ CONSUMO","CONSUMO",B226="112 - CAFÉ ORGANICO","GOURMET",B226="172 - CAFÉ COSECHA","ESPECIALES",B226="176 - CAFE DESCAFEINADO","GOURMET",B226="147 - CAPSULAS","CAPSULAS",B226="130 - GALLETAS CAFECITAS","DERIVADOS",B226="140 - MERENGUES","DERIVADOS",B226="100 - CAFÉ ESPECIAL","ESPECIALES",B226="141 - AREQUIPE","DERIVADOS",B226="142 - MERMELADA","DERIVADOS",B226="131 - GALLETAS AVENA","DERIVADOS",B226="160 - SOUVENIR","OTROS",B226="148 - CARAMELOS","DERIVADOS",B226="143 - CHOCOFFES","DERIVADOS",B226="162 - CONVENIOS Y DSC POS ","OTROS"),"OTROS")</f>
        <v>DERIVADOS</v>
      </c>
      <c r="K226" s="6"/>
      <c r="L226" s="27">
        <f t="shared" si="35"/>
        <v>0</v>
      </c>
      <c r="M226" s="27">
        <f t="shared" si="36"/>
        <v>0</v>
      </c>
    </row>
    <row r="227" spans="1:13" ht="15.75" customHeight="1" outlineLevel="2">
      <c r="A227" s="38"/>
      <c r="B227" s="39" t="s">
        <v>28</v>
      </c>
      <c r="C227" s="36">
        <v>1653720</v>
      </c>
      <c r="D227" s="36">
        <v>0</v>
      </c>
      <c r="E227" s="36"/>
      <c r="F227" s="36">
        <v>4332933.07</v>
      </c>
      <c r="G227" s="37">
        <f t="shared" si="30"/>
        <v>0.38166294592683381</v>
      </c>
      <c r="H227" s="23">
        <f t="shared" si="28"/>
        <v>0</v>
      </c>
      <c r="I227" s="24">
        <f t="shared" si="28"/>
        <v>0</v>
      </c>
      <c r="J227" s="32" t="str" cm="1">
        <f t="array" ref="J227">IFERROR(_xlfn.IFS(B227="044 - BLEND TRADICION","BLEND",B227="113 - CAFÉ GOURMET","GOURMET",B227="114 - CAFÉ CONSUMO","CONSUMO",B227="112 - CAFÉ ORGANICO","GOURMET",B227="172 - CAFÉ COSECHA","ESPECIALES",B227="176 - CAFE DESCAFEINADO","GOURMET",B227="147 - CAPSULAS","CAPSULAS",B227="130 - GALLETAS CAFECITAS","DERIVADOS",B227="140 - MERENGUES","DERIVADOS",B227="100 - CAFÉ ESPECIAL","ESPECIALES",B227="141 - AREQUIPE","DERIVADOS",B227="142 - MERMELADA","DERIVADOS",B227="131 - GALLETAS AVENA","DERIVADOS",B227="160 - SOUVENIR","OTROS",B227="148 - CARAMELOS","DERIVADOS",B227="143 - CHOCOFFES","DERIVADOS",B227="162 - CONVENIOS Y DSC POS ","OTROS"),"OTROS")</f>
        <v>OTROS</v>
      </c>
      <c r="K227" s="6"/>
      <c r="L227" s="27">
        <f t="shared" si="35"/>
        <v>1653720</v>
      </c>
      <c r="M227" s="27">
        <f t="shared" si="36"/>
        <v>1653720</v>
      </c>
    </row>
    <row r="228" spans="1:13" ht="15.75" customHeight="1" outlineLevel="2">
      <c r="A228" s="38"/>
      <c r="B228" s="39" t="s">
        <v>29</v>
      </c>
      <c r="C228" s="36">
        <v>4124640</v>
      </c>
      <c r="D228" s="36">
        <v>0</v>
      </c>
      <c r="E228" s="36"/>
      <c r="F228" s="36">
        <v>19696186.350000001</v>
      </c>
      <c r="G228" s="37">
        <f t="shared" si="30"/>
        <v>0.20941312834400552</v>
      </c>
      <c r="H228" s="23">
        <f t="shared" si="28"/>
        <v>0</v>
      </c>
      <c r="I228" s="24">
        <f t="shared" si="28"/>
        <v>0</v>
      </c>
      <c r="J228" s="32" t="str" cm="1">
        <f t="array" ref="J228">IFERROR(_xlfn.IFS(B228="044 - BLEND TRADICION","BLEND",B228="113 - CAFÉ GOURMET","GOURMET",B228="114 - CAFÉ CONSUMO","CONSUMO",B228="112 - CAFÉ ORGANICO","GOURMET",B228="172 - CAFÉ COSECHA","ESPECIALES",B228="176 - CAFE DESCAFEINADO","GOURMET",B228="147 - CAPSULAS","CAPSULAS",B228="130 - GALLETAS CAFECITAS","DERIVADOS",B228="140 - MERENGUES","DERIVADOS",B228="100 - CAFÉ ESPECIAL","ESPECIALES",B228="141 - AREQUIPE","DERIVADOS",B228="142 - MERMELADA","DERIVADOS",B228="131 - GALLETAS AVENA","DERIVADOS",B228="160 - SOUVENIR","OTROS",B228="148 - CARAMELOS","DERIVADOS",B228="143 - CHOCOFFES","DERIVADOS",B228="162 - CONVENIOS Y DSC POS ","OTROS"),"OTROS")</f>
        <v>ESPECIALES</v>
      </c>
      <c r="K228" s="6"/>
      <c r="L228" s="27">
        <f t="shared" si="35"/>
        <v>4124640</v>
      </c>
      <c r="M228" s="27">
        <f t="shared" si="36"/>
        <v>4124640</v>
      </c>
    </row>
    <row r="229" spans="1:13" ht="15.75" customHeight="1" outlineLevel="2">
      <c r="A229" s="38"/>
      <c r="B229" s="39" t="s">
        <v>30</v>
      </c>
      <c r="C229" s="36">
        <v>759144</v>
      </c>
      <c r="D229" s="36">
        <v>0</v>
      </c>
      <c r="E229" s="36"/>
      <c r="F229" s="36">
        <v>6569709</v>
      </c>
      <c r="G229" s="37">
        <f t="shared" si="30"/>
        <v>0.11555215002673634</v>
      </c>
      <c r="H229" s="23">
        <f t="shared" si="28"/>
        <v>0</v>
      </c>
      <c r="I229" s="24">
        <f t="shared" si="28"/>
        <v>0</v>
      </c>
      <c r="J229" s="32" t="str" cm="1">
        <f t="array" ref="J229">IFERROR(_xlfn.IFS(B229="044 - BLEND TRADICION","BLEND",B229="113 - CAFÉ GOURMET","GOURMET",B229="114 - CAFÉ CONSUMO","CONSUMO",B229="112 - CAFÉ ORGANICO","GOURMET",B229="172 - CAFÉ COSECHA","ESPECIALES",B229="176 - CAFE DESCAFEINADO","GOURMET",B229="147 - CAPSULAS","CAPSULAS",B229="130 - GALLETAS CAFECITAS","DERIVADOS",B229="140 - MERENGUES","DERIVADOS",B229="100 - CAFÉ ESPECIAL","ESPECIALES",B229="141 - AREQUIPE","DERIVADOS",B229="142 - MERMELADA","DERIVADOS",B229="131 - GALLETAS AVENA","DERIVADOS",B229="160 - SOUVENIR","OTROS",B229="148 - CARAMELOS","DERIVADOS",B229="143 - CHOCOFFES","DERIVADOS",B229="162 - CONVENIOS Y DSC POS ","OTROS"),"OTROS")</f>
        <v>GOURMET</v>
      </c>
      <c r="K229" s="6"/>
      <c r="L229" s="27">
        <f t="shared" si="35"/>
        <v>759144</v>
      </c>
      <c r="M229" s="27">
        <f t="shared" si="36"/>
        <v>759144</v>
      </c>
    </row>
    <row r="230" spans="1:13" ht="15.75" customHeight="1" outlineLevel="2">
      <c r="A230" s="19" t="s">
        <v>60</v>
      </c>
      <c r="B230" s="56" t="s">
        <v>32</v>
      </c>
      <c r="C230" s="54">
        <f>SUM(C217:C229)</f>
        <v>36714910</v>
      </c>
      <c r="D230" s="54">
        <f>SUM(D217:D229)</f>
        <v>0</v>
      </c>
      <c r="E230" s="54">
        <f>SUM(E217:E229)</f>
        <v>0</v>
      </c>
      <c r="F230" s="58">
        <f>SUM(F217:F229)</f>
        <v>278548044.25999999</v>
      </c>
      <c r="G230" s="55">
        <f t="shared" si="30"/>
        <v>0.13180817728423852</v>
      </c>
      <c r="H230" s="23">
        <f t="shared" si="28"/>
        <v>0</v>
      </c>
      <c r="I230" s="24">
        <f t="shared" si="28"/>
        <v>0</v>
      </c>
      <c r="J230" s="32" t="str" cm="1">
        <f t="array" ref="J230">IFERROR(_xlfn.IFS(B230="044 - BLEND TRADICION","BLEND",B230="113 - CAFÉ GOURMET","GOURMET",B230="114 - CAFÉ CONSUMO","CONSUMO",B230="112 - CAFÉ ORGANICO","GOURMET",B230="172 - CAFÉ COSECHA","ESPECIALES",B230="176 - CAFE DESCAFEINADO","GOURMET",B230="147 - CAPSULAS","CAPSULAS",B230="130 - GALLETAS CAFECITAS","DERIVADOS",B230="140 - MERENGUES","DERIVADOS",B230="100 - CAFÉ ESPECIAL","ESPECIALES",B230="141 - AREQUIPE","DERIVADOS",B230="142 - MERMELADA","DERIVADOS",B230="131 - GALLETAS AVENA","DERIVADOS",B230="160 - SOUVENIR","OTROS",B230="148 - CARAMELOS","DERIVADOS",B230="143 - CHOCOFFES","DERIVADOS",B230="162 - CONVENIOS Y DSC POS ","OTROS"),"OTROS")</f>
        <v>OTROS</v>
      </c>
      <c r="K230" s="6"/>
      <c r="L230" s="27">
        <f t="shared" si="35"/>
        <v>36714910</v>
      </c>
      <c r="M230" s="27">
        <f t="shared" si="36"/>
        <v>36714910</v>
      </c>
    </row>
    <row r="231" spans="1:13" ht="16.5">
      <c r="A231" s="28" t="s">
        <v>61</v>
      </c>
      <c r="B231" s="29" t="s">
        <v>17</v>
      </c>
      <c r="C231" s="30">
        <f>+C234+C241+C245</f>
        <v>2567930</v>
      </c>
      <c r="D231" s="30"/>
      <c r="E231" s="30">
        <f>+E234+E241+E245</f>
        <v>0</v>
      </c>
      <c r="F231" s="30">
        <f>+F234+F241+F245</f>
        <v>468781637.60000002</v>
      </c>
      <c r="G231" s="31">
        <f t="shared" si="30"/>
        <v>5.477880945053467E-3</v>
      </c>
      <c r="H231" s="23">
        <f t="shared" si="28"/>
        <v>0</v>
      </c>
      <c r="I231" s="24">
        <f t="shared" si="28"/>
        <v>0</v>
      </c>
      <c r="J231" s="32" t="str" cm="1">
        <f t="array" ref="J231">IFERROR(_xlfn.IFS(B231="044 - BLEND TRADICION","BLEND",B231="113 - CAFÉ GOURMET","GOURMET",B231="114 - CAFÉ CONSUMO","CONSUMO",B231="112 - CAFÉ ORGANICO","GOURMET",B231="172 - CAFÉ COSECHA","ESPECIALES",B231="176 - CAFE DESCAFEINADO","GOURMET",B231="147 - CAPSULAS","CAPSULAS",B231="130 - GALLETAS CAFECITAS","DERIVADOS",B231="140 - MERENGUES","DERIVADOS",B231="100 - CAFÉ ESPECIAL","ESPECIALES",B231="141 - AREQUIPE","DERIVADOS",B231="142 - MERMELADA","DERIVADOS",B231="131 - GALLETAS AVENA","DERIVADOS",B231="160 - SOUVENIR","OTROS",B231="148 - CARAMELOS","DERIVADOS",B231="143 - CHOCOFFES","DERIVADOS",B231="162 - CONVENIOS Y DSC POS ","OTROS"),"OTROS")</f>
        <v>OTROS</v>
      </c>
      <c r="K231" s="6"/>
      <c r="L231" s="27">
        <f t="shared" si="35"/>
        <v>2567930</v>
      </c>
      <c r="M231" s="27">
        <f t="shared" si="36"/>
        <v>2567930</v>
      </c>
    </row>
    <row r="232" spans="1:13" ht="15.75" customHeight="1" outlineLevel="1">
      <c r="A232" s="33"/>
      <c r="B232" s="45" t="s">
        <v>62</v>
      </c>
      <c r="C232" s="46">
        <v>0</v>
      </c>
      <c r="D232" s="46">
        <v>0</v>
      </c>
      <c r="E232" s="46">
        <v>0</v>
      </c>
      <c r="F232" s="46">
        <v>0</v>
      </c>
      <c r="G232" s="37" t="str">
        <f t="shared" si="30"/>
        <v>-</v>
      </c>
      <c r="H232" s="23">
        <f t="shared" si="28"/>
        <v>0</v>
      </c>
      <c r="I232" s="24">
        <f t="shared" si="28"/>
        <v>0</v>
      </c>
      <c r="J232" s="32" t="str" cm="1">
        <f t="array" ref="J232">IFERROR(_xlfn.IFS(B232="044 - BLEND TRADICION","BLEND",B232="113 - CAFÉ GOURMET","GOURMET",B232="114 - CAFÉ CONSUMO","CONSUMO",B232="112 - CAFÉ ORGANICO","GOURMET",B232="172 - CAFÉ COSECHA","ESPECIALES",B232="176 - CAFE DESCAFEINADO","GOURMET",B232="147 - CAPSULAS","CAPSULAS",B232="130 - GALLETAS CAFECITAS","DERIVADOS",B232="140 - MERENGUES","DERIVADOS",B232="100 - CAFÉ ESPECIAL","ESPECIALES",B232="141 - AREQUIPE","DERIVADOS",B232="142 - MERMELADA","DERIVADOS",B232="131 - GALLETAS AVENA","DERIVADOS",B232="160 - SOUVENIR","OTROS",B232="148 - CARAMELOS","DERIVADOS",B232="143 - CHOCOFFES","DERIVADOS",B232="162 - CONVENIOS Y DSC POS ","OTROS"),"OTROS")</f>
        <v>OTROS</v>
      </c>
      <c r="K232" s="6"/>
      <c r="L232" s="27">
        <f t="shared" si="35"/>
        <v>0</v>
      </c>
      <c r="M232" s="27">
        <f t="shared" si="36"/>
        <v>0</v>
      </c>
    </row>
    <row r="233" spans="1:13" ht="15.75" customHeight="1" outlineLevel="1">
      <c r="A233" s="33"/>
      <c r="B233" s="45" t="s">
        <v>39</v>
      </c>
      <c r="C233" s="46"/>
      <c r="D233" s="46">
        <v>0</v>
      </c>
      <c r="E233" s="46"/>
      <c r="F233" s="46">
        <v>0</v>
      </c>
      <c r="G233" s="37" t="str">
        <f t="shared" si="30"/>
        <v>-</v>
      </c>
      <c r="H233" s="23">
        <f t="shared" si="28"/>
        <v>0</v>
      </c>
      <c r="I233" s="24">
        <f t="shared" si="28"/>
        <v>0</v>
      </c>
      <c r="J233" s="32" t="str" cm="1">
        <f t="array" ref="J233">IFERROR(_xlfn.IFS(B233="044 - BLEND TRADICION","BLEND",B233="113 - CAFÉ GOURMET","GOURMET",B233="114 - CAFÉ CONSUMO","CONSUMO",B233="112 - CAFÉ ORGANICO","GOURMET",B233="172 - CAFÉ COSECHA","ESPECIALES",B233="176 - CAFE DESCAFEINADO","GOURMET",B233="147 - CAPSULAS","CAPSULAS",B233="130 - GALLETAS CAFECITAS","DERIVADOS",B233="140 - MERENGUES","DERIVADOS",B233="100 - CAFÉ ESPECIAL","ESPECIALES",B233="141 - AREQUIPE","DERIVADOS",B233="142 - MERMELADA","DERIVADOS",B233="131 - GALLETAS AVENA","DERIVADOS",B233="160 - SOUVENIR","OTROS",B233="148 - CARAMELOS","DERIVADOS",B233="143 - CHOCOFFES","DERIVADOS",B233="162 - CONVENIOS Y DSC POS ","OTROS"),"OTROS")</f>
        <v>OTROS</v>
      </c>
      <c r="K233" s="6"/>
      <c r="L233" s="27">
        <f t="shared" si="35"/>
        <v>0</v>
      </c>
      <c r="M233" s="27">
        <f t="shared" si="36"/>
        <v>0</v>
      </c>
    </row>
    <row r="234" spans="1:13" ht="15.75" customHeight="1" outlineLevel="1">
      <c r="A234" s="52" t="s">
        <v>63</v>
      </c>
      <c r="B234" s="20" t="s">
        <v>32</v>
      </c>
      <c r="C234" s="21">
        <f>SUM(C232:C233)</f>
        <v>0</v>
      </c>
      <c r="D234" s="21"/>
      <c r="E234" s="21">
        <v>0</v>
      </c>
      <c r="F234" s="21">
        <v>0</v>
      </c>
      <c r="G234" s="55" t="str">
        <f t="shared" si="30"/>
        <v>-</v>
      </c>
      <c r="H234" s="23">
        <f t="shared" si="28"/>
        <v>0</v>
      </c>
      <c r="I234" s="24">
        <f t="shared" si="28"/>
        <v>0</v>
      </c>
      <c r="J234" s="32" t="str" cm="1">
        <f t="array" ref="J234">IFERROR(_xlfn.IFS(B234="044 - BLEND TRADICION","BLEND",B234="113 - CAFÉ GOURMET","GOURMET",B234="114 - CAFÉ CONSUMO","CONSUMO",B234="112 - CAFÉ ORGANICO","GOURMET",B234="172 - CAFÉ COSECHA","ESPECIALES",B234="176 - CAFE DESCAFEINADO","GOURMET",B234="147 - CAPSULAS","CAPSULAS",B234="130 - GALLETAS CAFECITAS","DERIVADOS",B234="140 - MERENGUES","DERIVADOS",B234="100 - CAFÉ ESPECIAL","ESPECIALES",B234="141 - AREQUIPE","DERIVADOS",B234="142 - MERMELADA","DERIVADOS",B234="131 - GALLETAS AVENA","DERIVADOS",B234="160 - SOUVENIR","OTROS",B234="148 - CARAMELOS","DERIVADOS",B234="143 - CHOCOFFES","DERIVADOS",B234="162 - CONVENIOS Y DSC POS ","OTROS"),"OTROS")</f>
        <v>OTROS</v>
      </c>
      <c r="K234" s="6"/>
      <c r="L234" s="27">
        <f t="shared" si="35"/>
        <v>0</v>
      </c>
      <c r="M234" s="27">
        <f t="shared" si="36"/>
        <v>0</v>
      </c>
    </row>
    <row r="235" spans="1:13" ht="15.75" customHeight="1" outlineLevel="1">
      <c r="A235" s="33"/>
      <c r="B235" s="45" t="s">
        <v>18</v>
      </c>
      <c r="C235" s="151">
        <v>0</v>
      </c>
      <c r="D235" s="152">
        <v>0</v>
      </c>
      <c r="E235" s="36"/>
      <c r="F235" s="36">
        <v>413971911.05000001</v>
      </c>
      <c r="G235" s="37">
        <f t="shared" si="30"/>
        <v>0</v>
      </c>
      <c r="H235" s="23">
        <f t="shared" si="28"/>
        <v>0</v>
      </c>
      <c r="I235" s="24">
        <f t="shared" si="28"/>
        <v>0</v>
      </c>
      <c r="J235" s="32" t="str" cm="1">
        <f t="array" ref="J235">IFERROR(_xlfn.IFS(B235="044 - BLEND TRADICION","BLEND",B235="113 - CAFÉ GOURMET","GOURMET",B235="114 - CAFÉ CONSUMO","CONSUMO",B235="112 - CAFÉ ORGANICO","GOURMET",B235="172 - CAFÉ COSECHA","ESPECIALES",B235="176 - CAFE DESCAFEINADO","GOURMET",B235="147 - CAPSULAS","CAPSULAS",B235="130 - GALLETAS CAFECITAS","DERIVADOS",B235="140 - MERENGUES","DERIVADOS",B235="100 - CAFÉ ESPECIAL","ESPECIALES",B235="141 - AREQUIPE","DERIVADOS",B235="142 - MERMELADA","DERIVADOS",B235="131 - GALLETAS AVENA","DERIVADOS",B235="160 - SOUVENIR","OTROS",B235="148 - CARAMELOS","DERIVADOS",B235="143 - CHOCOFFES","DERIVADOS",B235="162 - CONVENIOS Y DSC POS ","OTROS"),"OTROS")</f>
        <v>BLEND</v>
      </c>
      <c r="K235" s="6"/>
      <c r="L235" s="27">
        <f t="shared" si="35"/>
        <v>0</v>
      </c>
      <c r="M235" s="27">
        <f t="shared" si="36"/>
        <v>0</v>
      </c>
    </row>
    <row r="236" spans="1:13" ht="15.75" customHeight="1" outlineLevel="1">
      <c r="A236" s="33"/>
      <c r="B236" s="45" t="s">
        <v>20</v>
      </c>
      <c r="C236" s="151">
        <v>0</v>
      </c>
      <c r="D236" s="152">
        <v>0</v>
      </c>
      <c r="E236" s="36"/>
      <c r="F236" s="36">
        <v>4542701.25</v>
      </c>
      <c r="G236" s="37">
        <f t="shared" si="30"/>
        <v>0</v>
      </c>
      <c r="H236" s="23">
        <f t="shared" si="28"/>
        <v>0</v>
      </c>
      <c r="I236" s="24">
        <f t="shared" si="28"/>
        <v>0</v>
      </c>
      <c r="J236" s="32" t="str" cm="1">
        <f t="array" ref="J236">IFERROR(_xlfn.IFS(B236="044 - BLEND TRADICION","BLEND",B236="113 - CAFÉ GOURMET","GOURMET",B236="114 - CAFÉ CONSUMO","CONSUMO",B236="112 - CAFÉ ORGANICO","GOURMET",B236="172 - CAFÉ COSECHA","ESPECIALES",B236="176 - CAFE DESCAFEINADO","GOURMET",B236="147 - CAPSULAS","CAPSULAS",B236="130 - GALLETAS CAFECITAS","DERIVADOS",B236="140 - MERENGUES","DERIVADOS",B236="100 - CAFÉ ESPECIAL","ESPECIALES",B236="141 - AREQUIPE","DERIVADOS",B236="142 - MERMELADA","DERIVADOS",B236="131 - GALLETAS AVENA","DERIVADOS",B236="160 - SOUVENIR","OTROS",B236="148 - CARAMELOS","DERIVADOS",B236="143 - CHOCOFFES","DERIVADOS",B236="162 - CONVENIOS Y DSC POS ","OTROS"),"OTROS")</f>
        <v>GOURMET</v>
      </c>
      <c r="K236" s="6"/>
      <c r="L236" s="27">
        <f t="shared" si="35"/>
        <v>0</v>
      </c>
      <c r="M236" s="27">
        <f t="shared" si="36"/>
        <v>0</v>
      </c>
    </row>
    <row r="237" spans="1:13" ht="15.75" customHeight="1" outlineLevel="1">
      <c r="A237" s="33"/>
      <c r="B237" s="45" t="s">
        <v>21</v>
      </c>
      <c r="C237" s="151">
        <v>0</v>
      </c>
      <c r="D237" s="152">
        <v>0</v>
      </c>
      <c r="E237" s="36"/>
      <c r="F237" s="36">
        <v>25938878.649999999</v>
      </c>
      <c r="G237" s="37">
        <f t="shared" si="30"/>
        <v>0</v>
      </c>
      <c r="H237" s="23">
        <f t="shared" si="28"/>
        <v>0</v>
      </c>
      <c r="I237" s="24">
        <f t="shared" si="28"/>
        <v>0</v>
      </c>
      <c r="J237" s="32" t="str" cm="1">
        <f t="array" ref="J237">IFERROR(_xlfn.IFS(B237="044 - BLEND TRADICION","BLEND",B237="113 - CAFÉ GOURMET","GOURMET",B237="114 - CAFÉ CONSUMO","CONSUMO",B237="112 - CAFÉ ORGANICO","GOURMET",B237="172 - CAFÉ COSECHA","ESPECIALES",B237="176 - CAFE DESCAFEINADO","GOURMET",B237="147 - CAPSULAS","CAPSULAS",B237="130 - GALLETAS CAFECITAS","DERIVADOS",B237="140 - MERENGUES","DERIVADOS",B237="100 - CAFÉ ESPECIAL","ESPECIALES",B237="141 - AREQUIPE","DERIVADOS",B237="142 - MERMELADA","DERIVADOS",B237="131 - GALLETAS AVENA","DERIVADOS",B237="160 - SOUVENIR","OTROS",B237="148 - CARAMELOS","DERIVADOS",B237="143 - CHOCOFFES","DERIVADOS",B237="162 - CONVENIOS Y DSC POS ","OTROS"),"OTROS")</f>
        <v>GOURMET</v>
      </c>
      <c r="K237" s="6"/>
      <c r="L237" s="27">
        <f t="shared" si="35"/>
        <v>0</v>
      </c>
      <c r="M237" s="27">
        <f t="shared" si="36"/>
        <v>0</v>
      </c>
    </row>
    <row r="238" spans="1:13" ht="15.75" customHeight="1" outlineLevel="1">
      <c r="A238" s="33"/>
      <c r="B238" s="45" t="s">
        <v>22</v>
      </c>
      <c r="C238" s="151">
        <v>0</v>
      </c>
      <c r="D238" s="152">
        <v>0</v>
      </c>
      <c r="E238" s="36"/>
      <c r="F238" s="36">
        <v>21964513.23</v>
      </c>
      <c r="G238" s="37">
        <f t="shared" si="30"/>
        <v>0</v>
      </c>
      <c r="H238" s="23">
        <f t="shared" ref="H238:I252" si="37">IFERROR(+D238/L238*100%,0)</f>
        <v>0</v>
      </c>
      <c r="I238" s="24">
        <f t="shared" si="37"/>
        <v>0</v>
      </c>
      <c r="J238" s="32" t="str" cm="1">
        <f t="array" ref="J238">IFERROR(_xlfn.IFS(B238="044 - BLEND TRADICION","BLEND",B238="113 - CAFÉ GOURMET","GOURMET",B238="114 - CAFÉ CONSUMO","CONSUMO",B238="112 - CAFÉ ORGANICO","GOURMET",B238="172 - CAFÉ COSECHA","ESPECIALES",B238="176 - CAFE DESCAFEINADO","GOURMET",B238="147 - CAPSULAS","CAPSULAS",B238="130 - GALLETAS CAFECITAS","DERIVADOS",B238="140 - MERENGUES","DERIVADOS",B238="100 - CAFÉ ESPECIAL","ESPECIALES",B238="141 - AREQUIPE","DERIVADOS",B238="142 - MERMELADA","DERIVADOS",B238="131 - GALLETAS AVENA","DERIVADOS",B238="160 - SOUVENIR","OTROS",B238="148 - CARAMELOS","DERIVADOS",B238="143 - CHOCOFFES","DERIVADOS",B238="162 - CONVENIOS Y DSC POS ","OTROS"),"OTROS")</f>
        <v>DERIVADOS</v>
      </c>
      <c r="K238" s="6"/>
      <c r="L238" s="27">
        <f t="shared" si="35"/>
        <v>0</v>
      </c>
      <c r="M238" s="27">
        <f t="shared" si="36"/>
        <v>0</v>
      </c>
    </row>
    <row r="239" spans="1:13" ht="15.75" customHeight="1" outlineLevel="1">
      <c r="A239" s="33"/>
      <c r="B239" s="45" t="s">
        <v>29</v>
      </c>
      <c r="C239" s="151">
        <v>0</v>
      </c>
      <c r="D239" s="152">
        <v>0</v>
      </c>
      <c r="E239" s="36">
        <v>0</v>
      </c>
      <c r="F239" s="36">
        <v>2363633.42</v>
      </c>
      <c r="G239" s="37">
        <f t="shared" si="30"/>
        <v>0</v>
      </c>
      <c r="H239" s="23">
        <f t="shared" si="37"/>
        <v>0</v>
      </c>
      <c r="I239" s="24">
        <f t="shared" si="37"/>
        <v>0</v>
      </c>
      <c r="J239" s="32" t="str" cm="1">
        <f t="array" ref="J239">IFERROR(_xlfn.IFS(B239="044 - BLEND TRADICION","BLEND",B239="113 - CAFÉ GOURMET","GOURMET",B239="114 - CAFÉ CONSUMO","CONSUMO",B239="112 - CAFÉ ORGANICO","GOURMET",B239="172 - CAFÉ COSECHA","ESPECIALES",B239="176 - CAFE DESCAFEINADO","GOURMET",B239="147 - CAPSULAS","CAPSULAS",B239="130 - GALLETAS CAFECITAS","DERIVADOS",B239="140 - MERENGUES","DERIVADOS",B239="100 - CAFÉ ESPECIAL","ESPECIALES",B239="141 - AREQUIPE","DERIVADOS",B239="142 - MERMELADA","DERIVADOS",B239="131 - GALLETAS AVENA","DERIVADOS",B239="160 - SOUVENIR","OTROS",B239="148 - CARAMELOS","DERIVADOS",B239="143 - CHOCOFFES","DERIVADOS",B239="162 - CONVENIOS Y DSC POS ","OTROS"),"OTROS")</f>
        <v>ESPECIALES</v>
      </c>
      <c r="K239" s="6"/>
      <c r="L239" s="27">
        <f t="shared" si="35"/>
        <v>0</v>
      </c>
      <c r="M239" s="27">
        <f t="shared" si="36"/>
        <v>0</v>
      </c>
    </row>
    <row r="240" spans="1:13" ht="15.75" customHeight="1" outlineLevel="1">
      <c r="A240" s="44"/>
      <c r="B240" s="45" t="s">
        <v>92</v>
      </c>
      <c r="C240" s="151">
        <v>2563680</v>
      </c>
      <c r="D240" s="152">
        <v>0</v>
      </c>
      <c r="E240" s="36">
        <v>0</v>
      </c>
      <c r="F240" s="36">
        <v>0</v>
      </c>
      <c r="G240" s="37" t="str">
        <f t="shared" si="30"/>
        <v>-</v>
      </c>
      <c r="H240" s="23">
        <f t="shared" si="37"/>
        <v>0</v>
      </c>
      <c r="I240" s="24">
        <f t="shared" si="37"/>
        <v>0</v>
      </c>
      <c r="J240" s="32" t="str" cm="1">
        <f t="array" ref="J240">IFERROR(_xlfn.IFS(B240="044 - BLEND TRADICION","BLEND",B240="113 - CAFÉ GOURMET","GOURMET",B240="114 - CAFÉ CONSUMO","CONSUMO",B240="112 - CAFÉ ORGANICO","GOURMET",B240="172 - CAFÉ COSECHA","ESPECIALES",B240="176 - CAFE DESCAFEINADO","GOURMET",B240="147 - CAPSULAS","CAPSULAS",B240="130 - GALLETAS CAFECITAS","DERIVADOS",B240="140 - MERENGUES","DERIVADOS",B240="100 - CAFÉ ESPECIAL","ESPECIALES",B240="141 - AREQUIPE","DERIVADOS",B240="142 - MERMELADA","DERIVADOS",B240="131 - GALLETAS AVENA","DERIVADOS",B240="160 - SOUVENIR","OTROS",B240="148 - CARAMELOS","DERIVADOS",B240="143 - CHOCOFFES","DERIVADOS",B240="162 - CONVENIOS Y DSC POS ","OTROS"),"OTROS")</f>
        <v>OTROS</v>
      </c>
      <c r="K240" s="6"/>
      <c r="L240" s="27">
        <f t="shared" si="35"/>
        <v>2563680</v>
      </c>
      <c r="M240" s="27">
        <f t="shared" si="36"/>
        <v>2563680</v>
      </c>
    </row>
    <row r="241" spans="1:13" ht="15.75" customHeight="1" outlineLevel="1">
      <c r="A241" s="19" t="s">
        <v>64</v>
      </c>
      <c r="B241" s="40" t="s">
        <v>32</v>
      </c>
      <c r="C241" s="54">
        <f>SUM(C235:C240)</f>
        <v>2563680</v>
      </c>
      <c r="D241" s="54">
        <f>SUM(D235:D240)</f>
        <v>0</v>
      </c>
      <c r="E241" s="54">
        <f>SUM(E235:E240)</f>
        <v>0</v>
      </c>
      <c r="F241" s="54">
        <f>SUM(F235:F240)</f>
        <v>468781637.60000002</v>
      </c>
      <c r="G241" s="55">
        <f t="shared" si="30"/>
        <v>5.4688148902869906E-3</v>
      </c>
      <c r="H241" s="23">
        <f t="shared" si="37"/>
        <v>0</v>
      </c>
      <c r="I241" s="24">
        <f t="shared" si="37"/>
        <v>0</v>
      </c>
      <c r="J241" s="32" t="str" cm="1">
        <f t="array" ref="J241">IFERROR(_xlfn.IFS(B241="044 - BLEND TRADICION","BLEND",B241="113 - CAFÉ GOURMET","GOURMET",B241="114 - CAFÉ CONSUMO","CONSUMO",B241="112 - CAFÉ ORGANICO","GOURMET",B241="172 - CAFÉ COSECHA","ESPECIALES",B241="176 - CAFE DESCAFEINADO","GOURMET",B241="147 - CAPSULAS","CAPSULAS",B241="130 - GALLETAS CAFECITAS","DERIVADOS",B241="140 - MERENGUES","DERIVADOS",B241="100 - CAFÉ ESPECIAL","ESPECIALES",B241="141 - AREQUIPE","DERIVADOS",B241="142 - MERMELADA","DERIVADOS",B241="131 - GALLETAS AVENA","DERIVADOS",B241="160 - SOUVENIR","OTROS",B241="148 - CARAMELOS","DERIVADOS",B241="143 - CHOCOFFES","DERIVADOS",B241="162 - CONVENIOS Y DSC POS ","OTROS"),"OTROS")</f>
        <v>OTROS</v>
      </c>
      <c r="L241" s="27">
        <f t="shared" si="35"/>
        <v>2563680</v>
      </c>
      <c r="M241" s="27">
        <f t="shared" si="36"/>
        <v>2563680</v>
      </c>
    </row>
    <row r="242" spans="1:13" ht="15.75" customHeight="1" outlineLevel="1">
      <c r="A242" s="33"/>
      <c r="B242" s="39" t="s">
        <v>24</v>
      </c>
      <c r="C242" s="36">
        <v>4250</v>
      </c>
      <c r="D242" s="36"/>
      <c r="E242" s="36">
        <v>0</v>
      </c>
      <c r="F242" s="36">
        <v>0</v>
      </c>
      <c r="G242" s="37" t="str">
        <f t="shared" si="30"/>
        <v>-</v>
      </c>
      <c r="H242" s="23">
        <f t="shared" si="37"/>
        <v>0</v>
      </c>
      <c r="I242" s="24">
        <f t="shared" si="37"/>
        <v>0</v>
      </c>
      <c r="J242" s="32" t="str" cm="1">
        <f t="array" ref="J242">IFERROR(_xlfn.IFS(B242="044 - BLEND TRADICION","BLEND",B242="113 - CAFÉ GOURMET","GOURMET",B242="114 - CAFÉ CONSUMO","CONSUMO",B242="112 - CAFÉ ORGANICO","GOURMET",B242="172 - CAFÉ COSECHA","ESPECIALES",B242="176 - CAFE DESCAFEINADO","GOURMET",B242="147 - CAPSULAS","CAPSULAS",B242="130 - GALLETAS CAFECITAS","DERIVADOS",B242="140 - MERENGUES","DERIVADOS",B242="100 - CAFÉ ESPECIAL","ESPECIALES",B242="141 - AREQUIPE","DERIVADOS",B242="142 - MERMELADA","DERIVADOS",B242="131 - GALLETAS AVENA","DERIVADOS",B242="160 - SOUVENIR","OTROS",B242="148 - CARAMELOS","DERIVADOS",B242="143 - CHOCOFFES","DERIVADOS",B242="162 - CONVENIOS Y DSC POS ","OTROS"),"OTROS")</f>
        <v>DERIVADOS</v>
      </c>
      <c r="L242" s="27">
        <f t="shared" si="35"/>
        <v>4250</v>
      </c>
      <c r="M242" s="27">
        <f t="shared" si="36"/>
        <v>4250</v>
      </c>
    </row>
    <row r="243" spans="1:13" ht="15.75" customHeight="1" outlineLevel="1">
      <c r="A243" s="33"/>
      <c r="B243" s="39" t="s">
        <v>25</v>
      </c>
      <c r="C243" s="36">
        <v>0</v>
      </c>
      <c r="D243" s="36">
        <v>0</v>
      </c>
      <c r="E243" s="36"/>
      <c r="F243" s="36">
        <v>0</v>
      </c>
      <c r="G243" s="37" t="str">
        <f t="shared" si="30"/>
        <v>-</v>
      </c>
      <c r="H243" s="23">
        <f t="shared" si="37"/>
        <v>0</v>
      </c>
      <c r="I243" s="24">
        <f t="shared" si="37"/>
        <v>0</v>
      </c>
      <c r="J243" s="32" t="str" cm="1">
        <f t="array" ref="J243">IFERROR(_xlfn.IFS(B243="044 - BLEND TRADICION","BLEND",B243="113 - CAFÉ GOURMET","GOURMET",B243="114 - CAFÉ CONSUMO","CONSUMO",B243="112 - CAFÉ ORGANICO","GOURMET",B243="172 - CAFÉ COSECHA","ESPECIALES",B243="176 - CAFE DESCAFEINADO","GOURMET",B243="147 - CAPSULAS","CAPSULAS",B243="130 - GALLETAS CAFECITAS","DERIVADOS",B243="140 - MERENGUES","DERIVADOS",B243="100 - CAFÉ ESPECIAL","ESPECIALES",B243="141 - AREQUIPE","DERIVADOS",B243="142 - MERMELADA","DERIVADOS",B243="131 - GALLETAS AVENA","DERIVADOS",B243="160 - SOUVENIR","OTROS",B243="148 - CARAMELOS","DERIVADOS",B243="143 - CHOCOFFES","DERIVADOS",B243="162 - CONVENIOS Y DSC POS ","OTROS"),"OTROS")</f>
        <v>DERIVADOS</v>
      </c>
      <c r="K243" s="6"/>
      <c r="L243" s="27">
        <f>C243-(D243+E243)</f>
        <v>0</v>
      </c>
      <c r="M243" s="27">
        <f t="shared" si="36"/>
        <v>0</v>
      </c>
    </row>
    <row r="244" spans="1:13" ht="15.75" customHeight="1" outlineLevel="1">
      <c r="A244" s="38"/>
      <c r="B244" s="39" t="s">
        <v>29</v>
      </c>
      <c r="C244" s="36">
        <v>0</v>
      </c>
      <c r="D244" s="36">
        <v>0</v>
      </c>
      <c r="E244" s="36">
        <v>0</v>
      </c>
      <c r="F244" s="36">
        <v>0</v>
      </c>
      <c r="G244" s="37" t="str">
        <f t="shared" si="30"/>
        <v>-</v>
      </c>
      <c r="H244" s="23">
        <f t="shared" si="37"/>
        <v>0</v>
      </c>
      <c r="I244" s="24">
        <f t="shared" si="37"/>
        <v>0</v>
      </c>
      <c r="J244" s="32" t="str" cm="1">
        <f t="array" ref="J244">IFERROR(_xlfn.IFS(B244="044 - BLEND TRADICION","BLEND",B244="113 - CAFÉ GOURMET","GOURMET",B244="114 - CAFÉ CONSUMO","CONSUMO",B244="112 - CAFÉ ORGANICO","GOURMET",B244="172 - CAFÉ COSECHA","ESPECIALES",B244="176 - CAFE DESCAFEINADO","GOURMET",B244="147 - CAPSULAS","CAPSULAS",B244="130 - GALLETAS CAFECITAS","DERIVADOS",B244="140 - MERENGUES","DERIVADOS",B244="100 - CAFÉ ESPECIAL","ESPECIALES",B244="141 - AREQUIPE","DERIVADOS",B244="142 - MERMELADA","DERIVADOS",B244="131 - GALLETAS AVENA","DERIVADOS",B244="160 - SOUVENIR","OTROS",B244="148 - CARAMELOS","DERIVADOS",B244="143 - CHOCOFFES","DERIVADOS",B244="162 - CONVENIOS Y DSC POS ","OTROS"),"OTROS")</f>
        <v>ESPECIALES</v>
      </c>
      <c r="K244" s="6"/>
      <c r="L244" s="27">
        <f t="shared" ref="L244:L260" si="38">C244-(D244+E244)</f>
        <v>0</v>
      </c>
      <c r="M244" s="27">
        <f t="shared" si="36"/>
        <v>0</v>
      </c>
    </row>
    <row r="245" spans="1:13" ht="15.75" customHeight="1" outlineLevel="1">
      <c r="A245" s="19" t="s">
        <v>65</v>
      </c>
      <c r="B245" s="56" t="s">
        <v>32</v>
      </c>
      <c r="C245" s="54">
        <f>SUM(C242:C244)</f>
        <v>4250</v>
      </c>
      <c r="D245" s="54">
        <f>SUM(D242:D244)</f>
        <v>0</v>
      </c>
      <c r="E245" s="57">
        <v>0</v>
      </c>
      <c r="F245" s="58">
        <v>0</v>
      </c>
      <c r="G245" s="55" t="str">
        <f t="shared" si="30"/>
        <v>-</v>
      </c>
      <c r="H245" s="23">
        <f t="shared" si="37"/>
        <v>0</v>
      </c>
      <c r="I245" s="24">
        <f t="shared" si="37"/>
        <v>0</v>
      </c>
      <c r="J245" s="32" t="str" cm="1">
        <f t="array" ref="J245">IFERROR(_xlfn.IFS(B245="044 - BLEND TRADICION","BLEND",B245="113 - CAFÉ GOURMET","GOURMET",B245="114 - CAFÉ CONSUMO","CONSUMO",B245="112 - CAFÉ ORGANICO","GOURMET",B245="172 - CAFÉ COSECHA","ESPECIALES",B245="176 - CAFE DESCAFEINADO","GOURMET",B245="147 - CAPSULAS","CAPSULAS",B245="130 - GALLETAS CAFECITAS","DERIVADOS",B245="140 - MERENGUES","DERIVADOS",B245="100 - CAFÉ ESPECIAL","ESPECIALES",B245="141 - AREQUIPE","DERIVADOS",B245="142 - MERMELADA","DERIVADOS",B245="131 - GALLETAS AVENA","DERIVADOS",B245="160 - SOUVENIR","OTROS",B245="148 - CARAMELOS","DERIVADOS",B245="143 - CHOCOFFES","DERIVADOS",B245="162 - CONVENIOS Y DSC POS ","OTROS"),"OTROS")</f>
        <v>OTROS</v>
      </c>
      <c r="K245" s="6"/>
      <c r="L245" s="27">
        <f t="shared" si="38"/>
        <v>4250</v>
      </c>
      <c r="M245" s="27">
        <f t="shared" si="36"/>
        <v>4250</v>
      </c>
    </row>
    <row r="246" spans="1:13" ht="17" thickBot="1">
      <c r="A246" s="63" t="s">
        <v>66</v>
      </c>
      <c r="B246" s="64" t="s">
        <v>17</v>
      </c>
      <c r="C246" s="65">
        <f>+C259</f>
        <v>66584476</v>
      </c>
      <c r="D246" s="65">
        <f>+D259</f>
        <v>-34175739</v>
      </c>
      <c r="E246" s="65">
        <f>+E259</f>
        <v>0</v>
      </c>
      <c r="F246" s="65">
        <f>+F259</f>
        <v>3060120402.4200006</v>
      </c>
      <c r="G246" s="66">
        <f t="shared" si="30"/>
        <v>2.1758776532891891E-2</v>
      </c>
      <c r="H246" s="23">
        <f t="shared" si="37"/>
        <v>-0.33917890111687438</v>
      </c>
      <c r="I246" s="24">
        <f t="shared" si="37"/>
        <v>0</v>
      </c>
      <c r="J246" s="32" t="str" cm="1">
        <f t="array" ref="J246">IFERROR(_xlfn.IFS(B246="044 - BLEND TRADICION","BLEND",B246="113 - CAFÉ GOURMET","GOURMET",B246="114 - CAFÉ CONSUMO","CONSUMO",B246="112 - CAFÉ ORGANICO","GOURMET",B246="172 - CAFÉ COSECHA","ESPECIALES",B246="176 - CAFE DESCAFEINADO","GOURMET",B246="147 - CAPSULAS","CAPSULAS",B246="130 - GALLETAS CAFECITAS","DERIVADOS",B246="140 - MERENGUES","DERIVADOS",B246="100 - CAFÉ ESPECIAL","ESPECIALES",B246="141 - AREQUIPE","DERIVADOS",B246="142 - MERMELADA","DERIVADOS",B246="131 - GALLETAS AVENA","DERIVADOS",B246="160 - SOUVENIR","OTROS",B246="148 - CARAMELOS","DERIVADOS",B246="143 - CHOCOFFES","DERIVADOS",B246="162 - CONVENIOS Y DSC POS ","OTROS"),"OTROS")</f>
        <v>OTROS</v>
      </c>
      <c r="K246" s="6"/>
      <c r="L246" s="27">
        <f t="shared" si="38"/>
        <v>100760215</v>
      </c>
      <c r="M246" s="27">
        <f t="shared" si="36"/>
        <v>100760215</v>
      </c>
    </row>
    <row r="247" spans="1:13" s="26" customFormat="1" ht="15.75" customHeight="1" outlineLevel="1">
      <c r="A247" s="67"/>
      <c r="B247" s="34" t="s">
        <v>18</v>
      </c>
      <c r="C247" s="68">
        <v>521600</v>
      </c>
      <c r="D247" s="68">
        <v>0</v>
      </c>
      <c r="E247" s="35">
        <v>0</v>
      </c>
      <c r="F247" s="35">
        <v>4301469.12</v>
      </c>
      <c r="G247" s="49">
        <f t="shared" si="30"/>
        <v>0.12126089609124056</v>
      </c>
      <c r="H247" s="23">
        <f t="shared" si="37"/>
        <v>0</v>
      </c>
      <c r="I247" s="24">
        <f t="shared" si="37"/>
        <v>0</v>
      </c>
      <c r="J247" s="32" t="str" cm="1">
        <f t="array" ref="J247">IFERROR(_xlfn.IFS(B247="044 - BLEND TRADICION","BLEND",B247="113 - CAFÉ GOURMET","GOURMET",B247="114 - CAFÉ CONSUMO","CONSUMO",B247="112 - CAFÉ ORGANICO","GOURMET",B247="172 - CAFÉ COSECHA","ESPECIALES",B247="176 - CAFE DESCAFEINADO","GOURMET",B247="147 - CAPSULAS","CAPSULAS",B247="130 - GALLETAS CAFECITAS","DERIVADOS",B247="140 - MERENGUES","DERIVADOS",B247="100 - CAFÉ ESPECIAL","ESPECIALES",B247="141 - AREQUIPE","DERIVADOS",B247="142 - MERMELADA","DERIVADOS",B247="131 - GALLETAS AVENA","DERIVADOS",B247="160 - SOUVENIR","OTROS",B247="148 - CARAMELOS","DERIVADOS",B247="143 - CHOCOFFES","DERIVADOS",B247="162 - CONVENIOS Y DSC POS ","OTROS"),"OTROS")</f>
        <v>BLEND</v>
      </c>
      <c r="L247" s="27">
        <f t="shared" si="38"/>
        <v>521600</v>
      </c>
      <c r="M247" s="27">
        <f t="shared" si="36"/>
        <v>521600</v>
      </c>
    </row>
    <row r="248" spans="1:13" s="26" customFormat="1" ht="15.75" customHeight="1" outlineLevel="1">
      <c r="A248" s="67"/>
      <c r="B248" s="39" t="s">
        <v>19</v>
      </c>
      <c r="C248" s="60">
        <v>20470299</v>
      </c>
      <c r="D248" s="60">
        <v>-1504857</v>
      </c>
      <c r="E248" s="36"/>
      <c r="F248" s="35">
        <v>133747007.69</v>
      </c>
      <c r="G248" s="37">
        <f t="shared" si="30"/>
        <v>0.15305238863695733</v>
      </c>
      <c r="H248" s="23">
        <f t="shared" si="37"/>
        <v>-6.8479923418973687E-2</v>
      </c>
      <c r="I248" s="24">
        <f t="shared" si="37"/>
        <v>0</v>
      </c>
      <c r="J248" s="32" t="str" cm="1">
        <f t="array" ref="J248">IFERROR(_xlfn.IFS(B248="044 - BLEND TRADICION","BLEND",B248="113 - CAFÉ GOURMET","GOURMET",B248="114 - CAFÉ CONSUMO","CONSUMO",B248="112 - CAFÉ ORGANICO","GOURMET",B248="172 - CAFÉ COSECHA","ESPECIALES",B248="176 - CAFE DESCAFEINADO","GOURMET",B248="147 - CAPSULAS","CAPSULAS",B248="130 - GALLETAS CAFECITAS","DERIVADOS",B248="140 - MERENGUES","DERIVADOS",B248="100 - CAFÉ ESPECIAL","ESPECIALES",B248="141 - AREQUIPE","DERIVADOS",B248="142 - MERMELADA","DERIVADOS",B248="131 - GALLETAS AVENA","DERIVADOS",B248="160 - SOUVENIR","OTROS",B248="148 - CARAMELOS","DERIVADOS",B248="143 - CHOCOFFES","DERIVADOS",B248="162 - CONVENIOS Y DSC POS ","OTROS"),"OTROS")</f>
        <v>ESPECIALES</v>
      </c>
      <c r="L248" s="27">
        <f t="shared" si="38"/>
        <v>21975156</v>
      </c>
      <c r="M248" s="27">
        <f t="shared" si="36"/>
        <v>21975156</v>
      </c>
    </row>
    <row r="249" spans="1:13" s="26" customFormat="1" ht="15.75" customHeight="1" outlineLevel="1">
      <c r="A249" s="69"/>
      <c r="B249" s="39" t="s">
        <v>20</v>
      </c>
      <c r="C249" s="60">
        <v>3903138</v>
      </c>
      <c r="D249" s="60">
        <v>-319907</v>
      </c>
      <c r="E249" s="36">
        <v>0</v>
      </c>
      <c r="F249" s="36">
        <v>166140099.77000001</v>
      </c>
      <c r="G249" s="37">
        <f t="shared" si="30"/>
        <v>2.3493051980848705E-2</v>
      </c>
      <c r="H249" s="23">
        <f t="shared" si="37"/>
        <v>-7.5752685562195055E-2</v>
      </c>
      <c r="I249" s="24">
        <f t="shared" si="37"/>
        <v>0</v>
      </c>
      <c r="J249" s="32" t="str" cm="1">
        <f t="array" ref="J249">IFERROR(_xlfn.IFS(B249="044 - BLEND TRADICION","BLEND",B249="113 - CAFÉ GOURMET","GOURMET",B249="114 - CAFÉ CONSUMO","CONSUMO",B249="112 - CAFÉ ORGANICO","GOURMET",B249="172 - CAFÉ COSECHA","ESPECIALES",B249="176 - CAFE DESCAFEINADO","GOURMET",B249="147 - CAPSULAS","CAPSULAS",B249="130 - GALLETAS CAFECITAS","DERIVADOS",B249="140 - MERENGUES","DERIVADOS",B249="100 - CAFÉ ESPECIAL","ESPECIALES",B249="141 - AREQUIPE","DERIVADOS",B249="142 - MERMELADA","DERIVADOS",B249="131 - GALLETAS AVENA","DERIVADOS",B249="160 - SOUVENIR","OTROS",B249="148 - CARAMELOS","DERIVADOS",B249="143 - CHOCOFFES","DERIVADOS",B249="162 - CONVENIOS Y DSC POS ","OTROS"),"OTROS")</f>
        <v>GOURMET</v>
      </c>
      <c r="L249" s="27">
        <f t="shared" si="38"/>
        <v>4223045</v>
      </c>
      <c r="M249" s="27">
        <f t="shared" si="36"/>
        <v>4223045</v>
      </c>
    </row>
    <row r="250" spans="1:13" s="26" customFormat="1" ht="15.75" customHeight="1" outlineLevel="1">
      <c r="A250" s="69"/>
      <c r="B250" s="39" t="s">
        <v>21</v>
      </c>
      <c r="C250" s="60">
        <v>48880292</v>
      </c>
      <c r="D250" s="60">
        <v>-2731531</v>
      </c>
      <c r="E250" s="36">
        <v>0</v>
      </c>
      <c r="F250" s="35">
        <v>2016617010.9000001</v>
      </c>
      <c r="G250" s="37">
        <f t="shared" si="30"/>
        <v>2.4238758145844023E-2</v>
      </c>
      <c r="H250" s="23">
        <f t="shared" si="37"/>
        <v>-5.2924520802142563E-2</v>
      </c>
      <c r="I250" s="24">
        <f t="shared" si="37"/>
        <v>0</v>
      </c>
      <c r="J250" s="32" t="str" cm="1">
        <f t="array" ref="J250">IFERROR(_xlfn.IFS(B250="044 - BLEND TRADICION","BLEND",B250="113 - CAFÉ GOURMET","GOURMET",B250="114 - CAFÉ CONSUMO","CONSUMO",B250="112 - CAFÉ ORGANICO","GOURMET",B250="172 - CAFÉ COSECHA","ESPECIALES",B250="176 - CAFE DESCAFEINADO","GOURMET",B250="147 - CAPSULAS","CAPSULAS",B250="130 - GALLETAS CAFECITAS","DERIVADOS",B250="140 - MERENGUES","DERIVADOS",B250="100 - CAFÉ ESPECIAL","ESPECIALES",B250="141 - AREQUIPE","DERIVADOS",B250="142 - MERMELADA","DERIVADOS",B250="131 - GALLETAS AVENA","DERIVADOS",B250="160 - SOUVENIR","OTROS",B250="148 - CARAMELOS","DERIVADOS",B250="143 - CHOCOFFES","DERIVADOS",B250="162 - CONVENIOS Y DSC POS ","OTROS"),"OTROS")</f>
        <v>GOURMET</v>
      </c>
      <c r="L250" s="27">
        <f t="shared" si="38"/>
        <v>51611823</v>
      </c>
      <c r="M250" s="27">
        <f t="shared" si="36"/>
        <v>51611823</v>
      </c>
    </row>
    <row r="251" spans="1:13" s="26" customFormat="1" ht="15.75" customHeight="1" outlineLevel="1">
      <c r="A251" s="69"/>
      <c r="B251" s="39" t="s">
        <v>22</v>
      </c>
      <c r="C251" s="60">
        <v>50724</v>
      </c>
      <c r="D251" s="60">
        <v>-2367734</v>
      </c>
      <c r="E251" s="36">
        <v>0</v>
      </c>
      <c r="F251" s="36">
        <v>61087901.090000004</v>
      </c>
      <c r="G251" s="37">
        <f t="shared" si="30"/>
        <v>8.3034445602033369E-4</v>
      </c>
      <c r="H251" s="23">
        <f t="shared" si="37"/>
        <v>-0.97902630519115896</v>
      </c>
      <c r="I251" s="24">
        <f t="shared" si="37"/>
        <v>0</v>
      </c>
      <c r="J251" s="32" t="str" cm="1">
        <f t="array" ref="J251">IFERROR(_xlfn.IFS(B251="044 - BLEND TRADICION","BLEND",B251="113 - CAFÉ GOURMET","GOURMET",B251="114 - CAFÉ CONSUMO","CONSUMO",B251="112 - CAFÉ ORGANICO","GOURMET",B251="172 - CAFÉ COSECHA","ESPECIALES",B251="176 - CAFE DESCAFEINADO","GOURMET",B251="147 - CAPSULAS","CAPSULAS",B251="130 - GALLETAS CAFECITAS","DERIVADOS",B251="140 - MERENGUES","DERIVADOS",B251="100 - CAFÉ ESPECIAL","ESPECIALES",B251="141 - AREQUIPE","DERIVADOS",B251="142 - MERMELADA","DERIVADOS",B251="131 - GALLETAS AVENA","DERIVADOS",B251="160 - SOUVENIR","OTROS",B251="148 - CARAMELOS","DERIVADOS",B251="143 - CHOCOFFES","DERIVADOS",B251="162 - CONVENIOS Y DSC POS ","OTROS"),"OTROS")</f>
        <v>DERIVADOS</v>
      </c>
      <c r="L251" s="27">
        <f t="shared" si="38"/>
        <v>2418458</v>
      </c>
      <c r="M251" s="27">
        <f t="shared" si="36"/>
        <v>2418458</v>
      </c>
    </row>
    <row r="252" spans="1:13" s="26" customFormat="1" ht="15.75" customHeight="1" outlineLevel="1">
      <c r="A252" s="69"/>
      <c r="B252" s="39" t="s">
        <v>24</v>
      </c>
      <c r="C252" s="60">
        <v>1435431</v>
      </c>
      <c r="D252" s="60">
        <v>-168057</v>
      </c>
      <c r="E252" s="36"/>
      <c r="F252" s="35">
        <v>7233101.0300000003</v>
      </c>
      <c r="G252" s="37">
        <f t="shared" si="30"/>
        <v>0.19845305548013339</v>
      </c>
      <c r="H252" s="23">
        <f t="shared" si="37"/>
        <v>-0.10480714542297791</v>
      </c>
      <c r="I252" s="24">
        <f t="shared" si="37"/>
        <v>0</v>
      </c>
      <c r="J252" s="32" t="str" cm="1">
        <f t="array" ref="J252">IFERROR(_xlfn.IFS(B252="044 - BLEND TRADICION","BLEND",B252="113 - CAFÉ GOURMET","GOURMET",B252="114 - CAFÉ CONSUMO","CONSUMO",B252="112 - CAFÉ ORGANICO","GOURMET",B252="172 - CAFÉ COSECHA","ESPECIALES",B252="176 - CAFE DESCAFEINADO","GOURMET",B252="147 - CAPSULAS","CAPSULAS",B252="130 - GALLETAS CAFECITAS","DERIVADOS",B252="140 - MERENGUES","DERIVADOS",B252="100 - CAFÉ ESPECIAL","ESPECIALES",B252="141 - AREQUIPE","DERIVADOS",B252="142 - MERMELADA","DERIVADOS",B252="131 - GALLETAS AVENA","DERIVADOS",B252="160 - SOUVENIR","OTROS",B252="148 - CARAMELOS","DERIVADOS",B252="143 - CHOCOFFES","DERIVADOS",B252="162 - CONVENIOS Y DSC POS ","OTROS"),"OTROS")</f>
        <v>DERIVADOS</v>
      </c>
      <c r="L252" s="27">
        <f t="shared" si="38"/>
        <v>1603488</v>
      </c>
      <c r="M252" s="27">
        <f t="shared" si="36"/>
        <v>1603488</v>
      </c>
    </row>
    <row r="253" spans="1:13" s="26" customFormat="1" ht="15.75" customHeight="1" outlineLevel="1">
      <c r="A253" s="69"/>
      <c r="B253" s="39" t="s">
        <v>25</v>
      </c>
      <c r="C253" s="60">
        <v>1536508</v>
      </c>
      <c r="D253" s="60">
        <v>-149012</v>
      </c>
      <c r="E253" s="36"/>
      <c r="F253" s="35">
        <v>8769038.3300000001</v>
      </c>
      <c r="G253" s="37">
        <f t="shared" si="30"/>
        <v>0.17521966972631536</v>
      </c>
      <c r="H253" s="23">
        <f t="shared" ref="H253:I260" si="39">IFERROR(+D253/L253*100%,0)</f>
        <v>-8.8407138449855233E-2</v>
      </c>
      <c r="I253" s="24">
        <f t="shared" si="39"/>
        <v>0</v>
      </c>
      <c r="J253" s="32" t="str" cm="1">
        <f t="array" ref="J253">IFERROR(_xlfn.IFS(B253="044 - BLEND TRADICION","BLEND",B253="113 - CAFÉ GOURMET","GOURMET",B253="114 - CAFÉ CONSUMO","CONSUMO",B253="112 - CAFÉ ORGANICO","GOURMET",B253="172 - CAFÉ COSECHA","ESPECIALES",B253="176 - CAFE DESCAFEINADO","GOURMET",B253="147 - CAPSULAS","CAPSULAS",B253="130 - GALLETAS CAFECITAS","DERIVADOS",B253="140 - MERENGUES","DERIVADOS",B253="100 - CAFÉ ESPECIAL","ESPECIALES",B253="141 - AREQUIPE","DERIVADOS",B253="142 - MERMELADA","DERIVADOS",B253="131 - GALLETAS AVENA","DERIVADOS",B253="160 - SOUVENIR","OTROS",B253="148 - CARAMELOS","DERIVADOS",B253="143 - CHOCOFFES","DERIVADOS",B253="162 - CONVENIOS Y DSC POS ","OTROS"),"OTROS")</f>
        <v>DERIVADOS</v>
      </c>
      <c r="L253" s="27">
        <f t="shared" si="38"/>
        <v>1685520</v>
      </c>
      <c r="M253" s="27">
        <f t="shared" si="36"/>
        <v>1685520</v>
      </c>
    </row>
    <row r="254" spans="1:13" s="26" customFormat="1" ht="15.75" customHeight="1" outlineLevel="1">
      <c r="A254" s="69"/>
      <c r="B254" s="39" t="s">
        <v>26</v>
      </c>
      <c r="C254" s="60">
        <v>-19580674</v>
      </c>
      <c r="D254" s="60">
        <v>-24328639</v>
      </c>
      <c r="E254" s="36">
        <v>0</v>
      </c>
      <c r="F254" s="36">
        <v>155253232.08000001</v>
      </c>
      <c r="G254" s="37">
        <f t="shared" si="30"/>
        <v>-0.12612087837186106</v>
      </c>
      <c r="H254" s="23">
        <f t="shared" si="39"/>
        <v>-5.1240139723018174</v>
      </c>
      <c r="I254" s="24">
        <f t="shared" si="39"/>
        <v>0</v>
      </c>
      <c r="J254" s="32" t="str" cm="1">
        <f t="array" ref="J254">IFERROR(_xlfn.IFS(B254="044 - BLEND TRADICION","BLEND",B254="113 - CAFÉ GOURMET","GOURMET",B254="114 - CAFÉ CONSUMO","CONSUMO",B254="112 - CAFÉ ORGANICO","GOURMET",B254="172 - CAFÉ COSECHA","ESPECIALES",B254="176 - CAFE DESCAFEINADO","GOURMET",B254="147 - CAPSULAS","CAPSULAS",B254="130 - GALLETAS CAFECITAS","DERIVADOS",B254="140 - MERENGUES","DERIVADOS",B254="100 - CAFÉ ESPECIAL","ESPECIALES",B254="141 - AREQUIPE","DERIVADOS",B254="142 - MERMELADA","DERIVADOS",B254="131 - GALLETAS AVENA","DERIVADOS",B254="160 - SOUVENIR","OTROS",B254="148 - CARAMELOS","DERIVADOS",B254="143 - CHOCOFFES","DERIVADOS",B254="162 - CONVENIOS Y DSC POS ","OTROS"),"OTROS")</f>
        <v>CAPSULAS</v>
      </c>
      <c r="L254" s="27">
        <f t="shared" si="38"/>
        <v>4747965</v>
      </c>
      <c r="M254" s="27">
        <f t="shared" si="36"/>
        <v>4747965</v>
      </c>
    </row>
    <row r="255" spans="1:13" s="26" customFormat="1" ht="15.75" customHeight="1" outlineLevel="1">
      <c r="A255" s="69"/>
      <c r="B255" s="39" t="s">
        <v>27</v>
      </c>
      <c r="C255" s="60">
        <v>0</v>
      </c>
      <c r="D255" s="60">
        <v>0</v>
      </c>
      <c r="E255" s="36">
        <v>0</v>
      </c>
      <c r="F255" s="35">
        <v>5439026.3600000003</v>
      </c>
      <c r="G255" s="37">
        <f t="shared" si="30"/>
        <v>0</v>
      </c>
      <c r="H255" s="23">
        <f t="shared" si="39"/>
        <v>0</v>
      </c>
      <c r="I255" s="24">
        <f t="shared" si="39"/>
        <v>0</v>
      </c>
      <c r="J255" s="32" t="str" cm="1">
        <f t="array" ref="J255">IFERROR(_xlfn.IFS(B255="044 - BLEND TRADICION","BLEND",B255="113 - CAFÉ GOURMET","GOURMET",B255="114 - CAFÉ CONSUMO","CONSUMO",B255="112 - CAFÉ ORGANICO","GOURMET",B255="172 - CAFÉ COSECHA","ESPECIALES",B255="176 - CAFE DESCAFEINADO","GOURMET",B255="147 - CAPSULAS","CAPSULAS",B255="130 - GALLETAS CAFECITAS","DERIVADOS",B255="140 - MERENGUES","DERIVADOS",B255="100 - CAFÉ ESPECIAL","ESPECIALES",B255="141 - AREQUIPE","DERIVADOS",B255="142 - MERMELADA","DERIVADOS",B255="131 - GALLETAS AVENA","DERIVADOS",B255="160 - SOUVENIR","OTROS",B255="148 - CARAMELOS","DERIVADOS",B255="143 - CHOCOFFES","DERIVADOS",B255="162 - CONVENIOS Y DSC POS ","OTROS"),"OTROS")</f>
        <v>DERIVADOS</v>
      </c>
      <c r="L255" s="27">
        <f t="shared" si="38"/>
        <v>0</v>
      </c>
      <c r="M255" s="27">
        <f t="shared" si="36"/>
        <v>0</v>
      </c>
    </row>
    <row r="256" spans="1:13" s="26" customFormat="1" ht="15.75" customHeight="1" outlineLevel="1">
      <c r="A256" s="69"/>
      <c r="B256" s="39" t="s">
        <v>28</v>
      </c>
      <c r="C256" s="60">
        <v>3398040</v>
      </c>
      <c r="D256" s="60">
        <v>-1132680</v>
      </c>
      <c r="E256" s="36">
        <v>0</v>
      </c>
      <c r="F256" s="36">
        <v>137373469.31999999</v>
      </c>
      <c r="G256" s="37">
        <f t="shared" si="30"/>
        <v>2.4735780619215129E-2</v>
      </c>
      <c r="H256" s="23">
        <f t="shared" si="39"/>
        <v>-0.25</v>
      </c>
      <c r="I256" s="24">
        <f t="shared" si="39"/>
        <v>0</v>
      </c>
      <c r="J256" s="32" t="str" cm="1">
        <f t="array" ref="J256">IFERROR(_xlfn.IFS(B256="044 - BLEND TRADICION","BLEND",B256="113 - CAFÉ GOURMET","GOURMET",B256="114 - CAFÉ CONSUMO","CONSUMO",B256="112 - CAFÉ ORGANICO","GOURMET",B256="172 - CAFÉ COSECHA","ESPECIALES",B256="176 - CAFE DESCAFEINADO","GOURMET",B256="147 - CAPSULAS","CAPSULAS",B256="130 - GALLETAS CAFECITAS","DERIVADOS",B256="140 - MERENGUES","DERIVADOS",B256="100 - CAFÉ ESPECIAL","ESPECIALES",B256="141 - AREQUIPE","DERIVADOS",B256="142 - MERMELADA","DERIVADOS",B256="131 - GALLETAS AVENA","DERIVADOS",B256="160 - SOUVENIR","OTROS",B256="148 - CARAMELOS","DERIVADOS",B256="143 - CHOCOFFES","DERIVADOS",B256="162 - CONVENIOS Y DSC POS ","OTROS"),"OTROS")</f>
        <v>OTROS</v>
      </c>
      <c r="L256" s="27">
        <f t="shared" si="38"/>
        <v>4530720</v>
      </c>
      <c r="M256" s="27">
        <f t="shared" si="36"/>
        <v>4530720</v>
      </c>
    </row>
    <row r="257" spans="1:13" s="26" customFormat="1" ht="15.75" customHeight="1" outlineLevel="1">
      <c r="A257" s="69"/>
      <c r="B257" s="39" t="s">
        <v>29</v>
      </c>
      <c r="C257" s="60">
        <v>4848973</v>
      </c>
      <c r="D257" s="60">
        <v>-1440503</v>
      </c>
      <c r="E257" s="36">
        <v>0</v>
      </c>
      <c r="F257" s="36">
        <v>320749097.20999998</v>
      </c>
      <c r="G257" s="37">
        <f t="shared" si="30"/>
        <v>1.5117651280013716E-2</v>
      </c>
      <c r="H257" s="23">
        <f t="shared" si="39"/>
        <v>-0.22903386546033405</v>
      </c>
      <c r="I257" s="24">
        <f t="shared" si="39"/>
        <v>0</v>
      </c>
      <c r="J257" s="32" t="str" cm="1">
        <f t="array" ref="J257">IFERROR(_xlfn.IFS(B257="044 - BLEND TRADICION","BLEND",B257="113 - CAFÉ GOURMET","GOURMET",B257="114 - CAFÉ CONSUMO","CONSUMO",B257="112 - CAFÉ ORGANICO","GOURMET",B257="172 - CAFÉ COSECHA","ESPECIALES",B257="176 - CAFE DESCAFEINADO","GOURMET",B257="147 - CAPSULAS","CAPSULAS",B257="130 - GALLETAS CAFECITAS","DERIVADOS",B257="140 - MERENGUES","DERIVADOS",B257="100 - CAFÉ ESPECIAL","ESPECIALES",B257="141 - AREQUIPE","DERIVADOS",B257="142 - MERMELADA","DERIVADOS",B257="131 - GALLETAS AVENA","DERIVADOS",B257="160 - SOUVENIR","OTROS",B257="148 - CARAMELOS","DERIVADOS",B257="143 - CHOCOFFES","DERIVADOS",B257="162 - CONVENIOS Y DSC POS ","OTROS"),"OTROS")</f>
        <v>ESPECIALES</v>
      </c>
      <c r="L257" s="27">
        <f t="shared" si="38"/>
        <v>6289476</v>
      </c>
      <c r="M257" s="27">
        <f t="shared" si="36"/>
        <v>6289476</v>
      </c>
    </row>
    <row r="258" spans="1:13" s="26" customFormat="1" ht="15.75" customHeight="1" outlineLevel="1">
      <c r="A258" s="69"/>
      <c r="B258" s="39" t="s">
        <v>30</v>
      </c>
      <c r="C258" s="60">
        <v>1120145</v>
      </c>
      <c r="D258" s="60">
        <v>-32819</v>
      </c>
      <c r="E258" s="60">
        <v>0</v>
      </c>
      <c r="F258" s="36">
        <v>43409949.520000003</v>
      </c>
      <c r="G258" s="37">
        <f t="shared" si="30"/>
        <v>2.5803877046296088E-2</v>
      </c>
      <c r="H258" s="23">
        <f t="shared" si="39"/>
        <v>-2.8464895694921957E-2</v>
      </c>
      <c r="I258" s="24">
        <f t="shared" si="39"/>
        <v>0</v>
      </c>
      <c r="J258" s="32" t="str" cm="1">
        <f t="array" ref="J258">IFERROR(_xlfn.IFS(B258="044 - BLEND TRADICION","BLEND",B258="113 - CAFÉ GOURMET","GOURMET",B258="114 - CAFÉ CONSUMO","CONSUMO",B258="112 - CAFÉ ORGANICO","GOURMET",B258="172 - CAFÉ COSECHA","ESPECIALES",B258="176 - CAFE DESCAFEINADO","GOURMET",B258="147 - CAPSULAS","CAPSULAS",B258="130 - GALLETAS CAFECITAS","DERIVADOS",B258="140 - MERENGUES","DERIVADOS",B258="100 - CAFÉ ESPECIAL","ESPECIALES",B258="141 - AREQUIPE","DERIVADOS",B258="142 - MERMELADA","DERIVADOS",B258="131 - GALLETAS AVENA","DERIVADOS",B258="160 - SOUVENIR","OTROS",B258="148 - CARAMELOS","DERIVADOS",B258="143 - CHOCOFFES","DERIVADOS",B258="162 - CONVENIOS Y DSC POS ","OTROS"),"OTROS")</f>
        <v>GOURMET</v>
      </c>
      <c r="L258" s="27">
        <f t="shared" si="38"/>
        <v>1152964</v>
      </c>
      <c r="M258" s="27">
        <f t="shared" si="36"/>
        <v>1152964</v>
      </c>
    </row>
    <row r="259" spans="1:13" s="26" customFormat="1" ht="15.75" customHeight="1" outlineLevel="1" thickBot="1">
      <c r="A259" s="70" t="s">
        <v>66</v>
      </c>
      <c r="B259" s="56" t="s">
        <v>32</v>
      </c>
      <c r="C259" s="54">
        <f>SUM(C247:C258)</f>
        <v>66584476</v>
      </c>
      <c r="D259" s="54">
        <f>SUM(D247:D258)</f>
        <v>-34175739</v>
      </c>
      <c r="E259" s="54">
        <f>SUM(E247:E258)</f>
        <v>0</v>
      </c>
      <c r="F259" s="71">
        <f>SUM(F247:F258)</f>
        <v>3060120402.4200006</v>
      </c>
      <c r="G259" s="72">
        <f t="shared" si="30"/>
        <v>2.1758776532891891E-2</v>
      </c>
      <c r="H259" s="73">
        <f t="shared" si="39"/>
        <v>-0.33917890111687438</v>
      </c>
      <c r="I259" s="74">
        <f t="shared" si="39"/>
        <v>0</v>
      </c>
      <c r="J259" s="32"/>
      <c r="L259" s="27">
        <f t="shared" si="38"/>
        <v>100760215</v>
      </c>
      <c r="M259" s="27">
        <f t="shared" si="36"/>
        <v>100760215</v>
      </c>
    </row>
    <row r="260" spans="1:13" s="26" customFormat="1" ht="17" thickBot="1">
      <c r="A260" s="181" t="s">
        <v>67</v>
      </c>
      <c r="B260" s="182"/>
      <c r="C260" s="75">
        <f>+C57+C103+C185+C200+C231+C5+C216+C246+C21</f>
        <v>274820246</v>
      </c>
      <c r="D260" s="75">
        <f>+D57+D103+D185+D200+D231+D5+D216+D246+D21</f>
        <v>-37282794</v>
      </c>
      <c r="E260" s="75">
        <f>+E57+E103+E185+E200+E231+E5+E216+E246+E21</f>
        <v>0</v>
      </c>
      <c r="F260" s="75">
        <f>+F57+F103+F185+F200+F231+F5+F216+F246+F21</f>
        <v>6068096467.1400003</v>
      </c>
      <c r="G260" s="76">
        <f>IFERROR(C260/F260*100%,"-")</f>
        <v>4.5289366688253653E-2</v>
      </c>
      <c r="H260" s="76">
        <f t="shared" si="39"/>
        <v>-0.11945668327998343</v>
      </c>
      <c r="I260" s="77">
        <f t="shared" si="39"/>
        <v>0</v>
      </c>
      <c r="J260" s="32"/>
      <c r="L260" s="27">
        <f t="shared" si="38"/>
        <v>312103040</v>
      </c>
      <c r="M260" s="27">
        <f>L260</f>
        <v>312103040</v>
      </c>
    </row>
    <row r="261" spans="1:13" s="26" customFormat="1" ht="16.5">
      <c r="A261" s="6" t="s">
        <v>68</v>
      </c>
      <c r="B261" s="6" t="s">
        <v>68</v>
      </c>
      <c r="C261" s="78"/>
      <c r="D261" s="78"/>
      <c r="E261" s="78"/>
      <c r="F261" s="79"/>
      <c r="G261" s="79"/>
      <c r="H261" s="6"/>
      <c r="I261" s="6"/>
      <c r="J261" s="32"/>
    </row>
    <row r="262" spans="1:13" s="26" customFormat="1" ht="16.5">
      <c r="A262" s="183" t="s">
        <v>69</v>
      </c>
      <c r="B262" s="184"/>
      <c r="C262" s="187"/>
      <c r="D262" s="187"/>
      <c r="E262" s="187"/>
      <c r="F262" s="188"/>
      <c r="G262" s="79"/>
      <c r="H262" s="6"/>
      <c r="I262" s="6"/>
      <c r="J262" s="32"/>
    </row>
    <row r="263" spans="1:13" s="26" customFormat="1" ht="16.5">
      <c r="A263" s="185"/>
      <c r="B263" s="186"/>
      <c r="C263" s="171"/>
      <c r="D263" s="171"/>
      <c r="E263" s="171"/>
      <c r="F263" s="172"/>
      <c r="G263" s="79"/>
      <c r="H263" s="6"/>
      <c r="I263" s="6"/>
      <c r="J263" s="32"/>
    </row>
    <row r="264" spans="1:13" s="26" customFormat="1" ht="16.5">
      <c r="A264" s="80"/>
      <c r="B264" s="12" t="s">
        <v>2</v>
      </c>
      <c r="C264" s="13" t="s">
        <v>3</v>
      </c>
      <c r="D264" s="13" t="s">
        <v>4</v>
      </c>
      <c r="E264" s="13" t="s">
        <v>6</v>
      </c>
      <c r="F264" s="15" t="s">
        <v>7</v>
      </c>
      <c r="G264" s="81" t="s">
        <v>8</v>
      </c>
      <c r="H264" s="6"/>
      <c r="I264" s="6"/>
      <c r="J264" s="32"/>
    </row>
    <row r="265" spans="1:13" s="26" customFormat="1" ht="16.5">
      <c r="A265" s="82"/>
      <c r="B265" s="83" t="s">
        <v>34</v>
      </c>
      <c r="C265" s="84">
        <v>792980</v>
      </c>
      <c r="D265" s="84">
        <v>0</v>
      </c>
      <c r="E265" s="84">
        <v>54501464.539999999</v>
      </c>
      <c r="F265" s="85">
        <f>IFERROR(C265/E265*100%,"-")</f>
        <v>1.4549700759288992E-2</v>
      </c>
      <c r="G265" s="85">
        <f t="shared" ref="G265:G282" si="40">IFERROR((D265/C265)*100%,"-")</f>
        <v>0</v>
      </c>
      <c r="H265" s="6"/>
      <c r="I265" s="6"/>
      <c r="J265" s="32"/>
    </row>
    <row r="266" spans="1:13" s="26" customFormat="1" ht="16.5">
      <c r="A266" s="82"/>
      <c r="B266" s="83" t="s">
        <v>42</v>
      </c>
      <c r="C266" s="84">
        <v>81168</v>
      </c>
      <c r="D266" s="84">
        <v>0</v>
      </c>
      <c r="E266" s="84">
        <v>0</v>
      </c>
      <c r="F266" s="85" t="str">
        <f t="shared" ref="F266:F282" si="41">IFERROR(C266/E266*100%,"-")</f>
        <v>-</v>
      </c>
      <c r="G266" s="85">
        <f t="shared" si="40"/>
        <v>0</v>
      </c>
      <c r="H266" s="6"/>
      <c r="I266" s="6"/>
      <c r="J266" s="32"/>
    </row>
    <row r="267" spans="1:13" s="26" customFormat="1" ht="16.5">
      <c r="A267" s="82"/>
      <c r="B267" s="83" t="s">
        <v>18</v>
      </c>
      <c r="C267" s="84">
        <v>7208512</v>
      </c>
      <c r="D267" s="84">
        <v>0</v>
      </c>
      <c r="E267" s="84">
        <v>507299188.97000003</v>
      </c>
      <c r="F267" s="85">
        <f t="shared" si="41"/>
        <v>1.4209587077471726E-2</v>
      </c>
      <c r="G267" s="85">
        <f t="shared" si="40"/>
        <v>0</v>
      </c>
      <c r="H267" s="6"/>
      <c r="I267" s="6"/>
      <c r="J267" s="32"/>
    </row>
    <row r="268" spans="1:13" s="26" customFormat="1" ht="16.5">
      <c r="A268" s="82"/>
      <c r="B268" s="83" t="s">
        <v>19</v>
      </c>
      <c r="C268" s="84">
        <v>26190413</v>
      </c>
      <c r="D268" s="84">
        <v>-1504857</v>
      </c>
      <c r="E268" s="84">
        <v>191019804.03</v>
      </c>
      <c r="F268" s="85">
        <f t="shared" si="41"/>
        <v>0.13710836493103484</v>
      </c>
      <c r="G268" s="85">
        <f t="shared" si="40"/>
        <v>-5.7458314994879994E-2</v>
      </c>
      <c r="H268" s="6"/>
      <c r="I268" s="6"/>
      <c r="J268" s="32"/>
    </row>
    <row r="269" spans="1:13" s="26" customFormat="1" ht="16.5">
      <c r="A269" s="82"/>
      <c r="B269" s="83" t="s">
        <v>20</v>
      </c>
      <c r="C269" s="84">
        <v>7618460</v>
      </c>
      <c r="D269" s="84">
        <v>-319907</v>
      </c>
      <c r="E269" s="84">
        <v>223501100.75</v>
      </c>
      <c r="F269" s="85">
        <f t="shared" si="41"/>
        <v>3.4086901471334252E-2</v>
      </c>
      <c r="G269" s="85">
        <f t="shared" si="40"/>
        <v>-4.1991032308366781E-2</v>
      </c>
      <c r="H269" s="6"/>
      <c r="I269" s="6"/>
      <c r="J269" s="32"/>
    </row>
    <row r="270" spans="1:13" s="26" customFormat="1" ht="16.5">
      <c r="A270" s="82"/>
      <c r="B270" s="83" t="s">
        <v>21</v>
      </c>
      <c r="C270" s="84">
        <v>167974366</v>
      </c>
      <c r="D270" s="84">
        <v>-5838586</v>
      </c>
      <c r="E270" s="84">
        <v>3601471598.6100001</v>
      </c>
      <c r="F270" s="85">
        <f t="shared" si="41"/>
        <v>4.664048053713106E-2</v>
      </c>
      <c r="G270" s="85">
        <f t="shared" si="40"/>
        <v>-3.4758791707539469E-2</v>
      </c>
      <c r="H270" s="6"/>
      <c r="I270" s="6"/>
      <c r="J270" s="32"/>
    </row>
    <row r="271" spans="1:13" s="26" customFormat="1" ht="16.5">
      <c r="A271" s="82"/>
      <c r="B271" s="83" t="s">
        <v>38</v>
      </c>
      <c r="C271" s="84">
        <v>1435984</v>
      </c>
      <c r="D271" s="84">
        <v>0</v>
      </c>
      <c r="E271" s="84">
        <v>53476353.159999996</v>
      </c>
      <c r="F271" s="85">
        <f t="shared" si="41"/>
        <v>2.6852691239127122E-2</v>
      </c>
      <c r="G271" s="85">
        <f t="shared" si="40"/>
        <v>0</v>
      </c>
      <c r="H271" s="6"/>
      <c r="I271" s="6"/>
      <c r="J271" s="32"/>
    </row>
    <row r="272" spans="1:13" s="26" customFormat="1" ht="16.5">
      <c r="A272" s="82"/>
      <c r="B272" s="83" t="s">
        <v>22</v>
      </c>
      <c r="C272" s="84">
        <v>12035319</v>
      </c>
      <c r="D272" s="84">
        <v>-2367734</v>
      </c>
      <c r="E272" s="84">
        <v>217515060.65000001</v>
      </c>
      <c r="F272" s="85">
        <f t="shared" si="41"/>
        <v>5.5330968642055729E-2</v>
      </c>
      <c r="G272" s="85">
        <f t="shared" si="40"/>
        <v>-0.19673213481088453</v>
      </c>
      <c r="H272" s="6"/>
      <c r="I272" s="6"/>
      <c r="J272" s="32"/>
    </row>
    <row r="273" spans="1:31" s="26" customFormat="1" ht="16.5">
      <c r="A273" s="82"/>
      <c r="B273" s="83" t="s">
        <v>23</v>
      </c>
      <c r="C273" s="84">
        <v>173217</v>
      </c>
      <c r="D273" s="84">
        <v>0</v>
      </c>
      <c r="E273" s="84">
        <v>2178053.21</v>
      </c>
      <c r="F273" s="85">
        <f t="shared" si="41"/>
        <v>7.9528360099154788E-2</v>
      </c>
      <c r="G273" s="85">
        <f t="shared" si="40"/>
        <v>0</v>
      </c>
      <c r="H273" s="6"/>
      <c r="I273" s="6"/>
      <c r="J273" s="32"/>
    </row>
    <row r="274" spans="1:31" s="26" customFormat="1" ht="16.5">
      <c r="A274" s="82"/>
      <c r="B274" s="83" t="s">
        <v>24</v>
      </c>
      <c r="C274" s="84">
        <v>2974355</v>
      </c>
      <c r="D274" s="84">
        <v>-168057</v>
      </c>
      <c r="E274" s="84">
        <v>22254856.469999999</v>
      </c>
      <c r="F274" s="85">
        <f t="shared" si="41"/>
        <v>0.1336497049086563</v>
      </c>
      <c r="G274" s="85">
        <f t="shared" si="40"/>
        <v>-5.650199791215238E-2</v>
      </c>
      <c r="H274" s="6"/>
      <c r="I274" s="6"/>
      <c r="J274" s="32"/>
    </row>
    <row r="275" spans="1:31" s="26" customFormat="1" ht="16.5">
      <c r="A275" s="82"/>
      <c r="B275" s="83" t="s">
        <v>25</v>
      </c>
      <c r="C275" s="84">
        <v>10333793</v>
      </c>
      <c r="D275" s="84">
        <v>-149012</v>
      </c>
      <c r="E275" s="84">
        <v>73446237.840000004</v>
      </c>
      <c r="F275" s="85">
        <f t="shared" si="41"/>
        <v>0.14069873834125851</v>
      </c>
      <c r="G275" s="85">
        <f t="shared" si="40"/>
        <v>-1.4419874677187748E-2</v>
      </c>
      <c r="H275" s="6"/>
      <c r="I275" s="6"/>
      <c r="J275" s="32"/>
    </row>
    <row r="276" spans="1:31" s="26" customFormat="1" ht="16.5">
      <c r="A276" s="82"/>
      <c r="B276" s="83" t="s">
        <v>26</v>
      </c>
      <c r="C276" s="84">
        <v>-711374</v>
      </c>
      <c r="D276" s="84">
        <v>-24328639</v>
      </c>
      <c r="E276" s="84">
        <v>283274900.44</v>
      </c>
      <c r="F276" s="85">
        <f t="shared" si="41"/>
        <v>-2.511249669120173E-3</v>
      </c>
      <c r="G276" s="85">
        <f t="shared" si="40"/>
        <v>34.199505464073752</v>
      </c>
      <c r="H276" s="6"/>
      <c r="I276" s="6"/>
      <c r="J276" s="32"/>
    </row>
    <row r="277" spans="1:31" s="26" customFormat="1" ht="16.5">
      <c r="A277" s="82"/>
      <c r="B277" s="83" t="s">
        <v>27</v>
      </c>
      <c r="C277" s="84">
        <v>9752852</v>
      </c>
      <c r="D277" s="84">
        <v>0</v>
      </c>
      <c r="E277" s="84">
        <v>86150297.260000005</v>
      </c>
      <c r="F277" s="85">
        <f t="shared" si="41"/>
        <v>0.11320740972681816</v>
      </c>
      <c r="G277" s="85">
        <f t="shared" si="40"/>
        <v>0</v>
      </c>
      <c r="H277" s="6"/>
      <c r="I277" s="6"/>
      <c r="J277" s="32"/>
    </row>
    <row r="278" spans="1:31" s="26" customFormat="1" ht="16.5">
      <c r="A278" s="82"/>
      <c r="B278" s="83" t="s">
        <v>28</v>
      </c>
      <c r="C278" s="84">
        <v>9461547</v>
      </c>
      <c r="D278" s="84">
        <v>-1132680</v>
      </c>
      <c r="E278" s="84">
        <v>247793209.88999999</v>
      </c>
      <c r="F278" s="85">
        <f t="shared" si="41"/>
        <v>3.8183237564096924E-2</v>
      </c>
      <c r="G278" s="85">
        <f t="shared" si="40"/>
        <v>-0.11971403830684348</v>
      </c>
      <c r="H278" s="6"/>
      <c r="I278" s="6"/>
      <c r="J278" s="32"/>
    </row>
    <row r="279" spans="1:31" s="26" customFormat="1">
      <c r="A279" s="82"/>
      <c r="B279" s="83" t="s">
        <v>29</v>
      </c>
      <c r="C279" s="84">
        <v>11477622</v>
      </c>
      <c r="D279" s="84">
        <v>-1440503</v>
      </c>
      <c r="E279" s="84">
        <v>442463603.77999997</v>
      </c>
      <c r="F279" s="85">
        <f t="shared" si="41"/>
        <v>2.594026243502473E-2</v>
      </c>
      <c r="G279" s="85">
        <f t="shared" si="40"/>
        <v>-0.12550535293809117</v>
      </c>
      <c r="H279" s="6"/>
      <c r="I279" s="6"/>
    </row>
    <row r="280" spans="1:31" s="26" customFormat="1">
      <c r="A280" s="82"/>
      <c r="B280" s="83" t="s">
        <v>30</v>
      </c>
      <c r="C280" s="84">
        <v>5433352</v>
      </c>
      <c r="D280" s="84">
        <v>-32819</v>
      </c>
      <c r="E280" s="84">
        <v>61750737.539999999</v>
      </c>
      <c r="F280" s="85">
        <f t="shared" si="41"/>
        <v>8.7988455141616115E-2</v>
      </c>
      <c r="G280" s="85">
        <f t="shared" si="40"/>
        <v>-6.0402859965634475E-3</v>
      </c>
      <c r="H280" s="6"/>
      <c r="I280" s="6"/>
    </row>
    <row r="281" spans="1:31" s="26" customFormat="1" ht="16.5">
      <c r="A281" s="82"/>
      <c r="B281" s="83" t="s">
        <v>92</v>
      </c>
      <c r="C281" s="84">
        <v>2563680</v>
      </c>
      <c r="D281" s="84">
        <v>0</v>
      </c>
      <c r="E281" s="84">
        <v>0</v>
      </c>
      <c r="F281" s="85" t="str">
        <f t="shared" si="41"/>
        <v>-</v>
      </c>
      <c r="G281" s="85">
        <f t="shared" si="40"/>
        <v>0</v>
      </c>
      <c r="H281" s="6"/>
      <c r="I281" s="6"/>
      <c r="J281" s="32"/>
    </row>
    <row r="282" spans="1:31" s="26" customFormat="1" ht="16.5">
      <c r="A282" s="82"/>
      <c r="B282" s="83" t="s">
        <v>31</v>
      </c>
      <c r="C282" s="84">
        <v>24000</v>
      </c>
      <c r="D282" s="84">
        <v>0</v>
      </c>
      <c r="E282" s="84">
        <v>0</v>
      </c>
      <c r="F282" s="85" t="str">
        <f t="shared" si="41"/>
        <v>-</v>
      </c>
      <c r="G282" s="85">
        <f t="shared" si="40"/>
        <v>0</v>
      </c>
      <c r="H282" s="6"/>
      <c r="I282" s="6"/>
      <c r="J282" s="32"/>
    </row>
    <row r="283" spans="1:31" s="79" customFormat="1" ht="16.5">
      <c r="A283" s="82"/>
      <c r="B283" s="86" t="s">
        <v>32</v>
      </c>
      <c r="C283" s="87">
        <f>SUM(C265:C282)</f>
        <v>274820246</v>
      </c>
      <c r="D283" s="87">
        <f>SUM(D265:D282)</f>
        <v>-37282794</v>
      </c>
      <c r="E283" s="87">
        <f>SUM(E265:E282)</f>
        <v>6068096467.1399994</v>
      </c>
      <c r="F283" s="88">
        <f>C283/E283*100%</f>
        <v>4.528936668825366E-2</v>
      </c>
      <c r="G283" s="88">
        <v>2.1700000000000001E-2</v>
      </c>
      <c r="H283" s="6"/>
      <c r="I283" s="27"/>
      <c r="J283" s="32"/>
      <c r="K283" s="26"/>
      <c r="L283" s="26"/>
      <c r="M283" s="26"/>
      <c r="O283" s="26"/>
      <c r="P283" s="26"/>
      <c r="R283" s="26"/>
      <c r="S283" s="26"/>
      <c r="U283" s="26"/>
      <c r="V283" s="26"/>
      <c r="X283" s="26"/>
      <c r="Y283" s="26"/>
      <c r="Z283" s="26"/>
      <c r="AA283" s="26"/>
      <c r="AB283" s="26"/>
      <c r="AC283" s="26"/>
      <c r="AD283" s="26"/>
      <c r="AE283" s="26"/>
    </row>
    <row r="284" spans="1:31" s="79" customFormat="1">
      <c r="A284" s="89"/>
      <c r="B284" s="90"/>
      <c r="C284" s="91"/>
      <c r="D284" s="91"/>
      <c r="E284" s="91"/>
      <c r="F284" s="92"/>
      <c r="H284" s="6"/>
      <c r="I284" s="6"/>
      <c r="J284" s="83" t="s">
        <v>50</v>
      </c>
      <c r="K284" s="26"/>
      <c r="L284" s="93"/>
      <c r="M284" s="26"/>
      <c r="O284" s="26"/>
      <c r="P284" s="26"/>
      <c r="R284" s="26"/>
      <c r="S284" s="26"/>
      <c r="X284" s="26"/>
      <c r="Y284" s="26"/>
      <c r="Z284" s="26"/>
      <c r="AA284" s="26"/>
      <c r="AB284" s="26"/>
      <c r="AD284" s="26"/>
      <c r="AE284" s="26"/>
    </row>
    <row r="285" spans="1:31" s="79" customFormat="1" ht="16.5">
      <c r="A285" s="165">
        <f>+A1</f>
        <v>46237</v>
      </c>
      <c r="B285" s="166"/>
      <c r="C285" s="169"/>
      <c r="D285" s="169"/>
      <c r="E285" s="169"/>
      <c r="F285" s="170"/>
      <c r="H285" s="6"/>
      <c r="I285" s="6"/>
      <c r="J285" s="32"/>
      <c r="K285" s="26"/>
      <c r="L285" s="27"/>
      <c r="M285" s="26"/>
      <c r="O285" s="26"/>
      <c r="P285" s="26"/>
      <c r="R285" s="26"/>
      <c r="S285" s="26"/>
      <c r="X285" s="26"/>
      <c r="Y285" s="26"/>
      <c r="Z285" s="26"/>
      <c r="AA285" s="26"/>
      <c r="AB285" s="26"/>
      <c r="AD285" s="26"/>
      <c r="AE285" s="26"/>
    </row>
    <row r="286" spans="1:31" s="78" customFormat="1">
      <c r="A286" s="167"/>
      <c r="B286" s="168"/>
      <c r="C286" s="171"/>
      <c r="D286" s="171"/>
      <c r="E286" s="171"/>
      <c r="F286" s="172"/>
      <c r="G286" s="94">
        <f>+H2</f>
        <v>4.7619047619047616E-2</v>
      </c>
      <c r="H286" s="6"/>
      <c r="I286" s="6"/>
      <c r="J286" s="27"/>
      <c r="K286" s="26"/>
      <c r="L286" s="26"/>
      <c r="M286" s="26"/>
      <c r="O286" s="26"/>
      <c r="P286" s="26"/>
      <c r="R286" s="26"/>
      <c r="S286" s="26"/>
      <c r="U286" s="79"/>
      <c r="V286" s="79"/>
      <c r="X286" s="26"/>
      <c r="Y286" s="26"/>
      <c r="Z286" s="26"/>
      <c r="AA286" s="26"/>
      <c r="AB286" s="26"/>
      <c r="AC286" s="79"/>
      <c r="AD286" s="26"/>
      <c r="AE286" s="26"/>
    </row>
    <row r="287" spans="1:31">
      <c r="A287" s="95" t="s">
        <v>1</v>
      </c>
      <c r="B287" s="12" t="s">
        <v>2</v>
      </c>
      <c r="C287" s="13" t="s">
        <v>3</v>
      </c>
      <c r="D287" s="13" t="s">
        <v>4</v>
      </c>
      <c r="E287" s="13" t="s">
        <v>6</v>
      </c>
      <c r="F287" s="15" t="s">
        <v>7</v>
      </c>
      <c r="G287" s="81" t="s">
        <v>8</v>
      </c>
      <c r="O287" s="26"/>
      <c r="P287" s="26"/>
      <c r="R287" s="26"/>
      <c r="S287" s="26"/>
      <c r="U287" s="78"/>
      <c r="V287" s="78"/>
      <c r="X287" s="26"/>
      <c r="Y287" s="26"/>
      <c r="Z287" s="79"/>
      <c r="AA287" s="26"/>
      <c r="AB287" s="26"/>
      <c r="AC287" s="78"/>
      <c r="AD287" s="79"/>
      <c r="AE287" s="79"/>
    </row>
    <row r="288" spans="1:31">
      <c r="A288" s="173" t="s">
        <v>69</v>
      </c>
      <c r="B288" s="174"/>
      <c r="C288" s="96">
        <f>+C5+C57+C103+C185+C200+C216+C231+C246+C21</f>
        <v>274820246</v>
      </c>
      <c r="D288" s="96">
        <f>+D5+D57+D103+D185+D200+D216+D231+D246+D21</f>
        <v>-37282794</v>
      </c>
      <c r="E288" s="97">
        <f>+F57+F103+F185+F200+F5+F231+F216+F246+F21</f>
        <v>6068096467.1400003</v>
      </c>
      <c r="F288" s="31">
        <f>C288/E288*100%</f>
        <v>4.5289366688253653E-2</v>
      </c>
      <c r="G288" s="31">
        <f>D288/C288*100%</f>
        <v>-0.1356624722619599</v>
      </c>
      <c r="L288" s="98"/>
      <c r="M288" s="98"/>
      <c r="O288" s="26"/>
      <c r="P288" s="26"/>
      <c r="R288" s="26"/>
      <c r="S288" s="26"/>
      <c r="X288" s="79"/>
      <c r="Y288" s="79"/>
      <c r="Z288" s="79"/>
      <c r="AA288" s="26"/>
      <c r="AB288" s="26"/>
      <c r="AD288" s="79"/>
      <c r="AE288" s="79"/>
    </row>
    <row r="289" spans="1:31" s="26" customFormat="1">
      <c r="A289" s="99"/>
      <c r="B289" s="6"/>
      <c r="C289" s="78"/>
      <c r="D289" s="6"/>
      <c r="E289" s="6"/>
      <c r="F289" s="6"/>
      <c r="G289" s="6"/>
      <c r="H289" s="6"/>
      <c r="I289" s="6"/>
      <c r="J289" s="6"/>
      <c r="L289" s="98"/>
      <c r="M289" s="98"/>
      <c r="U289" s="6"/>
      <c r="V289" s="6"/>
      <c r="X289" s="79"/>
      <c r="Y289" s="79"/>
      <c r="Z289" s="79"/>
      <c r="AC289" s="6"/>
      <c r="AD289" s="79"/>
      <c r="AE289" s="79"/>
    </row>
    <row r="290" spans="1:31">
      <c r="J290" s="78"/>
      <c r="O290" s="26"/>
      <c r="P290" s="26"/>
      <c r="R290" s="26"/>
      <c r="S290" s="26"/>
      <c r="X290" s="26"/>
      <c r="Y290" s="26"/>
      <c r="Z290" s="26"/>
      <c r="AA290" s="26"/>
      <c r="AB290" s="26"/>
      <c r="AD290" s="26"/>
      <c r="AE290" s="26"/>
    </row>
    <row r="291" spans="1:31">
      <c r="O291" s="26"/>
      <c r="P291" s="26"/>
      <c r="R291" s="26"/>
      <c r="S291" s="26"/>
      <c r="X291" s="26"/>
      <c r="Y291" s="26"/>
      <c r="Z291" s="26"/>
      <c r="AA291" s="26"/>
      <c r="AB291" s="26"/>
      <c r="AD291" s="26"/>
      <c r="AE291" s="26"/>
    </row>
    <row r="292" spans="1:31">
      <c r="O292" s="26"/>
      <c r="P292" s="26"/>
      <c r="R292" s="26"/>
      <c r="S292" s="26"/>
      <c r="X292" s="26"/>
      <c r="Y292" s="26"/>
      <c r="Z292" s="26"/>
      <c r="AA292" s="26"/>
      <c r="AB292" s="26"/>
      <c r="AD292" s="26"/>
      <c r="AE292" s="26"/>
    </row>
    <row r="293" spans="1:31">
      <c r="O293" s="26"/>
      <c r="P293" s="26"/>
      <c r="R293" s="26"/>
      <c r="S293" s="26"/>
      <c r="X293" s="26"/>
      <c r="Y293" s="26"/>
      <c r="AA293" s="26"/>
      <c r="AB293" s="26"/>
    </row>
    <row r="294" spans="1:31">
      <c r="O294" s="26"/>
      <c r="P294" s="26"/>
      <c r="R294" s="26"/>
      <c r="S294" s="26"/>
      <c r="AA294" s="26"/>
      <c r="AB294" s="26"/>
    </row>
    <row r="295" spans="1:31">
      <c r="O295" s="26"/>
      <c r="P295" s="26"/>
      <c r="R295" s="26"/>
      <c r="S295" s="26"/>
      <c r="AA295" s="26"/>
      <c r="AB295" s="26"/>
    </row>
  </sheetData>
  <mergeCells count="10">
    <mergeCell ref="A285:B286"/>
    <mergeCell ref="C285:F285"/>
    <mergeCell ref="C286:F286"/>
    <mergeCell ref="A288:B288"/>
    <mergeCell ref="A1:B2"/>
    <mergeCell ref="C2:G2"/>
    <mergeCell ref="A260:B260"/>
    <mergeCell ref="A262:B263"/>
    <mergeCell ref="C262:F262"/>
    <mergeCell ref="C263:F263"/>
  </mergeCells>
  <conditionalFormatting sqref="F265:F282">
    <cfRule type="top10" dxfId="19" priority="3" bottom="1" rank="3"/>
    <cfRule type="top10" dxfId="18" priority="4" rank="3"/>
  </conditionalFormatting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B7D0C-4557-4F15-A4DF-EB85BD5E6EA9}">
  <dimension ref="A1:AE297"/>
  <sheetViews>
    <sheetView showGridLines="0" zoomScale="70" zoomScaleNormal="70" zoomScaleSheetLayoutView="70" workbookViewId="0">
      <selection activeCell="N271" sqref="N271"/>
    </sheetView>
  </sheetViews>
  <sheetFormatPr baseColWidth="10" defaultColWidth="11.453125" defaultRowHeight="15.5" outlineLevelRow="2"/>
  <cols>
    <col min="1" max="1" width="36.7265625" style="6" customWidth="1"/>
    <col min="2" max="2" width="30.7265625" style="6" customWidth="1"/>
    <col min="3" max="3" width="18.81640625" style="78" bestFit="1" customWidth="1"/>
    <col min="4" max="4" width="18" style="78" customWidth="1"/>
    <col min="5" max="5" width="28.7265625" style="78" customWidth="1"/>
    <col min="6" max="6" width="22.26953125" style="79" bestFit="1" customWidth="1"/>
    <col min="7" max="7" width="18.7265625" style="79" bestFit="1" customWidth="1"/>
    <col min="8" max="8" width="11.81640625" style="6" customWidth="1"/>
    <col min="9" max="9" width="13.1796875" style="6" bestFit="1" customWidth="1"/>
    <col min="10" max="10" width="13.81640625" style="6" customWidth="1"/>
    <col min="11" max="11" width="3.26953125" style="26" customWidth="1"/>
    <col min="12" max="12" width="19.54296875" style="26" customWidth="1"/>
    <col min="13" max="13" width="18.81640625" style="26" customWidth="1"/>
    <col min="14" max="14" width="11.453125" style="6"/>
    <col min="15" max="15" width="21.7265625" style="6" bestFit="1" customWidth="1"/>
    <col min="16" max="16" width="13" style="6" bestFit="1" customWidth="1"/>
    <col min="17" max="17" width="11.453125" style="6"/>
    <col min="18" max="18" width="21.7265625" style="6" bestFit="1" customWidth="1"/>
    <col min="19" max="19" width="13" style="6" bestFit="1" customWidth="1"/>
    <col min="20" max="20" width="11.453125" style="6"/>
    <col min="21" max="21" width="22.26953125" style="6" bestFit="1" customWidth="1"/>
    <col min="22" max="22" width="13.54296875" style="6" bestFit="1" customWidth="1"/>
    <col min="23" max="23" width="11.453125" style="6"/>
    <col min="24" max="24" width="22.26953125" style="6" bestFit="1" customWidth="1"/>
    <col min="25" max="25" width="14.26953125" style="6" bestFit="1" customWidth="1"/>
    <col min="26" max="26" width="11.453125" style="6"/>
    <col min="27" max="27" width="22.26953125" style="6" bestFit="1" customWidth="1"/>
    <col min="28" max="28" width="13" style="6" bestFit="1" customWidth="1"/>
    <col min="29" max="29" width="11.453125" style="6"/>
    <col min="30" max="30" width="26.54296875" style="6" bestFit="1" customWidth="1"/>
    <col min="31" max="31" width="14.26953125" style="6" bestFit="1" customWidth="1"/>
    <col min="32" max="16384" width="11.453125" style="6"/>
  </cols>
  <sheetData>
    <row r="1" spans="1:13">
      <c r="A1" s="175">
        <v>46238</v>
      </c>
      <c r="B1" s="176"/>
      <c r="C1" s="1"/>
      <c r="D1" s="1"/>
      <c r="E1" s="1"/>
      <c r="F1" s="2"/>
      <c r="G1" s="2"/>
      <c r="H1" s="3"/>
      <c r="I1" s="4" t="s">
        <v>0</v>
      </c>
      <c r="J1" s="5"/>
      <c r="K1" s="6"/>
      <c r="L1" s="6"/>
      <c r="M1" s="6"/>
    </row>
    <row r="2" spans="1:13">
      <c r="A2" s="177"/>
      <c r="B2" s="178"/>
      <c r="C2" s="179"/>
      <c r="D2" s="179"/>
      <c r="E2" s="179"/>
      <c r="F2" s="179"/>
      <c r="G2" s="180"/>
      <c r="H2" s="7">
        <f>+M2/100</f>
        <v>9.5238095238095233E-2</v>
      </c>
      <c r="I2" s="8">
        <v>2</v>
      </c>
      <c r="J2" s="9"/>
      <c r="K2" s="6"/>
      <c r="L2" s="10">
        <f>100/21</f>
        <v>4.7619047619047619</v>
      </c>
      <c r="M2" s="10">
        <f>L2*I2</f>
        <v>9.5238095238095237</v>
      </c>
    </row>
    <row r="3" spans="1:13" ht="31">
      <c r="A3" s="11" t="s">
        <v>1</v>
      </c>
      <c r="B3" s="12" t="s">
        <v>2</v>
      </c>
      <c r="C3" s="13" t="s">
        <v>3</v>
      </c>
      <c r="D3" s="13" t="s">
        <v>4</v>
      </c>
      <c r="E3" s="14" t="s">
        <v>5</v>
      </c>
      <c r="F3" s="13" t="s">
        <v>6</v>
      </c>
      <c r="G3" s="15" t="s">
        <v>7</v>
      </c>
      <c r="H3" s="16" t="s">
        <v>8</v>
      </c>
      <c r="I3" s="17" t="s">
        <v>9</v>
      </c>
      <c r="J3" s="18" t="s">
        <v>10</v>
      </c>
      <c r="K3" s="6"/>
      <c r="L3" s="6"/>
      <c r="M3" s="6"/>
    </row>
    <row r="4" spans="1:13" ht="18.75" hidden="1" customHeight="1" outlineLevel="1">
      <c r="A4" s="19" t="s">
        <v>11</v>
      </c>
      <c r="B4" s="20" t="s">
        <v>12</v>
      </c>
      <c r="C4" s="21" t="s">
        <v>13</v>
      </c>
      <c r="D4" s="21" t="s">
        <v>14</v>
      </c>
      <c r="E4" s="14" t="s">
        <v>5</v>
      </c>
      <c r="F4" s="21" t="s">
        <v>6</v>
      </c>
      <c r="G4" s="22" t="s">
        <v>15</v>
      </c>
      <c r="H4" s="23">
        <f t="shared" ref="H4:I18" si="0">IFERROR(+D4/L4*100%,0)</f>
        <v>0</v>
      </c>
      <c r="I4" s="24">
        <f t="shared" si="0"/>
        <v>0</v>
      </c>
      <c r="J4" s="25"/>
      <c r="L4" s="27"/>
      <c r="M4" s="27"/>
    </row>
    <row r="5" spans="1:13" ht="16.5" collapsed="1">
      <c r="A5" s="28" t="s">
        <v>16</v>
      </c>
      <c r="B5" s="29" t="s">
        <v>17</v>
      </c>
      <c r="C5" s="30">
        <f>+C20</f>
        <v>6763577</v>
      </c>
      <c r="D5" s="30">
        <f>+D20</f>
        <v>-508736</v>
      </c>
      <c r="E5" s="30">
        <f>+E20</f>
        <v>0</v>
      </c>
      <c r="F5" s="30">
        <f>+F20</f>
        <v>132391087.09</v>
      </c>
      <c r="G5" s="31">
        <f t="shared" ref="G5" si="1">IFERROR(C5/F5*100%,"-")</f>
        <v>5.1087857564022364E-2</v>
      </c>
      <c r="H5" s="23">
        <f t="shared" si="0"/>
        <v>-6.9955184822215438E-2</v>
      </c>
      <c r="I5" s="24">
        <f t="shared" si="0"/>
        <v>0</v>
      </c>
      <c r="J5" s="32"/>
      <c r="L5" s="27">
        <f t="shared" ref="L5:L68" si="2">C5-(D5+E5)</f>
        <v>7272313</v>
      </c>
      <c r="M5" s="27">
        <f t="shared" ref="M5:M68" si="3">L5</f>
        <v>7272313</v>
      </c>
    </row>
    <row r="6" spans="1:13" ht="16.5" hidden="1" outlineLevel="1">
      <c r="A6" s="33"/>
      <c r="B6" s="34" t="s">
        <v>18</v>
      </c>
      <c r="C6" s="35">
        <v>0</v>
      </c>
      <c r="D6" s="36">
        <v>0</v>
      </c>
      <c r="E6" s="36">
        <v>0</v>
      </c>
      <c r="F6" s="35">
        <v>2190251</v>
      </c>
      <c r="G6" s="37">
        <f>IFERROR(C6/F6*100%,"-")</f>
        <v>0</v>
      </c>
      <c r="H6" s="23">
        <f t="shared" si="0"/>
        <v>0</v>
      </c>
      <c r="I6" s="24">
        <f t="shared" si="0"/>
        <v>0</v>
      </c>
      <c r="J6" s="32" t="str" cm="1">
        <f t="array" ref="J6">IFERROR(_xlfn.IFS(B6="044 - BLEND TRADICION","BLEND",B6="113 - CAFÉ GOURMET","GOURMET",B6="114 - CAFÉ CONSUMO","CONSUMO",B6="112 - CAFÉ ORGANICO","GOURMET",B6="172 - CAFÉ COSECHA","ESPECIALES",B6="176 - CAFE DESCAFEINADO","GOURMET",B6="147 - CAPSULAS","CAPSULAS",B6="130 - GALLETAS CAFECITAS","DERIVADOS",B6="140 - MERENGUES","DERIVADOS",B6="100 - CAFÉ ESPECIAL","ESPECIALES",B6="141 - AREQUIPE","DERIVADOS",B6="142 - MERMELADA","DERIVADOS",B6="131 - GALLETAS AVENA","DERIVADOS",B6="160 - SOUVENIR","OTROS",B6="148 - CARAMELOS","DERIVADOS",B6="143 - CHOCOFFES","DERIVADOS",B6="162 - CONVENIOS Y DSC POS ","OTROS"),"OTROS")</f>
        <v>BLEND</v>
      </c>
      <c r="L6" s="27">
        <f t="shared" si="2"/>
        <v>0</v>
      </c>
      <c r="M6" s="27">
        <f t="shared" si="3"/>
        <v>0</v>
      </c>
    </row>
    <row r="7" spans="1:13" ht="16.5" hidden="1" outlineLevel="1">
      <c r="A7" s="33"/>
      <c r="B7" s="34" t="s">
        <v>19</v>
      </c>
      <c r="C7" s="35">
        <v>0</v>
      </c>
      <c r="D7" s="36">
        <v>0</v>
      </c>
      <c r="E7" s="36"/>
      <c r="F7" s="35">
        <v>3013430.38</v>
      </c>
      <c r="G7" s="37">
        <f t="shared" ref="G7:G70" si="4">IFERROR(C7/F7*100%,"-")</f>
        <v>0</v>
      </c>
      <c r="H7" s="23">
        <f t="shared" si="0"/>
        <v>0</v>
      </c>
      <c r="I7" s="24">
        <f t="shared" si="0"/>
        <v>0</v>
      </c>
      <c r="J7" s="32" t="str" cm="1">
        <f t="array" ref="J7">IFERROR(_xlfn.IFS(B7="044 - BLEND TRADICION","BLEND",B7="113 - CAFÉ GOURMET","GOURMET",B7="114 - CAFÉ CONSUMO","CONSUMO",B7="112 - CAFÉ ORGANICO","GOURMET",B7="172 - CAFÉ COSECHA","ESPECIALES",B7="176 - CAFE DESCAFEINADO","GOURMET",B7="147 - CAPSULAS","CAPSULAS",B7="130 - GALLETAS CAFECITAS","DERIVADOS",B7="140 - MERENGUES","DERIVADOS",B7="100 - CAFÉ ESPECIAL","ESPECIALES",B7="141 - AREQUIPE","DERIVADOS",B7="142 - MERMELADA","DERIVADOS",B7="131 - GALLETAS AVENA","DERIVADOS",B7="160 - SOUVENIR","OTROS",B7="148 - CARAMELOS","DERIVADOS",B7="143 - CHOCOFFES","DERIVADOS",B7="162 - CONVENIOS Y DSC POS ","OTROS"),"OTROS")</f>
        <v>ESPECIALES</v>
      </c>
      <c r="L7" s="27">
        <f t="shared" si="2"/>
        <v>0</v>
      </c>
      <c r="M7" s="27">
        <f t="shared" si="3"/>
        <v>0</v>
      </c>
    </row>
    <row r="8" spans="1:13" ht="16.5" hidden="1" outlineLevel="1">
      <c r="A8" s="38"/>
      <c r="B8" s="39" t="s">
        <v>20</v>
      </c>
      <c r="C8" s="36">
        <v>68459</v>
      </c>
      <c r="D8" s="36">
        <v>0</v>
      </c>
      <c r="E8" s="36">
        <v>0</v>
      </c>
      <c r="F8" s="36">
        <v>2838463.33</v>
      </c>
      <c r="G8" s="37">
        <f t="shared" si="4"/>
        <v>2.4118331660814514E-2</v>
      </c>
      <c r="H8" s="23">
        <f t="shared" si="0"/>
        <v>0</v>
      </c>
      <c r="I8" s="24">
        <f t="shared" si="0"/>
        <v>0</v>
      </c>
      <c r="J8" s="32" t="str" cm="1">
        <f t="array" ref="J8">IFERROR(_xlfn.IFS(B8="044 - BLEND TRADICION","BLEND",B8="113 - CAFÉ GOURMET","GOURMET",B8="114 - CAFÉ CONSUMO","CONSUMO",B8="112 - CAFÉ ORGANICO","GOURMET",B8="172 - CAFÉ COSECHA","ESPECIALES",B8="176 - CAFE DESCAFEINADO","GOURMET",B8="147 - CAPSULAS","CAPSULAS",B8="130 - GALLETAS CAFECITAS","DERIVADOS",B8="140 - MERENGUES","DERIVADOS",B8="100 - CAFÉ ESPECIAL","ESPECIALES",B8="141 - AREQUIPE","DERIVADOS",B8="142 - MERMELADA","DERIVADOS",B8="131 - GALLETAS AVENA","DERIVADOS",B8="160 - SOUVENIR","OTROS",B8="148 - CARAMELOS","DERIVADOS",B8="143 - CHOCOFFES","DERIVADOS",B8="162 - CONVENIOS Y DSC POS ","OTROS"),"OTROS")</f>
        <v>GOURMET</v>
      </c>
      <c r="L8" s="27">
        <f t="shared" si="2"/>
        <v>68459</v>
      </c>
      <c r="M8" s="27">
        <f t="shared" si="3"/>
        <v>68459</v>
      </c>
    </row>
    <row r="9" spans="1:13" ht="16.5" hidden="1" outlineLevel="1">
      <c r="A9" s="38"/>
      <c r="B9" s="39" t="s">
        <v>21</v>
      </c>
      <c r="C9" s="36">
        <v>6159517</v>
      </c>
      <c r="D9" s="36">
        <v>0</v>
      </c>
      <c r="E9" s="36">
        <v>0</v>
      </c>
      <c r="F9" s="36">
        <v>87912157.530000001</v>
      </c>
      <c r="G9" s="37">
        <f t="shared" si="4"/>
        <v>7.0064450390698987E-2</v>
      </c>
      <c r="H9" s="23">
        <f t="shared" si="0"/>
        <v>0</v>
      </c>
      <c r="I9" s="24">
        <f t="shared" si="0"/>
        <v>0</v>
      </c>
      <c r="J9" s="32" t="str" cm="1">
        <f t="array" ref="J9">IFERROR(_xlfn.IFS(B9="044 - BLEND TRADICION","BLEND",B9="113 - CAFÉ GOURMET","GOURMET",B9="114 - CAFÉ CONSUMO","CONSUMO",B9="112 - CAFÉ ORGANICO","GOURMET",B9="172 - CAFÉ COSECHA","ESPECIALES",B9="176 - CAFE DESCAFEINADO","GOURMET",B9="147 - CAPSULAS","CAPSULAS",B9="130 - GALLETAS CAFECITAS","DERIVADOS",B9="140 - MERENGUES","DERIVADOS",B9="100 - CAFÉ ESPECIAL","ESPECIALES",B9="141 - AREQUIPE","DERIVADOS",B9="142 - MERMELADA","DERIVADOS",B9="131 - GALLETAS AVENA","DERIVADOS",B9="160 - SOUVENIR","OTROS",B9="148 - CARAMELOS","DERIVADOS",B9="143 - CHOCOFFES","DERIVADOS",B9="162 - CONVENIOS Y DSC POS ","OTROS"),"OTROS")</f>
        <v>GOURMET</v>
      </c>
      <c r="L9" s="27">
        <f t="shared" si="2"/>
        <v>6159517</v>
      </c>
      <c r="M9" s="27">
        <f t="shared" si="3"/>
        <v>6159517</v>
      </c>
    </row>
    <row r="10" spans="1:13" ht="16.5" hidden="1" outlineLevel="1">
      <c r="A10" s="38"/>
      <c r="B10" s="39" t="s">
        <v>22</v>
      </c>
      <c r="C10" s="36">
        <v>250456</v>
      </c>
      <c r="D10" s="36">
        <v>0</v>
      </c>
      <c r="E10" s="36">
        <v>0</v>
      </c>
      <c r="F10" s="36">
        <v>4458765.92</v>
      </c>
      <c r="G10" s="37">
        <f t="shared" si="4"/>
        <v>5.6171596467212613E-2</v>
      </c>
      <c r="H10" s="23">
        <f t="shared" si="0"/>
        <v>0</v>
      </c>
      <c r="I10" s="24">
        <f t="shared" si="0"/>
        <v>0</v>
      </c>
      <c r="J10" s="32" t="str" cm="1">
        <f t="array" ref="J10">IFERROR(_xlfn.IFS(B10="044 - BLEND TRADICION","BLEND",B10="113 - CAFÉ GOURMET","GOURMET",B10="114 - CAFÉ CONSUMO","CONSUMO",B10="112 - CAFÉ ORGANICO","GOURMET",B10="172 - CAFÉ COSECHA","ESPECIALES",B10="176 - CAFE DESCAFEINADO","GOURMET",B10="147 - CAPSULAS","CAPSULAS",B10="130 - GALLETAS CAFECITAS","DERIVADOS",B10="140 - MERENGUES","DERIVADOS",B10="100 - CAFÉ ESPECIAL","ESPECIALES",B10="141 - AREQUIPE","DERIVADOS",B10="142 - MERMELADA","DERIVADOS",B10="131 - GALLETAS AVENA","DERIVADOS",B10="160 - SOUVENIR","OTROS",B10="148 - CARAMELOS","DERIVADOS",B10="143 - CHOCOFFES","DERIVADOS",B10="162 - CONVENIOS Y DSC POS ","OTROS"),"OTROS")</f>
        <v>DERIVADOS</v>
      </c>
      <c r="L10" s="27">
        <f t="shared" si="2"/>
        <v>250456</v>
      </c>
      <c r="M10" s="27">
        <f t="shared" si="3"/>
        <v>250456</v>
      </c>
    </row>
    <row r="11" spans="1:13" ht="16.5" hidden="1" outlineLevel="1">
      <c r="A11" s="38"/>
      <c r="B11" s="39" t="s">
        <v>23</v>
      </c>
      <c r="C11" s="36">
        <v>63836</v>
      </c>
      <c r="D11" s="36">
        <v>0</v>
      </c>
      <c r="E11" s="36">
        <v>0</v>
      </c>
      <c r="F11" s="36">
        <v>347556.62</v>
      </c>
      <c r="G11" s="37">
        <f t="shared" si="4"/>
        <v>0.18367079297755859</v>
      </c>
      <c r="H11" s="23">
        <f t="shared" si="0"/>
        <v>0</v>
      </c>
      <c r="I11" s="24">
        <f t="shared" si="0"/>
        <v>0</v>
      </c>
      <c r="J11" s="32" t="str" cm="1">
        <f t="array" ref="J11">IFERROR(_xlfn.IFS(B11="044 - BLEND TRADICION","BLEND",B11="113 - CAFÉ GOURMET","GOURMET",B11="114 - CAFÉ CONSUMO","CONSUMO",B11="112 - CAFÉ ORGANICO","GOURMET",B11="172 - CAFÉ COSECHA","ESPECIALES",B11="176 - CAFE DESCAFEINADO","GOURMET",B11="147 - CAPSULAS","CAPSULAS",B11="130 - GALLETAS CAFECITAS","DERIVADOS",B11="140 - MERENGUES","DERIVADOS",B11="100 - CAFÉ ESPECIAL","ESPECIALES",B11="141 - AREQUIPE","DERIVADOS",B11="142 - MERMELADA","DERIVADOS",B11="131 - GALLETAS AVENA","DERIVADOS",B11="160 - SOUVENIR","OTROS",B11="148 - CARAMELOS","DERIVADOS",B11="143 - CHOCOFFES","DERIVADOS",B11="162 - CONVENIOS Y DSC POS ","OTROS"),"OTROS")</f>
        <v>DERIVADOS</v>
      </c>
      <c r="L11" s="27">
        <f t="shared" si="2"/>
        <v>63836</v>
      </c>
      <c r="M11" s="27">
        <f t="shared" si="3"/>
        <v>63836</v>
      </c>
    </row>
    <row r="12" spans="1:13" ht="16.5" hidden="1" outlineLevel="1">
      <c r="A12" s="38"/>
      <c r="B12" s="39" t="s">
        <v>24</v>
      </c>
      <c r="C12" s="36">
        <v>48741</v>
      </c>
      <c r="D12" s="36">
        <v>0</v>
      </c>
      <c r="E12" s="36"/>
      <c r="F12" s="36">
        <v>1108552.25</v>
      </c>
      <c r="G12" s="37">
        <f t="shared" si="4"/>
        <v>4.3968157567674415E-2</v>
      </c>
      <c r="H12" s="23">
        <f t="shared" si="0"/>
        <v>0</v>
      </c>
      <c r="I12" s="24">
        <f t="shared" si="0"/>
        <v>0</v>
      </c>
      <c r="J12" s="32" t="str" cm="1">
        <f t="array" ref="J12">IFERROR(_xlfn.IFS(B12="044 - BLEND TRADICION","BLEND",B12="113 - CAFÉ GOURMET","GOURMET",B12="114 - CAFÉ CONSUMO","CONSUMO",B12="112 - CAFÉ ORGANICO","GOURMET",B12="172 - CAFÉ COSECHA","ESPECIALES",B12="176 - CAFE DESCAFEINADO","GOURMET",B12="147 - CAPSULAS","CAPSULAS",B12="130 - GALLETAS CAFECITAS","DERIVADOS",B12="140 - MERENGUES","DERIVADOS",B12="100 - CAFÉ ESPECIAL","ESPECIALES",B12="141 - AREQUIPE","DERIVADOS",B12="142 - MERMELADA","DERIVADOS",B12="131 - GALLETAS AVENA","DERIVADOS",B12="160 - SOUVENIR","OTROS",B12="148 - CARAMELOS","DERIVADOS",B12="143 - CHOCOFFES","DERIVADOS",B12="162 - CONVENIOS Y DSC POS ","OTROS"),"OTROS")</f>
        <v>DERIVADOS</v>
      </c>
      <c r="L12" s="27">
        <f t="shared" si="2"/>
        <v>48741</v>
      </c>
      <c r="M12" s="27">
        <f t="shared" si="3"/>
        <v>48741</v>
      </c>
    </row>
    <row r="13" spans="1:13" ht="16.5" hidden="1" outlineLevel="1">
      <c r="A13" s="38"/>
      <c r="B13" s="39" t="s">
        <v>25</v>
      </c>
      <c r="C13" s="36">
        <v>42096</v>
      </c>
      <c r="D13" s="36">
        <v>0</v>
      </c>
      <c r="E13" s="36"/>
      <c r="F13" s="36">
        <v>5164325.42</v>
      </c>
      <c r="G13" s="37">
        <f t="shared" si="4"/>
        <v>8.1513066231213606E-3</v>
      </c>
      <c r="H13" s="23">
        <f t="shared" si="0"/>
        <v>0</v>
      </c>
      <c r="I13" s="24">
        <f t="shared" si="0"/>
        <v>0</v>
      </c>
      <c r="J13" s="32" t="str" cm="1">
        <f t="array" ref="J13">IFERROR(_xlfn.IFS(B13="044 - BLEND TRADICION","BLEND",B13="113 - CAFÉ GOURMET","GOURMET",B13="114 - CAFÉ CONSUMO","CONSUMO",B13="112 - CAFÉ ORGANICO","GOURMET",B13="172 - CAFÉ COSECHA","ESPECIALES",B13="176 - CAFE DESCAFEINADO","GOURMET",B13="147 - CAPSULAS","CAPSULAS",B13="130 - GALLETAS CAFECITAS","DERIVADOS",B13="140 - MERENGUES","DERIVADOS",B13="100 - CAFÉ ESPECIAL","ESPECIALES",B13="141 - AREQUIPE","DERIVADOS",B13="142 - MERMELADA","DERIVADOS",B13="131 - GALLETAS AVENA","DERIVADOS",B13="160 - SOUVENIR","OTROS",B13="148 - CARAMELOS","DERIVADOS",B13="143 - CHOCOFFES","DERIVADOS",B13="162 - CONVENIOS Y DSC POS ","OTROS"),"OTROS")</f>
        <v>DERIVADOS</v>
      </c>
      <c r="L13" s="27">
        <f t="shared" si="2"/>
        <v>42096</v>
      </c>
      <c r="M13" s="27">
        <f t="shared" si="3"/>
        <v>42096</v>
      </c>
    </row>
    <row r="14" spans="1:13" ht="16.5" hidden="1" outlineLevel="1">
      <c r="A14" s="38"/>
      <c r="B14" s="39" t="s">
        <v>26</v>
      </c>
      <c r="C14" s="36">
        <v>0</v>
      </c>
      <c r="D14" s="36">
        <v>0</v>
      </c>
      <c r="E14" s="36"/>
      <c r="F14" s="36">
        <v>2621339.7000000002</v>
      </c>
      <c r="G14" s="37">
        <f t="shared" si="4"/>
        <v>0</v>
      </c>
      <c r="H14" s="23">
        <f t="shared" si="0"/>
        <v>0</v>
      </c>
      <c r="I14" s="24">
        <f t="shared" si="0"/>
        <v>0</v>
      </c>
      <c r="J14" s="32" t="str" cm="1">
        <f t="array" ref="J14">IFERROR(_xlfn.IFS(B14="044 - BLEND TRADICION","BLEND",B14="113 - CAFÉ GOURMET","GOURMET",B14="114 - CAFÉ CONSUMO","CONSUMO",B14="112 - CAFÉ ORGANICO","GOURMET",B14="172 - CAFÉ COSECHA","ESPECIALES",B14="176 - CAFE DESCAFEINADO","GOURMET",B14="147 - CAPSULAS","CAPSULAS",B14="130 - GALLETAS CAFECITAS","DERIVADOS",B14="140 - MERENGUES","DERIVADOS",B14="100 - CAFÉ ESPECIAL","ESPECIALES",B14="141 - AREQUIPE","DERIVADOS",B14="142 - MERMELADA","DERIVADOS",B14="131 - GALLETAS AVENA","DERIVADOS",B14="160 - SOUVENIR","OTROS",B14="148 - CARAMELOS","DERIVADOS",B14="143 - CHOCOFFES","DERIVADOS",B14="162 - CONVENIOS Y DSC POS ","OTROS"),"OTROS")</f>
        <v>CAPSULAS</v>
      </c>
      <c r="L14" s="27">
        <f t="shared" si="2"/>
        <v>0</v>
      </c>
      <c r="M14" s="27">
        <f t="shared" si="3"/>
        <v>0</v>
      </c>
    </row>
    <row r="15" spans="1:13" ht="16.5" hidden="1" outlineLevel="1">
      <c r="A15" s="38"/>
      <c r="B15" s="39" t="s">
        <v>27</v>
      </c>
      <c r="C15" s="36">
        <v>0</v>
      </c>
      <c r="D15" s="36">
        <v>0</v>
      </c>
      <c r="E15" s="36"/>
      <c r="F15" s="36">
        <v>4581829.2699999996</v>
      </c>
      <c r="G15" s="37">
        <f t="shared" si="4"/>
        <v>0</v>
      </c>
      <c r="H15" s="23">
        <f t="shared" si="0"/>
        <v>0</v>
      </c>
      <c r="I15" s="24">
        <f t="shared" si="0"/>
        <v>0</v>
      </c>
      <c r="J15" s="32" t="str" cm="1">
        <f t="array" ref="J15">IFERROR(_xlfn.IFS(B15="044 - BLEND TRADICION","BLEND",B15="113 - CAFÉ GOURMET","GOURMET",B15="114 - CAFÉ CONSUMO","CONSUMO",B15="112 - CAFÉ ORGANICO","GOURMET",B15="172 - CAFÉ COSECHA","ESPECIALES",B15="176 - CAFE DESCAFEINADO","GOURMET",B15="147 - CAPSULAS","CAPSULAS",B15="130 - GALLETAS CAFECITAS","DERIVADOS",B15="140 - MERENGUES","DERIVADOS",B15="100 - CAFÉ ESPECIAL","ESPECIALES",B15="141 - AREQUIPE","DERIVADOS",B15="142 - MERMELADA","DERIVADOS",B15="131 - GALLETAS AVENA","DERIVADOS",B15="160 - SOUVENIR","OTROS",B15="148 - CARAMELOS","DERIVADOS",B15="143 - CHOCOFFES","DERIVADOS",B15="162 - CONVENIOS Y DSC POS ","OTROS"),"OTROS")</f>
        <v>DERIVADOS</v>
      </c>
      <c r="L15" s="27">
        <f t="shared" si="2"/>
        <v>0</v>
      </c>
      <c r="M15" s="27">
        <f t="shared" si="3"/>
        <v>0</v>
      </c>
    </row>
    <row r="16" spans="1:13" ht="16.5" hidden="1" outlineLevel="1">
      <c r="A16" s="38"/>
      <c r="B16" s="39" t="s">
        <v>28</v>
      </c>
      <c r="C16" s="36">
        <v>494974</v>
      </c>
      <c r="D16" s="36">
        <v>0</v>
      </c>
      <c r="E16" s="36"/>
      <c r="F16" s="36">
        <v>11251446.380000001</v>
      </c>
      <c r="G16" s="37">
        <f t="shared" si="4"/>
        <v>4.3992032960299278E-2</v>
      </c>
      <c r="H16" s="23">
        <f t="shared" si="0"/>
        <v>0</v>
      </c>
      <c r="I16" s="24">
        <f t="shared" si="0"/>
        <v>0</v>
      </c>
      <c r="J16" s="32" t="str" cm="1">
        <f t="array" ref="J16">IFERROR(_xlfn.IFS(B16="044 - BLEND TRADICION","BLEND",B16="113 - CAFÉ GOURMET","GOURMET",B16="114 - CAFÉ CONSUMO","CONSUMO",B16="112 - CAFÉ ORGANICO","GOURMET",B16="172 - CAFÉ COSECHA","ESPECIALES",B16="176 - CAFE DESCAFEINADO","GOURMET",B16="147 - CAPSULAS","CAPSULAS",B16="130 - GALLETAS CAFECITAS","DERIVADOS",B16="140 - MERENGUES","DERIVADOS",B16="100 - CAFÉ ESPECIAL","ESPECIALES",B16="141 - AREQUIPE","DERIVADOS",B16="142 - MERMELADA","DERIVADOS",B16="131 - GALLETAS AVENA","DERIVADOS",B16="160 - SOUVENIR","OTROS",B16="148 - CARAMELOS","DERIVADOS",B16="143 - CHOCOFFES","DERIVADOS",B16="162 - CONVENIOS Y DSC POS ","OTROS"),"OTROS")</f>
        <v>OTROS</v>
      </c>
      <c r="L16" s="27">
        <f t="shared" si="2"/>
        <v>494974</v>
      </c>
      <c r="M16" s="27">
        <f t="shared" si="3"/>
        <v>494974</v>
      </c>
    </row>
    <row r="17" spans="1:13" ht="16.5" hidden="1" outlineLevel="1">
      <c r="A17" s="38"/>
      <c r="B17" s="39" t="s">
        <v>29</v>
      </c>
      <c r="C17" s="36">
        <v>0</v>
      </c>
      <c r="D17" s="36">
        <v>0</v>
      </c>
      <c r="E17" s="36"/>
      <c r="F17" s="36">
        <v>6227226.4500000002</v>
      </c>
      <c r="G17" s="37">
        <f t="shared" si="4"/>
        <v>0</v>
      </c>
      <c r="H17" s="23">
        <f t="shared" si="0"/>
        <v>0</v>
      </c>
      <c r="I17" s="24">
        <f t="shared" si="0"/>
        <v>0</v>
      </c>
      <c r="J17" s="32" t="str" cm="1">
        <f t="array" ref="J17">IFERROR(_xlfn.IFS(B17="044 - BLEND TRADICION","BLEND",B17="113 - CAFÉ GOURMET","GOURMET",B17="114 - CAFÉ CONSUMO","CONSUMO",B17="112 - CAFÉ ORGANICO","GOURMET",B17="172 - CAFÉ COSECHA","ESPECIALES",B17="176 - CAFE DESCAFEINADO","GOURMET",B17="147 - CAPSULAS","CAPSULAS",B17="130 - GALLETAS CAFECITAS","DERIVADOS",B17="140 - MERENGUES","DERIVADOS",B17="100 - CAFÉ ESPECIAL","ESPECIALES",B17="141 - AREQUIPE","DERIVADOS",B17="142 - MERMELADA","DERIVADOS",B17="131 - GALLETAS AVENA","DERIVADOS",B17="160 - SOUVENIR","OTROS",B17="148 - CARAMELOS","DERIVADOS",B17="143 - CHOCOFFES","DERIVADOS",B17="162 - CONVENIOS Y DSC POS ","OTROS"),"OTROS")</f>
        <v>ESPECIALES</v>
      </c>
      <c r="L17" s="27">
        <f t="shared" si="2"/>
        <v>0</v>
      </c>
      <c r="M17" s="27">
        <f t="shared" si="3"/>
        <v>0</v>
      </c>
    </row>
    <row r="18" spans="1:13" ht="16.5" hidden="1" outlineLevel="1">
      <c r="A18" s="38"/>
      <c r="B18" s="39" t="s">
        <v>30</v>
      </c>
      <c r="C18" s="36">
        <v>144234</v>
      </c>
      <c r="D18" s="36">
        <v>0</v>
      </c>
      <c r="E18" s="36"/>
      <c r="F18" s="36">
        <v>675742.84</v>
      </c>
      <c r="G18" s="37">
        <f t="shared" si="4"/>
        <v>0.21344510287375004</v>
      </c>
      <c r="H18" s="23">
        <f t="shared" si="0"/>
        <v>0</v>
      </c>
      <c r="I18" s="24">
        <f t="shared" si="0"/>
        <v>0</v>
      </c>
      <c r="J18" s="32" t="str" cm="1">
        <f t="array" ref="J18">IFERROR(_xlfn.IFS(B18="044 - BLEND TRADICION","BLEND",B18="113 - CAFÉ GOURMET","GOURMET",B18="114 - CAFÉ CONSUMO","CONSUMO",B18="112 - CAFÉ ORGANICO","GOURMET",B18="172 - CAFÉ COSECHA","ESPECIALES",B18="176 - CAFE DESCAFEINADO","GOURMET",B18="147 - CAPSULAS","CAPSULAS",B18="130 - GALLETAS CAFECITAS","DERIVADOS",B18="140 - MERENGUES","DERIVADOS",B18="100 - CAFÉ ESPECIAL","ESPECIALES",B18="141 - AREQUIPE","DERIVADOS",B18="142 - MERMELADA","DERIVADOS",B18="131 - GALLETAS AVENA","DERIVADOS",B18="160 - SOUVENIR","OTROS",B18="148 - CARAMELOS","DERIVADOS",B18="143 - CHOCOFFES","DERIVADOS",B18="162 - CONVENIOS Y DSC POS ","OTROS"),"OTROS")</f>
        <v>GOURMET</v>
      </c>
      <c r="L18" s="27">
        <f t="shared" si="2"/>
        <v>144234</v>
      </c>
      <c r="M18" s="27">
        <f t="shared" si="3"/>
        <v>144234</v>
      </c>
    </row>
    <row r="19" spans="1:13" ht="16.5" hidden="1" outlineLevel="1">
      <c r="A19" s="38"/>
      <c r="B19" s="39" t="s">
        <v>31</v>
      </c>
      <c r="C19" s="36">
        <v>-508736</v>
      </c>
      <c r="D19" s="36">
        <v>-508736</v>
      </c>
      <c r="E19" s="36"/>
      <c r="F19" s="36"/>
      <c r="G19" s="37"/>
      <c r="H19" s="23"/>
      <c r="I19" s="24"/>
      <c r="J19" s="32"/>
      <c r="L19" s="27"/>
      <c r="M19" s="27"/>
    </row>
    <row r="20" spans="1:13" ht="16.5" hidden="1" outlineLevel="1">
      <c r="A20" s="19" t="s">
        <v>16</v>
      </c>
      <c r="B20" s="40" t="s">
        <v>32</v>
      </c>
      <c r="C20" s="41">
        <f>SUM(C6:C19)</f>
        <v>6763577</v>
      </c>
      <c r="D20" s="41">
        <f>SUM(D6:D19)</f>
        <v>-508736</v>
      </c>
      <c r="E20" s="41">
        <f>SUM(E6:E19)</f>
        <v>0</v>
      </c>
      <c r="F20" s="41">
        <f>SUM(F6:F19)</f>
        <v>132391087.09</v>
      </c>
      <c r="G20" s="42">
        <f t="shared" si="4"/>
        <v>5.1087857564022364E-2</v>
      </c>
      <c r="H20" s="43">
        <f t="shared" ref="H20:I35" si="5">IFERROR(+D20/L20*100%,0)</f>
        <v>-6.9955184822215438E-2</v>
      </c>
      <c r="I20" s="24">
        <f t="shared" si="5"/>
        <v>0</v>
      </c>
      <c r="J20" s="32" t="str" cm="1">
        <f t="array" ref="J20">IFERROR(_xlfn.IFS(B20="044 - BLEND TRADICION","BLEND",B20="113 - CAFÉ GOURMET","GOURMET",B20="114 - CAFÉ CONSUMO","CONSUMO",B20="112 - CAFÉ ORGANICO","GOURMET",B20="172 - CAFÉ COSECHA","ESPECIALES",B20="176 - CAFE DESCAFEINADO","GOURMET",B20="147 - CAPSULAS","CAPSULAS",B20="130 - GALLETAS CAFECITAS","DERIVADOS",B20="140 - MERENGUES","DERIVADOS",B20="100 - CAFÉ ESPECIAL","ESPECIALES",B20="141 - AREQUIPE","DERIVADOS",B20="142 - MERMELADA","DERIVADOS",B20="131 - GALLETAS AVENA","DERIVADOS",B20="160 - SOUVENIR","OTROS",B20="148 - CARAMELOS","DERIVADOS",B20="143 - CHOCOFFES","DERIVADOS",B20="162 - CONVENIOS Y DSC POS ","OTROS"),"OTROS")</f>
        <v>OTROS</v>
      </c>
      <c r="L20" s="27">
        <f t="shared" si="2"/>
        <v>7272313</v>
      </c>
      <c r="M20" s="27">
        <f t="shared" si="3"/>
        <v>7272313</v>
      </c>
    </row>
    <row r="21" spans="1:13" ht="16.5" collapsed="1">
      <c r="A21" s="28" t="s">
        <v>33</v>
      </c>
      <c r="B21" s="29" t="s">
        <v>17</v>
      </c>
      <c r="C21" s="30">
        <f>+C26+C56+C41</f>
        <v>74481109</v>
      </c>
      <c r="D21" s="30">
        <f>+D26+D56+D41</f>
        <v>0</v>
      </c>
      <c r="E21" s="30">
        <f>+E26+E56+E41</f>
        <v>0</v>
      </c>
      <c r="F21" s="30">
        <f>+F26+F56+F41</f>
        <v>482062133.13</v>
      </c>
      <c r="G21" s="31">
        <f t="shared" si="4"/>
        <v>0.15450520561820258</v>
      </c>
      <c r="H21" s="43">
        <f t="shared" si="5"/>
        <v>0</v>
      </c>
      <c r="I21" s="24">
        <f t="shared" si="5"/>
        <v>0</v>
      </c>
      <c r="J21" s="32" t="str" cm="1">
        <f t="array" ref="J21">IFERROR(_xlfn.IFS(B21="044 - BLEND TRADICION","BLEND",B21="113 - CAFÉ GOURMET","GOURMET",B21="114 - CAFÉ CONSUMO","CONSUMO",B21="112 - CAFÉ ORGANICO","GOURMET",B21="172 - CAFÉ COSECHA","ESPECIALES",B21="176 - CAFE DESCAFEINADO","GOURMET",B21="147 - CAPSULAS","CAPSULAS",B21="130 - GALLETAS CAFECITAS","DERIVADOS",B21="140 - MERENGUES","DERIVADOS",B21="100 - CAFÉ ESPECIAL","ESPECIALES",B21="141 - AREQUIPE","DERIVADOS",B21="142 - MERMELADA","DERIVADOS",B21="131 - GALLETAS AVENA","DERIVADOS",B21="160 - SOUVENIR","OTROS",B21="148 - CARAMELOS","DERIVADOS",B21="143 - CHOCOFFES","DERIVADOS",B21="162 - CONVENIOS Y DSC POS ","OTROS"),"OTROS")</f>
        <v>OTROS</v>
      </c>
      <c r="L21" s="27">
        <f t="shared" si="2"/>
        <v>74481109</v>
      </c>
      <c r="M21" s="27">
        <f t="shared" si="3"/>
        <v>74481109</v>
      </c>
    </row>
    <row r="22" spans="1:13" ht="16.5" hidden="1" outlineLevel="1">
      <c r="A22" s="44"/>
      <c r="B22" s="45" t="s">
        <v>34</v>
      </c>
      <c r="C22" s="46">
        <v>26048700</v>
      </c>
      <c r="D22" s="47">
        <v>0</v>
      </c>
      <c r="E22" s="48"/>
      <c r="F22" s="48">
        <v>43207145.729999997</v>
      </c>
      <c r="G22" s="49">
        <f t="shared" si="4"/>
        <v>0.60287944412661398</v>
      </c>
      <c r="H22" s="43">
        <f t="shared" si="5"/>
        <v>0</v>
      </c>
      <c r="I22" s="24">
        <f t="shared" si="5"/>
        <v>0</v>
      </c>
      <c r="J22" s="32" t="str" cm="1">
        <f t="array" ref="J22">IFERROR(_xlfn.IFS(B22="044 - BLEND TRADICION","BLEND",B22="113 - CAFÉ GOURMET","GOURMET",B22="114 - CAFÉ CONSUMO","CONSUMO",B22="112 - CAFÉ ORGANICO","GOURMET",B22="172 - CAFÉ COSECHA","ESPECIALES",B22="176 - CAFE DESCAFEINADO","GOURMET",B22="147 - CAPSULAS","CAPSULAS",B22="130 - GALLETAS CAFECITAS","DERIVADOS",B22="140 - MERENGUES","DERIVADOS",B22="100 - CAFÉ ESPECIAL","ESPECIALES",B22="141 - AREQUIPE","DERIVADOS",B22="142 - MERMELADA","DERIVADOS",B22="131 - GALLETAS AVENA","DERIVADOS",B22="160 - SOUVENIR","OTROS",B22="148 - CARAMELOS","DERIVADOS",B22="143 - CHOCOFFES","DERIVADOS",B22="162 - CONVENIOS Y DSC POS ","OTROS"),"OTROS")</f>
        <v>OTROS</v>
      </c>
      <c r="L22" s="27">
        <f t="shared" si="2"/>
        <v>26048700</v>
      </c>
      <c r="M22" s="27">
        <f t="shared" si="3"/>
        <v>26048700</v>
      </c>
    </row>
    <row r="23" spans="1:13" ht="16.5" hidden="1" outlineLevel="1">
      <c r="A23" s="44"/>
      <c r="B23" s="45" t="s">
        <v>21</v>
      </c>
      <c r="C23" s="46">
        <v>17902500</v>
      </c>
      <c r="D23" s="50">
        <v>0</v>
      </c>
      <c r="E23" s="51"/>
      <c r="F23" s="51">
        <v>40827157.719999999</v>
      </c>
      <c r="G23" s="49">
        <f t="shared" si="4"/>
        <v>0.43849488918083812</v>
      </c>
      <c r="H23" s="43">
        <f t="shared" si="5"/>
        <v>0</v>
      </c>
      <c r="I23" s="24">
        <f t="shared" si="5"/>
        <v>0</v>
      </c>
      <c r="J23" s="32" t="str" cm="1">
        <f t="array" ref="J23">IFERROR(_xlfn.IFS(B23="044 - BLEND TRADICION","BLEND",B23="113 - CAFÉ GOURMET","GOURMET",B23="114 - CAFÉ CONSUMO","CONSUMO",B23="112 - CAFÉ ORGANICO","GOURMET",B23="172 - CAFÉ COSECHA","ESPECIALES",B23="176 - CAFE DESCAFEINADO","GOURMET",B23="147 - CAPSULAS","CAPSULAS",B23="130 - GALLETAS CAFECITAS","DERIVADOS",B23="140 - MERENGUES","DERIVADOS",B23="100 - CAFÉ ESPECIAL","ESPECIALES",B23="141 - AREQUIPE","DERIVADOS",B23="142 - MERMELADA","DERIVADOS",B23="131 - GALLETAS AVENA","DERIVADOS",B23="160 - SOUVENIR","OTROS",B23="148 - CARAMELOS","DERIVADOS",B23="143 - CHOCOFFES","DERIVADOS",B23="162 - CONVENIOS Y DSC POS ","OTROS"),"OTROS")</f>
        <v>GOURMET</v>
      </c>
      <c r="L23" s="27">
        <f t="shared" si="2"/>
        <v>17902500</v>
      </c>
      <c r="M23" s="27">
        <f t="shared" si="3"/>
        <v>17902500</v>
      </c>
    </row>
    <row r="24" spans="1:13" ht="16.5" hidden="1" outlineLevel="1">
      <c r="A24" s="44"/>
      <c r="B24" s="45" t="s">
        <v>26</v>
      </c>
      <c r="C24" s="46">
        <v>0</v>
      </c>
      <c r="D24" s="50">
        <v>0</v>
      </c>
      <c r="E24" s="51"/>
      <c r="F24" s="51">
        <v>72407.34</v>
      </c>
      <c r="G24" s="49">
        <f t="shared" si="4"/>
        <v>0</v>
      </c>
      <c r="H24" s="43">
        <f t="shared" si="5"/>
        <v>0</v>
      </c>
      <c r="I24" s="24">
        <f t="shared" si="5"/>
        <v>0</v>
      </c>
      <c r="J24" s="32" t="str" cm="1">
        <f t="array" ref="J24">IFERROR(_xlfn.IFS(B24="044 - BLEND TRADICION","BLEND",B24="113 - CAFÉ GOURMET","GOURMET",B24="114 - CAFÉ CONSUMO","CONSUMO",B24="112 - CAFÉ ORGANICO","GOURMET",B24="172 - CAFÉ COSECHA","ESPECIALES",B24="176 - CAFE DESCAFEINADO","GOURMET",B24="147 - CAPSULAS","CAPSULAS",B24="130 - GALLETAS CAFECITAS","DERIVADOS",B24="140 - MERENGUES","DERIVADOS",B24="100 - CAFÉ ESPECIAL","ESPECIALES",B24="141 - AREQUIPE","DERIVADOS",B24="142 - MERMELADA","DERIVADOS",B24="131 - GALLETAS AVENA","DERIVADOS",B24="160 - SOUVENIR","OTROS",B24="148 - CARAMELOS","DERIVADOS",B24="143 - CHOCOFFES","DERIVADOS",B24="162 - CONVENIOS Y DSC POS ","OTROS"),"OTROS")</f>
        <v>CAPSULAS</v>
      </c>
      <c r="L24" s="27">
        <f t="shared" si="2"/>
        <v>0</v>
      </c>
      <c r="M24" s="27">
        <f t="shared" si="3"/>
        <v>0</v>
      </c>
    </row>
    <row r="25" spans="1:13" ht="16.5" hidden="1" outlineLevel="1">
      <c r="A25" s="44"/>
      <c r="B25" s="45" t="s">
        <v>28</v>
      </c>
      <c r="C25" s="46">
        <v>0</v>
      </c>
      <c r="D25" s="50">
        <v>0</v>
      </c>
      <c r="E25" s="51"/>
      <c r="F25" s="51">
        <v>7805453.8099999996</v>
      </c>
      <c r="G25" s="49">
        <f t="shared" si="4"/>
        <v>0</v>
      </c>
      <c r="H25" s="43">
        <f t="shared" si="5"/>
        <v>0</v>
      </c>
      <c r="I25" s="24">
        <f t="shared" si="5"/>
        <v>0</v>
      </c>
      <c r="J25" s="32" t="str" cm="1">
        <f t="array" ref="J25">IFERROR(_xlfn.IFS(B25="044 - BLEND TRADICION","BLEND",B25="113 - CAFÉ GOURMET","GOURMET",B25="114 - CAFÉ CONSUMO","CONSUMO",B25="112 - CAFÉ ORGANICO","GOURMET",B25="172 - CAFÉ COSECHA","ESPECIALES",B25="176 - CAFE DESCAFEINADO","GOURMET",B25="147 - CAPSULAS","CAPSULAS",B25="130 - GALLETAS CAFECITAS","DERIVADOS",B25="140 - MERENGUES","DERIVADOS",B25="100 - CAFÉ ESPECIAL","ESPECIALES",B25="141 - AREQUIPE","DERIVADOS",B25="142 - MERMELADA","DERIVADOS",B25="131 - GALLETAS AVENA","DERIVADOS",B25="160 - SOUVENIR","OTROS",B25="148 - CARAMELOS","DERIVADOS",B25="143 - CHOCOFFES","DERIVADOS",B25="162 - CONVENIOS Y DSC POS ","OTROS"),"OTROS")</f>
        <v>OTROS</v>
      </c>
      <c r="L25" s="27">
        <f t="shared" si="2"/>
        <v>0</v>
      </c>
      <c r="M25" s="27">
        <f t="shared" si="3"/>
        <v>0</v>
      </c>
    </row>
    <row r="26" spans="1:13" ht="16.5" hidden="1" outlineLevel="1">
      <c r="A26" s="52" t="s">
        <v>35</v>
      </c>
      <c r="B26" s="20" t="s">
        <v>32</v>
      </c>
      <c r="C26" s="21">
        <f>SUM(C22:C25)</f>
        <v>43951200</v>
      </c>
      <c r="D26" s="53">
        <f t="shared" ref="D26:E26" si="6">SUM(D22)</f>
        <v>0</v>
      </c>
      <c r="E26" s="54">
        <f t="shared" si="6"/>
        <v>0</v>
      </c>
      <c r="F26" s="54">
        <f>SUM(F22:F25)</f>
        <v>91912164.599999994</v>
      </c>
      <c r="G26" s="55">
        <f t="shared" si="4"/>
        <v>0.47818697548115413</v>
      </c>
      <c r="H26" s="43">
        <f t="shared" si="5"/>
        <v>0</v>
      </c>
      <c r="I26" s="24">
        <f t="shared" si="5"/>
        <v>0</v>
      </c>
      <c r="J26" s="32" t="str" cm="1">
        <f t="array" ref="J26">IFERROR(_xlfn.IFS(B26="044 - BLEND TRADICION","BLEND",B26="113 - CAFÉ GOURMET","GOURMET",B26="114 - CAFÉ CONSUMO","CONSUMO",B26="112 - CAFÉ ORGANICO","GOURMET",B26="172 - CAFÉ COSECHA","ESPECIALES",B26="176 - CAFE DESCAFEINADO","GOURMET",B26="147 - CAPSULAS","CAPSULAS",B26="130 - GALLETAS CAFECITAS","DERIVADOS",B26="140 - MERENGUES","DERIVADOS",B26="100 - CAFÉ ESPECIAL","ESPECIALES",B26="141 - AREQUIPE","DERIVADOS",B26="142 - MERMELADA","DERIVADOS",B26="131 - GALLETAS AVENA","DERIVADOS",B26="160 - SOUVENIR","OTROS",B26="148 - CARAMELOS","DERIVADOS",B26="143 - CHOCOFFES","DERIVADOS",B26="162 - CONVENIOS Y DSC POS ","OTROS"),"OTROS")</f>
        <v>OTROS</v>
      </c>
      <c r="L26" s="27">
        <f t="shared" si="2"/>
        <v>43951200</v>
      </c>
      <c r="M26" s="27">
        <f t="shared" si="3"/>
        <v>43951200</v>
      </c>
    </row>
    <row r="27" spans="1:13" ht="16.5" hidden="1" outlineLevel="1">
      <c r="A27" s="44"/>
      <c r="B27" s="45" t="s">
        <v>34</v>
      </c>
      <c r="C27" s="46">
        <v>792980</v>
      </c>
      <c r="D27" s="47">
        <v>0</v>
      </c>
      <c r="E27" s="48">
        <v>0</v>
      </c>
      <c r="F27" s="48">
        <v>6545773.3099999996</v>
      </c>
      <c r="G27" s="49">
        <f t="shared" si="4"/>
        <v>0.12114382250124089</v>
      </c>
      <c r="H27" s="43">
        <f t="shared" si="5"/>
        <v>0</v>
      </c>
      <c r="I27" s="24">
        <f t="shared" si="5"/>
        <v>0</v>
      </c>
      <c r="J27" s="32" t="str" cm="1">
        <f t="array" ref="J27">IFERROR(_xlfn.IFS(B27="044 - BLEND TRADICION","BLEND",B27="113 - CAFÉ GOURMET","GOURMET",B27="114 - CAFÉ CONSUMO","CONSUMO",B27="112 - CAFÉ ORGANICO","GOURMET",B27="172 - CAFÉ COSECHA","ESPECIALES",B27="176 - CAFE DESCAFEINADO","GOURMET",B27="147 - CAPSULAS","CAPSULAS",B27="130 - GALLETAS CAFECITAS","DERIVADOS",B27="140 - MERENGUES","DERIVADOS",B27="100 - CAFÉ ESPECIAL","ESPECIALES",B27="141 - AREQUIPE","DERIVADOS",B27="142 - MERMELADA","DERIVADOS",B27="131 - GALLETAS AVENA","DERIVADOS",B27="160 - SOUVENIR","OTROS",B27="148 - CARAMELOS","DERIVADOS",B27="143 - CHOCOFFES","DERIVADOS",B27="162 - CONVENIOS Y DSC POS ","OTROS"),"OTROS")</f>
        <v>OTROS</v>
      </c>
      <c r="L27" s="27">
        <f t="shared" si="2"/>
        <v>792980</v>
      </c>
      <c r="M27" s="27">
        <f t="shared" si="3"/>
        <v>792980</v>
      </c>
    </row>
    <row r="28" spans="1:13" ht="16.5" hidden="1" outlineLevel="1">
      <c r="A28" s="38"/>
      <c r="B28" s="34" t="s">
        <v>19</v>
      </c>
      <c r="C28" s="35">
        <v>189399</v>
      </c>
      <c r="D28" s="36">
        <v>0</v>
      </c>
      <c r="E28" s="48">
        <v>0</v>
      </c>
      <c r="F28" s="48">
        <v>4061262.59</v>
      </c>
      <c r="G28" s="49">
        <f t="shared" si="4"/>
        <v>4.6635497164442159E-2</v>
      </c>
      <c r="H28" s="23">
        <f t="shared" si="5"/>
        <v>0</v>
      </c>
      <c r="I28" s="24">
        <f t="shared" si="5"/>
        <v>0</v>
      </c>
      <c r="J28" s="32" t="str" cm="1">
        <f t="array" ref="J28">IFERROR(_xlfn.IFS(B28="044 - BLEND TRADICION","BLEND",B28="113 - CAFÉ GOURMET","GOURMET",B28="114 - CAFÉ CONSUMO","CONSUMO",B28="112 - CAFÉ ORGANICO","GOURMET",B28="172 - CAFÉ COSECHA","ESPECIALES",B28="176 - CAFE DESCAFEINADO","GOURMET",B28="147 - CAPSULAS","CAPSULAS",B28="130 - GALLETAS CAFECITAS","DERIVADOS",B28="140 - MERENGUES","DERIVADOS",B28="100 - CAFÉ ESPECIAL","ESPECIALES",B28="141 - AREQUIPE","DERIVADOS",B28="142 - MERMELADA","DERIVADOS",B28="131 - GALLETAS AVENA","DERIVADOS",B28="160 - SOUVENIR","OTROS",B28="148 - CARAMELOS","DERIVADOS",B28="143 - CHOCOFFES","DERIVADOS",B28="162 - CONVENIOS Y DSC POS ","OTROS"),"OTROS")</f>
        <v>ESPECIALES</v>
      </c>
      <c r="L28" s="27">
        <f t="shared" si="2"/>
        <v>189399</v>
      </c>
      <c r="M28" s="27">
        <f t="shared" si="3"/>
        <v>189399</v>
      </c>
    </row>
    <row r="29" spans="1:13" ht="16.5" hidden="1" outlineLevel="1">
      <c r="A29" s="38"/>
      <c r="B29" s="39" t="s">
        <v>20</v>
      </c>
      <c r="C29" s="36">
        <v>0</v>
      </c>
      <c r="D29" s="36">
        <v>0</v>
      </c>
      <c r="E29" s="48">
        <v>0</v>
      </c>
      <c r="F29" s="48">
        <v>1222472.22</v>
      </c>
      <c r="G29" s="49">
        <f t="shared" si="4"/>
        <v>0</v>
      </c>
      <c r="H29" s="23">
        <f t="shared" si="5"/>
        <v>0</v>
      </c>
      <c r="I29" s="24">
        <f t="shared" si="5"/>
        <v>0</v>
      </c>
      <c r="J29" s="32" t="str" cm="1">
        <f t="array" ref="J29">IFERROR(_xlfn.IFS(B29="044 - BLEND TRADICION","BLEND",B29="113 - CAFÉ GOURMET","GOURMET",B29="114 - CAFÉ CONSUMO","CONSUMO",B29="112 - CAFÉ ORGANICO","GOURMET",B29="172 - CAFÉ COSECHA","ESPECIALES",B29="176 - CAFE DESCAFEINADO","GOURMET",B29="147 - CAPSULAS","CAPSULAS",B29="130 - GALLETAS CAFECITAS","DERIVADOS",B29="140 - MERENGUES","DERIVADOS",B29="100 - CAFÉ ESPECIAL","ESPECIALES",B29="141 - AREQUIPE","DERIVADOS",B29="142 - MERMELADA","DERIVADOS",B29="131 - GALLETAS AVENA","DERIVADOS",B29="160 - SOUVENIR","OTROS",B29="148 - CARAMELOS","DERIVADOS",B29="143 - CHOCOFFES","DERIVADOS",B29="162 - CONVENIOS Y DSC POS ","OTROS"),"OTROS")</f>
        <v>GOURMET</v>
      </c>
      <c r="L29" s="27">
        <f t="shared" si="2"/>
        <v>0</v>
      </c>
      <c r="M29" s="27">
        <f t="shared" si="3"/>
        <v>0</v>
      </c>
    </row>
    <row r="30" spans="1:13" ht="16.5" hidden="1" outlineLevel="1">
      <c r="A30" s="38"/>
      <c r="B30" s="39" t="s">
        <v>21</v>
      </c>
      <c r="C30" s="36">
        <v>19714613</v>
      </c>
      <c r="D30" s="36">
        <v>0</v>
      </c>
      <c r="E30" s="48">
        <v>0</v>
      </c>
      <c r="F30" s="48">
        <v>223480484.16999999</v>
      </c>
      <c r="G30" s="49">
        <f t="shared" si="4"/>
        <v>8.8216262253142594E-2</v>
      </c>
      <c r="H30" s="23">
        <f t="shared" si="5"/>
        <v>0</v>
      </c>
      <c r="I30" s="24">
        <f t="shared" si="5"/>
        <v>0</v>
      </c>
      <c r="J30" s="32" t="str" cm="1">
        <f t="array" ref="J30">IFERROR(_xlfn.IFS(B30="044 - BLEND TRADICION","BLEND",B30="113 - CAFÉ GOURMET","GOURMET",B30="114 - CAFÉ CONSUMO","CONSUMO",B30="112 - CAFÉ ORGANICO","GOURMET",B30="172 - CAFÉ COSECHA","ESPECIALES",B30="176 - CAFE DESCAFEINADO","GOURMET",B30="147 - CAPSULAS","CAPSULAS",B30="130 - GALLETAS CAFECITAS","DERIVADOS",B30="140 - MERENGUES","DERIVADOS",B30="100 - CAFÉ ESPECIAL","ESPECIALES",B30="141 - AREQUIPE","DERIVADOS",B30="142 - MERMELADA","DERIVADOS",B30="131 - GALLETAS AVENA","DERIVADOS",B30="160 - SOUVENIR","OTROS",B30="148 - CARAMELOS","DERIVADOS",B30="143 - CHOCOFFES","DERIVADOS",B30="162 - CONVENIOS Y DSC POS ","OTROS"),"OTROS")</f>
        <v>GOURMET</v>
      </c>
      <c r="L30" s="27">
        <f t="shared" si="2"/>
        <v>19714613</v>
      </c>
      <c r="M30" s="27">
        <f t="shared" si="3"/>
        <v>19714613</v>
      </c>
    </row>
    <row r="31" spans="1:13" ht="16.5" hidden="1" outlineLevel="1">
      <c r="A31" s="38"/>
      <c r="B31" s="39" t="s">
        <v>38</v>
      </c>
      <c r="C31" s="36">
        <v>0</v>
      </c>
      <c r="D31" s="36">
        <v>0</v>
      </c>
      <c r="E31" s="48">
        <v>0</v>
      </c>
      <c r="F31" s="48">
        <v>12078505</v>
      </c>
      <c r="G31" s="49">
        <f t="shared" si="4"/>
        <v>0</v>
      </c>
      <c r="H31" s="23">
        <f t="shared" si="5"/>
        <v>0</v>
      </c>
      <c r="I31" s="24">
        <f t="shared" si="5"/>
        <v>0</v>
      </c>
      <c r="J31" s="32" t="str" cm="1">
        <f t="array" ref="J31">IFERROR(_xlfn.IFS(B31="044 - BLEND TRADICION","BLEND",B31="113 - CAFÉ GOURMET","GOURMET",B31="114 - CAFÉ CONSUMO","CONSUMO",B31="112 - CAFÉ ORGANICO","GOURMET",B31="172 - CAFÉ COSECHA","ESPECIALES",B31="176 - CAFE DESCAFEINADO","GOURMET",B31="147 - CAPSULAS","CAPSULAS",B31="130 - GALLETAS CAFECITAS","DERIVADOS",B31="140 - MERENGUES","DERIVADOS",B31="100 - CAFÉ ESPECIAL","ESPECIALES",B31="141 - AREQUIPE","DERIVADOS",B31="142 - MERMELADA","DERIVADOS",B31="131 - GALLETAS AVENA","DERIVADOS",B31="160 - SOUVENIR","OTROS",B31="148 - CARAMELOS","DERIVADOS",B31="143 - CHOCOFFES","DERIVADOS",B31="162 - CONVENIOS Y DSC POS ","OTROS"),"OTROS")</f>
        <v>CONSUMO</v>
      </c>
      <c r="L31" s="27">
        <f t="shared" si="2"/>
        <v>0</v>
      </c>
      <c r="M31" s="27">
        <f t="shared" si="3"/>
        <v>0</v>
      </c>
    </row>
    <row r="32" spans="1:13" ht="16.5" hidden="1" outlineLevel="1">
      <c r="A32" s="38"/>
      <c r="B32" s="39" t="s">
        <v>22</v>
      </c>
      <c r="C32" s="36">
        <v>1106521</v>
      </c>
      <c r="D32" s="36">
        <v>0</v>
      </c>
      <c r="E32" s="48">
        <v>0</v>
      </c>
      <c r="F32" s="48">
        <v>876245.45</v>
      </c>
      <c r="G32" s="49">
        <f t="shared" si="4"/>
        <v>1.2627979979810453</v>
      </c>
      <c r="H32" s="23">
        <f t="shared" si="5"/>
        <v>0</v>
      </c>
      <c r="I32" s="24">
        <f t="shared" si="5"/>
        <v>0</v>
      </c>
      <c r="J32" s="32" t="str" cm="1">
        <f t="array" ref="J32">IFERROR(_xlfn.IFS(B32="044 - BLEND TRADICION","BLEND",B32="113 - CAFÉ GOURMET","GOURMET",B32="114 - CAFÉ CONSUMO","CONSUMO",B32="112 - CAFÉ ORGANICO","GOURMET",B32="172 - CAFÉ COSECHA","ESPECIALES",B32="176 - CAFE DESCAFEINADO","GOURMET",B32="147 - CAPSULAS","CAPSULAS",B32="130 - GALLETAS CAFECITAS","DERIVADOS",B32="140 - MERENGUES","DERIVADOS",B32="100 - CAFÉ ESPECIAL","ESPECIALES",B32="141 - AREQUIPE","DERIVADOS",B32="142 - MERMELADA","DERIVADOS",B32="131 - GALLETAS AVENA","DERIVADOS",B32="160 - SOUVENIR","OTROS",B32="148 - CARAMELOS","DERIVADOS",B32="143 - CHOCOFFES","DERIVADOS",B32="162 - CONVENIOS Y DSC POS ","OTROS"),"OTROS")</f>
        <v>DERIVADOS</v>
      </c>
      <c r="L32" s="27">
        <f t="shared" si="2"/>
        <v>1106521</v>
      </c>
      <c r="M32" s="27">
        <f t="shared" si="3"/>
        <v>1106521</v>
      </c>
    </row>
    <row r="33" spans="1:13" ht="16.5" hidden="1" outlineLevel="1">
      <c r="A33" s="38"/>
      <c r="B33" s="39" t="s">
        <v>23</v>
      </c>
      <c r="C33" s="36">
        <v>49717</v>
      </c>
      <c r="D33" s="36">
        <v>0</v>
      </c>
      <c r="E33" s="48"/>
      <c r="F33" s="48">
        <v>315313</v>
      </c>
      <c r="G33" s="49">
        <f t="shared" si="4"/>
        <v>0.15767507207124348</v>
      </c>
      <c r="H33" s="23">
        <f t="shared" si="5"/>
        <v>0</v>
      </c>
      <c r="I33" s="24">
        <f t="shared" si="5"/>
        <v>0</v>
      </c>
      <c r="J33" s="32" t="str" cm="1">
        <f t="array" ref="J33">IFERROR(_xlfn.IFS(B33="044 - BLEND TRADICION","BLEND",B33="113 - CAFÉ GOURMET","GOURMET",B33="114 - CAFÉ CONSUMO","CONSUMO",B33="112 - CAFÉ ORGANICO","GOURMET",B33="172 - CAFÉ COSECHA","ESPECIALES",B33="176 - CAFE DESCAFEINADO","GOURMET",B33="147 - CAPSULAS","CAPSULAS",B33="130 - GALLETAS CAFECITAS","DERIVADOS",B33="140 - MERENGUES","DERIVADOS",B33="100 - CAFÉ ESPECIAL","ESPECIALES",B33="141 - AREQUIPE","DERIVADOS",B33="142 - MERMELADA","DERIVADOS",B33="131 - GALLETAS AVENA","DERIVADOS",B33="160 - SOUVENIR","OTROS",B33="148 - CARAMELOS","DERIVADOS",B33="143 - CHOCOFFES","DERIVADOS",B33="162 - CONVENIOS Y DSC POS ","OTROS"),"OTROS")</f>
        <v>DERIVADOS</v>
      </c>
      <c r="L33" s="27">
        <f t="shared" si="2"/>
        <v>49717</v>
      </c>
      <c r="M33" s="27">
        <f t="shared" si="3"/>
        <v>49717</v>
      </c>
    </row>
    <row r="34" spans="1:13" ht="16.5" hidden="1" outlineLevel="1">
      <c r="A34" s="38"/>
      <c r="B34" s="39" t="s">
        <v>24</v>
      </c>
      <c r="C34" s="36">
        <v>212576</v>
      </c>
      <c r="D34" s="36">
        <v>0</v>
      </c>
      <c r="E34" s="48"/>
      <c r="F34" s="48">
        <v>443819.64</v>
      </c>
      <c r="G34" s="49">
        <f t="shared" si="4"/>
        <v>0.47896933988770751</v>
      </c>
      <c r="H34" s="23">
        <f t="shared" si="5"/>
        <v>0</v>
      </c>
      <c r="I34" s="24">
        <f t="shared" si="5"/>
        <v>0</v>
      </c>
      <c r="J34" s="32" t="str" cm="1">
        <f t="array" ref="J34">IFERROR(_xlfn.IFS(B34="044 - BLEND TRADICION","BLEND",B34="113 - CAFÉ GOURMET","GOURMET",B34="114 - CAFÉ CONSUMO","CONSUMO",B34="112 - CAFÉ ORGANICO","GOURMET",B34="172 - CAFÉ COSECHA","ESPECIALES",B34="176 - CAFE DESCAFEINADO","GOURMET",B34="147 - CAPSULAS","CAPSULAS",B34="130 - GALLETAS CAFECITAS","DERIVADOS",B34="140 - MERENGUES","DERIVADOS",B34="100 - CAFÉ ESPECIAL","ESPECIALES",B34="141 - AREQUIPE","DERIVADOS",B34="142 - MERMELADA","DERIVADOS",B34="131 - GALLETAS AVENA","DERIVADOS",B34="160 - SOUVENIR","OTROS",B34="148 - CARAMELOS","DERIVADOS",B34="143 - CHOCOFFES","DERIVADOS",B34="162 - CONVENIOS Y DSC POS ","OTROS"),"OTROS")</f>
        <v>DERIVADOS</v>
      </c>
      <c r="L34" s="27">
        <f t="shared" si="2"/>
        <v>212576</v>
      </c>
      <c r="M34" s="27">
        <f t="shared" si="3"/>
        <v>212576</v>
      </c>
    </row>
    <row r="35" spans="1:13" ht="16.5" hidden="1" outlineLevel="1">
      <c r="A35" s="38"/>
      <c r="B35" s="39" t="s">
        <v>25</v>
      </c>
      <c r="C35" s="36">
        <v>27919</v>
      </c>
      <c r="D35" s="36">
        <v>0</v>
      </c>
      <c r="E35" s="48"/>
      <c r="F35" s="48">
        <v>253263.49</v>
      </c>
      <c r="G35" s="49">
        <f t="shared" si="4"/>
        <v>0.11023697099017313</v>
      </c>
      <c r="H35" s="23">
        <f t="shared" si="5"/>
        <v>0</v>
      </c>
      <c r="I35" s="24">
        <f t="shared" si="5"/>
        <v>0</v>
      </c>
      <c r="J35" s="32" t="str" cm="1">
        <f t="array" ref="J35">IFERROR(_xlfn.IFS(B35="044 - BLEND TRADICION","BLEND",B35="113 - CAFÉ GOURMET","GOURMET",B35="114 - CAFÉ CONSUMO","CONSUMO",B35="112 - CAFÉ ORGANICO","GOURMET",B35="172 - CAFÉ COSECHA","ESPECIALES",B35="176 - CAFE DESCAFEINADO","GOURMET",B35="147 - CAPSULAS","CAPSULAS",B35="130 - GALLETAS CAFECITAS","DERIVADOS",B35="140 - MERENGUES","DERIVADOS",B35="100 - CAFÉ ESPECIAL","ESPECIALES",B35="141 - AREQUIPE","DERIVADOS",B35="142 - MERMELADA","DERIVADOS",B35="131 - GALLETAS AVENA","DERIVADOS",B35="160 - SOUVENIR","OTROS",B35="148 - CARAMELOS","DERIVADOS",B35="143 - CHOCOFFES","DERIVADOS",B35="162 - CONVENIOS Y DSC POS ","OTROS"),"OTROS")</f>
        <v>DERIVADOS</v>
      </c>
      <c r="L35" s="27">
        <f t="shared" si="2"/>
        <v>27919</v>
      </c>
      <c r="M35" s="27">
        <f t="shared" si="3"/>
        <v>27919</v>
      </c>
    </row>
    <row r="36" spans="1:13" ht="16.5" hidden="1" outlineLevel="1">
      <c r="A36" s="38"/>
      <c r="B36" s="39" t="s">
        <v>26</v>
      </c>
      <c r="C36" s="36">
        <v>3751903</v>
      </c>
      <c r="D36" s="36">
        <v>0</v>
      </c>
      <c r="E36" s="48"/>
      <c r="F36" s="48">
        <v>19346780.550000001</v>
      </c>
      <c r="G36" s="49">
        <f t="shared" si="4"/>
        <v>0.19392906175286098</v>
      </c>
      <c r="H36" s="23">
        <f t="shared" ref="H36:I84" si="7">IFERROR(+D36/L36*100%,0)</f>
        <v>0</v>
      </c>
      <c r="I36" s="24">
        <f t="shared" si="7"/>
        <v>0</v>
      </c>
      <c r="J36" s="32" t="str" cm="1">
        <f t="array" ref="J36">IFERROR(_xlfn.IFS(B36="044 - BLEND TRADICION","BLEND",B36="113 - CAFÉ GOURMET","GOURMET",B36="114 - CAFÉ CONSUMO","CONSUMO",B36="112 - CAFÉ ORGANICO","GOURMET",B36="172 - CAFÉ COSECHA","ESPECIALES",B36="176 - CAFE DESCAFEINADO","GOURMET",B36="147 - CAPSULAS","CAPSULAS",B36="130 - GALLETAS CAFECITAS","DERIVADOS",B36="140 - MERENGUES","DERIVADOS",B36="100 - CAFÉ ESPECIAL","ESPECIALES",B36="141 - AREQUIPE","DERIVADOS",B36="142 - MERMELADA","DERIVADOS",B36="131 - GALLETAS AVENA","DERIVADOS",B36="160 - SOUVENIR","OTROS",B36="148 - CARAMELOS","DERIVADOS",B36="143 - CHOCOFFES","DERIVADOS",B36="162 - CONVENIOS Y DSC POS ","OTROS"),"OTROS")</f>
        <v>CAPSULAS</v>
      </c>
      <c r="L36" s="27">
        <f t="shared" si="2"/>
        <v>3751903</v>
      </c>
      <c r="M36" s="27">
        <f t="shared" si="3"/>
        <v>3751903</v>
      </c>
    </row>
    <row r="37" spans="1:13" ht="16.5" hidden="1" outlineLevel="1">
      <c r="A37" s="38"/>
      <c r="B37" s="39" t="s">
        <v>27</v>
      </c>
      <c r="C37" s="36">
        <v>145715</v>
      </c>
      <c r="D37" s="36">
        <v>0</v>
      </c>
      <c r="E37" s="48"/>
      <c r="F37" s="48">
        <v>709870.17</v>
      </c>
      <c r="G37" s="49">
        <f t="shared" si="4"/>
        <v>0.20526992985210238</v>
      </c>
      <c r="H37" s="23">
        <f t="shared" si="7"/>
        <v>0</v>
      </c>
      <c r="I37" s="24">
        <f t="shared" si="7"/>
        <v>0</v>
      </c>
      <c r="J37" s="32" t="str" cm="1">
        <f t="array" ref="J37">IFERROR(_xlfn.IFS(B37="044 - BLEND TRADICION","BLEND",B37="113 - CAFÉ GOURMET","GOURMET",B37="114 - CAFÉ CONSUMO","CONSUMO",B37="112 - CAFÉ ORGANICO","GOURMET",B37="172 - CAFÉ COSECHA","ESPECIALES",B37="176 - CAFE DESCAFEINADO","GOURMET",B37="147 - CAPSULAS","CAPSULAS",B37="130 - GALLETAS CAFECITAS","DERIVADOS",B37="140 - MERENGUES","DERIVADOS",B37="100 - CAFÉ ESPECIAL","ESPECIALES",B37="141 - AREQUIPE","DERIVADOS",B37="142 - MERMELADA","DERIVADOS",B37="131 - GALLETAS AVENA","DERIVADOS",B37="160 - SOUVENIR","OTROS",B37="148 - CARAMELOS","DERIVADOS",B37="143 - CHOCOFFES","DERIVADOS",B37="162 - CONVENIOS Y DSC POS ","OTROS"),"OTROS")</f>
        <v>DERIVADOS</v>
      </c>
      <c r="L37" s="27">
        <f t="shared" si="2"/>
        <v>145715</v>
      </c>
      <c r="M37" s="27">
        <f t="shared" si="3"/>
        <v>145715</v>
      </c>
    </row>
    <row r="38" spans="1:13" ht="16.5" hidden="1" outlineLevel="1">
      <c r="A38" s="38"/>
      <c r="B38" s="39" t="s">
        <v>28</v>
      </c>
      <c r="C38" s="36">
        <v>0</v>
      </c>
      <c r="D38" s="36">
        <v>0</v>
      </c>
      <c r="E38" s="48"/>
      <c r="F38" s="48">
        <v>926563.16</v>
      </c>
      <c r="G38" s="49">
        <f t="shared" si="4"/>
        <v>0</v>
      </c>
      <c r="H38" s="23">
        <f t="shared" si="7"/>
        <v>0</v>
      </c>
      <c r="I38" s="24">
        <f t="shared" si="7"/>
        <v>0</v>
      </c>
      <c r="J38" s="32" t="str" cm="1">
        <f t="array" ref="J38">IFERROR(_xlfn.IFS(B38="044 - BLEND TRADICION","BLEND",B38="113 - CAFÉ GOURMET","GOURMET",B38="114 - CAFÉ CONSUMO","CONSUMO",B38="112 - CAFÉ ORGANICO","GOURMET",B38="172 - CAFÉ COSECHA","ESPECIALES",B38="176 - CAFE DESCAFEINADO","GOURMET",B38="147 - CAPSULAS","CAPSULAS",B38="130 - GALLETAS CAFECITAS","DERIVADOS",B38="140 - MERENGUES","DERIVADOS",B38="100 - CAFÉ ESPECIAL","ESPECIALES",B38="141 - AREQUIPE","DERIVADOS",B38="142 - MERMELADA","DERIVADOS",B38="131 - GALLETAS AVENA","DERIVADOS",B38="160 - SOUVENIR","OTROS",B38="148 - CARAMELOS","DERIVADOS",B38="143 - CHOCOFFES","DERIVADOS",B38="162 - CONVENIOS Y DSC POS ","OTROS"),"OTROS")</f>
        <v>OTROS</v>
      </c>
      <c r="L38" s="27">
        <f t="shared" si="2"/>
        <v>0</v>
      </c>
      <c r="M38" s="27">
        <f t="shared" si="3"/>
        <v>0</v>
      </c>
    </row>
    <row r="39" spans="1:13" ht="16.5" hidden="1" outlineLevel="1">
      <c r="A39" s="38"/>
      <c r="B39" s="39" t="s">
        <v>29</v>
      </c>
      <c r="C39" s="36">
        <v>0</v>
      </c>
      <c r="D39" s="36">
        <v>0</v>
      </c>
      <c r="E39" s="48"/>
      <c r="F39" s="48">
        <v>1035996.29</v>
      </c>
      <c r="G39" s="49">
        <f t="shared" si="4"/>
        <v>0</v>
      </c>
      <c r="H39" s="23">
        <f t="shared" si="7"/>
        <v>0</v>
      </c>
      <c r="I39" s="24">
        <f t="shared" si="7"/>
        <v>0</v>
      </c>
      <c r="J39" s="32" t="str" cm="1">
        <f t="array" ref="J39">IFERROR(_xlfn.IFS(B39="044 - BLEND TRADICION","BLEND",B39="113 - CAFÉ GOURMET","GOURMET",B39="114 - CAFÉ CONSUMO","CONSUMO",B39="112 - CAFÉ ORGANICO","GOURMET",B39="172 - CAFÉ COSECHA","ESPECIALES",B39="176 - CAFE DESCAFEINADO","GOURMET",B39="147 - CAPSULAS","CAPSULAS",B39="130 - GALLETAS CAFECITAS","DERIVADOS",B39="140 - MERENGUES","DERIVADOS",B39="100 - CAFÉ ESPECIAL","ESPECIALES",B39="141 - AREQUIPE","DERIVADOS",B39="142 - MERMELADA","DERIVADOS",B39="131 - GALLETAS AVENA","DERIVADOS",B39="160 - SOUVENIR","OTROS",B39="148 - CARAMELOS","DERIVADOS",B39="143 - CHOCOFFES","DERIVADOS",B39="162 - CONVENIOS Y DSC POS ","OTROS"),"OTROS")</f>
        <v>ESPECIALES</v>
      </c>
      <c r="L39" s="27">
        <f t="shared" si="2"/>
        <v>0</v>
      </c>
      <c r="M39" s="27">
        <f t="shared" si="3"/>
        <v>0</v>
      </c>
    </row>
    <row r="40" spans="1:13" ht="16.5" hidden="1" outlineLevel="1">
      <c r="A40" s="38"/>
      <c r="B40" s="39" t="s">
        <v>30</v>
      </c>
      <c r="C40" s="36">
        <v>0</v>
      </c>
      <c r="D40" s="36">
        <v>0</v>
      </c>
      <c r="E40" s="48"/>
      <c r="F40" s="48">
        <v>573972.9</v>
      </c>
      <c r="G40" s="49">
        <f t="shared" si="4"/>
        <v>0</v>
      </c>
      <c r="H40" s="23">
        <f t="shared" si="7"/>
        <v>0</v>
      </c>
      <c r="I40" s="24">
        <f t="shared" si="7"/>
        <v>0</v>
      </c>
      <c r="J40" s="32" t="str" cm="1">
        <f t="array" ref="J40">IFERROR(_xlfn.IFS(B40="044 - BLEND TRADICION","BLEND",B40="113 - CAFÉ GOURMET","GOURMET",B40="114 - CAFÉ CONSUMO","CONSUMO",B40="112 - CAFÉ ORGANICO","GOURMET",B40="172 - CAFÉ COSECHA","ESPECIALES",B40="176 - CAFE DESCAFEINADO","GOURMET",B40="147 - CAPSULAS","CAPSULAS",B40="130 - GALLETAS CAFECITAS","DERIVADOS",B40="140 - MERENGUES","DERIVADOS",B40="100 - CAFÉ ESPECIAL","ESPECIALES",B40="141 - AREQUIPE","DERIVADOS",B40="142 - MERMELADA","DERIVADOS",B40="131 - GALLETAS AVENA","DERIVADOS",B40="160 - SOUVENIR","OTROS",B40="148 - CARAMELOS","DERIVADOS",B40="143 - CHOCOFFES","DERIVADOS",B40="162 - CONVENIOS Y DSC POS ","OTROS"),"OTROS")</f>
        <v>GOURMET</v>
      </c>
      <c r="L40" s="27">
        <f t="shared" si="2"/>
        <v>0</v>
      </c>
      <c r="M40" s="27">
        <f t="shared" si="3"/>
        <v>0</v>
      </c>
    </row>
    <row r="41" spans="1:13" ht="16.5" hidden="1" outlineLevel="1">
      <c r="A41" s="19" t="s">
        <v>37</v>
      </c>
      <c r="B41" s="56" t="s">
        <v>32</v>
      </c>
      <c r="C41" s="54">
        <f>SUM(C27:C40)</f>
        <v>25991343</v>
      </c>
      <c r="D41" s="54">
        <f>SUM(D27:D40)</f>
        <v>0</v>
      </c>
      <c r="E41" s="54">
        <f>SUM(E27:E40)</f>
        <v>0</v>
      </c>
      <c r="F41" s="54">
        <f>SUM(F27:F40)</f>
        <v>271870321.94</v>
      </c>
      <c r="G41" s="55">
        <f t="shared" si="4"/>
        <v>9.5601987059610427E-2</v>
      </c>
      <c r="H41" s="23">
        <f t="shared" si="7"/>
        <v>0</v>
      </c>
      <c r="I41" s="24">
        <f t="shared" si="7"/>
        <v>0</v>
      </c>
      <c r="J41" s="32" t="str" cm="1">
        <f t="array" ref="J41">IFERROR(_xlfn.IFS(B41="044 - BLEND TRADICION","BLEND",B41="113 - CAFÉ GOURMET","GOURMET",B41="114 - CAFÉ CONSUMO","CONSUMO",B41="112 - CAFÉ ORGANICO","GOURMET",B41="172 - CAFÉ COSECHA","ESPECIALES",B41="176 - CAFE DESCAFEINADO","GOURMET",B41="147 - CAPSULAS","CAPSULAS",B41="130 - GALLETAS CAFECITAS","DERIVADOS",B41="140 - MERENGUES","DERIVADOS",B41="100 - CAFÉ ESPECIAL","ESPECIALES",B41="141 - AREQUIPE","DERIVADOS",B41="142 - MERMELADA","DERIVADOS",B41="131 - GALLETAS AVENA","DERIVADOS",B41="160 - SOUVENIR","OTROS",B41="148 - CARAMELOS","DERIVADOS",B41="143 - CHOCOFFES","DERIVADOS",B41="162 - CONVENIOS Y DSC POS ","OTROS"),"OTROS")</f>
        <v>OTROS</v>
      </c>
      <c r="L41" s="27">
        <f t="shared" si="2"/>
        <v>25991343</v>
      </c>
      <c r="M41" s="27">
        <f t="shared" si="3"/>
        <v>25991343</v>
      </c>
    </row>
    <row r="42" spans="1:13" ht="16.5" hidden="1" outlineLevel="1">
      <c r="A42" s="38"/>
      <c r="B42" s="39" t="s">
        <v>34</v>
      </c>
      <c r="C42" s="36">
        <v>0</v>
      </c>
      <c r="D42" s="36">
        <v>0</v>
      </c>
      <c r="E42" s="48">
        <v>0</v>
      </c>
      <c r="F42" s="48">
        <v>16995.71</v>
      </c>
      <c r="G42" s="49">
        <f t="shared" si="4"/>
        <v>0</v>
      </c>
      <c r="H42" s="23">
        <f t="shared" si="7"/>
        <v>0</v>
      </c>
      <c r="I42" s="24">
        <f t="shared" si="7"/>
        <v>0</v>
      </c>
      <c r="J42" s="32" t="str" cm="1">
        <f t="array" ref="J42">IFERROR(_xlfn.IFS(B42="044 - BLEND TRADICION","BLEND",B42="113 - CAFÉ GOURMET","GOURMET",B42="114 - CAFÉ CONSUMO","CONSUMO",B42="112 - CAFÉ ORGANICO","GOURMET",B42="172 - CAFÉ COSECHA","ESPECIALES",B42="176 - CAFE DESCAFEINADO","GOURMET",B42="147 - CAPSULAS","CAPSULAS",B42="130 - GALLETAS CAFECITAS","DERIVADOS",B42="140 - MERENGUES","DERIVADOS",B42="100 - CAFÉ ESPECIAL","ESPECIALES",B42="141 - AREQUIPE","DERIVADOS",B42="142 - MERMELADA","DERIVADOS",B42="131 - GALLETAS AVENA","DERIVADOS",B42="160 - SOUVENIR","OTROS",B42="148 - CARAMELOS","DERIVADOS",B42="143 - CHOCOFFES","DERIVADOS",B42="162 - CONVENIOS Y DSC POS ","OTROS"),"OTROS")</f>
        <v>OTROS</v>
      </c>
      <c r="L42" s="27">
        <f t="shared" si="2"/>
        <v>0</v>
      </c>
      <c r="M42" s="27">
        <f t="shared" si="3"/>
        <v>0</v>
      </c>
    </row>
    <row r="43" spans="1:13" ht="16.5" hidden="1" outlineLevel="1">
      <c r="A43" s="38"/>
      <c r="B43" s="39" t="s">
        <v>18</v>
      </c>
      <c r="C43" s="36">
        <v>0</v>
      </c>
      <c r="D43" s="36">
        <v>0</v>
      </c>
      <c r="E43" s="48">
        <v>0</v>
      </c>
      <c r="F43" s="48">
        <v>89635.4</v>
      </c>
      <c r="G43" s="49">
        <f t="shared" si="4"/>
        <v>0</v>
      </c>
      <c r="H43" s="23">
        <f t="shared" si="7"/>
        <v>0</v>
      </c>
      <c r="I43" s="24">
        <f t="shared" si="7"/>
        <v>0</v>
      </c>
      <c r="J43" s="32" t="str" cm="1">
        <f t="array" ref="J43">IFERROR(_xlfn.IFS(B43="044 - BLEND TRADICION","BLEND",B43="113 - CAFÉ GOURMET","GOURMET",B43="114 - CAFÉ CONSUMO","CONSUMO",B43="112 - CAFÉ ORGANICO","GOURMET",B43="172 - CAFÉ COSECHA","ESPECIALES",B43="176 - CAFE DESCAFEINADO","GOURMET",B43="147 - CAPSULAS","CAPSULAS",B43="130 - GALLETAS CAFECITAS","DERIVADOS",B43="140 - MERENGUES","DERIVADOS",B43="100 - CAFÉ ESPECIAL","ESPECIALES",B43="141 - AREQUIPE","DERIVADOS",B43="142 - MERMELADA","DERIVADOS",B43="131 - GALLETAS AVENA","DERIVADOS",B43="160 - SOUVENIR","OTROS",B43="148 - CARAMELOS","DERIVADOS",B43="143 - CHOCOFFES","DERIVADOS",B43="162 - CONVENIOS Y DSC POS ","OTROS"),"OTROS")</f>
        <v>BLEND</v>
      </c>
      <c r="L43" s="27">
        <f t="shared" si="2"/>
        <v>0</v>
      </c>
      <c r="M43" s="27">
        <f t="shared" si="3"/>
        <v>0</v>
      </c>
    </row>
    <row r="44" spans="1:13" ht="16.5" hidden="1" outlineLevel="1">
      <c r="A44" s="38"/>
      <c r="B44" s="39" t="s">
        <v>36</v>
      </c>
      <c r="C44" s="36">
        <v>15646</v>
      </c>
      <c r="D44" s="36">
        <v>0</v>
      </c>
      <c r="E44" s="48">
        <v>0</v>
      </c>
      <c r="F44" s="48">
        <v>94237.05</v>
      </c>
      <c r="G44" s="49">
        <f t="shared" si="4"/>
        <v>0.16602811739119591</v>
      </c>
      <c r="H44" s="23">
        <f t="shared" si="7"/>
        <v>0</v>
      </c>
      <c r="I44" s="24">
        <f t="shared" si="7"/>
        <v>0</v>
      </c>
      <c r="J44" s="32" t="str" cm="1">
        <f t="array" ref="J44">IFERROR(_xlfn.IFS(B44="044 - BLEND TRADICION","BLEND",B44="113 - CAFÉ GOURMET","GOURMET",B44="114 - CAFÉ CONSUMO","CONSUMO",B44="112 - CAFÉ ORGANICO","GOURMET",B44="172 - CAFÉ COSECHA","ESPECIALES",B44="176 - CAFE DESCAFEINADO","GOURMET",B44="147 - CAPSULAS","CAPSULAS",B44="130 - GALLETAS CAFECITAS","DERIVADOS",B44="140 - MERENGUES","DERIVADOS",B44="100 - CAFÉ ESPECIAL","ESPECIALES",B44="141 - AREQUIPE","DERIVADOS",B44="142 - MERMELADA","DERIVADOS",B44="131 - GALLETAS AVENA","DERIVADOS",B44="160 - SOUVENIR","OTROS",B44="148 - CARAMELOS","DERIVADOS",B44="143 - CHOCOFFES","DERIVADOS",B44="162 - CONVENIOS Y DSC POS ","OTROS"),"OTROS")</f>
        <v>OTROS</v>
      </c>
      <c r="L44" s="27">
        <f t="shared" si="2"/>
        <v>15646</v>
      </c>
      <c r="M44" s="27">
        <f t="shared" si="3"/>
        <v>15646</v>
      </c>
    </row>
    <row r="45" spans="1:13" ht="16.5" hidden="1" outlineLevel="1">
      <c r="A45" s="38"/>
      <c r="B45" s="39" t="s">
        <v>19</v>
      </c>
      <c r="C45" s="36">
        <v>0</v>
      </c>
      <c r="D45" s="36">
        <v>0</v>
      </c>
      <c r="E45" s="48">
        <v>0</v>
      </c>
      <c r="F45" s="48">
        <v>136038.93</v>
      </c>
      <c r="G45" s="49">
        <f t="shared" si="4"/>
        <v>0</v>
      </c>
      <c r="H45" s="23">
        <f t="shared" si="7"/>
        <v>0</v>
      </c>
      <c r="I45" s="24">
        <f t="shared" si="7"/>
        <v>0</v>
      </c>
      <c r="J45" s="32" t="str" cm="1">
        <f t="array" ref="J45">IFERROR(_xlfn.IFS(B45="044 - BLEND TRADICION","BLEND",B45="113 - CAFÉ GOURMET","GOURMET",B45="114 - CAFÉ CONSUMO","CONSUMO",B45="112 - CAFÉ ORGANICO","GOURMET",B45="172 - CAFÉ COSECHA","ESPECIALES",B45="176 - CAFE DESCAFEINADO","GOURMET",B45="147 - CAPSULAS","CAPSULAS",B45="130 - GALLETAS CAFECITAS","DERIVADOS",B45="140 - MERENGUES","DERIVADOS",B45="100 - CAFÉ ESPECIAL","ESPECIALES",B45="141 - AREQUIPE","DERIVADOS",B45="142 - MERMELADA","DERIVADOS",B45="131 - GALLETAS AVENA","DERIVADOS",B45="160 - SOUVENIR","OTROS",B45="148 - CARAMELOS","DERIVADOS",B45="143 - CHOCOFFES","DERIVADOS",B45="162 - CONVENIOS Y DSC POS ","OTROS"),"OTROS")</f>
        <v>ESPECIALES</v>
      </c>
      <c r="L45" s="27">
        <f t="shared" si="2"/>
        <v>0</v>
      </c>
      <c r="M45" s="27">
        <f t="shared" si="3"/>
        <v>0</v>
      </c>
    </row>
    <row r="46" spans="1:13" ht="16.5" hidden="1" outlineLevel="1">
      <c r="A46" s="38"/>
      <c r="B46" s="39" t="s">
        <v>20</v>
      </c>
      <c r="C46" s="36">
        <v>0</v>
      </c>
      <c r="D46" s="36">
        <v>0</v>
      </c>
      <c r="E46" s="48"/>
      <c r="F46" s="48">
        <v>69823497.540000007</v>
      </c>
      <c r="G46" s="49">
        <f t="shared" si="4"/>
        <v>0</v>
      </c>
      <c r="H46" s="23">
        <f t="shared" si="7"/>
        <v>0</v>
      </c>
      <c r="I46" s="24">
        <f t="shared" si="7"/>
        <v>0</v>
      </c>
      <c r="J46" s="32" t="str" cm="1">
        <f t="array" ref="J46">IFERROR(_xlfn.IFS(B46="044 - BLEND TRADICION","BLEND",B46="113 - CAFÉ GOURMET","GOURMET",B46="114 - CAFÉ CONSUMO","CONSUMO",B46="112 - CAFÉ ORGANICO","GOURMET",B46="172 - CAFÉ COSECHA","ESPECIALES",B46="176 - CAFE DESCAFEINADO","GOURMET",B46="147 - CAPSULAS","CAPSULAS",B46="130 - GALLETAS CAFECITAS","DERIVADOS",B46="140 - MERENGUES","DERIVADOS",B46="100 - CAFÉ ESPECIAL","ESPECIALES",B46="141 - AREQUIPE","DERIVADOS",B46="142 - MERMELADA","DERIVADOS",B46="131 - GALLETAS AVENA","DERIVADOS",B46="160 - SOUVENIR","OTROS",B46="148 - CARAMELOS","DERIVADOS",B46="143 - CHOCOFFES","DERIVADOS",B46="162 - CONVENIOS Y DSC POS ","OTROS"),"OTROS")</f>
        <v>GOURMET</v>
      </c>
      <c r="L46" s="27">
        <f t="shared" si="2"/>
        <v>0</v>
      </c>
      <c r="M46" s="27">
        <f t="shared" si="3"/>
        <v>0</v>
      </c>
    </row>
    <row r="47" spans="1:13" ht="16.5" hidden="1" outlineLevel="1">
      <c r="A47" s="38"/>
      <c r="B47" s="39" t="s">
        <v>21</v>
      </c>
      <c r="C47" s="36">
        <v>3623461</v>
      </c>
      <c r="D47" s="36">
        <v>0</v>
      </c>
      <c r="E47" s="48"/>
      <c r="F47" s="48">
        <v>14106647.08</v>
      </c>
      <c r="G47" s="49">
        <f t="shared" si="4"/>
        <v>0.25686195872421302</v>
      </c>
      <c r="H47" s="23">
        <f t="shared" si="7"/>
        <v>0</v>
      </c>
      <c r="I47" s="24">
        <f t="shared" si="7"/>
        <v>0</v>
      </c>
      <c r="J47" s="32" t="str" cm="1">
        <f t="array" ref="J47">IFERROR(_xlfn.IFS(B47="044 - BLEND TRADICION","BLEND",B47="113 - CAFÉ GOURMET","GOURMET",B47="114 - CAFÉ CONSUMO","CONSUMO",B47="112 - CAFÉ ORGANICO","GOURMET",B47="172 - CAFÉ COSECHA","ESPECIALES",B47="176 - CAFE DESCAFEINADO","GOURMET",B47="147 - CAPSULAS","CAPSULAS",B47="130 - GALLETAS CAFECITAS","DERIVADOS",B47="140 - MERENGUES","DERIVADOS",B47="100 - CAFÉ ESPECIAL","ESPECIALES",B47="141 - AREQUIPE","DERIVADOS",B47="142 - MERMELADA","DERIVADOS",B47="131 - GALLETAS AVENA","DERIVADOS",B47="160 - SOUVENIR","OTROS",B47="148 - CARAMELOS","DERIVADOS",B47="143 - CHOCOFFES","DERIVADOS",B47="162 - CONVENIOS Y DSC POS ","OTROS"),"OTROS")</f>
        <v>GOURMET</v>
      </c>
      <c r="L47" s="27">
        <f t="shared" si="2"/>
        <v>3623461</v>
      </c>
      <c r="M47" s="27">
        <f t="shared" si="3"/>
        <v>3623461</v>
      </c>
    </row>
    <row r="48" spans="1:13" ht="16.5" hidden="1" outlineLevel="1">
      <c r="A48" s="38"/>
      <c r="B48" s="39" t="s">
        <v>38</v>
      </c>
      <c r="C48" s="36">
        <v>0</v>
      </c>
      <c r="D48" s="36">
        <v>0</v>
      </c>
      <c r="E48" s="48"/>
      <c r="F48" s="48">
        <v>2927476.03</v>
      </c>
      <c r="G48" s="49">
        <f t="shared" si="4"/>
        <v>0</v>
      </c>
      <c r="H48" s="23">
        <f t="shared" si="7"/>
        <v>0</v>
      </c>
      <c r="I48" s="24">
        <f t="shared" si="7"/>
        <v>0</v>
      </c>
      <c r="J48" s="32" t="str" cm="1">
        <f t="array" ref="J48">IFERROR(_xlfn.IFS(B48="044 - BLEND TRADICION","BLEND",B48="113 - CAFÉ GOURMET","GOURMET",B48="114 - CAFÉ CONSUMO","CONSUMO",B48="112 - CAFÉ ORGANICO","GOURMET",B48="172 - CAFÉ COSECHA","ESPECIALES",B48="176 - CAFE DESCAFEINADO","GOURMET",B48="147 - CAPSULAS","CAPSULAS",B48="130 - GALLETAS CAFECITAS","DERIVADOS",B48="140 - MERENGUES","DERIVADOS",B48="100 - CAFÉ ESPECIAL","ESPECIALES",B48="141 - AREQUIPE","DERIVADOS",B48="142 - MERMELADA","DERIVADOS",B48="131 - GALLETAS AVENA","DERIVADOS",B48="160 - SOUVENIR","OTROS",B48="148 - CARAMELOS","DERIVADOS",B48="143 - CHOCOFFES","DERIVADOS",B48="162 - CONVENIOS Y DSC POS ","OTROS"),"OTROS")</f>
        <v>CONSUMO</v>
      </c>
      <c r="L48" s="27">
        <f t="shared" si="2"/>
        <v>0</v>
      </c>
      <c r="M48" s="27">
        <f t="shared" si="3"/>
        <v>0</v>
      </c>
    </row>
    <row r="49" spans="1:13" ht="16.5" hidden="1" outlineLevel="1">
      <c r="A49" s="38"/>
      <c r="B49" s="39" t="s">
        <v>22</v>
      </c>
      <c r="C49" s="36">
        <v>588982</v>
      </c>
      <c r="D49" s="36">
        <v>0</v>
      </c>
      <c r="E49" s="48"/>
      <c r="F49" s="48">
        <v>256078.41</v>
      </c>
      <c r="G49" s="49">
        <f t="shared" si="4"/>
        <v>2.300006470674353</v>
      </c>
      <c r="H49" s="23">
        <f t="shared" si="7"/>
        <v>0</v>
      </c>
      <c r="I49" s="24">
        <f t="shared" si="7"/>
        <v>0</v>
      </c>
      <c r="J49" s="32" t="str" cm="1">
        <f t="array" ref="J49">IFERROR(_xlfn.IFS(B49="044 - BLEND TRADICION","BLEND",B49="113 - CAFÉ GOURMET","GOURMET",B49="114 - CAFÉ CONSUMO","CONSUMO",B49="112 - CAFÉ ORGANICO","GOURMET",B49="172 - CAFÉ COSECHA","ESPECIALES",B49="176 - CAFE DESCAFEINADO","GOURMET",B49="147 - CAPSULAS","CAPSULAS",B49="130 - GALLETAS CAFECITAS","DERIVADOS",B49="140 - MERENGUES","DERIVADOS",B49="100 - CAFÉ ESPECIAL","ESPECIALES",B49="141 - AREQUIPE","DERIVADOS",B49="142 - MERMELADA","DERIVADOS",B49="131 - GALLETAS AVENA","DERIVADOS",B49="160 - SOUVENIR","OTROS",B49="148 - CARAMELOS","DERIVADOS",B49="143 - CHOCOFFES","DERIVADOS",B49="162 - CONVENIOS Y DSC POS ","OTROS"),"OTROS")</f>
        <v>DERIVADOS</v>
      </c>
      <c r="L49" s="27">
        <f t="shared" si="2"/>
        <v>588982</v>
      </c>
      <c r="M49" s="27">
        <f t="shared" si="3"/>
        <v>588982</v>
      </c>
    </row>
    <row r="50" spans="1:13" ht="16.5" hidden="1" outlineLevel="1">
      <c r="A50" s="38"/>
      <c r="B50" s="39" t="s">
        <v>23</v>
      </c>
      <c r="C50" s="36">
        <v>0</v>
      </c>
      <c r="D50" s="36">
        <v>0</v>
      </c>
      <c r="E50" s="48"/>
      <c r="F50" s="48">
        <v>589663.42000000004</v>
      </c>
      <c r="G50" s="49">
        <f t="shared" si="4"/>
        <v>0</v>
      </c>
      <c r="H50" s="23">
        <f t="shared" si="7"/>
        <v>0</v>
      </c>
      <c r="I50" s="24">
        <f t="shared" si="7"/>
        <v>0</v>
      </c>
      <c r="J50" s="32" t="str" cm="1">
        <f t="array" ref="J50">IFERROR(_xlfn.IFS(B50="044 - BLEND TRADICION","BLEND",B50="113 - CAFÉ GOURMET","GOURMET",B50="114 - CAFÉ CONSUMO","CONSUMO",B50="112 - CAFÉ ORGANICO","GOURMET",B50="172 - CAFÉ COSECHA","ESPECIALES",B50="176 - CAFE DESCAFEINADO","GOURMET",B50="147 - CAPSULAS","CAPSULAS",B50="130 - GALLETAS CAFECITAS","DERIVADOS",B50="140 - MERENGUES","DERIVADOS",B50="100 - CAFÉ ESPECIAL","ESPECIALES",B50="141 - AREQUIPE","DERIVADOS",B50="142 - MERMELADA","DERIVADOS",B50="131 - GALLETAS AVENA","DERIVADOS",B50="160 - SOUVENIR","OTROS",B50="148 - CARAMELOS","DERIVADOS",B50="143 - CHOCOFFES","DERIVADOS",B50="162 - CONVENIOS Y DSC POS ","OTROS"),"OTROS")</f>
        <v>DERIVADOS</v>
      </c>
      <c r="L50" s="27">
        <f t="shared" si="2"/>
        <v>0</v>
      </c>
      <c r="M50" s="27">
        <f t="shared" si="3"/>
        <v>0</v>
      </c>
    </row>
    <row r="51" spans="1:13" ht="16.5" hidden="1" outlineLevel="1">
      <c r="A51" s="38"/>
      <c r="B51" s="39" t="s">
        <v>24</v>
      </c>
      <c r="C51" s="36">
        <v>0</v>
      </c>
      <c r="D51" s="36">
        <v>0</v>
      </c>
      <c r="E51" s="48"/>
      <c r="F51" s="48">
        <v>1309142.77</v>
      </c>
      <c r="G51" s="49">
        <f t="shared" si="4"/>
        <v>0</v>
      </c>
      <c r="H51" s="23">
        <f t="shared" si="7"/>
        <v>0</v>
      </c>
      <c r="I51" s="24">
        <f t="shared" si="7"/>
        <v>0</v>
      </c>
      <c r="J51" s="32" t="str" cm="1">
        <f t="array" ref="J51">IFERROR(_xlfn.IFS(B51="044 - BLEND TRADICION","BLEND",B51="113 - CAFÉ GOURMET","GOURMET",B51="114 - CAFÉ CONSUMO","CONSUMO",B51="112 - CAFÉ ORGANICO","GOURMET",B51="172 - CAFÉ COSECHA","ESPECIALES",B51="176 - CAFE DESCAFEINADO","GOURMET",B51="147 - CAPSULAS","CAPSULAS",B51="130 - GALLETAS CAFECITAS","DERIVADOS",B51="140 - MERENGUES","DERIVADOS",B51="100 - CAFÉ ESPECIAL","ESPECIALES",B51="141 - AREQUIPE","DERIVADOS",B51="142 - MERMELADA","DERIVADOS",B51="131 - GALLETAS AVENA","DERIVADOS",B51="160 - SOUVENIR","OTROS",B51="148 - CARAMELOS","DERIVADOS",B51="143 - CHOCOFFES","DERIVADOS",B51="162 - CONVENIOS Y DSC POS ","OTROS"),"OTROS")</f>
        <v>DERIVADOS</v>
      </c>
      <c r="L51" s="27">
        <f t="shared" si="2"/>
        <v>0</v>
      </c>
      <c r="M51" s="27">
        <f t="shared" si="3"/>
        <v>0</v>
      </c>
    </row>
    <row r="52" spans="1:13" ht="16.5" hidden="1" outlineLevel="1">
      <c r="A52" s="38"/>
      <c r="B52" s="39" t="s">
        <v>25</v>
      </c>
      <c r="C52" s="36">
        <v>0</v>
      </c>
      <c r="D52" s="36">
        <v>0</v>
      </c>
      <c r="E52" s="48">
        <v>0</v>
      </c>
      <c r="F52" s="48">
        <v>11209211.369999999</v>
      </c>
      <c r="G52" s="49">
        <f t="shared" si="4"/>
        <v>0</v>
      </c>
      <c r="H52" s="23">
        <f t="shared" si="7"/>
        <v>0</v>
      </c>
      <c r="I52" s="24">
        <f t="shared" si="7"/>
        <v>0</v>
      </c>
      <c r="J52" s="32" t="str" cm="1">
        <f t="array" ref="J52">IFERROR(_xlfn.IFS(B52="044 - BLEND TRADICION","BLEND",B52="113 - CAFÉ GOURMET","GOURMET",B52="114 - CAFÉ CONSUMO","CONSUMO",B52="112 - CAFÉ ORGANICO","GOURMET",B52="172 - CAFÉ COSECHA","ESPECIALES",B52="176 - CAFE DESCAFEINADO","GOURMET",B52="147 - CAPSULAS","CAPSULAS",B52="130 - GALLETAS CAFECITAS","DERIVADOS",B52="140 - MERENGUES","DERIVADOS",B52="100 - CAFÉ ESPECIAL","ESPECIALES",B52="141 - AREQUIPE","DERIVADOS",B52="142 - MERMELADA","DERIVADOS",B52="131 - GALLETAS AVENA","DERIVADOS",B52="160 - SOUVENIR","OTROS",B52="148 - CARAMELOS","DERIVADOS",B52="143 - CHOCOFFES","DERIVADOS",B52="162 - CONVENIOS Y DSC POS ","OTROS"),"OTROS")</f>
        <v>DERIVADOS</v>
      </c>
      <c r="L52" s="27">
        <f t="shared" si="2"/>
        <v>0</v>
      </c>
      <c r="M52" s="27">
        <f t="shared" si="3"/>
        <v>0</v>
      </c>
    </row>
    <row r="53" spans="1:13" ht="16.5" hidden="1" outlineLevel="1">
      <c r="A53" s="38"/>
      <c r="B53" s="39" t="s">
        <v>26</v>
      </c>
      <c r="C53" s="36">
        <v>19046</v>
      </c>
      <c r="D53" s="36">
        <v>0</v>
      </c>
      <c r="E53" s="48"/>
      <c r="F53" s="48">
        <v>1035181.45</v>
      </c>
      <c r="G53" s="49">
        <f t="shared" si="4"/>
        <v>1.8398706816085238E-2</v>
      </c>
      <c r="H53" s="23">
        <f t="shared" si="7"/>
        <v>0</v>
      </c>
      <c r="I53" s="24">
        <f t="shared" si="7"/>
        <v>0</v>
      </c>
      <c r="J53" s="32" t="str" cm="1">
        <f t="array" ref="J53">IFERROR(_xlfn.IFS(B53="044 - BLEND TRADICION","BLEND",B53="113 - CAFÉ GOURMET","GOURMET",B53="114 - CAFÉ CONSUMO","CONSUMO",B53="112 - CAFÉ ORGANICO","GOURMET",B53="172 - CAFÉ COSECHA","ESPECIALES",B53="176 - CAFE DESCAFEINADO","GOURMET",B53="147 - CAPSULAS","CAPSULAS",B53="130 - GALLETAS CAFECITAS","DERIVADOS",B53="140 - MERENGUES","DERIVADOS",B53="100 - CAFÉ ESPECIAL","ESPECIALES",B53="141 - AREQUIPE","DERIVADOS",B53="142 - MERMELADA","DERIVADOS",B53="131 - GALLETAS AVENA","DERIVADOS",B53="160 - SOUVENIR","OTROS",B53="148 - CARAMELOS","DERIVADOS",B53="143 - CHOCOFFES","DERIVADOS",B53="162 - CONVENIOS Y DSC POS ","OTROS"),"OTROS")</f>
        <v>CAPSULAS</v>
      </c>
      <c r="L53" s="27">
        <f t="shared" si="2"/>
        <v>19046</v>
      </c>
      <c r="M53" s="27">
        <f t="shared" si="3"/>
        <v>19046</v>
      </c>
    </row>
    <row r="54" spans="1:13" ht="16.5" hidden="1" outlineLevel="1">
      <c r="A54" s="38"/>
      <c r="B54" s="39" t="s">
        <v>27</v>
      </c>
      <c r="C54" s="36">
        <v>291431</v>
      </c>
      <c r="D54" s="36">
        <v>0</v>
      </c>
      <c r="E54" s="48"/>
      <c r="F54" s="48">
        <v>11765277.34</v>
      </c>
      <c r="G54" s="49">
        <f t="shared" si="4"/>
        <v>2.4770431803522619E-2</v>
      </c>
      <c r="H54" s="23">
        <f t="shared" si="7"/>
        <v>0</v>
      </c>
      <c r="I54" s="24">
        <f t="shared" si="7"/>
        <v>0</v>
      </c>
      <c r="J54" s="32" t="str" cm="1">
        <f t="array" ref="J54">IFERROR(_xlfn.IFS(B54="044 - BLEND TRADICION","BLEND",B54="113 - CAFÉ GOURMET","GOURMET",B54="114 - CAFÉ CONSUMO","CONSUMO",B54="112 - CAFÉ ORGANICO","GOURMET",B54="172 - CAFÉ COSECHA","ESPECIALES",B54="176 - CAFE DESCAFEINADO","GOURMET",B54="147 - CAPSULAS","CAPSULAS",B54="130 - GALLETAS CAFECITAS","DERIVADOS",B54="140 - MERENGUES","DERIVADOS",B54="100 - CAFÉ ESPECIAL","ESPECIALES",B54="141 - AREQUIPE","DERIVADOS",B54="142 - MERMELADA","DERIVADOS",B54="131 - GALLETAS AVENA","DERIVADOS",B54="160 - SOUVENIR","OTROS",B54="148 - CARAMELOS","DERIVADOS",B54="143 - CHOCOFFES","DERIVADOS",B54="162 - CONVENIOS Y DSC POS ","OTROS"),"OTROS")</f>
        <v>DERIVADOS</v>
      </c>
      <c r="L54" s="27">
        <f t="shared" si="2"/>
        <v>291431</v>
      </c>
      <c r="M54" s="27">
        <f t="shared" si="3"/>
        <v>291431</v>
      </c>
    </row>
    <row r="55" spans="1:13" ht="16.5" hidden="1" outlineLevel="1">
      <c r="A55" s="38"/>
      <c r="B55" s="39" t="s">
        <v>28</v>
      </c>
      <c r="C55" s="36">
        <v>0</v>
      </c>
      <c r="D55" s="36">
        <v>0</v>
      </c>
      <c r="E55" s="48"/>
      <c r="F55" s="48">
        <v>4920564.09</v>
      </c>
      <c r="G55" s="49">
        <f t="shared" si="4"/>
        <v>0</v>
      </c>
      <c r="H55" s="23">
        <f t="shared" si="7"/>
        <v>0</v>
      </c>
      <c r="I55" s="24">
        <f t="shared" si="7"/>
        <v>0</v>
      </c>
      <c r="J55" s="32" t="str" cm="1">
        <f t="array" ref="J55">IFERROR(_xlfn.IFS(B55="044 - BLEND TRADICION","BLEND",B55="113 - CAFÉ GOURMET","GOURMET",B55="114 - CAFÉ CONSUMO","CONSUMO",B55="112 - CAFÉ ORGANICO","GOURMET",B55="172 - CAFÉ COSECHA","ESPECIALES",B55="176 - CAFE DESCAFEINADO","GOURMET",B55="147 - CAPSULAS","CAPSULAS",B55="130 - GALLETAS CAFECITAS","DERIVADOS",B55="140 - MERENGUES","DERIVADOS",B55="100 - CAFÉ ESPECIAL","ESPECIALES",B55="141 - AREQUIPE","DERIVADOS",B55="142 - MERMELADA","DERIVADOS",B55="131 - GALLETAS AVENA","DERIVADOS",B55="160 - SOUVENIR","OTROS",B55="148 - CARAMELOS","DERIVADOS",B55="143 - CHOCOFFES","DERIVADOS",B55="162 - CONVENIOS Y DSC POS ","OTROS"),"OTROS")</f>
        <v>OTROS</v>
      </c>
      <c r="L55" s="27">
        <f t="shared" si="2"/>
        <v>0</v>
      </c>
      <c r="M55" s="27">
        <f t="shared" si="3"/>
        <v>0</v>
      </c>
    </row>
    <row r="56" spans="1:13" ht="16.5" hidden="1" outlineLevel="1">
      <c r="A56" s="19" t="s">
        <v>40</v>
      </c>
      <c r="B56" s="56" t="s">
        <v>32</v>
      </c>
      <c r="C56" s="54">
        <f>SUM(C42:C55)</f>
        <v>4538566</v>
      </c>
      <c r="D56" s="54">
        <f>SUM(D42:D55)</f>
        <v>0</v>
      </c>
      <c r="E56" s="54">
        <f>SUM(E42:E55)</f>
        <v>0</v>
      </c>
      <c r="F56" s="54">
        <f>SUM(F42:F55)</f>
        <v>118279646.59000002</v>
      </c>
      <c r="G56" s="55">
        <f t="shared" si="4"/>
        <v>3.8371487663742432E-2</v>
      </c>
      <c r="H56" s="23">
        <f t="shared" si="7"/>
        <v>0</v>
      </c>
      <c r="I56" s="24">
        <f t="shared" si="7"/>
        <v>0</v>
      </c>
      <c r="J56" s="32" t="str" cm="1">
        <f t="array" ref="J56">IFERROR(_xlfn.IFS(B56="044 - BLEND TRADICION","BLEND",B56="113 - CAFÉ GOURMET","GOURMET",B56="114 - CAFÉ CONSUMO","CONSUMO",B56="112 - CAFÉ ORGANICO","GOURMET",B56="172 - CAFÉ COSECHA","ESPECIALES",B56="176 - CAFE DESCAFEINADO","GOURMET",B56="147 - CAPSULAS","CAPSULAS",B56="130 - GALLETAS CAFECITAS","DERIVADOS",B56="140 - MERENGUES","DERIVADOS",B56="100 - CAFÉ ESPECIAL","ESPECIALES",B56="141 - AREQUIPE","DERIVADOS",B56="142 - MERMELADA","DERIVADOS",B56="131 - GALLETAS AVENA","DERIVADOS",B56="160 - SOUVENIR","OTROS",B56="148 - CARAMELOS","DERIVADOS",B56="143 - CHOCOFFES","DERIVADOS",B56="162 - CONVENIOS Y DSC POS ","OTROS"),"OTROS")</f>
        <v>OTROS</v>
      </c>
      <c r="L56" s="27">
        <f t="shared" si="2"/>
        <v>4538566</v>
      </c>
      <c r="M56" s="27">
        <f t="shared" si="3"/>
        <v>4538566</v>
      </c>
    </row>
    <row r="57" spans="1:13" ht="16.5" collapsed="1">
      <c r="A57" s="28" t="s">
        <v>41</v>
      </c>
      <c r="B57" s="29" t="s">
        <v>17</v>
      </c>
      <c r="C57" s="30">
        <f>+C75+C89+C102+C60</f>
        <v>55222191</v>
      </c>
      <c r="D57" s="30">
        <f>+D75+D89+D102+D60</f>
        <v>-3107055</v>
      </c>
      <c r="E57" s="30">
        <f>+E75+E89+E102+E60</f>
        <v>0</v>
      </c>
      <c r="F57" s="30">
        <f>+F75+F89+F102+F60</f>
        <v>488313278.77999997</v>
      </c>
      <c r="G57" s="31">
        <f t="shared" si="4"/>
        <v>0.11308762919158559</v>
      </c>
      <c r="H57" s="23">
        <f t="shared" si="7"/>
        <v>-5.3267532379897384E-2</v>
      </c>
      <c r="I57" s="24">
        <f t="shared" si="7"/>
        <v>0</v>
      </c>
      <c r="J57" s="32" t="str" cm="1">
        <f t="array" ref="J57">IFERROR(_xlfn.IFS(B57="044 - BLEND TRADICION","BLEND",B57="113 - CAFÉ GOURMET","GOURMET",B57="114 - CAFÉ CONSUMO","CONSUMO",B57="112 - CAFÉ ORGANICO","GOURMET",B57="172 - CAFÉ COSECHA","ESPECIALES",B57="176 - CAFE DESCAFEINADO","GOURMET",B57="147 - CAPSULAS","CAPSULAS",B57="130 - GALLETAS CAFECITAS","DERIVADOS",B57="140 - MERENGUES","DERIVADOS",B57="100 - CAFÉ ESPECIAL","ESPECIALES",B57="141 - AREQUIPE","DERIVADOS",B57="142 - MERMELADA","DERIVADOS",B57="131 - GALLETAS AVENA","DERIVADOS",B57="160 - SOUVENIR","OTROS",B57="148 - CARAMELOS","DERIVADOS",B57="143 - CHOCOFFES","DERIVADOS",B57="162 - CONVENIOS Y DSC POS ","OTROS"),"OTROS")</f>
        <v>OTROS</v>
      </c>
      <c r="L57" s="27">
        <f t="shared" si="2"/>
        <v>58329246</v>
      </c>
      <c r="M57" s="27">
        <f t="shared" si="3"/>
        <v>58329246</v>
      </c>
    </row>
    <row r="58" spans="1:13" ht="16.5" hidden="1" outlineLevel="1">
      <c r="A58" s="38"/>
      <c r="B58" s="39" t="s">
        <v>42</v>
      </c>
      <c r="C58" s="36">
        <v>0</v>
      </c>
      <c r="D58" s="36">
        <v>0</v>
      </c>
      <c r="E58" s="48"/>
      <c r="F58" s="48">
        <v>0</v>
      </c>
      <c r="G58" s="49" t="str">
        <f t="shared" si="4"/>
        <v>-</v>
      </c>
      <c r="H58" s="23">
        <f t="shared" si="7"/>
        <v>0</v>
      </c>
      <c r="I58" s="24">
        <f t="shared" si="7"/>
        <v>0</v>
      </c>
      <c r="J58" s="32" t="str" cm="1">
        <f t="array" ref="J58">IFERROR(_xlfn.IFS(B58="044 - BLEND TRADICION","BLEND",B58="113 - CAFÉ GOURMET","GOURMET",B58="114 - CAFÉ CONSUMO","CONSUMO",B58="112 - CAFÉ ORGANICO","GOURMET",B58="172 - CAFÉ COSECHA","ESPECIALES",B58="176 - CAFE DESCAFEINADO","GOURMET",B58="147 - CAPSULAS","CAPSULAS",B58="130 - GALLETAS CAFECITAS","DERIVADOS",B58="140 - MERENGUES","DERIVADOS",B58="100 - CAFÉ ESPECIAL","ESPECIALES",B58="141 - AREQUIPE","DERIVADOS",B58="142 - MERMELADA","DERIVADOS",B58="131 - GALLETAS AVENA","DERIVADOS",B58="160 - SOUVENIR","OTROS",B58="148 - CARAMELOS","DERIVADOS",B58="143 - CHOCOFFES","DERIVADOS",B58="162 - CONVENIOS Y DSC POS ","OTROS"),"OTROS")</f>
        <v>OTROS</v>
      </c>
      <c r="L58" s="27">
        <f t="shared" si="2"/>
        <v>0</v>
      </c>
      <c r="M58" s="27">
        <f t="shared" si="3"/>
        <v>0</v>
      </c>
    </row>
    <row r="59" spans="1:13" ht="16.5" hidden="1" outlineLevel="1">
      <c r="A59" s="38"/>
      <c r="B59" s="39" t="s">
        <v>21</v>
      </c>
      <c r="C59" s="36">
        <v>0</v>
      </c>
      <c r="D59" s="36">
        <v>0</v>
      </c>
      <c r="E59" s="48"/>
      <c r="F59" s="48">
        <v>0</v>
      </c>
      <c r="G59" s="49" t="str">
        <f t="shared" si="4"/>
        <v>-</v>
      </c>
      <c r="H59" s="23">
        <f t="shared" si="7"/>
        <v>0</v>
      </c>
      <c r="I59" s="24">
        <f t="shared" si="7"/>
        <v>0</v>
      </c>
      <c r="J59" s="32" t="str" cm="1">
        <f t="array" ref="J59">IFERROR(_xlfn.IFS(B59="044 - BLEND TRADICION","BLEND",B59="113 - CAFÉ GOURMET","GOURMET",B59="114 - CAFÉ CONSUMO","CONSUMO",B59="112 - CAFÉ ORGANICO","GOURMET",B59="172 - CAFÉ COSECHA","ESPECIALES",B59="176 - CAFE DESCAFEINADO","GOURMET",B59="147 - CAPSULAS","CAPSULAS",B59="130 - GALLETAS CAFECITAS","DERIVADOS",B59="140 - MERENGUES","DERIVADOS",B59="100 - CAFÉ ESPECIAL","ESPECIALES",B59="141 - AREQUIPE","DERIVADOS",B59="142 - MERMELADA","DERIVADOS",B59="131 - GALLETAS AVENA","DERIVADOS",B59="160 - SOUVENIR","OTROS",B59="148 - CARAMELOS","DERIVADOS",B59="143 - CHOCOFFES","DERIVADOS",B59="162 - CONVENIOS Y DSC POS ","OTROS"),"OTROS")</f>
        <v>GOURMET</v>
      </c>
      <c r="L59" s="27">
        <f t="shared" si="2"/>
        <v>0</v>
      </c>
      <c r="M59" s="27">
        <f t="shared" si="3"/>
        <v>0</v>
      </c>
    </row>
    <row r="60" spans="1:13" ht="16.5" hidden="1" outlineLevel="1">
      <c r="A60" s="19" t="s">
        <v>43</v>
      </c>
      <c r="B60" s="56" t="s">
        <v>32</v>
      </c>
      <c r="C60" s="54">
        <f>SUM(C58:C59)</f>
        <v>0</v>
      </c>
      <c r="D60" s="54">
        <f>SUM(D58:D59)</f>
        <v>0</v>
      </c>
      <c r="E60" s="54">
        <f>SUM(E58:E59)</f>
        <v>0</v>
      </c>
      <c r="F60" s="54">
        <f>SUM(F58:F59)</f>
        <v>0</v>
      </c>
      <c r="G60" s="55" t="str">
        <f t="shared" si="4"/>
        <v>-</v>
      </c>
      <c r="H60" s="23">
        <f t="shared" si="7"/>
        <v>0</v>
      </c>
      <c r="I60" s="24">
        <f t="shared" si="7"/>
        <v>0</v>
      </c>
      <c r="J60" s="32" t="str" cm="1">
        <f t="array" ref="J60">IFERROR(_xlfn.IFS(B60="044 - BLEND TRADICION","BLEND",B60="113 - CAFÉ GOURMET","GOURMET",B60="114 - CAFÉ CONSUMO","CONSUMO",B60="112 - CAFÉ ORGANICO","GOURMET",B60="172 - CAFÉ COSECHA","ESPECIALES",B60="176 - CAFE DESCAFEINADO","GOURMET",B60="147 - CAPSULAS","CAPSULAS",B60="130 - GALLETAS CAFECITAS","DERIVADOS",B60="140 - MERENGUES","DERIVADOS",B60="100 - CAFÉ ESPECIAL","ESPECIALES",B60="141 - AREQUIPE","DERIVADOS",B60="142 - MERMELADA","DERIVADOS",B60="131 - GALLETAS AVENA","DERIVADOS",B60="160 - SOUVENIR","OTROS",B60="148 - CARAMELOS","DERIVADOS",B60="143 - CHOCOFFES","DERIVADOS",B60="162 - CONVENIOS Y DSC POS ","OTROS"),"OTROS")</f>
        <v>OTROS</v>
      </c>
      <c r="L60" s="27">
        <f t="shared" si="2"/>
        <v>0</v>
      </c>
      <c r="M60" s="27">
        <f t="shared" si="3"/>
        <v>0</v>
      </c>
    </row>
    <row r="61" spans="1:13" ht="16.5" hidden="1" outlineLevel="1">
      <c r="A61" s="33"/>
      <c r="B61" s="39" t="s">
        <v>34</v>
      </c>
      <c r="C61" s="36">
        <v>0</v>
      </c>
      <c r="D61" s="36">
        <v>0</v>
      </c>
      <c r="E61" s="48">
        <v>0</v>
      </c>
      <c r="F61" s="48">
        <v>142340.04</v>
      </c>
      <c r="G61" s="49">
        <f t="shared" si="4"/>
        <v>0</v>
      </c>
      <c r="H61" s="23">
        <f t="shared" si="7"/>
        <v>0</v>
      </c>
      <c r="I61" s="24">
        <f t="shared" si="7"/>
        <v>0</v>
      </c>
      <c r="J61" s="32" t="str" cm="1">
        <f t="array" ref="J61">IFERROR(_xlfn.IFS(B61="044 - BLEND TRADICION","BLEND",B61="113 - CAFÉ GOURMET","GOURMET",B61="114 - CAFÉ CONSUMO","CONSUMO",B61="112 - CAFÉ ORGANICO","GOURMET",B61="172 - CAFÉ COSECHA","ESPECIALES",B61="176 - CAFE DESCAFEINADO","GOURMET",B61="147 - CAPSULAS","CAPSULAS",B61="130 - GALLETAS CAFECITAS","DERIVADOS",B61="140 - MERENGUES","DERIVADOS",B61="100 - CAFÉ ESPECIAL","ESPECIALES",B61="141 - AREQUIPE","DERIVADOS",B61="142 - MERMELADA","DERIVADOS",B61="131 - GALLETAS AVENA","DERIVADOS",B61="160 - SOUVENIR","OTROS",B61="148 - CARAMELOS","DERIVADOS",B61="143 - CHOCOFFES","DERIVADOS",B61="162 - CONVENIOS Y DSC POS ","OTROS"),"OTROS")</f>
        <v>OTROS</v>
      </c>
      <c r="L61" s="27">
        <f t="shared" si="2"/>
        <v>0</v>
      </c>
      <c r="M61" s="27">
        <f t="shared" si="3"/>
        <v>0</v>
      </c>
    </row>
    <row r="62" spans="1:13" ht="16.5" hidden="1" outlineLevel="1">
      <c r="A62" s="38"/>
      <c r="B62" s="39" t="s">
        <v>18</v>
      </c>
      <c r="C62" s="36">
        <v>0</v>
      </c>
      <c r="D62" s="36">
        <v>0</v>
      </c>
      <c r="E62" s="48">
        <v>0</v>
      </c>
      <c r="F62" s="48">
        <v>1206734.55</v>
      </c>
      <c r="G62" s="49">
        <f t="shared" si="4"/>
        <v>0</v>
      </c>
      <c r="H62" s="23">
        <f t="shared" si="7"/>
        <v>0</v>
      </c>
      <c r="I62" s="24">
        <f t="shared" si="7"/>
        <v>0</v>
      </c>
      <c r="J62" s="32" t="str" cm="1">
        <f t="array" ref="J62">IFERROR(_xlfn.IFS(B62="044 - BLEND TRADICION","BLEND",B62="113 - CAFÉ GOURMET","GOURMET",B62="114 - CAFÉ CONSUMO","CONSUMO",B62="112 - CAFÉ ORGANICO","GOURMET",B62="172 - CAFÉ COSECHA","ESPECIALES",B62="176 - CAFE DESCAFEINADO","GOURMET",B62="147 - CAPSULAS","CAPSULAS",B62="130 - GALLETAS CAFECITAS","DERIVADOS",B62="140 - MERENGUES","DERIVADOS",B62="100 - CAFÉ ESPECIAL","ESPECIALES",B62="141 - AREQUIPE","DERIVADOS",B62="142 - MERMELADA","DERIVADOS",B62="131 - GALLETAS AVENA","DERIVADOS",B62="160 - SOUVENIR","OTROS",B62="148 - CARAMELOS","DERIVADOS",B62="143 - CHOCOFFES","DERIVADOS",B62="162 - CONVENIOS Y DSC POS ","OTROS"),"OTROS")</f>
        <v>BLEND</v>
      </c>
      <c r="L62" s="27">
        <f t="shared" si="2"/>
        <v>0</v>
      </c>
      <c r="M62" s="27">
        <f t="shared" si="3"/>
        <v>0</v>
      </c>
    </row>
    <row r="63" spans="1:13" ht="16.5" hidden="1" outlineLevel="1">
      <c r="A63" s="38"/>
      <c r="B63" s="39" t="s">
        <v>19</v>
      </c>
      <c r="C63" s="36">
        <v>820729</v>
      </c>
      <c r="D63" s="36">
        <v>0</v>
      </c>
      <c r="E63" s="48">
        <v>0</v>
      </c>
      <c r="F63" s="48">
        <v>3072107.02</v>
      </c>
      <c r="G63" s="49">
        <f t="shared" si="4"/>
        <v>0.26715508107526803</v>
      </c>
      <c r="H63" s="23">
        <f t="shared" si="7"/>
        <v>0</v>
      </c>
      <c r="I63" s="24">
        <f t="shared" si="7"/>
        <v>0</v>
      </c>
      <c r="J63" s="32" t="str" cm="1">
        <f t="array" ref="J63">IFERROR(_xlfn.IFS(B63="044 - BLEND TRADICION","BLEND",B63="113 - CAFÉ GOURMET","GOURMET",B63="114 - CAFÉ CONSUMO","CONSUMO",B63="112 - CAFÉ ORGANICO","GOURMET",B63="172 - CAFÉ COSECHA","ESPECIALES",B63="176 - CAFE DESCAFEINADO","GOURMET",B63="147 - CAPSULAS","CAPSULAS",B63="130 - GALLETAS CAFECITAS","DERIVADOS",B63="140 - MERENGUES","DERIVADOS",B63="100 - CAFÉ ESPECIAL","ESPECIALES",B63="141 - AREQUIPE","DERIVADOS",B63="142 - MERMELADA","DERIVADOS",B63="131 - GALLETAS AVENA","DERIVADOS",B63="160 - SOUVENIR","OTROS",B63="148 - CARAMELOS","DERIVADOS",B63="143 - CHOCOFFES","DERIVADOS",B63="162 - CONVENIOS Y DSC POS ","OTROS"),"OTROS")</f>
        <v>ESPECIALES</v>
      </c>
      <c r="L63" s="27">
        <f t="shared" si="2"/>
        <v>820729</v>
      </c>
      <c r="M63" s="27">
        <f t="shared" si="3"/>
        <v>820729</v>
      </c>
    </row>
    <row r="64" spans="1:13" ht="16.5" hidden="1" outlineLevel="1">
      <c r="A64" s="38"/>
      <c r="B64" s="39" t="s">
        <v>20</v>
      </c>
      <c r="C64" s="36">
        <v>0</v>
      </c>
      <c r="D64" s="36">
        <v>0</v>
      </c>
      <c r="E64" s="48"/>
      <c r="F64" s="48">
        <v>457781.38</v>
      </c>
      <c r="G64" s="49">
        <f t="shared" si="4"/>
        <v>0</v>
      </c>
      <c r="H64" s="23">
        <f t="shared" si="7"/>
        <v>0</v>
      </c>
      <c r="I64" s="24">
        <f t="shared" si="7"/>
        <v>0</v>
      </c>
      <c r="J64" s="32" t="str" cm="1">
        <f t="array" ref="J64">IFERROR(_xlfn.IFS(B64="044 - BLEND TRADICION","BLEND",B64="113 - CAFÉ GOURMET","GOURMET",B64="114 - CAFÉ CONSUMO","CONSUMO",B64="112 - CAFÉ ORGANICO","GOURMET",B64="172 - CAFÉ COSECHA","ESPECIALES",B64="176 - CAFE DESCAFEINADO","GOURMET",B64="147 - CAPSULAS","CAPSULAS",B64="130 - GALLETAS CAFECITAS","DERIVADOS",B64="140 - MERENGUES","DERIVADOS",B64="100 - CAFÉ ESPECIAL","ESPECIALES",B64="141 - AREQUIPE","DERIVADOS",B64="142 - MERMELADA","DERIVADOS",B64="131 - GALLETAS AVENA","DERIVADOS",B64="160 - SOUVENIR","OTROS",B64="148 - CARAMELOS","DERIVADOS",B64="143 - CHOCOFFES","DERIVADOS",B64="162 - CONVENIOS Y DSC POS ","OTROS"),"OTROS")</f>
        <v>GOURMET</v>
      </c>
      <c r="L64" s="27">
        <f t="shared" si="2"/>
        <v>0</v>
      </c>
      <c r="M64" s="27">
        <f t="shared" si="3"/>
        <v>0</v>
      </c>
    </row>
    <row r="65" spans="1:13" ht="16.5" hidden="1" outlineLevel="1">
      <c r="A65" s="38"/>
      <c r="B65" s="39" t="s">
        <v>21</v>
      </c>
      <c r="C65" s="36">
        <v>27993504</v>
      </c>
      <c r="D65" s="36">
        <v>0</v>
      </c>
      <c r="E65" s="48"/>
      <c r="F65" s="48">
        <v>106018093.81999999</v>
      </c>
      <c r="G65" s="49">
        <f t="shared" si="4"/>
        <v>0.26404458891260607</v>
      </c>
      <c r="H65" s="23">
        <f t="shared" si="7"/>
        <v>0</v>
      </c>
      <c r="I65" s="24">
        <f t="shared" si="7"/>
        <v>0</v>
      </c>
      <c r="J65" s="32" t="str" cm="1">
        <f t="array" ref="J65">IFERROR(_xlfn.IFS(B65="044 - BLEND TRADICION","BLEND",B65="113 - CAFÉ GOURMET","GOURMET",B65="114 - CAFÉ CONSUMO","CONSUMO",B65="112 - CAFÉ ORGANICO","GOURMET",B65="172 - CAFÉ COSECHA","ESPECIALES",B65="176 - CAFE DESCAFEINADO","GOURMET",B65="147 - CAPSULAS","CAPSULAS",B65="130 - GALLETAS CAFECITAS","DERIVADOS",B65="140 - MERENGUES","DERIVADOS",B65="100 - CAFÉ ESPECIAL","ESPECIALES",B65="141 - AREQUIPE","DERIVADOS",B65="142 - MERMELADA","DERIVADOS",B65="131 - GALLETAS AVENA","DERIVADOS",B65="160 - SOUVENIR","OTROS",B65="148 - CARAMELOS","DERIVADOS",B65="143 - CHOCOFFES","DERIVADOS",B65="162 - CONVENIOS Y DSC POS ","OTROS"),"OTROS")</f>
        <v>GOURMET</v>
      </c>
      <c r="L65" s="27">
        <f t="shared" si="2"/>
        <v>27993504</v>
      </c>
      <c r="M65" s="27">
        <f t="shared" si="3"/>
        <v>27993504</v>
      </c>
    </row>
    <row r="66" spans="1:13" ht="16.5" hidden="1" outlineLevel="1">
      <c r="A66" s="38"/>
      <c r="B66" s="39" t="s">
        <v>22</v>
      </c>
      <c r="C66" s="36">
        <v>1560656</v>
      </c>
      <c r="D66" s="36">
        <v>0</v>
      </c>
      <c r="E66" s="48"/>
      <c r="F66" s="48">
        <v>5082259.87</v>
      </c>
      <c r="G66" s="49">
        <f t="shared" si="4"/>
        <v>0.30707914194084684</v>
      </c>
      <c r="H66" s="23">
        <f t="shared" si="7"/>
        <v>0</v>
      </c>
      <c r="I66" s="24">
        <f t="shared" si="7"/>
        <v>0</v>
      </c>
      <c r="J66" s="32" t="str" cm="1">
        <f t="array" ref="J66">IFERROR(_xlfn.IFS(B66="044 - BLEND TRADICION","BLEND",B66="113 - CAFÉ GOURMET","GOURMET",B66="114 - CAFÉ CONSUMO","CONSUMO",B66="112 - CAFÉ ORGANICO","GOURMET",B66="172 - CAFÉ COSECHA","ESPECIALES",B66="176 - CAFE DESCAFEINADO","GOURMET",B66="147 - CAPSULAS","CAPSULAS",B66="130 - GALLETAS CAFECITAS","DERIVADOS",B66="140 - MERENGUES","DERIVADOS",B66="100 - CAFÉ ESPECIAL","ESPECIALES",B66="141 - AREQUIPE","DERIVADOS",B66="142 - MERMELADA","DERIVADOS",B66="131 - GALLETAS AVENA","DERIVADOS",B66="160 - SOUVENIR","OTROS",B66="148 - CARAMELOS","DERIVADOS",B66="143 - CHOCOFFES","DERIVADOS",B66="162 - CONVENIOS Y DSC POS ","OTROS"),"OTROS")</f>
        <v>DERIVADOS</v>
      </c>
      <c r="L66" s="27">
        <f t="shared" si="2"/>
        <v>1560656</v>
      </c>
      <c r="M66" s="27">
        <f t="shared" si="3"/>
        <v>1560656</v>
      </c>
    </row>
    <row r="67" spans="1:13" ht="16.5" hidden="1" outlineLevel="1">
      <c r="A67" s="38"/>
      <c r="B67" s="39" t="s">
        <v>23</v>
      </c>
      <c r="C67" s="36">
        <v>0</v>
      </c>
      <c r="D67" s="36">
        <v>0</v>
      </c>
      <c r="E67" s="48"/>
      <c r="F67" s="48">
        <v>42776.35</v>
      </c>
      <c r="G67" s="49">
        <f t="shared" si="4"/>
        <v>0</v>
      </c>
      <c r="H67" s="23">
        <f t="shared" si="7"/>
        <v>0</v>
      </c>
      <c r="I67" s="24">
        <f t="shared" si="7"/>
        <v>0</v>
      </c>
      <c r="J67" s="32" t="str" cm="1">
        <f t="array" ref="J67">IFERROR(_xlfn.IFS(B67="044 - BLEND TRADICION","BLEND",B67="113 - CAFÉ GOURMET","GOURMET",B67="114 - CAFÉ CONSUMO","CONSUMO",B67="112 - CAFÉ ORGANICO","GOURMET",B67="172 - CAFÉ COSECHA","ESPECIALES",B67="176 - CAFE DESCAFEINADO","GOURMET",B67="147 - CAPSULAS","CAPSULAS",B67="130 - GALLETAS CAFECITAS","DERIVADOS",B67="140 - MERENGUES","DERIVADOS",B67="100 - CAFÉ ESPECIAL","ESPECIALES",B67="141 - AREQUIPE","DERIVADOS",B67="142 - MERMELADA","DERIVADOS",B67="131 - GALLETAS AVENA","DERIVADOS",B67="160 - SOUVENIR","OTROS",B67="148 - CARAMELOS","DERIVADOS",B67="143 - CHOCOFFES","DERIVADOS",B67="162 - CONVENIOS Y DSC POS ","OTROS"),"OTROS")</f>
        <v>DERIVADOS</v>
      </c>
      <c r="L67" s="27">
        <f t="shared" si="2"/>
        <v>0</v>
      </c>
      <c r="M67" s="27">
        <f t="shared" si="3"/>
        <v>0</v>
      </c>
    </row>
    <row r="68" spans="1:13" ht="16.5" hidden="1" outlineLevel="1">
      <c r="A68" s="38"/>
      <c r="B68" s="39" t="s">
        <v>24</v>
      </c>
      <c r="C68" s="36">
        <v>0</v>
      </c>
      <c r="D68" s="36">
        <v>0</v>
      </c>
      <c r="E68" s="48">
        <v>0</v>
      </c>
      <c r="F68" s="48">
        <v>253296.1</v>
      </c>
      <c r="G68" s="49">
        <f t="shared" si="4"/>
        <v>0</v>
      </c>
      <c r="H68" s="23">
        <f t="shared" si="7"/>
        <v>0</v>
      </c>
      <c r="I68" s="24">
        <f t="shared" si="7"/>
        <v>0</v>
      </c>
      <c r="J68" s="32" t="str" cm="1">
        <f t="array" ref="J68">IFERROR(_xlfn.IFS(B68="044 - BLEND TRADICION","BLEND",B68="113 - CAFÉ GOURMET","GOURMET",B68="114 - CAFÉ CONSUMO","CONSUMO",B68="112 - CAFÉ ORGANICO","GOURMET",B68="172 - CAFÉ COSECHA","ESPECIALES",B68="176 - CAFE DESCAFEINADO","GOURMET",B68="147 - CAPSULAS","CAPSULAS",B68="130 - GALLETAS CAFECITAS","DERIVADOS",B68="140 - MERENGUES","DERIVADOS",B68="100 - CAFÉ ESPECIAL","ESPECIALES",B68="141 - AREQUIPE","DERIVADOS",B68="142 - MERMELADA","DERIVADOS",B68="131 - GALLETAS AVENA","DERIVADOS",B68="160 - SOUVENIR","OTROS",B68="148 - CARAMELOS","DERIVADOS",B68="143 - CHOCOFFES","DERIVADOS",B68="162 - CONVENIOS Y DSC POS ","OTROS"),"OTROS")</f>
        <v>DERIVADOS</v>
      </c>
      <c r="L68" s="27">
        <f t="shared" si="2"/>
        <v>0</v>
      </c>
      <c r="M68" s="27">
        <f t="shared" si="3"/>
        <v>0</v>
      </c>
    </row>
    <row r="69" spans="1:13" ht="16.5" hidden="1" outlineLevel="1">
      <c r="A69" s="38"/>
      <c r="B69" s="39" t="s">
        <v>25</v>
      </c>
      <c r="C69" s="36">
        <v>3312905</v>
      </c>
      <c r="D69" s="36">
        <v>0</v>
      </c>
      <c r="E69" s="48"/>
      <c r="F69" s="48">
        <v>6237513.8499999996</v>
      </c>
      <c r="G69" s="49">
        <f t="shared" si="4"/>
        <v>0.53112587477461071</v>
      </c>
      <c r="H69" s="23">
        <f t="shared" si="7"/>
        <v>0</v>
      </c>
      <c r="I69" s="24">
        <f t="shared" si="7"/>
        <v>0</v>
      </c>
      <c r="J69" s="32" t="str" cm="1">
        <f t="array" ref="J69">IFERROR(_xlfn.IFS(B69="044 - BLEND TRADICION","BLEND",B69="113 - CAFÉ GOURMET","GOURMET",B69="114 - CAFÉ CONSUMO","CONSUMO",B69="112 - CAFÉ ORGANICO","GOURMET",B69="172 - CAFÉ COSECHA","ESPECIALES",B69="176 - CAFE DESCAFEINADO","GOURMET",B69="147 - CAPSULAS","CAPSULAS",B69="130 - GALLETAS CAFECITAS","DERIVADOS",B69="140 - MERENGUES","DERIVADOS",B69="100 - CAFÉ ESPECIAL","ESPECIALES",B69="141 - AREQUIPE","DERIVADOS",B69="142 - MERMELADA","DERIVADOS",B69="131 - GALLETAS AVENA","DERIVADOS",B69="160 - SOUVENIR","OTROS",B69="148 - CARAMELOS","DERIVADOS",B69="143 - CHOCOFFES","DERIVADOS",B69="162 - CONVENIOS Y DSC POS ","OTROS"),"OTROS")</f>
        <v>DERIVADOS</v>
      </c>
      <c r="L69" s="27">
        <f t="shared" ref="L69:L132" si="8">C69-(D69+E69)</f>
        <v>3312905</v>
      </c>
      <c r="M69" s="27">
        <f t="shared" ref="M69:M132" si="9">L69</f>
        <v>3312905</v>
      </c>
    </row>
    <row r="70" spans="1:13" ht="16.5" hidden="1" outlineLevel="1">
      <c r="A70" s="38"/>
      <c r="B70" s="39" t="s">
        <v>26</v>
      </c>
      <c r="C70" s="36">
        <v>0</v>
      </c>
      <c r="D70" s="36">
        <v>0</v>
      </c>
      <c r="E70" s="48">
        <v>0</v>
      </c>
      <c r="F70" s="48">
        <v>834555.96</v>
      </c>
      <c r="G70" s="49">
        <f t="shared" si="4"/>
        <v>0</v>
      </c>
      <c r="H70" s="23">
        <f t="shared" si="7"/>
        <v>0</v>
      </c>
      <c r="I70" s="24">
        <f t="shared" si="7"/>
        <v>0</v>
      </c>
      <c r="J70" s="32" t="str" cm="1">
        <f t="array" ref="J70">IFERROR(_xlfn.IFS(B70="044 - BLEND TRADICION","BLEND",B70="113 - CAFÉ GOURMET","GOURMET",B70="114 - CAFÉ CONSUMO","CONSUMO",B70="112 - CAFÉ ORGANICO","GOURMET",B70="172 - CAFÉ COSECHA","ESPECIALES",B70="176 - CAFE DESCAFEINADO","GOURMET",B70="147 - CAPSULAS","CAPSULAS",B70="130 - GALLETAS CAFECITAS","DERIVADOS",B70="140 - MERENGUES","DERIVADOS",B70="100 - CAFÉ ESPECIAL","ESPECIALES",B70="141 - AREQUIPE","DERIVADOS",B70="142 - MERMELADA","DERIVADOS",B70="131 - GALLETAS AVENA","DERIVADOS",B70="160 - SOUVENIR","OTROS",B70="148 - CARAMELOS","DERIVADOS",B70="143 - CHOCOFFES","DERIVADOS",B70="162 - CONVENIOS Y DSC POS ","OTROS"),"OTROS")</f>
        <v>CAPSULAS</v>
      </c>
      <c r="L70" s="27">
        <f t="shared" si="8"/>
        <v>0</v>
      </c>
      <c r="M70" s="27">
        <f t="shared" si="9"/>
        <v>0</v>
      </c>
    </row>
    <row r="71" spans="1:13" ht="16.5" hidden="1" outlineLevel="1">
      <c r="A71" s="38"/>
      <c r="B71" s="39" t="s">
        <v>27</v>
      </c>
      <c r="C71" s="36">
        <v>3878190</v>
      </c>
      <c r="D71" s="36">
        <v>0</v>
      </c>
      <c r="E71" s="48">
        <v>0</v>
      </c>
      <c r="F71" s="48">
        <v>6191934.2800000003</v>
      </c>
      <c r="G71" s="49">
        <f t="shared" ref="G71:G126" si="10">IFERROR(C71/F71*100%,"-")</f>
        <v>0.6263293220870555</v>
      </c>
      <c r="H71" s="23">
        <f t="shared" si="7"/>
        <v>0</v>
      </c>
      <c r="I71" s="24">
        <f t="shared" si="7"/>
        <v>0</v>
      </c>
      <c r="J71" s="32" t="str" cm="1">
        <f t="array" ref="J71">IFERROR(_xlfn.IFS(B71="044 - BLEND TRADICION","BLEND",B71="113 - CAFÉ GOURMET","GOURMET",B71="114 - CAFÉ CONSUMO","CONSUMO",B71="112 - CAFÉ ORGANICO","GOURMET",B71="172 - CAFÉ COSECHA","ESPECIALES",B71="176 - CAFE DESCAFEINADO","GOURMET",B71="147 - CAPSULAS","CAPSULAS",B71="130 - GALLETAS CAFECITAS","DERIVADOS",B71="140 - MERENGUES","DERIVADOS",B71="100 - CAFÉ ESPECIAL","ESPECIALES",B71="141 - AREQUIPE","DERIVADOS",B71="142 - MERMELADA","DERIVADOS",B71="131 - GALLETAS AVENA","DERIVADOS",B71="160 - SOUVENIR","OTROS",B71="148 - CARAMELOS","DERIVADOS",B71="143 - CHOCOFFES","DERIVADOS",B71="162 - CONVENIOS Y DSC POS ","OTROS"),"OTROS")</f>
        <v>DERIVADOS</v>
      </c>
      <c r="L71" s="27">
        <f t="shared" si="8"/>
        <v>3878190</v>
      </c>
      <c r="M71" s="27">
        <f t="shared" si="9"/>
        <v>3878190</v>
      </c>
    </row>
    <row r="72" spans="1:13" ht="16.5" hidden="1" outlineLevel="1">
      <c r="A72" s="38"/>
      <c r="B72" s="39" t="s">
        <v>28</v>
      </c>
      <c r="C72" s="36">
        <v>2016676</v>
      </c>
      <c r="D72" s="36">
        <v>0</v>
      </c>
      <c r="E72" s="48"/>
      <c r="F72" s="48">
        <v>6313546.5</v>
      </c>
      <c r="G72" s="49">
        <f t="shared" si="10"/>
        <v>0.31942047152103814</v>
      </c>
      <c r="H72" s="23">
        <f t="shared" si="7"/>
        <v>0</v>
      </c>
      <c r="I72" s="24">
        <f t="shared" si="7"/>
        <v>0</v>
      </c>
      <c r="J72" s="32" t="str" cm="1">
        <f t="array" ref="J72">IFERROR(_xlfn.IFS(B72="044 - BLEND TRADICION","BLEND",B72="113 - CAFÉ GOURMET","GOURMET",B72="114 - CAFÉ CONSUMO","CONSUMO",B72="112 - CAFÉ ORGANICO","GOURMET",B72="172 - CAFÉ COSECHA","ESPECIALES",B72="176 - CAFE DESCAFEINADO","GOURMET",B72="147 - CAPSULAS","CAPSULAS",B72="130 - GALLETAS CAFECITAS","DERIVADOS",B72="140 - MERENGUES","DERIVADOS",B72="100 - CAFÉ ESPECIAL","ESPECIALES",B72="141 - AREQUIPE","DERIVADOS",B72="142 - MERMELADA","DERIVADOS",B72="131 - GALLETAS AVENA","DERIVADOS",B72="160 - SOUVENIR","OTROS",B72="148 - CARAMELOS","DERIVADOS",B72="143 - CHOCOFFES","DERIVADOS",B72="162 - CONVENIOS Y DSC POS ","OTROS"),"OTROS")</f>
        <v>OTROS</v>
      </c>
      <c r="L72" s="27">
        <f t="shared" si="8"/>
        <v>2016676</v>
      </c>
      <c r="M72" s="27">
        <f t="shared" si="9"/>
        <v>2016676</v>
      </c>
    </row>
    <row r="73" spans="1:13" ht="16.5" hidden="1" outlineLevel="1">
      <c r="A73" s="38"/>
      <c r="B73" s="39" t="s">
        <v>29</v>
      </c>
      <c r="C73" s="36">
        <v>0</v>
      </c>
      <c r="D73" s="36">
        <v>0</v>
      </c>
      <c r="E73" s="48">
        <v>0</v>
      </c>
      <c r="F73" s="48">
        <v>10016848.720000001</v>
      </c>
      <c r="G73" s="49">
        <f t="shared" si="10"/>
        <v>0</v>
      </c>
      <c r="H73" s="23">
        <f t="shared" si="7"/>
        <v>0</v>
      </c>
      <c r="I73" s="24">
        <f t="shared" si="7"/>
        <v>0</v>
      </c>
      <c r="J73" s="32" t="str" cm="1">
        <f t="array" ref="J73">IFERROR(_xlfn.IFS(B73="044 - BLEND TRADICION","BLEND",B73="113 - CAFÉ GOURMET","GOURMET",B73="114 - CAFÉ CONSUMO","CONSUMO",B73="112 - CAFÉ ORGANICO","GOURMET",B73="172 - CAFÉ COSECHA","ESPECIALES",B73="176 - CAFE DESCAFEINADO","GOURMET",B73="147 - CAPSULAS","CAPSULAS",B73="130 - GALLETAS CAFECITAS","DERIVADOS",B73="140 - MERENGUES","DERIVADOS",B73="100 - CAFÉ ESPECIAL","ESPECIALES",B73="141 - AREQUIPE","DERIVADOS",B73="142 - MERMELADA","DERIVADOS",B73="131 - GALLETAS AVENA","DERIVADOS",B73="160 - SOUVENIR","OTROS",B73="148 - CARAMELOS","DERIVADOS",B73="143 - CHOCOFFES","DERIVADOS",B73="162 - CONVENIOS Y DSC POS ","OTROS"),"OTROS")</f>
        <v>ESPECIALES</v>
      </c>
      <c r="L73" s="27">
        <f t="shared" si="8"/>
        <v>0</v>
      </c>
      <c r="M73" s="27">
        <f t="shared" si="9"/>
        <v>0</v>
      </c>
    </row>
    <row r="74" spans="1:13" ht="16.5" hidden="1" outlineLevel="1">
      <c r="A74" s="38"/>
      <c r="B74" s="39" t="s">
        <v>30</v>
      </c>
      <c r="C74" s="36">
        <v>0</v>
      </c>
      <c r="D74" s="36">
        <v>0</v>
      </c>
      <c r="E74" s="48">
        <v>0</v>
      </c>
      <c r="F74" s="48">
        <v>1809439.28</v>
      </c>
      <c r="G74" s="49">
        <f t="shared" si="10"/>
        <v>0</v>
      </c>
      <c r="H74" s="23">
        <f t="shared" si="7"/>
        <v>0</v>
      </c>
      <c r="I74" s="24">
        <f t="shared" si="7"/>
        <v>0</v>
      </c>
      <c r="J74" s="32" t="str" cm="1">
        <f t="array" ref="J74">IFERROR(_xlfn.IFS(B74="044 - BLEND TRADICION","BLEND",B74="113 - CAFÉ GOURMET","GOURMET",B74="114 - CAFÉ CONSUMO","CONSUMO",B74="112 - CAFÉ ORGANICO","GOURMET",B74="172 - CAFÉ COSECHA","ESPECIALES",B74="176 - CAFE DESCAFEINADO","GOURMET",B74="147 - CAPSULAS","CAPSULAS",B74="130 - GALLETAS CAFECITAS","DERIVADOS",B74="140 - MERENGUES","DERIVADOS",B74="100 - CAFÉ ESPECIAL","ESPECIALES",B74="141 - AREQUIPE","DERIVADOS",B74="142 - MERMELADA","DERIVADOS",B74="131 - GALLETAS AVENA","DERIVADOS",B74="160 - SOUVENIR","OTROS",B74="148 - CARAMELOS","DERIVADOS",B74="143 - CHOCOFFES","DERIVADOS",B74="162 - CONVENIOS Y DSC POS ","OTROS"),"OTROS")</f>
        <v>GOURMET</v>
      </c>
      <c r="L74" s="27">
        <f t="shared" si="8"/>
        <v>0</v>
      </c>
      <c r="M74" s="27">
        <f t="shared" si="9"/>
        <v>0</v>
      </c>
    </row>
    <row r="75" spans="1:13" ht="16.5" hidden="1" outlineLevel="1">
      <c r="A75" s="19" t="s">
        <v>44</v>
      </c>
      <c r="B75" s="56" t="s">
        <v>32</v>
      </c>
      <c r="C75" s="54">
        <f>SUM(C61:C74)</f>
        <v>39582660</v>
      </c>
      <c r="D75" s="54">
        <f>SUM(D61:D74)</f>
        <v>0</v>
      </c>
      <c r="E75" s="57">
        <v>0</v>
      </c>
      <c r="F75" s="58">
        <f>SUM(F61:F74)</f>
        <v>147679227.71999997</v>
      </c>
      <c r="G75" s="55">
        <f t="shared" si="10"/>
        <v>0.26803133122451578</v>
      </c>
      <c r="H75" s="23">
        <f t="shared" si="7"/>
        <v>0</v>
      </c>
      <c r="I75" s="24">
        <f t="shared" si="7"/>
        <v>0</v>
      </c>
      <c r="J75" s="32" t="str" cm="1">
        <f t="array" ref="J75">IFERROR(_xlfn.IFS(B75="044 - BLEND TRADICION","BLEND",B75="113 - CAFÉ GOURMET","GOURMET",B75="114 - CAFÉ CONSUMO","CONSUMO",B75="112 - CAFÉ ORGANICO","GOURMET",B75="172 - CAFÉ COSECHA","ESPECIALES",B75="176 - CAFE DESCAFEINADO","GOURMET",B75="147 - CAPSULAS","CAPSULAS",B75="130 - GALLETAS CAFECITAS","DERIVADOS",B75="140 - MERENGUES","DERIVADOS",B75="100 - CAFÉ ESPECIAL","ESPECIALES",B75="141 - AREQUIPE","DERIVADOS",B75="142 - MERMELADA","DERIVADOS",B75="131 - GALLETAS AVENA","DERIVADOS",B75="160 - SOUVENIR","OTROS",B75="148 - CARAMELOS","DERIVADOS",B75="143 - CHOCOFFES","DERIVADOS",B75="162 - CONVENIOS Y DSC POS ","OTROS"),"OTROS")</f>
        <v>OTROS</v>
      </c>
      <c r="L75" s="27">
        <f t="shared" si="8"/>
        <v>39582660</v>
      </c>
      <c r="M75" s="27">
        <f t="shared" si="9"/>
        <v>39582660</v>
      </c>
    </row>
    <row r="76" spans="1:13" ht="16.5" hidden="1" outlineLevel="1">
      <c r="A76" s="59"/>
      <c r="B76" s="39" t="s">
        <v>19</v>
      </c>
      <c r="C76" s="36">
        <v>1906617</v>
      </c>
      <c r="D76" s="36">
        <v>0</v>
      </c>
      <c r="E76" s="36">
        <v>0</v>
      </c>
      <c r="F76" s="48">
        <v>2429943.91</v>
      </c>
      <c r="G76" s="49">
        <f t="shared" si="10"/>
        <v>0.7846341605473518</v>
      </c>
      <c r="H76" s="23">
        <f t="shared" si="7"/>
        <v>0</v>
      </c>
      <c r="I76" s="24">
        <f t="shared" si="7"/>
        <v>0</v>
      </c>
      <c r="J76" s="32" t="str" cm="1">
        <f t="array" ref="J76">IFERROR(_xlfn.IFS(B76="044 - BLEND TRADICION","BLEND",B76="113 - CAFÉ GOURMET","GOURMET",B76="114 - CAFÉ CONSUMO","CONSUMO",B76="112 - CAFÉ ORGANICO","GOURMET",B76="172 - CAFÉ COSECHA","ESPECIALES",B76="176 - CAFE DESCAFEINADO","GOURMET",B76="147 - CAPSULAS","CAPSULAS",B76="130 - GALLETAS CAFECITAS","DERIVADOS",B76="140 - MERENGUES","DERIVADOS",B76="100 - CAFÉ ESPECIAL","ESPECIALES",B76="141 - AREQUIPE","DERIVADOS",B76="142 - MERMELADA","DERIVADOS",B76="131 - GALLETAS AVENA","DERIVADOS",B76="160 - SOUVENIR","OTROS",B76="148 - CARAMELOS","DERIVADOS",B76="143 - CHOCOFFES","DERIVADOS",B76="162 - CONVENIOS Y DSC POS ","OTROS"),"OTROS")</f>
        <v>ESPECIALES</v>
      </c>
      <c r="L76" s="27">
        <f t="shared" si="8"/>
        <v>1906617</v>
      </c>
      <c r="M76" s="27">
        <f t="shared" si="9"/>
        <v>1906617</v>
      </c>
    </row>
    <row r="77" spans="1:13" ht="16.5" hidden="1" outlineLevel="1">
      <c r="A77" s="59"/>
      <c r="B77" s="39" t="s">
        <v>20</v>
      </c>
      <c r="C77" s="36">
        <v>0</v>
      </c>
      <c r="D77" s="36">
        <v>0</v>
      </c>
      <c r="E77" s="36">
        <v>0</v>
      </c>
      <c r="F77" s="48">
        <v>2531872.7599999998</v>
      </c>
      <c r="G77" s="49">
        <f t="shared" si="10"/>
        <v>0</v>
      </c>
      <c r="H77" s="23">
        <f t="shared" si="7"/>
        <v>0</v>
      </c>
      <c r="I77" s="24">
        <f t="shared" si="7"/>
        <v>0</v>
      </c>
      <c r="J77" s="32" t="str" cm="1">
        <f t="array" ref="J77">IFERROR(_xlfn.IFS(B77="044 - BLEND TRADICION","BLEND",B77="113 - CAFÉ GOURMET","GOURMET",B77="114 - CAFÉ CONSUMO","CONSUMO",B77="112 - CAFÉ ORGANICO","GOURMET",B77="172 - CAFÉ COSECHA","ESPECIALES",B77="176 - CAFE DESCAFEINADO","GOURMET",B77="147 - CAPSULAS","CAPSULAS",B77="130 - GALLETAS CAFECITAS","DERIVADOS",B77="140 - MERENGUES","DERIVADOS",B77="100 - CAFÉ ESPECIAL","ESPECIALES",B77="141 - AREQUIPE","DERIVADOS",B77="142 - MERMELADA","DERIVADOS",B77="131 - GALLETAS AVENA","DERIVADOS",B77="160 - SOUVENIR","OTROS",B77="148 - CARAMELOS","DERIVADOS",B77="143 - CHOCOFFES","DERIVADOS",B77="162 - CONVENIOS Y DSC POS ","OTROS"),"OTROS")</f>
        <v>GOURMET</v>
      </c>
      <c r="L77" s="27">
        <f t="shared" si="8"/>
        <v>0</v>
      </c>
      <c r="M77" s="27">
        <f t="shared" si="9"/>
        <v>0</v>
      </c>
    </row>
    <row r="78" spans="1:13" ht="16.5" hidden="1" outlineLevel="1">
      <c r="A78" s="59"/>
      <c r="B78" s="39" t="s">
        <v>21</v>
      </c>
      <c r="C78" s="36">
        <v>893970</v>
      </c>
      <c r="D78" s="36">
        <v>-3107055</v>
      </c>
      <c r="E78" s="36">
        <v>0</v>
      </c>
      <c r="F78" s="48">
        <v>112116243.56</v>
      </c>
      <c r="G78" s="49">
        <f t="shared" si="10"/>
        <v>7.9735992895764839E-3</v>
      </c>
      <c r="H78" s="23">
        <f t="shared" si="7"/>
        <v>-0.77656475528145907</v>
      </c>
      <c r="I78" s="24">
        <f t="shared" si="7"/>
        <v>0</v>
      </c>
      <c r="J78" s="32" t="str" cm="1">
        <f t="array" ref="J78">IFERROR(_xlfn.IFS(B78="044 - BLEND TRADICION","BLEND",B78="113 - CAFÉ GOURMET","GOURMET",B78="114 - CAFÉ CONSUMO","CONSUMO",B78="112 - CAFÉ ORGANICO","GOURMET",B78="172 - CAFÉ COSECHA","ESPECIALES",B78="176 - CAFE DESCAFEINADO","GOURMET",B78="147 - CAPSULAS","CAPSULAS",B78="130 - GALLETAS CAFECITAS","DERIVADOS",B78="140 - MERENGUES","DERIVADOS",B78="100 - CAFÉ ESPECIAL","ESPECIALES",B78="141 - AREQUIPE","DERIVADOS",B78="142 - MERMELADA","DERIVADOS",B78="131 - GALLETAS AVENA","DERIVADOS",B78="160 - SOUVENIR","OTROS",B78="148 - CARAMELOS","DERIVADOS",B78="143 - CHOCOFFES","DERIVADOS",B78="162 - CONVENIOS Y DSC POS ","OTROS"),"OTROS")</f>
        <v>GOURMET</v>
      </c>
      <c r="L78" s="27">
        <f t="shared" si="8"/>
        <v>4001025</v>
      </c>
      <c r="M78" s="27">
        <f t="shared" si="9"/>
        <v>4001025</v>
      </c>
    </row>
    <row r="79" spans="1:13" ht="16.5" hidden="1" outlineLevel="1">
      <c r="A79" s="59"/>
      <c r="B79" s="39" t="s">
        <v>22</v>
      </c>
      <c r="C79" s="36">
        <v>446864</v>
      </c>
      <c r="D79" s="36">
        <v>0</v>
      </c>
      <c r="E79" s="36">
        <v>0</v>
      </c>
      <c r="F79" s="48">
        <v>3725758.66</v>
      </c>
      <c r="G79" s="49">
        <f t="shared" si="10"/>
        <v>0.11993906229020213</v>
      </c>
      <c r="H79" s="23">
        <f t="shared" si="7"/>
        <v>0</v>
      </c>
      <c r="I79" s="24">
        <f t="shared" si="7"/>
        <v>0</v>
      </c>
      <c r="J79" s="32" t="str" cm="1">
        <f t="array" ref="J79">IFERROR(_xlfn.IFS(B79="044 - BLEND TRADICION","BLEND",B79="113 - CAFÉ GOURMET","GOURMET",B79="114 - CAFÉ CONSUMO","CONSUMO",B79="112 - CAFÉ ORGANICO","GOURMET",B79="172 - CAFÉ COSECHA","ESPECIALES",B79="176 - CAFE DESCAFEINADO","GOURMET",B79="147 - CAPSULAS","CAPSULAS",B79="130 - GALLETAS CAFECITAS","DERIVADOS",B79="140 - MERENGUES","DERIVADOS",B79="100 - CAFÉ ESPECIAL","ESPECIALES",B79="141 - AREQUIPE","DERIVADOS",B79="142 - MERMELADA","DERIVADOS",B79="131 - GALLETAS AVENA","DERIVADOS",B79="160 - SOUVENIR","OTROS",B79="148 - CARAMELOS","DERIVADOS",B79="143 - CHOCOFFES","DERIVADOS",B79="162 - CONVENIOS Y DSC POS ","OTROS"),"OTROS")</f>
        <v>DERIVADOS</v>
      </c>
      <c r="L79" s="27">
        <f t="shared" si="8"/>
        <v>446864</v>
      </c>
      <c r="M79" s="27">
        <f t="shared" si="9"/>
        <v>446864</v>
      </c>
    </row>
    <row r="80" spans="1:13" ht="16.5" hidden="1" outlineLevel="1">
      <c r="A80" s="59"/>
      <c r="B80" s="39" t="s">
        <v>23</v>
      </c>
      <c r="C80" s="36">
        <v>0</v>
      </c>
      <c r="D80" s="36">
        <v>0</v>
      </c>
      <c r="E80" s="36"/>
      <c r="F80" s="48">
        <v>530387.72</v>
      </c>
      <c r="G80" s="49">
        <f t="shared" si="10"/>
        <v>0</v>
      </c>
      <c r="H80" s="23">
        <f t="shared" si="7"/>
        <v>0</v>
      </c>
      <c r="I80" s="24">
        <f t="shared" si="7"/>
        <v>0</v>
      </c>
      <c r="J80" s="32" t="str" cm="1">
        <f t="array" ref="J80">IFERROR(_xlfn.IFS(B80="044 - BLEND TRADICION","BLEND",B80="113 - CAFÉ GOURMET","GOURMET",B80="114 - CAFÉ CONSUMO","CONSUMO",B80="112 - CAFÉ ORGANICO","GOURMET",B80="172 - CAFÉ COSECHA","ESPECIALES",B80="176 - CAFE DESCAFEINADO","GOURMET",B80="147 - CAPSULAS","CAPSULAS",B80="130 - GALLETAS CAFECITAS","DERIVADOS",B80="140 - MERENGUES","DERIVADOS",B80="100 - CAFÉ ESPECIAL","ESPECIALES",B80="141 - AREQUIPE","DERIVADOS",B80="142 - MERMELADA","DERIVADOS",B80="131 - GALLETAS AVENA","DERIVADOS",B80="160 - SOUVENIR","OTROS",B80="148 - CARAMELOS","DERIVADOS",B80="143 - CHOCOFFES","DERIVADOS",B80="162 - CONVENIOS Y DSC POS ","OTROS"),"OTROS")</f>
        <v>DERIVADOS</v>
      </c>
      <c r="L80" s="27">
        <f t="shared" si="8"/>
        <v>0</v>
      </c>
      <c r="M80" s="27">
        <f t="shared" si="9"/>
        <v>0</v>
      </c>
    </row>
    <row r="81" spans="1:13" ht="16.5" hidden="1" outlineLevel="1">
      <c r="A81" s="59"/>
      <c r="B81" s="39" t="s">
        <v>24</v>
      </c>
      <c r="C81" s="36">
        <v>637730</v>
      </c>
      <c r="D81" s="36">
        <v>0</v>
      </c>
      <c r="E81" s="36"/>
      <c r="F81" s="48">
        <v>1022579.12</v>
      </c>
      <c r="G81" s="49">
        <f t="shared" si="10"/>
        <v>0.62364856423041382</v>
      </c>
      <c r="H81" s="23">
        <f t="shared" si="7"/>
        <v>0</v>
      </c>
      <c r="I81" s="24">
        <f t="shared" si="7"/>
        <v>0</v>
      </c>
      <c r="J81" s="32" t="str" cm="1">
        <f t="array" ref="J81">IFERROR(_xlfn.IFS(B81="044 - BLEND TRADICION","BLEND",B81="113 - CAFÉ GOURMET","GOURMET",B81="114 - CAFÉ CONSUMO","CONSUMO",B81="112 - CAFÉ ORGANICO","GOURMET",B81="172 - CAFÉ COSECHA","ESPECIALES",B81="176 - CAFE DESCAFEINADO","GOURMET",B81="147 - CAPSULAS","CAPSULAS",B81="130 - GALLETAS CAFECITAS","DERIVADOS",B81="140 - MERENGUES","DERIVADOS",B81="100 - CAFÉ ESPECIAL","ESPECIALES",B81="141 - AREQUIPE","DERIVADOS",B81="142 - MERMELADA","DERIVADOS",B81="131 - GALLETAS AVENA","DERIVADOS",B81="160 - SOUVENIR","OTROS",B81="148 - CARAMELOS","DERIVADOS",B81="143 - CHOCOFFES","DERIVADOS",B81="162 - CONVENIOS Y DSC POS ","OTROS"),"OTROS")</f>
        <v>DERIVADOS</v>
      </c>
      <c r="L81" s="27">
        <f t="shared" si="8"/>
        <v>637730</v>
      </c>
      <c r="M81" s="27">
        <f t="shared" si="9"/>
        <v>637730</v>
      </c>
    </row>
    <row r="82" spans="1:13" ht="16.5" hidden="1" outlineLevel="1">
      <c r="A82" s="59"/>
      <c r="B82" s="39" t="s">
        <v>25</v>
      </c>
      <c r="C82" s="36">
        <v>65570</v>
      </c>
      <c r="D82" s="36">
        <v>0</v>
      </c>
      <c r="E82" s="36"/>
      <c r="F82" s="48">
        <v>1766197.25</v>
      </c>
      <c r="G82" s="49">
        <f t="shared" si="10"/>
        <v>3.7124958721343269E-2</v>
      </c>
      <c r="H82" s="23">
        <f t="shared" si="7"/>
        <v>0</v>
      </c>
      <c r="I82" s="24">
        <f t="shared" si="7"/>
        <v>0</v>
      </c>
      <c r="J82" s="32" t="str" cm="1">
        <f t="array" ref="J82">IFERROR(_xlfn.IFS(B82="044 - BLEND TRADICION","BLEND",B82="113 - CAFÉ GOURMET","GOURMET",B82="114 - CAFÉ CONSUMO","CONSUMO",B82="112 - CAFÉ ORGANICO","GOURMET",B82="172 - CAFÉ COSECHA","ESPECIALES",B82="176 - CAFE DESCAFEINADO","GOURMET",B82="147 - CAPSULAS","CAPSULAS",B82="130 - GALLETAS CAFECITAS","DERIVADOS",B82="140 - MERENGUES","DERIVADOS",B82="100 - CAFÉ ESPECIAL","ESPECIALES",B82="141 - AREQUIPE","DERIVADOS",B82="142 - MERMELADA","DERIVADOS",B82="131 - GALLETAS AVENA","DERIVADOS",B82="160 - SOUVENIR","OTROS",B82="148 - CARAMELOS","DERIVADOS",B82="143 - CHOCOFFES","DERIVADOS",B82="162 - CONVENIOS Y DSC POS ","OTROS"),"OTROS")</f>
        <v>DERIVADOS</v>
      </c>
      <c r="L82" s="27">
        <f t="shared" si="8"/>
        <v>65570</v>
      </c>
      <c r="M82" s="27">
        <f t="shared" si="9"/>
        <v>65570</v>
      </c>
    </row>
    <row r="83" spans="1:13" ht="16.5" hidden="1" outlineLevel="1">
      <c r="A83" s="59"/>
      <c r="B83" s="39" t="s">
        <v>26</v>
      </c>
      <c r="C83" s="36">
        <v>909909</v>
      </c>
      <c r="D83" s="36">
        <v>0</v>
      </c>
      <c r="E83" s="36"/>
      <c r="F83" s="48">
        <v>2921002.36</v>
      </c>
      <c r="G83" s="49">
        <f t="shared" si="10"/>
        <v>0.31150573942021742</v>
      </c>
      <c r="H83" s="23">
        <f t="shared" si="7"/>
        <v>0</v>
      </c>
      <c r="I83" s="24">
        <f t="shared" si="7"/>
        <v>0</v>
      </c>
      <c r="J83" s="32" t="str" cm="1">
        <f t="array" ref="J83">IFERROR(_xlfn.IFS(B83="044 - BLEND TRADICION","BLEND",B83="113 - CAFÉ GOURMET","GOURMET",B83="114 - CAFÉ CONSUMO","CONSUMO",B83="112 - CAFÉ ORGANICO","GOURMET",B83="172 - CAFÉ COSECHA","ESPECIALES",B83="176 - CAFE DESCAFEINADO","GOURMET",B83="147 - CAPSULAS","CAPSULAS",B83="130 - GALLETAS CAFECITAS","DERIVADOS",B83="140 - MERENGUES","DERIVADOS",B83="100 - CAFÉ ESPECIAL","ESPECIALES",B83="141 - AREQUIPE","DERIVADOS",B83="142 - MERMELADA","DERIVADOS",B83="131 - GALLETAS AVENA","DERIVADOS",B83="160 - SOUVENIR","OTROS",B83="148 - CARAMELOS","DERIVADOS",B83="143 - CHOCOFFES","DERIVADOS",B83="162 - CONVENIOS Y DSC POS ","OTROS"),"OTROS")</f>
        <v>CAPSULAS</v>
      </c>
      <c r="L83" s="27">
        <f t="shared" si="8"/>
        <v>909909</v>
      </c>
      <c r="M83" s="27">
        <f t="shared" si="9"/>
        <v>909909</v>
      </c>
    </row>
    <row r="84" spans="1:13" ht="16.5" hidden="1" outlineLevel="1">
      <c r="A84" s="59"/>
      <c r="B84" s="39" t="s">
        <v>27</v>
      </c>
      <c r="C84" s="36">
        <v>59531</v>
      </c>
      <c r="D84" s="36">
        <v>0</v>
      </c>
      <c r="E84" s="36"/>
      <c r="F84" s="48">
        <v>1719908.5</v>
      </c>
      <c r="G84" s="49">
        <f t="shared" si="10"/>
        <v>3.4612887836765735E-2</v>
      </c>
      <c r="H84" s="23">
        <f t="shared" si="7"/>
        <v>0</v>
      </c>
      <c r="I84" s="24">
        <f t="shared" si="7"/>
        <v>0</v>
      </c>
      <c r="J84" s="32" t="str" cm="1">
        <f t="array" ref="J84">IFERROR(_xlfn.IFS(B84="044 - BLEND TRADICION","BLEND",B84="113 - CAFÉ GOURMET","GOURMET",B84="114 - CAFÉ CONSUMO","CONSUMO",B84="112 - CAFÉ ORGANICO","GOURMET",B84="172 - CAFÉ COSECHA","ESPECIALES",B84="176 - CAFE DESCAFEINADO","GOURMET",B84="147 - CAPSULAS","CAPSULAS",B84="130 - GALLETAS CAFECITAS","DERIVADOS",B84="140 - MERENGUES","DERIVADOS",B84="100 - CAFÉ ESPECIAL","ESPECIALES",B84="141 - AREQUIPE","DERIVADOS",B84="142 - MERMELADA","DERIVADOS",B84="131 - GALLETAS AVENA","DERIVADOS",B84="160 - SOUVENIR","OTROS",B84="148 - CARAMELOS","DERIVADOS",B84="143 - CHOCOFFES","DERIVADOS",B84="162 - CONVENIOS Y DSC POS ","OTROS"),"OTROS")</f>
        <v>DERIVADOS</v>
      </c>
      <c r="L84" s="27">
        <f t="shared" si="8"/>
        <v>59531</v>
      </c>
      <c r="M84" s="27">
        <f t="shared" si="9"/>
        <v>59531</v>
      </c>
    </row>
    <row r="85" spans="1:13" ht="16.5" hidden="1" outlineLevel="1">
      <c r="A85" s="59"/>
      <c r="B85" s="39" t="s">
        <v>28</v>
      </c>
      <c r="C85" s="36">
        <v>0</v>
      </c>
      <c r="D85" s="36">
        <v>0</v>
      </c>
      <c r="E85" s="36"/>
      <c r="F85" s="48">
        <v>6824547.4699999997</v>
      </c>
      <c r="G85" s="49">
        <f t="shared" si="10"/>
        <v>0</v>
      </c>
      <c r="H85" s="23">
        <f t="shared" ref="H85:I100" si="11">IFERROR(+D85/L85*100%,0)</f>
        <v>0</v>
      </c>
      <c r="I85" s="24">
        <f t="shared" si="11"/>
        <v>0</v>
      </c>
      <c r="J85" s="32" t="str" cm="1">
        <f t="array" ref="J85">IFERROR(_xlfn.IFS(B85="044 - BLEND TRADICION","BLEND",B85="113 - CAFÉ GOURMET","GOURMET",B85="114 - CAFÉ CONSUMO","CONSUMO",B85="112 - CAFÉ ORGANICO","GOURMET",B85="172 - CAFÉ COSECHA","ESPECIALES",B85="176 - CAFE DESCAFEINADO","GOURMET",B85="147 - CAPSULAS","CAPSULAS",B85="130 - GALLETAS CAFECITAS","DERIVADOS",B85="140 - MERENGUES","DERIVADOS",B85="100 - CAFÉ ESPECIAL","ESPECIALES",B85="141 - AREQUIPE","DERIVADOS",B85="142 - MERMELADA","DERIVADOS",B85="131 - GALLETAS AVENA","DERIVADOS",B85="160 - SOUVENIR","OTROS",B85="148 - CARAMELOS","DERIVADOS",B85="143 - CHOCOFFES","DERIVADOS",B85="162 - CONVENIOS Y DSC POS ","OTROS"),"OTROS")</f>
        <v>OTROS</v>
      </c>
      <c r="L85" s="27">
        <f t="shared" si="8"/>
        <v>0</v>
      </c>
      <c r="M85" s="27">
        <f t="shared" si="9"/>
        <v>0</v>
      </c>
    </row>
    <row r="86" spans="1:13" ht="16.5" hidden="1" outlineLevel="1">
      <c r="A86" s="59"/>
      <c r="B86" s="39" t="s">
        <v>29</v>
      </c>
      <c r="C86" s="36">
        <v>50940</v>
      </c>
      <c r="D86" s="36">
        <v>0</v>
      </c>
      <c r="E86" s="36"/>
      <c r="F86" s="48">
        <v>1667302.64</v>
      </c>
      <c r="G86" s="49">
        <f t="shared" si="10"/>
        <v>3.0552341715238934E-2</v>
      </c>
      <c r="H86" s="23">
        <f t="shared" si="11"/>
        <v>0</v>
      </c>
      <c r="I86" s="24">
        <f t="shared" si="11"/>
        <v>0</v>
      </c>
      <c r="J86" s="32" t="str" cm="1">
        <f t="array" ref="J86">IFERROR(_xlfn.IFS(B86="044 - BLEND TRADICION","BLEND",B86="113 - CAFÉ GOURMET","GOURMET",B86="114 - CAFÉ CONSUMO","CONSUMO",B86="112 - CAFÉ ORGANICO","GOURMET",B86="172 - CAFÉ COSECHA","ESPECIALES",B86="176 - CAFE DESCAFEINADO","GOURMET",B86="147 - CAPSULAS","CAPSULAS",B86="130 - GALLETAS CAFECITAS","DERIVADOS",B86="140 - MERENGUES","DERIVADOS",B86="100 - CAFÉ ESPECIAL","ESPECIALES",B86="141 - AREQUIPE","DERIVADOS",B86="142 - MERMELADA","DERIVADOS",B86="131 - GALLETAS AVENA","DERIVADOS",B86="160 - SOUVENIR","OTROS",B86="148 - CARAMELOS","DERIVADOS",B86="143 - CHOCOFFES","DERIVADOS",B86="162 - CONVENIOS Y DSC POS ","OTROS"),"OTROS")</f>
        <v>ESPECIALES</v>
      </c>
      <c r="L86" s="27">
        <f t="shared" si="8"/>
        <v>50940</v>
      </c>
      <c r="M86" s="27">
        <f t="shared" si="9"/>
        <v>50940</v>
      </c>
    </row>
    <row r="87" spans="1:13" ht="16.5" hidden="1" outlineLevel="1">
      <c r="A87" s="59"/>
      <c r="B87" s="39" t="s">
        <v>30</v>
      </c>
      <c r="C87" s="36">
        <v>0</v>
      </c>
      <c r="D87" s="36">
        <v>0</v>
      </c>
      <c r="E87" s="36"/>
      <c r="F87" s="48">
        <v>382592.22</v>
      </c>
      <c r="G87" s="49">
        <f t="shared" si="10"/>
        <v>0</v>
      </c>
      <c r="H87" s="23">
        <f t="shared" si="11"/>
        <v>0</v>
      </c>
      <c r="I87" s="24">
        <f t="shared" si="11"/>
        <v>0</v>
      </c>
      <c r="J87" s="32" t="str" cm="1">
        <f t="array" ref="J87">IFERROR(_xlfn.IFS(B87="044 - BLEND TRADICION","BLEND",B87="113 - CAFÉ GOURMET","GOURMET",B87="114 - CAFÉ CONSUMO","CONSUMO",B87="112 - CAFÉ ORGANICO","GOURMET",B87="172 - CAFÉ COSECHA","ESPECIALES",B87="176 - CAFE DESCAFEINADO","GOURMET",B87="147 - CAPSULAS","CAPSULAS",B87="130 - GALLETAS CAFECITAS","DERIVADOS",B87="140 - MERENGUES","DERIVADOS",B87="100 - CAFÉ ESPECIAL","ESPECIALES",B87="141 - AREQUIPE","DERIVADOS",B87="142 - MERMELADA","DERIVADOS",B87="131 - GALLETAS AVENA","DERIVADOS",B87="160 - SOUVENIR","OTROS",B87="148 - CARAMELOS","DERIVADOS",B87="143 - CHOCOFFES","DERIVADOS",B87="162 - CONVENIOS Y DSC POS ","OTROS"),"OTROS")</f>
        <v>GOURMET</v>
      </c>
      <c r="L87" s="27">
        <f t="shared" si="8"/>
        <v>0</v>
      </c>
      <c r="M87" s="27">
        <f t="shared" si="9"/>
        <v>0</v>
      </c>
    </row>
    <row r="88" spans="1:13" ht="16.5" hidden="1" outlineLevel="1">
      <c r="A88" s="59"/>
      <c r="B88" s="39" t="s">
        <v>31</v>
      </c>
      <c r="C88" s="36">
        <v>24000</v>
      </c>
      <c r="D88" s="36">
        <v>0</v>
      </c>
      <c r="E88" s="36"/>
      <c r="F88" s="48">
        <v>0</v>
      </c>
      <c r="G88" s="49" t="str">
        <f t="shared" si="10"/>
        <v>-</v>
      </c>
      <c r="H88" s="23">
        <f t="shared" si="11"/>
        <v>0</v>
      </c>
      <c r="I88" s="24">
        <f t="shared" si="11"/>
        <v>0</v>
      </c>
      <c r="J88" s="32" t="str" cm="1">
        <f t="array" ref="J88">IFERROR(_xlfn.IFS(B88="044 - BLEND TRADICION","BLEND",B88="113 - CAFÉ GOURMET","GOURMET",B88="114 - CAFÉ CONSUMO","CONSUMO",B88="112 - CAFÉ ORGANICO","GOURMET",B88="172 - CAFÉ COSECHA","ESPECIALES",B88="176 - CAFE DESCAFEINADO","GOURMET",B88="147 - CAPSULAS","CAPSULAS",B88="130 - GALLETAS CAFECITAS","DERIVADOS",B88="140 - MERENGUES","DERIVADOS",B88="100 - CAFÉ ESPECIAL","ESPECIALES",B88="141 - AREQUIPE","DERIVADOS",B88="142 - MERMELADA","DERIVADOS",B88="131 - GALLETAS AVENA","DERIVADOS",B88="160 - SOUVENIR","OTROS",B88="148 - CARAMELOS","DERIVADOS",B88="143 - CHOCOFFES","DERIVADOS",B88="162 - CONVENIOS Y DSC POS ","OTROS"),"OTROS")</f>
        <v>OTROS</v>
      </c>
      <c r="L88" s="27">
        <f t="shared" si="8"/>
        <v>24000</v>
      </c>
      <c r="M88" s="27">
        <f t="shared" si="9"/>
        <v>24000</v>
      </c>
    </row>
    <row r="89" spans="1:13" ht="16.5" hidden="1" outlineLevel="1">
      <c r="A89" s="19" t="s">
        <v>45</v>
      </c>
      <c r="B89" s="56" t="s">
        <v>32</v>
      </c>
      <c r="C89" s="54">
        <f>SUM(C76:C88)</f>
        <v>4995131</v>
      </c>
      <c r="D89" s="54">
        <f>SUM(D76:D88)</f>
        <v>-3107055</v>
      </c>
      <c r="E89" s="57">
        <v>0</v>
      </c>
      <c r="F89" s="58">
        <f>SUM(F76:F88)</f>
        <v>137638336.16999999</v>
      </c>
      <c r="G89" s="55">
        <f t="shared" si="10"/>
        <v>3.6291713043017385E-2</v>
      </c>
      <c r="H89" s="23">
        <f t="shared" si="11"/>
        <v>-0.38348354382385197</v>
      </c>
      <c r="I89" s="24">
        <f t="shared" si="11"/>
        <v>0</v>
      </c>
      <c r="J89" s="32" t="str" cm="1">
        <f t="array" ref="J89">IFERROR(_xlfn.IFS(B89="044 - BLEND TRADICION","BLEND",B89="113 - CAFÉ GOURMET","GOURMET",B89="114 - CAFÉ CONSUMO","CONSUMO",B89="112 - CAFÉ ORGANICO","GOURMET",B89="172 - CAFÉ COSECHA","ESPECIALES",B89="176 - CAFE DESCAFEINADO","GOURMET",B89="147 - CAPSULAS","CAPSULAS",B89="130 - GALLETAS CAFECITAS","DERIVADOS",B89="140 - MERENGUES","DERIVADOS",B89="100 - CAFÉ ESPECIAL","ESPECIALES",B89="141 - AREQUIPE","DERIVADOS",B89="142 - MERMELADA","DERIVADOS",B89="131 - GALLETAS AVENA","DERIVADOS",B89="160 - SOUVENIR","OTROS",B89="148 - CARAMELOS","DERIVADOS",B89="143 - CHOCOFFES","DERIVADOS",B89="162 - CONVENIOS Y DSC POS ","OTROS"),"OTROS")</f>
        <v>OTROS</v>
      </c>
      <c r="L89" s="27">
        <f t="shared" si="8"/>
        <v>8102186</v>
      </c>
      <c r="M89" s="27">
        <f t="shared" si="9"/>
        <v>8102186</v>
      </c>
    </row>
    <row r="90" spans="1:13" ht="16.5" hidden="1" outlineLevel="1">
      <c r="A90" s="59"/>
      <c r="B90" s="39" t="s">
        <v>18</v>
      </c>
      <c r="C90" s="60">
        <v>521600</v>
      </c>
      <c r="D90" s="60">
        <v>0</v>
      </c>
      <c r="E90" s="36">
        <v>0</v>
      </c>
      <c r="F90" s="48">
        <v>4980625.03</v>
      </c>
      <c r="G90" s="49">
        <f t="shared" si="10"/>
        <v>0.10472581189272945</v>
      </c>
      <c r="H90" s="23">
        <f t="shared" si="11"/>
        <v>0</v>
      </c>
      <c r="I90" s="24">
        <f t="shared" si="11"/>
        <v>0</v>
      </c>
      <c r="J90" s="32" t="str" cm="1">
        <f t="array" ref="J90">IFERROR(_xlfn.IFS(B90="044 - BLEND TRADICION","BLEND",B90="113 - CAFÉ GOURMET","GOURMET",B90="114 - CAFÉ CONSUMO","CONSUMO",B90="112 - CAFÉ ORGANICO","GOURMET",B90="172 - CAFÉ COSECHA","ESPECIALES",B90="176 - CAFE DESCAFEINADO","GOURMET",B90="147 - CAPSULAS","CAPSULAS",B90="130 - GALLETAS CAFECITAS","DERIVADOS",B90="140 - MERENGUES","DERIVADOS",B90="100 - CAFÉ ESPECIAL","ESPECIALES",B90="141 - AREQUIPE","DERIVADOS",B90="142 - MERMELADA","DERIVADOS",B90="131 - GALLETAS AVENA","DERIVADOS",B90="160 - SOUVENIR","OTROS",B90="148 - CARAMELOS","DERIVADOS",B90="143 - CHOCOFFES","DERIVADOS",B90="162 - CONVENIOS Y DSC POS ","OTROS"),"OTROS")</f>
        <v>BLEND</v>
      </c>
      <c r="L90" s="27">
        <f t="shared" si="8"/>
        <v>521600</v>
      </c>
      <c r="M90" s="27">
        <f t="shared" si="9"/>
        <v>521600</v>
      </c>
    </row>
    <row r="91" spans="1:13" ht="16.5" hidden="1" outlineLevel="1">
      <c r="A91" s="59"/>
      <c r="B91" s="39" t="s">
        <v>19</v>
      </c>
      <c r="C91" s="60">
        <v>57047</v>
      </c>
      <c r="D91" s="60">
        <v>0</v>
      </c>
      <c r="E91" s="36">
        <v>0</v>
      </c>
      <c r="F91" s="48">
        <v>4364104.07</v>
      </c>
      <c r="G91" s="49">
        <f t="shared" si="10"/>
        <v>1.3071869754930018E-2</v>
      </c>
      <c r="H91" s="23">
        <f t="shared" si="11"/>
        <v>0</v>
      </c>
      <c r="I91" s="24">
        <f t="shared" si="11"/>
        <v>0</v>
      </c>
      <c r="J91" s="32" t="str" cm="1">
        <f t="array" ref="J91">IFERROR(_xlfn.IFS(B91="044 - BLEND TRADICION","BLEND",B91="113 - CAFÉ GOURMET","GOURMET",B91="114 - CAFÉ CONSUMO","CONSUMO",B91="112 - CAFÉ ORGANICO","GOURMET",B91="172 - CAFÉ COSECHA","ESPECIALES",B91="176 - CAFE DESCAFEINADO","GOURMET",B91="147 - CAPSULAS","CAPSULAS",B91="130 - GALLETAS CAFECITAS","DERIVADOS",B91="140 - MERENGUES","DERIVADOS",B91="100 - CAFÉ ESPECIAL","ESPECIALES",B91="141 - AREQUIPE","DERIVADOS",B91="142 - MERMELADA","DERIVADOS",B91="131 - GALLETAS AVENA","DERIVADOS",B91="160 - SOUVENIR","OTROS",B91="148 - CARAMELOS","DERIVADOS",B91="143 - CHOCOFFES","DERIVADOS",B91="162 - CONVENIOS Y DSC POS ","OTROS"),"OTROS")</f>
        <v>ESPECIALES</v>
      </c>
      <c r="L91" s="27">
        <f t="shared" si="8"/>
        <v>57047</v>
      </c>
      <c r="M91" s="27">
        <f t="shared" si="9"/>
        <v>57047</v>
      </c>
    </row>
    <row r="92" spans="1:13" ht="16.5" hidden="1" outlineLevel="1">
      <c r="A92" s="59"/>
      <c r="B92" s="39" t="s">
        <v>20</v>
      </c>
      <c r="C92" s="60">
        <v>0</v>
      </c>
      <c r="D92" s="60">
        <v>0</v>
      </c>
      <c r="E92" s="36">
        <v>0</v>
      </c>
      <c r="F92" s="48">
        <v>6833481.9699999997</v>
      </c>
      <c r="G92" s="49">
        <f t="shared" si="10"/>
        <v>0</v>
      </c>
      <c r="H92" s="23">
        <f t="shared" si="11"/>
        <v>0</v>
      </c>
      <c r="I92" s="24">
        <f t="shared" si="11"/>
        <v>0</v>
      </c>
      <c r="J92" s="32" t="str" cm="1">
        <f t="array" ref="J92">IFERROR(_xlfn.IFS(B92="044 - BLEND TRADICION","BLEND",B92="113 - CAFÉ GOURMET","GOURMET",B92="114 - CAFÉ CONSUMO","CONSUMO",B92="112 - CAFÉ ORGANICO","GOURMET",B92="172 - CAFÉ COSECHA","ESPECIALES",B92="176 - CAFE DESCAFEINADO","GOURMET",B92="147 - CAPSULAS","CAPSULAS",B92="130 - GALLETAS CAFECITAS","DERIVADOS",B92="140 - MERENGUES","DERIVADOS",B92="100 - CAFÉ ESPECIAL","ESPECIALES",B92="141 - AREQUIPE","DERIVADOS",B92="142 - MERMELADA","DERIVADOS",B92="131 - GALLETAS AVENA","DERIVADOS",B92="160 - SOUVENIR","OTROS",B92="148 - CARAMELOS","DERIVADOS",B92="143 - CHOCOFFES","DERIVADOS",B92="162 - CONVENIOS Y DSC POS ","OTROS"),"OTROS")</f>
        <v>GOURMET</v>
      </c>
      <c r="L92" s="27">
        <f t="shared" si="8"/>
        <v>0</v>
      </c>
      <c r="M92" s="27">
        <f t="shared" si="9"/>
        <v>0</v>
      </c>
    </row>
    <row r="93" spans="1:13" ht="16.5" hidden="1" outlineLevel="1">
      <c r="A93" s="59"/>
      <c r="B93" s="39" t="s">
        <v>21</v>
      </c>
      <c r="C93" s="60">
        <v>7875025</v>
      </c>
      <c r="D93" s="60">
        <v>0</v>
      </c>
      <c r="E93" s="36">
        <v>0</v>
      </c>
      <c r="F93" s="48">
        <v>128071723.90000001</v>
      </c>
      <c r="G93" s="49">
        <f t="shared" si="10"/>
        <v>6.1489177784074471E-2</v>
      </c>
      <c r="H93" s="23">
        <f t="shared" si="11"/>
        <v>0</v>
      </c>
      <c r="I93" s="24">
        <f t="shared" si="11"/>
        <v>0</v>
      </c>
      <c r="J93" s="32" t="str" cm="1">
        <f t="array" ref="J93">IFERROR(_xlfn.IFS(B93="044 - BLEND TRADICION","BLEND",B93="113 - CAFÉ GOURMET","GOURMET",B93="114 - CAFÉ CONSUMO","CONSUMO",B93="112 - CAFÉ ORGANICO","GOURMET",B93="172 - CAFÉ COSECHA","ESPECIALES",B93="176 - CAFE DESCAFEINADO","GOURMET",B93="147 - CAPSULAS","CAPSULAS",B93="130 - GALLETAS CAFECITAS","DERIVADOS",B93="140 - MERENGUES","DERIVADOS",B93="100 - CAFÉ ESPECIAL","ESPECIALES",B93="141 - AREQUIPE","DERIVADOS",B93="142 - MERMELADA","DERIVADOS",B93="131 - GALLETAS AVENA","DERIVADOS",B93="160 - SOUVENIR","OTROS",B93="148 - CARAMELOS","DERIVADOS",B93="143 - CHOCOFFES","DERIVADOS",B93="162 - CONVENIOS Y DSC POS ","OTROS"),"OTROS")</f>
        <v>GOURMET</v>
      </c>
      <c r="L93" s="27">
        <f t="shared" si="8"/>
        <v>7875025</v>
      </c>
      <c r="M93" s="27">
        <f t="shared" si="9"/>
        <v>7875025</v>
      </c>
    </row>
    <row r="94" spans="1:13" ht="16.5" hidden="1" outlineLevel="1">
      <c r="A94" s="59"/>
      <c r="B94" s="39" t="s">
        <v>22</v>
      </c>
      <c r="C94" s="60">
        <v>106396</v>
      </c>
      <c r="D94" s="60">
        <v>0</v>
      </c>
      <c r="E94" s="36">
        <v>0</v>
      </c>
      <c r="F94" s="48">
        <v>5287340.72</v>
      </c>
      <c r="G94" s="49">
        <f t="shared" si="10"/>
        <v>2.0122781117082995E-2</v>
      </c>
      <c r="H94" s="23">
        <f t="shared" si="11"/>
        <v>0</v>
      </c>
      <c r="I94" s="24">
        <f t="shared" si="11"/>
        <v>0</v>
      </c>
      <c r="J94" s="32" t="str" cm="1">
        <f t="array" ref="J94">IFERROR(_xlfn.IFS(B94="044 - BLEND TRADICION","BLEND",B94="113 - CAFÉ GOURMET","GOURMET",B94="114 - CAFÉ CONSUMO","CONSUMO",B94="112 - CAFÉ ORGANICO","GOURMET",B94="172 - CAFÉ COSECHA","ESPECIALES",B94="176 - CAFE DESCAFEINADO","GOURMET",B94="147 - CAPSULAS","CAPSULAS",B94="130 - GALLETAS CAFECITAS","DERIVADOS",B94="140 - MERENGUES","DERIVADOS",B94="100 - CAFÉ ESPECIAL","ESPECIALES",B94="141 - AREQUIPE","DERIVADOS",B94="142 - MERMELADA","DERIVADOS",B94="131 - GALLETAS AVENA","DERIVADOS",B94="160 - SOUVENIR","OTROS",B94="148 - CARAMELOS","DERIVADOS",B94="143 - CHOCOFFES","DERIVADOS",B94="162 - CONVENIOS Y DSC POS ","OTROS"),"OTROS")</f>
        <v>DERIVADOS</v>
      </c>
      <c r="L94" s="27">
        <f t="shared" si="8"/>
        <v>106396</v>
      </c>
      <c r="M94" s="27">
        <f t="shared" si="9"/>
        <v>106396</v>
      </c>
    </row>
    <row r="95" spans="1:13" ht="16.5" hidden="1" outlineLevel="1">
      <c r="A95" s="59"/>
      <c r="B95" s="39" t="s">
        <v>24</v>
      </c>
      <c r="C95" s="60">
        <v>75920</v>
      </c>
      <c r="D95" s="60">
        <v>0</v>
      </c>
      <c r="E95" s="36"/>
      <c r="F95" s="48">
        <v>843982.64</v>
      </c>
      <c r="G95" s="49">
        <f t="shared" si="10"/>
        <v>8.9954456883141576E-2</v>
      </c>
      <c r="H95" s="23">
        <f t="shared" si="11"/>
        <v>0</v>
      </c>
      <c r="I95" s="24">
        <f t="shared" si="11"/>
        <v>0</v>
      </c>
      <c r="J95" s="32" t="str" cm="1">
        <f t="array" ref="J95">IFERROR(_xlfn.IFS(B95="044 - BLEND TRADICION","BLEND",B95="113 - CAFÉ GOURMET","GOURMET",B95="114 - CAFÉ CONSUMO","CONSUMO",B95="112 - CAFÉ ORGANICO","GOURMET",B95="172 - CAFÉ COSECHA","ESPECIALES",B95="176 - CAFE DESCAFEINADO","GOURMET",B95="147 - CAPSULAS","CAPSULAS",B95="130 - GALLETAS CAFECITAS","DERIVADOS",B95="140 - MERENGUES","DERIVADOS",B95="100 - CAFÉ ESPECIAL","ESPECIALES",B95="141 - AREQUIPE","DERIVADOS",B95="142 - MERMELADA","DERIVADOS",B95="131 - GALLETAS AVENA","DERIVADOS",B95="160 - SOUVENIR","OTROS",B95="148 - CARAMELOS","DERIVADOS",B95="143 - CHOCOFFES","DERIVADOS",B95="162 - CONVENIOS Y DSC POS ","OTROS"),"OTROS")</f>
        <v>DERIVADOS</v>
      </c>
      <c r="L95" s="27">
        <f t="shared" si="8"/>
        <v>75920</v>
      </c>
      <c r="M95" s="27">
        <f t="shared" si="9"/>
        <v>75920</v>
      </c>
    </row>
    <row r="96" spans="1:13" ht="16.5" hidden="1" outlineLevel="1">
      <c r="A96" s="59"/>
      <c r="B96" s="39" t="s">
        <v>25</v>
      </c>
      <c r="C96" s="60">
        <v>361113</v>
      </c>
      <c r="D96" s="60">
        <v>0</v>
      </c>
      <c r="E96" s="36"/>
      <c r="F96" s="48">
        <v>5547744.04</v>
      </c>
      <c r="G96" s="49">
        <f t="shared" si="10"/>
        <v>6.5091863899330152E-2</v>
      </c>
      <c r="H96" s="23">
        <f t="shared" si="11"/>
        <v>0</v>
      </c>
      <c r="I96" s="24">
        <f t="shared" si="11"/>
        <v>0</v>
      </c>
      <c r="J96" s="32" t="str" cm="1">
        <f t="array" ref="J96">IFERROR(_xlfn.IFS(B96="044 - BLEND TRADICION","BLEND",B96="113 - CAFÉ GOURMET","GOURMET",B96="114 - CAFÉ CONSUMO","CONSUMO",B96="112 - CAFÉ ORGANICO","GOURMET",B96="172 - CAFÉ COSECHA","ESPECIALES",B96="176 - CAFE DESCAFEINADO","GOURMET",B96="147 - CAPSULAS","CAPSULAS",B96="130 - GALLETAS CAFECITAS","DERIVADOS",B96="140 - MERENGUES","DERIVADOS",B96="100 - CAFÉ ESPECIAL","ESPECIALES",B96="141 - AREQUIPE","DERIVADOS",B96="142 - MERMELADA","DERIVADOS",B96="131 - GALLETAS AVENA","DERIVADOS",B96="160 - SOUVENIR","OTROS",B96="148 - CARAMELOS","DERIVADOS",B96="143 - CHOCOFFES","DERIVADOS",B96="162 - CONVENIOS Y DSC POS ","OTROS"),"OTROS")</f>
        <v>DERIVADOS</v>
      </c>
      <c r="L96" s="27">
        <f t="shared" si="8"/>
        <v>361113</v>
      </c>
      <c r="M96" s="27">
        <f t="shared" si="9"/>
        <v>361113</v>
      </c>
    </row>
    <row r="97" spans="1:13" ht="16.5" hidden="1" outlineLevel="1">
      <c r="A97" s="59"/>
      <c r="B97" s="39" t="s">
        <v>26</v>
      </c>
      <c r="C97" s="60">
        <v>0</v>
      </c>
      <c r="D97" s="60">
        <v>0</v>
      </c>
      <c r="E97" s="36"/>
      <c r="F97" s="48">
        <v>1612858.44</v>
      </c>
      <c r="G97" s="49">
        <f t="shared" si="10"/>
        <v>0</v>
      </c>
      <c r="H97" s="23">
        <f t="shared" si="11"/>
        <v>0</v>
      </c>
      <c r="I97" s="24">
        <f t="shared" si="11"/>
        <v>0</v>
      </c>
      <c r="J97" s="32" t="str" cm="1">
        <f t="array" ref="J97">IFERROR(_xlfn.IFS(B97="044 - BLEND TRADICION","BLEND",B97="113 - CAFÉ GOURMET","GOURMET",B97="114 - CAFÉ CONSUMO","CONSUMO",B97="112 - CAFÉ ORGANICO","GOURMET",B97="172 - CAFÉ COSECHA","ESPECIALES",B97="176 - CAFE DESCAFEINADO","GOURMET",B97="147 - CAPSULAS","CAPSULAS",B97="130 - GALLETAS CAFECITAS","DERIVADOS",B97="140 - MERENGUES","DERIVADOS",B97="100 - CAFÉ ESPECIAL","ESPECIALES",B97="141 - AREQUIPE","DERIVADOS",B97="142 - MERMELADA","DERIVADOS",B97="131 - GALLETAS AVENA","DERIVADOS",B97="160 - SOUVENIR","OTROS",B97="148 - CARAMELOS","DERIVADOS",B97="143 - CHOCOFFES","DERIVADOS",B97="162 - CONVENIOS Y DSC POS ","OTROS"),"OTROS")</f>
        <v>CAPSULAS</v>
      </c>
      <c r="L97" s="27">
        <f t="shared" si="8"/>
        <v>0</v>
      </c>
      <c r="M97" s="27">
        <f t="shared" si="9"/>
        <v>0</v>
      </c>
    </row>
    <row r="98" spans="1:13" ht="16.5" hidden="1" outlineLevel="1">
      <c r="A98" s="59"/>
      <c r="B98" s="39" t="s">
        <v>27</v>
      </c>
      <c r="C98" s="60">
        <v>0</v>
      </c>
      <c r="D98" s="60">
        <v>0</v>
      </c>
      <c r="E98" s="36"/>
      <c r="F98" s="48">
        <v>6748851.9699999997</v>
      </c>
      <c r="G98" s="49">
        <f t="shared" si="10"/>
        <v>0</v>
      </c>
      <c r="H98" s="23">
        <f t="shared" si="11"/>
        <v>0</v>
      </c>
      <c r="I98" s="24">
        <f t="shared" si="11"/>
        <v>0</v>
      </c>
      <c r="J98" s="32" t="str" cm="1">
        <f t="array" ref="J98">IFERROR(_xlfn.IFS(B98="044 - BLEND TRADICION","BLEND",B98="113 - CAFÉ GOURMET","GOURMET",B98="114 - CAFÉ CONSUMO","CONSUMO",B98="112 - CAFÉ ORGANICO","GOURMET",B98="172 - CAFÉ COSECHA","ESPECIALES",B98="176 - CAFE DESCAFEINADO","GOURMET",B98="147 - CAPSULAS","CAPSULAS",B98="130 - GALLETAS CAFECITAS","DERIVADOS",B98="140 - MERENGUES","DERIVADOS",B98="100 - CAFÉ ESPECIAL","ESPECIALES",B98="141 - AREQUIPE","DERIVADOS",B98="142 - MERMELADA","DERIVADOS",B98="131 - GALLETAS AVENA","DERIVADOS",B98="160 - SOUVENIR","OTROS",B98="148 - CARAMELOS","DERIVADOS",B98="143 - CHOCOFFES","DERIVADOS",B98="162 - CONVENIOS Y DSC POS ","OTROS"),"OTROS")</f>
        <v>DERIVADOS</v>
      </c>
      <c r="L98" s="27">
        <f t="shared" si="8"/>
        <v>0</v>
      </c>
      <c r="M98" s="27">
        <f t="shared" si="9"/>
        <v>0</v>
      </c>
    </row>
    <row r="99" spans="1:13" ht="16.5" hidden="1" outlineLevel="1">
      <c r="A99" s="59"/>
      <c r="B99" s="39" t="s">
        <v>28</v>
      </c>
      <c r="C99" s="60">
        <v>0</v>
      </c>
      <c r="D99" s="60">
        <v>0</v>
      </c>
      <c r="E99" s="36"/>
      <c r="F99" s="48">
        <v>13175768.16</v>
      </c>
      <c r="G99" s="49">
        <f t="shared" si="10"/>
        <v>0</v>
      </c>
      <c r="H99" s="23">
        <f t="shared" si="11"/>
        <v>0</v>
      </c>
      <c r="I99" s="24">
        <f t="shared" si="11"/>
        <v>0</v>
      </c>
      <c r="J99" s="32" t="str" cm="1">
        <f t="array" ref="J99">IFERROR(_xlfn.IFS(B99="044 - BLEND TRADICION","BLEND",B99="113 - CAFÉ GOURMET","GOURMET",B99="114 - CAFÉ CONSUMO","CONSUMO",B99="112 - CAFÉ ORGANICO","GOURMET",B99="172 - CAFÉ COSECHA","ESPECIALES",B99="176 - CAFE DESCAFEINADO","GOURMET",B99="147 - CAPSULAS","CAPSULAS",B99="130 - GALLETAS CAFECITAS","DERIVADOS",B99="140 - MERENGUES","DERIVADOS",B99="100 - CAFÉ ESPECIAL","ESPECIALES",B99="141 - AREQUIPE","DERIVADOS",B99="142 - MERMELADA","DERIVADOS",B99="131 - GALLETAS AVENA","DERIVADOS",B99="160 - SOUVENIR","OTROS",B99="148 - CARAMELOS","DERIVADOS",B99="143 - CHOCOFFES","DERIVADOS",B99="162 - CONVENIOS Y DSC POS ","OTROS"),"OTROS")</f>
        <v>OTROS</v>
      </c>
      <c r="L99" s="27">
        <f t="shared" si="8"/>
        <v>0</v>
      </c>
      <c r="M99" s="27">
        <f t="shared" si="9"/>
        <v>0</v>
      </c>
    </row>
    <row r="100" spans="1:13" ht="16.5" hidden="1" outlineLevel="1">
      <c r="A100" s="59"/>
      <c r="B100" s="39" t="s">
        <v>29</v>
      </c>
      <c r="C100" s="60">
        <v>382056</v>
      </c>
      <c r="D100" s="60">
        <v>0</v>
      </c>
      <c r="E100" s="36"/>
      <c r="F100" s="48">
        <v>23863639.710000001</v>
      </c>
      <c r="G100" s="49">
        <f t="shared" si="10"/>
        <v>1.6009963469231409E-2</v>
      </c>
      <c r="H100" s="23">
        <f t="shared" si="11"/>
        <v>0</v>
      </c>
      <c r="I100" s="24">
        <f t="shared" si="11"/>
        <v>0</v>
      </c>
      <c r="J100" s="32" t="str" cm="1">
        <f t="array" ref="J100">IFERROR(_xlfn.IFS(B100="044 - BLEND TRADICION","BLEND",B100="113 - CAFÉ GOURMET","GOURMET",B100="114 - CAFÉ CONSUMO","CONSUMO",B100="112 - CAFÉ ORGANICO","GOURMET",B100="172 - CAFÉ COSECHA","ESPECIALES",B100="176 - CAFE DESCAFEINADO","GOURMET",B100="147 - CAPSULAS","CAPSULAS",B100="130 - GALLETAS CAFECITAS","DERIVADOS",B100="140 - MERENGUES","DERIVADOS",B100="100 - CAFÉ ESPECIAL","ESPECIALES",B100="141 - AREQUIPE","DERIVADOS",B100="142 - MERMELADA","DERIVADOS",B100="131 - GALLETAS AVENA","DERIVADOS",B100="160 - SOUVENIR","OTROS",B100="148 - CARAMELOS","DERIVADOS",B100="143 - CHOCOFFES","DERIVADOS",B100="162 - CONVENIOS Y DSC POS ","OTROS"),"OTROS")</f>
        <v>ESPECIALES</v>
      </c>
      <c r="L100" s="27">
        <f t="shared" si="8"/>
        <v>382056</v>
      </c>
      <c r="M100" s="27">
        <f t="shared" si="9"/>
        <v>382056</v>
      </c>
    </row>
    <row r="101" spans="1:13" ht="16.5" hidden="1" outlineLevel="1">
      <c r="A101" s="59"/>
      <c r="B101" s="39" t="s">
        <v>30</v>
      </c>
      <c r="C101" s="60">
        <v>1265243</v>
      </c>
      <c r="D101" s="60">
        <v>0</v>
      </c>
      <c r="E101" s="36">
        <v>0</v>
      </c>
      <c r="F101" s="48">
        <v>1665594.24</v>
      </c>
      <c r="G101" s="49">
        <f t="shared" si="10"/>
        <v>0.75963459143566681</v>
      </c>
      <c r="H101" s="23">
        <f t="shared" ref="H101:I119" si="12">IFERROR(+D101/L101*100%,0)</f>
        <v>0</v>
      </c>
      <c r="I101" s="24">
        <f t="shared" si="12"/>
        <v>0</v>
      </c>
      <c r="J101" s="32" t="str" cm="1">
        <f t="array" ref="J101">IFERROR(_xlfn.IFS(B101="044 - BLEND TRADICION","BLEND",B101="113 - CAFÉ GOURMET","GOURMET",B101="114 - CAFÉ CONSUMO","CONSUMO",B101="112 - CAFÉ ORGANICO","GOURMET",B101="172 - CAFÉ COSECHA","ESPECIALES",B101="176 - CAFE DESCAFEINADO","GOURMET",B101="147 - CAPSULAS","CAPSULAS",B101="130 - GALLETAS CAFECITAS","DERIVADOS",B101="140 - MERENGUES","DERIVADOS",B101="100 - CAFÉ ESPECIAL","ESPECIALES",B101="141 - AREQUIPE","DERIVADOS",B101="142 - MERMELADA","DERIVADOS",B101="131 - GALLETAS AVENA","DERIVADOS",B101="160 - SOUVENIR","OTROS",B101="148 - CARAMELOS","DERIVADOS",B101="143 - CHOCOFFES","DERIVADOS",B101="162 - CONVENIOS Y DSC POS ","OTROS"),"OTROS")</f>
        <v>GOURMET</v>
      </c>
      <c r="L101" s="27">
        <f t="shared" si="8"/>
        <v>1265243</v>
      </c>
      <c r="M101" s="27">
        <f t="shared" si="9"/>
        <v>1265243</v>
      </c>
    </row>
    <row r="102" spans="1:13" ht="16.5" hidden="1" outlineLevel="1">
      <c r="A102" s="19" t="s">
        <v>46</v>
      </c>
      <c r="B102" s="56" t="s">
        <v>32</v>
      </c>
      <c r="C102" s="54">
        <f>SUM(C90:C101)</f>
        <v>10644400</v>
      </c>
      <c r="D102" s="54">
        <f>SUM(D90:D101)</f>
        <v>0</v>
      </c>
      <c r="E102" s="54">
        <f>SUM(E90:E101)</f>
        <v>0</v>
      </c>
      <c r="F102" s="54">
        <f>SUM(F90:F101)</f>
        <v>202995714.88999999</v>
      </c>
      <c r="G102" s="55">
        <f t="shared" si="10"/>
        <v>5.2436574859563038E-2</v>
      </c>
      <c r="H102" s="23">
        <f t="shared" si="12"/>
        <v>0</v>
      </c>
      <c r="I102" s="24">
        <f t="shared" si="12"/>
        <v>0</v>
      </c>
      <c r="J102" s="32" t="str" cm="1">
        <f t="array" ref="J102">IFERROR(_xlfn.IFS(B102="044 - BLEND TRADICION","BLEND",B102="113 - CAFÉ GOURMET","GOURMET",B102="114 - CAFÉ CONSUMO","CONSUMO",B102="112 - CAFÉ ORGANICO","GOURMET",B102="172 - CAFÉ COSECHA","ESPECIALES",B102="176 - CAFE DESCAFEINADO","GOURMET",B102="147 - CAPSULAS","CAPSULAS",B102="130 - GALLETAS CAFECITAS","DERIVADOS",B102="140 - MERENGUES","DERIVADOS",B102="100 - CAFÉ ESPECIAL","ESPECIALES",B102="141 - AREQUIPE","DERIVADOS",B102="142 - MERMELADA","DERIVADOS",B102="131 - GALLETAS AVENA","DERIVADOS",B102="160 - SOUVENIR","OTROS",B102="148 - CARAMELOS","DERIVADOS",B102="143 - CHOCOFFES","DERIVADOS",B102="162 - CONVENIOS Y DSC POS ","OTROS"),"OTROS")</f>
        <v>OTROS</v>
      </c>
      <c r="L102" s="27">
        <f t="shared" si="8"/>
        <v>10644400</v>
      </c>
      <c r="M102" s="27">
        <f t="shared" si="9"/>
        <v>10644400</v>
      </c>
    </row>
    <row r="103" spans="1:13" ht="16.5" collapsed="1">
      <c r="A103" s="28" t="s">
        <v>47</v>
      </c>
      <c r="B103" s="29" t="s">
        <v>17</v>
      </c>
      <c r="C103" s="30">
        <f>+C124+C138+C154+C170+C185+C110</f>
        <v>75551556</v>
      </c>
      <c r="D103" s="30">
        <f>+D124+D138+D154+D170+D185+D110</f>
        <v>0</v>
      </c>
      <c r="E103" s="30">
        <f>+E124+E138+E154+E170+E185+E110</f>
        <v>0</v>
      </c>
      <c r="F103" s="30">
        <f>+F124+F138+F154+F170+F185+F110</f>
        <v>664228042.13999987</v>
      </c>
      <c r="G103" s="31">
        <f t="shared" si="10"/>
        <v>0.11374340016809459</v>
      </c>
      <c r="H103" s="23">
        <f t="shared" si="12"/>
        <v>0</v>
      </c>
      <c r="I103" s="24">
        <f t="shared" si="12"/>
        <v>0</v>
      </c>
      <c r="J103" s="32" t="str" cm="1">
        <f t="array" ref="J103">IFERROR(_xlfn.IFS(B103="044 - BLEND TRADICION","BLEND",B103="113 - CAFÉ GOURMET","GOURMET",B103="114 - CAFÉ CONSUMO","CONSUMO",B103="112 - CAFÉ ORGANICO","GOURMET",B103="172 - CAFÉ COSECHA","ESPECIALES",B103="176 - CAFE DESCAFEINADO","GOURMET",B103="147 - CAPSULAS","CAPSULAS",B103="130 - GALLETAS CAFECITAS","DERIVADOS",B103="140 - MERENGUES","DERIVADOS",B103="100 - CAFÉ ESPECIAL","ESPECIALES",B103="141 - AREQUIPE","DERIVADOS",B103="142 - MERMELADA","DERIVADOS",B103="131 - GALLETAS AVENA","DERIVADOS",B103="160 - SOUVENIR","OTROS",B103="148 - CARAMELOS","DERIVADOS",B103="143 - CHOCOFFES","DERIVADOS",B103="162 - CONVENIOS Y DSC POS ","OTROS"),"OTROS")</f>
        <v>OTROS</v>
      </c>
      <c r="L103" s="27">
        <f t="shared" si="8"/>
        <v>75551556</v>
      </c>
      <c r="M103" s="27">
        <f t="shared" si="9"/>
        <v>75551556</v>
      </c>
    </row>
    <row r="104" spans="1:13" ht="16.5" hidden="1" outlineLevel="1">
      <c r="A104" s="38"/>
      <c r="B104" s="39" t="s">
        <v>19</v>
      </c>
      <c r="C104" s="36">
        <v>0</v>
      </c>
      <c r="D104" s="36">
        <v>0</v>
      </c>
      <c r="E104" s="36">
        <v>0</v>
      </c>
      <c r="F104" s="36">
        <v>397872.45</v>
      </c>
      <c r="G104" s="37">
        <f t="shared" si="10"/>
        <v>0</v>
      </c>
      <c r="H104" s="23">
        <f t="shared" si="12"/>
        <v>0</v>
      </c>
      <c r="I104" s="24">
        <f t="shared" si="12"/>
        <v>0</v>
      </c>
      <c r="J104" s="32" t="str" cm="1">
        <f t="array" ref="J104">IFERROR(_xlfn.IFS(B104="044 - BLEND TRADICION","BLEND",B104="113 - CAFÉ GOURMET","GOURMET",B104="114 - CAFÉ CONSUMO","CONSUMO",B104="112 - CAFÉ ORGANICO","GOURMET",B104="172 - CAFÉ COSECHA","ESPECIALES",B104="176 - CAFE DESCAFEINADO","GOURMET",B104="147 - CAPSULAS","CAPSULAS",B104="130 - GALLETAS CAFECITAS","DERIVADOS",B104="140 - MERENGUES","DERIVADOS",B104="100 - CAFÉ ESPECIAL","ESPECIALES",B104="141 - AREQUIPE","DERIVADOS",B104="142 - MERMELADA","DERIVADOS",B104="131 - GALLETAS AVENA","DERIVADOS",B104="160 - SOUVENIR","OTROS",B104="148 - CARAMELOS","DERIVADOS",B104="143 - CHOCOFFES","DERIVADOS",B104="162 - CONVENIOS Y DSC POS ","OTROS"),"OTROS")</f>
        <v>ESPECIALES</v>
      </c>
      <c r="L104" s="27">
        <f t="shared" si="8"/>
        <v>0</v>
      </c>
      <c r="M104" s="27">
        <f t="shared" si="9"/>
        <v>0</v>
      </c>
    </row>
    <row r="105" spans="1:13" ht="16.5" hidden="1" outlineLevel="1">
      <c r="A105" s="38"/>
      <c r="B105" s="39" t="s">
        <v>20</v>
      </c>
      <c r="C105" s="36">
        <v>0</v>
      </c>
      <c r="D105" s="36">
        <v>0</v>
      </c>
      <c r="E105" s="36"/>
      <c r="F105" s="36">
        <v>550199.43000000005</v>
      </c>
      <c r="G105" s="37">
        <f t="shared" si="10"/>
        <v>0</v>
      </c>
      <c r="H105" s="23">
        <f t="shared" si="12"/>
        <v>0</v>
      </c>
      <c r="I105" s="24">
        <f t="shared" si="12"/>
        <v>0</v>
      </c>
      <c r="J105" s="32" t="str" cm="1">
        <f t="array" ref="J105">IFERROR(_xlfn.IFS(B105="044 - BLEND TRADICION","BLEND",B105="113 - CAFÉ GOURMET","GOURMET",B105="114 - CAFÉ CONSUMO","CONSUMO",B105="112 - CAFÉ ORGANICO","GOURMET",B105="172 - CAFÉ COSECHA","ESPECIALES",B105="176 - CAFE DESCAFEINADO","GOURMET",B105="147 - CAPSULAS","CAPSULAS",B105="130 - GALLETAS CAFECITAS","DERIVADOS",B105="140 - MERENGUES","DERIVADOS",B105="100 - CAFÉ ESPECIAL","ESPECIALES",B105="141 - AREQUIPE","DERIVADOS",B105="142 - MERMELADA","DERIVADOS",B105="131 - GALLETAS AVENA","DERIVADOS",B105="160 - SOUVENIR","OTROS",B105="148 - CARAMELOS","DERIVADOS",B105="143 - CHOCOFFES","DERIVADOS",B105="162 - CONVENIOS Y DSC POS ","OTROS"),"OTROS")</f>
        <v>GOURMET</v>
      </c>
      <c r="L105" s="27">
        <f t="shared" si="8"/>
        <v>0</v>
      </c>
      <c r="M105" s="27">
        <f t="shared" si="9"/>
        <v>0</v>
      </c>
    </row>
    <row r="106" spans="1:13" ht="16.5" hidden="1" outlineLevel="1">
      <c r="A106" s="38"/>
      <c r="B106" s="39" t="s">
        <v>21</v>
      </c>
      <c r="C106" s="36">
        <v>0</v>
      </c>
      <c r="D106" s="36">
        <v>0</v>
      </c>
      <c r="E106" s="36"/>
      <c r="F106" s="36">
        <v>1226924.78</v>
      </c>
      <c r="G106" s="37">
        <f t="shared" si="10"/>
        <v>0</v>
      </c>
      <c r="H106" s="23">
        <f t="shared" si="12"/>
        <v>0</v>
      </c>
      <c r="I106" s="24">
        <f t="shared" si="12"/>
        <v>0</v>
      </c>
      <c r="J106" s="32" t="str" cm="1">
        <f t="array" ref="J106">IFERROR(_xlfn.IFS(B106="044 - BLEND TRADICION","BLEND",B106="113 - CAFÉ GOURMET","GOURMET",B106="114 - CAFÉ CONSUMO","CONSUMO",B106="112 - CAFÉ ORGANICO","GOURMET",B106="172 - CAFÉ COSECHA","ESPECIALES",B106="176 - CAFE DESCAFEINADO","GOURMET",B106="147 - CAPSULAS","CAPSULAS",B106="130 - GALLETAS CAFECITAS","DERIVADOS",B106="140 - MERENGUES","DERIVADOS",B106="100 - CAFÉ ESPECIAL","ESPECIALES",B106="141 - AREQUIPE","DERIVADOS",B106="142 - MERMELADA","DERIVADOS",B106="131 - GALLETAS AVENA","DERIVADOS",B106="160 - SOUVENIR","OTROS",B106="148 - CARAMELOS","DERIVADOS",B106="143 - CHOCOFFES","DERIVADOS",B106="162 - CONVENIOS Y DSC POS ","OTROS"),"OTROS")</f>
        <v>GOURMET</v>
      </c>
      <c r="L106" s="27">
        <f t="shared" si="8"/>
        <v>0</v>
      </c>
      <c r="M106" s="27">
        <f t="shared" si="9"/>
        <v>0</v>
      </c>
    </row>
    <row r="107" spans="1:13" ht="16.5" hidden="1" outlineLevel="1">
      <c r="A107" s="38"/>
      <c r="B107" s="39" t="s">
        <v>22</v>
      </c>
      <c r="C107" s="36">
        <v>0</v>
      </c>
      <c r="D107" s="36">
        <v>0</v>
      </c>
      <c r="E107" s="36"/>
      <c r="F107" s="36">
        <v>231859.77</v>
      </c>
      <c r="G107" s="37">
        <f t="shared" si="10"/>
        <v>0</v>
      </c>
      <c r="H107" s="23">
        <f t="shared" si="12"/>
        <v>0</v>
      </c>
      <c r="I107" s="24">
        <f t="shared" si="12"/>
        <v>0</v>
      </c>
      <c r="J107" s="32" t="str" cm="1">
        <f t="array" ref="J107">IFERROR(_xlfn.IFS(B107="044 - BLEND TRADICION","BLEND",B107="113 - CAFÉ GOURMET","GOURMET",B107="114 - CAFÉ CONSUMO","CONSUMO",B107="112 - CAFÉ ORGANICO","GOURMET",B107="172 - CAFÉ COSECHA","ESPECIALES",B107="176 - CAFE DESCAFEINADO","GOURMET",B107="147 - CAPSULAS","CAPSULAS",B107="130 - GALLETAS CAFECITAS","DERIVADOS",B107="140 - MERENGUES","DERIVADOS",B107="100 - CAFÉ ESPECIAL","ESPECIALES",B107="141 - AREQUIPE","DERIVADOS",B107="142 - MERMELADA","DERIVADOS",B107="131 - GALLETAS AVENA","DERIVADOS",B107="160 - SOUVENIR","OTROS",B107="148 - CARAMELOS","DERIVADOS",B107="143 - CHOCOFFES","DERIVADOS",B107="162 - CONVENIOS Y DSC POS ","OTROS"),"OTROS")</f>
        <v>DERIVADOS</v>
      </c>
      <c r="L107" s="27">
        <f t="shared" si="8"/>
        <v>0</v>
      </c>
      <c r="M107" s="27">
        <f t="shared" si="9"/>
        <v>0</v>
      </c>
    </row>
    <row r="108" spans="1:13" ht="16.5" hidden="1" outlineLevel="1">
      <c r="A108" s="38"/>
      <c r="B108" s="39" t="s">
        <v>28</v>
      </c>
      <c r="C108" s="36">
        <v>0</v>
      </c>
      <c r="D108" s="36">
        <v>0</v>
      </c>
      <c r="E108" s="36"/>
      <c r="F108" s="36">
        <v>197515.99</v>
      </c>
      <c r="G108" s="37">
        <f t="shared" si="10"/>
        <v>0</v>
      </c>
      <c r="H108" s="23">
        <f t="shared" si="12"/>
        <v>0</v>
      </c>
      <c r="I108" s="24">
        <f t="shared" si="12"/>
        <v>0</v>
      </c>
      <c r="J108" s="32" t="str" cm="1">
        <f t="array" ref="J108">IFERROR(_xlfn.IFS(B108="044 - BLEND TRADICION","BLEND",B108="113 - CAFÉ GOURMET","GOURMET",B108="114 - CAFÉ CONSUMO","CONSUMO",B108="112 - CAFÉ ORGANICO","GOURMET",B108="172 - CAFÉ COSECHA","ESPECIALES",B108="176 - CAFE DESCAFEINADO","GOURMET",B108="147 - CAPSULAS","CAPSULAS",B108="130 - GALLETAS CAFECITAS","DERIVADOS",B108="140 - MERENGUES","DERIVADOS",B108="100 - CAFÉ ESPECIAL","ESPECIALES",B108="141 - AREQUIPE","DERIVADOS",B108="142 - MERMELADA","DERIVADOS",B108="131 - GALLETAS AVENA","DERIVADOS",B108="160 - SOUVENIR","OTROS",B108="148 - CARAMELOS","DERIVADOS",B108="143 - CHOCOFFES","DERIVADOS",B108="162 - CONVENIOS Y DSC POS ","OTROS"),"OTROS")</f>
        <v>OTROS</v>
      </c>
      <c r="L108" s="27">
        <f t="shared" si="8"/>
        <v>0</v>
      </c>
      <c r="M108" s="27">
        <f t="shared" si="9"/>
        <v>0</v>
      </c>
    </row>
    <row r="109" spans="1:13" ht="16.5" hidden="1" outlineLevel="1">
      <c r="A109" s="38"/>
      <c r="B109" s="39" t="s">
        <v>29</v>
      </c>
      <c r="C109" s="36">
        <v>0</v>
      </c>
      <c r="D109" s="36">
        <v>0</v>
      </c>
      <c r="E109" s="36"/>
      <c r="F109" s="36">
        <v>934062.72</v>
      </c>
      <c r="G109" s="37">
        <f t="shared" si="10"/>
        <v>0</v>
      </c>
      <c r="H109" s="23">
        <f t="shared" si="12"/>
        <v>0</v>
      </c>
      <c r="I109" s="24">
        <f t="shared" si="12"/>
        <v>0</v>
      </c>
      <c r="J109" s="32" t="str" cm="1">
        <f t="array" ref="J109">IFERROR(_xlfn.IFS(B109="044 - BLEND TRADICION","BLEND",B109="113 - CAFÉ GOURMET","GOURMET",B109="114 - CAFÉ CONSUMO","CONSUMO",B109="112 - CAFÉ ORGANICO","GOURMET",B109="172 - CAFÉ COSECHA","ESPECIALES",B109="176 - CAFE DESCAFEINADO","GOURMET",B109="147 - CAPSULAS","CAPSULAS",B109="130 - GALLETAS CAFECITAS","DERIVADOS",B109="140 - MERENGUES","DERIVADOS",B109="100 - CAFÉ ESPECIAL","ESPECIALES",B109="141 - AREQUIPE","DERIVADOS",B109="142 - MERMELADA","DERIVADOS",B109="131 - GALLETAS AVENA","DERIVADOS",B109="160 - SOUVENIR","OTROS",B109="148 - CARAMELOS","DERIVADOS",B109="143 - CHOCOFFES","DERIVADOS",B109="162 - CONVENIOS Y DSC POS ","OTROS"),"OTROS")</f>
        <v>ESPECIALES</v>
      </c>
      <c r="L109" s="27">
        <f t="shared" si="8"/>
        <v>0</v>
      </c>
      <c r="M109" s="27">
        <f t="shared" si="9"/>
        <v>0</v>
      </c>
    </row>
    <row r="110" spans="1:13" ht="16.5" hidden="1" outlineLevel="1">
      <c r="A110" s="19" t="s">
        <v>48</v>
      </c>
      <c r="B110" s="56" t="s">
        <v>32</v>
      </c>
      <c r="C110" s="54">
        <f>SUM(C104:C109)</f>
        <v>0</v>
      </c>
      <c r="D110" s="54">
        <f>SUM(D104:D109)</f>
        <v>0</v>
      </c>
      <c r="E110" s="54">
        <f>SUM(E104:E109)</f>
        <v>0</v>
      </c>
      <c r="F110" s="54">
        <f>SUM(F104:F109)</f>
        <v>3538435.1399999997</v>
      </c>
      <c r="G110" s="55">
        <f t="shared" si="10"/>
        <v>0</v>
      </c>
      <c r="H110" s="23">
        <f t="shared" si="12"/>
        <v>0</v>
      </c>
      <c r="I110" s="24">
        <f t="shared" si="12"/>
        <v>0</v>
      </c>
      <c r="J110" s="32" t="str" cm="1">
        <f t="array" ref="J110">IFERROR(_xlfn.IFS(B110="044 - BLEND TRADICION","BLEND",B110="113 - CAFÉ GOURMET","GOURMET",B110="114 - CAFÉ CONSUMO","CONSUMO",B110="112 - CAFÉ ORGANICO","GOURMET",B110="172 - CAFÉ COSECHA","ESPECIALES",B110="176 - CAFE DESCAFEINADO","GOURMET",B110="147 - CAPSULAS","CAPSULAS",B110="130 - GALLETAS CAFECITAS","DERIVADOS",B110="140 - MERENGUES","DERIVADOS",B110="100 - CAFÉ ESPECIAL","ESPECIALES",B110="141 - AREQUIPE","DERIVADOS",B110="142 - MERMELADA","DERIVADOS",B110="131 - GALLETAS AVENA","DERIVADOS",B110="160 - SOUVENIR","OTROS",B110="148 - CARAMELOS","DERIVADOS",B110="143 - CHOCOFFES","DERIVADOS",B110="162 - CONVENIOS Y DSC POS ","OTROS"),"OTROS")</f>
        <v>OTROS</v>
      </c>
      <c r="L110" s="27">
        <f t="shared" si="8"/>
        <v>0</v>
      </c>
      <c r="M110" s="27">
        <f t="shared" si="9"/>
        <v>0</v>
      </c>
    </row>
    <row r="111" spans="1:13" ht="16.5" hidden="1" outlineLevel="1">
      <c r="A111" s="33"/>
      <c r="B111" s="39" t="s">
        <v>18</v>
      </c>
      <c r="C111" s="36">
        <v>869768</v>
      </c>
      <c r="D111" s="36">
        <v>0</v>
      </c>
      <c r="E111" s="36">
        <v>0</v>
      </c>
      <c r="F111" s="36">
        <v>4604527.18</v>
      </c>
      <c r="G111" s="37">
        <f t="shared" si="10"/>
        <v>0.18889409617949091</v>
      </c>
      <c r="H111" s="23">
        <f t="shared" si="12"/>
        <v>0</v>
      </c>
      <c r="I111" s="24">
        <f t="shared" si="12"/>
        <v>0</v>
      </c>
      <c r="J111" s="32" t="str" cm="1">
        <f t="array" ref="J111">IFERROR(_xlfn.IFS(B111="044 - BLEND TRADICION","BLEND",B111="113 - CAFÉ GOURMET","GOURMET",B111="114 - CAFÉ CONSUMO","CONSUMO",B111="112 - CAFÉ ORGANICO","GOURMET",B111="172 - CAFÉ COSECHA","ESPECIALES",B111="176 - CAFE DESCAFEINADO","GOURMET",B111="147 - CAPSULAS","CAPSULAS",B111="130 - GALLETAS CAFECITAS","DERIVADOS",B111="140 - MERENGUES","DERIVADOS",B111="100 - CAFÉ ESPECIAL","ESPECIALES",B111="141 - AREQUIPE","DERIVADOS",B111="142 - MERMELADA","DERIVADOS",B111="131 - GALLETAS AVENA","DERIVADOS",B111="160 - SOUVENIR","OTROS",B111="148 - CARAMELOS","DERIVADOS",B111="143 - CHOCOFFES","DERIVADOS",B111="162 - CONVENIOS Y DSC POS ","OTROS"),"OTROS")</f>
        <v>BLEND</v>
      </c>
      <c r="L111" s="27">
        <f t="shared" si="8"/>
        <v>869768</v>
      </c>
      <c r="M111" s="27">
        <f t="shared" si="9"/>
        <v>869768</v>
      </c>
    </row>
    <row r="112" spans="1:13" ht="16.5" hidden="1" outlineLevel="1">
      <c r="A112" s="38"/>
      <c r="B112" s="39" t="s">
        <v>19</v>
      </c>
      <c r="C112" s="36">
        <v>28524</v>
      </c>
      <c r="D112" s="36">
        <v>0</v>
      </c>
      <c r="E112" s="36">
        <v>0</v>
      </c>
      <c r="F112" s="36">
        <v>904271.48</v>
      </c>
      <c r="G112" s="37">
        <f t="shared" si="10"/>
        <v>3.1543624487637277E-2</v>
      </c>
      <c r="H112" s="23">
        <f t="shared" si="12"/>
        <v>0</v>
      </c>
      <c r="I112" s="24">
        <f t="shared" si="12"/>
        <v>0</v>
      </c>
      <c r="J112" s="32" t="str" cm="1">
        <f t="array" ref="J112">IFERROR(_xlfn.IFS(B112="044 - BLEND TRADICION","BLEND",B112="113 - CAFÉ GOURMET","GOURMET",B112="114 - CAFÉ CONSUMO","CONSUMO",B112="112 - CAFÉ ORGANICO","GOURMET",B112="172 - CAFÉ COSECHA","ESPECIALES",B112="176 - CAFE DESCAFEINADO","GOURMET",B112="147 - CAPSULAS","CAPSULAS",B112="130 - GALLETAS CAFECITAS","DERIVADOS",B112="140 - MERENGUES","DERIVADOS",B112="100 - CAFÉ ESPECIAL","ESPECIALES",B112="141 - AREQUIPE","DERIVADOS",B112="142 - MERMELADA","DERIVADOS",B112="131 - GALLETAS AVENA","DERIVADOS",B112="160 - SOUVENIR","OTROS",B112="148 - CARAMELOS","DERIVADOS",B112="143 - CHOCOFFES","DERIVADOS",B112="162 - CONVENIOS Y DSC POS ","OTROS"),"OTROS")</f>
        <v>ESPECIALES</v>
      </c>
      <c r="L112" s="27">
        <f t="shared" si="8"/>
        <v>28524</v>
      </c>
      <c r="M112" s="27">
        <f t="shared" si="9"/>
        <v>28524</v>
      </c>
    </row>
    <row r="113" spans="1:13" ht="16.5" hidden="1" outlineLevel="1">
      <c r="A113" s="38"/>
      <c r="B113" s="39" t="s">
        <v>20</v>
      </c>
      <c r="C113" s="36">
        <v>191941</v>
      </c>
      <c r="D113" s="36">
        <v>0</v>
      </c>
      <c r="E113" s="36">
        <v>0</v>
      </c>
      <c r="F113" s="36">
        <v>1000950.28</v>
      </c>
      <c r="G113" s="37">
        <f t="shared" si="10"/>
        <v>0.19175877547084555</v>
      </c>
      <c r="H113" s="23">
        <f t="shared" si="12"/>
        <v>0</v>
      </c>
      <c r="I113" s="24">
        <f t="shared" si="12"/>
        <v>0</v>
      </c>
      <c r="J113" s="32" t="str" cm="1">
        <f t="array" ref="J113">IFERROR(_xlfn.IFS(B113="044 - BLEND TRADICION","BLEND",B113="113 - CAFÉ GOURMET","GOURMET",B113="114 - CAFÉ CONSUMO","CONSUMO",B113="112 - CAFÉ ORGANICO","GOURMET",B113="172 - CAFÉ COSECHA","ESPECIALES",B113="176 - CAFE DESCAFEINADO","GOURMET",B113="147 - CAPSULAS","CAPSULAS",B113="130 - GALLETAS CAFECITAS","DERIVADOS",B113="140 - MERENGUES","DERIVADOS",B113="100 - CAFÉ ESPECIAL","ESPECIALES",B113="141 - AREQUIPE","DERIVADOS",B113="142 - MERMELADA","DERIVADOS",B113="131 - GALLETAS AVENA","DERIVADOS",B113="160 - SOUVENIR","OTROS",B113="148 - CARAMELOS","DERIVADOS",B113="143 - CHOCOFFES","DERIVADOS",B113="162 - CONVENIOS Y DSC POS ","OTROS"),"OTROS")</f>
        <v>GOURMET</v>
      </c>
      <c r="L113" s="27">
        <f t="shared" si="8"/>
        <v>191941</v>
      </c>
      <c r="M113" s="27">
        <f t="shared" si="9"/>
        <v>191941</v>
      </c>
    </row>
    <row r="114" spans="1:13" ht="16.5" hidden="1" outlineLevel="1">
      <c r="A114" s="38"/>
      <c r="B114" s="39" t="s">
        <v>21</v>
      </c>
      <c r="C114" s="36">
        <v>3610565</v>
      </c>
      <c r="D114" s="36">
        <v>0</v>
      </c>
      <c r="E114" s="36">
        <v>0</v>
      </c>
      <c r="F114" s="36">
        <v>29634733.52</v>
      </c>
      <c r="G114" s="37">
        <f t="shared" si="10"/>
        <v>0.12183558180347019</v>
      </c>
      <c r="H114" s="23">
        <f t="shared" si="12"/>
        <v>0</v>
      </c>
      <c r="I114" s="24">
        <f t="shared" si="12"/>
        <v>0</v>
      </c>
      <c r="J114" s="32" t="str" cm="1">
        <f t="array" ref="J114">IFERROR(_xlfn.IFS(B114="044 - BLEND TRADICION","BLEND",B114="113 - CAFÉ GOURMET","GOURMET",B114="114 - CAFÉ CONSUMO","CONSUMO",B114="112 - CAFÉ ORGANICO","GOURMET",B114="172 - CAFÉ COSECHA","ESPECIALES",B114="176 - CAFE DESCAFEINADO","GOURMET",B114="147 - CAPSULAS","CAPSULAS",B114="130 - GALLETAS CAFECITAS","DERIVADOS",B114="140 - MERENGUES","DERIVADOS",B114="100 - CAFÉ ESPECIAL","ESPECIALES",B114="141 - AREQUIPE","DERIVADOS",B114="142 - MERMELADA","DERIVADOS",B114="131 - GALLETAS AVENA","DERIVADOS",B114="160 - SOUVENIR","OTROS",B114="148 - CARAMELOS","DERIVADOS",B114="143 - CHOCOFFES","DERIVADOS",B114="162 - CONVENIOS Y DSC POS ","OTROS"),"OTROS")</f>
        <v>GOURMET</v>
      </c>
      <c r="L114" s="27">
        <f t="shared" si="8"/>
        <v>3610565</v>
      </c>
      <c r="M114" s="27">
        <f t="shared" si="9"/>
        <v>3610565</v>
      </c>
    </row>
    <row r="115" spans="1:13" ht="16.5" hidden="1" outlineLevel="1">
      <c r="A115" s="38"/>
      <c r="B115" s="39" t="s">
        <v>22</v>
      </c>
      <c r="C115" s="36">
        <v>1388212</v>
      </c>
      <c r="D115" s="36">
        <v>0</v>
      </c>
      <c r="E115" s="36"/>
      <c r="F115" s="36">
        <v>7797334.1100000003</v>
      </c>
      <c r="G115" s="37">
        <f t="shared" si="10"/>
        <v>0.17803674697222893</v>
      </c>
      <c r="H115" s="23">
        <f t="shared" si="12"/>
        <v>0</v>
      </c>
      <c r="I115" s="24">
        <f t="shared" si="12"/>
        <v>0</v>
      </c>
      <c r="J115" s="32" t="str" cm="1">
        <f t="array" ref="J115">IFERROR(_xlfn.IFS(B115="044 - BLEND TRADICION","BLEND",B115="113 - CAFÉ GOURMET","GOURMET",B115="114 - CAFÉ CONSUMO","CONSUMO",B115="112 - CAFÉ ORGANICO","GOURMET",B115="172 - CAFÉ COSECHA","ESPECIALES",B115="176 - CAFE DESCAFEINADO","GOURMET",B115="147 - CAPSULAS","CAPSULAS",B115="130 - GALLETAS CAFECITAS","DERIVADOS",B115="140 - MERENGUES","DERIVADOS",B115="100 - CAFÉ ESPECIAL","ESPECIALES",B115="141 - AREQUIPE","DERIVADOS",B115="142 - MERMELADA","DERIVADOS",B115="131 - GALLETAS AVENA","DERIVADOS",B115="160 - SOUVENIR","OTROS",B115="148 - CARAMELOS","DERIVADOS",B115="143 - CHOCOFFES","DERIVADOS",B115="162 - CONVENIOS Y DSC POS ","OTROS"),"OTROS")</f>
        <v>DERIVADOS</v>
      </c>
      <c r="L115" s="27">
        <f t="shared" si="8"/>
        <v>1388212</v>
      </c>
      <c r="M115" s="27">
        <f t="shared" si="9"/>
        <v>1388212</v>
      </c>
    </row>
    <row r="116" spans="1:13" ht="16.5" hidden="1" outlineLevel="1">
      <c r="A116" s="38"/>
      <c r="B116" s="39" t="s">
        <v>23</v>
      </c>
      <c r="C116" s="36">
        <v>0</v>
      </c>
      <c r="D116" s="36">
        <v>0</v>
      </c>
      <c r="E116" s="36">
        <v>0</v>
      </c>
      <c r="F116" s="36">
        <v>251654.35</v>
      </c>
      <c r="G116" s="37">
        <f t="shared" si="10"/>
        <v>0</v>
      </c>
      <c r="H116" s="23">
        <f t="shared" si="12"/>
        <v>0</v>
      </c>
      <c r="I116" s="24">
        <f t="shared" si="12"/>
        <v>0</v>
      </c>
      <c r="J116" s="32" t="str" cm="1">
        <f t="array" ref="J116">IFERROR(_xlfn.IFS(B116="044 - BLEND TRADICION","BLEND",B116="113 - CAFÉ GOURMET","GOURMET",B116="114 - CAFÉ CONSUMO","CONSUMO",B116="112 - CAFÉ ORGANICO","GOURMET",B116="172 - CAFÉ COSECHA","ESPECIALES",B116="176 - CAFE DESCAFEINADO","GOURMET",B116="147 - CAPSULAS","CAPSULAS",B116="130 - GALLETAS CAFECITAS","DERIVADOS",B116="140 - MERENGUES","DERIVADOS",B116="100 - CAFÉ ESPECIAL","ESPECIALES",B116="141 - AREQUIPE","DERIVADOS",B116="142 - MERMELADA","DERIVADOS",B116="131 - GALLETAS AVENA","DERIVADOS",B116="160 - SOUVENIR","OTROS",B116="148 - CARAMELOS","DERIVADOS",B116="143 - CHOCOFFES","DERIVADOS",B116="162 - CONVENIOS Y DSC POS ","OTROS"),"OTROS")</f>
        <v>DERIVADOS</v>
      </c>
      <c r="L116" s="27">
        <f t="shared" si="8"/>
        <v>0</v>
      </c>
      <c r="M116" s="27">
        <f t="shared" si="9"/>
        <v>0</v>
      </c>
    </row>
    <row r="117" spans="1:13" ht="16.5" hidden="1" outlineLevel="1">
      <c r="A117" s="38"/>
      <c r="B117" s="39" t="s">
        <v>24</v>
      </c>
      <c r="C117" s="36">
        <v>101892</v>
      </c>
      <c r="D117" s="36">
        <v>0</v>
      </c>
      <c r="E117" s="36">
        <v>0</v>
      </c>
      <c r="F117" s="36">
        <v>965398.25</v>
      </c>
      <c r="G117" s="37">
        <f t="shared" si="10"/>
        <v>0.10554400735654948</v>
      </c>
      <c r="H117" s="23">
        <f t="shared" si="12"/>
        <v>0</v>
      </c>
      <c r="I117" s="24">
        <f t="shared" si="12"/>
        <v>0</v>
      </c>
      <c r="J117" s="32" t="str" cm="1">
        <f t="array" ref="J117">IFERROR(_xlfn.IFS(B117="044 - BLEND TRADICION","BLEND",B117="113 - CAFÉ GOURMET","GOURMET",B117="114 - CAFÉ CONSUMO","CONSUMO",B117="112 - CAFÉ ORGANICO","GOURMET",B117="172 - CAFÉ COSECHA","ESPECIALES",B117="176 - CAFE DESCAFEINADO","GOURMET",B117="147 - CAPSULAS","CAPSULAS",B117="130 - GALLETAS CAFECITAS","DERIVADOS",B117="140 - MERENGUES","DERIVADOS",B117="100 - CAFÉ ESPECIAL","ESPECIALES",B117="141 - AREQUIPE","DERIVADOS",B117="142 - MERMELADA","DERIVADOS",B117="131 - GALLETAS AVENA","DERIVADOS",B117="160 - SOUVENIR","OTROS",B117="148 - CARAMELOS","DERIVADOS",B117="143 - CHOCOFFES","DERIVADOS",B117="162 - CONVENIOS Y DSC POS ","OTROS"),"OTROS")</f>
        <v>DERIVADOS</v>
      </c>
      <c r="L117" s="27">
        <f t="shared" si="8"/>
        <v>101892</v>
      </c>
      <c r="M117" s="27">
        <f t="shared" si="9"/>
        <v>101892</v>
      </c>
    </row>
    <row r="118" spans="1:13" ht="16.5" hidden="1" outlineLevel="1">
      <c r="A118" s="38"/>
      <c r="B118" s="39" t="s">
        <v>25</v>
      </c>
      <c r="C118" s="36">
        <v>560688</v>
      </c>
      <c r="D118" s="36">
        <v>0</v>
      </c>
      <c r="E118" s="36"/>
      <c r="F118" s="36">
        <v>4939039.0999999996</v>
      </c>
      <c r="G118" s="37">
        <f t="shared" si="10"/>
        <v>0.11352167671642852</v>
      </c>
      <c r="H118" s="23">
        <f t="shared" si="12"/>
        <v>0</v>
      </c>
      <c r="I118" s="24">
        <f t="shared" si="12"/>
        <v>0</v>
      </c>
      <c r="J118" s="32" t="str" cm="1">
        <f t="array" ref="J118">IFERROR(_xlfn.IFS(B118="044 - BLEND TRADICION","BLEND",B118="113 - CAFÉ GOURMET","GOURMET",B118="114 - CAFÉ CONSUMO","CONSUMO",B118="112 - CAFÉ ORGANICO","GOURMET",B118="172 - CAFÉ COSECHA","ESPECIALES",B118="176 - CAFE DESCAFEINADO","GOURMET",B118="147 - CAPSULAS","CAPSULAS",B118="130 - GALLETAS CAFECITAS","DERIVADOS",B118="140 - MERENGUES","DERIVADOS",B118="100 - CAFÉ ESPECIAL","ESPECIALES",B118="141 - AREQUIPE","DERIVADOS",B118="142 - MERMELADA","DERIVADOS",B118="131 - GALLETAS AVENA","DERIVADOS",B118="160 - SOUVENIR","OTROS",B118="148 - CARAMELOS","DERIVADOS",B118="143 - CHOCOFFES","DERIVADOS",B118="162 - CONVENIOS Y DSC POS ","OTROS"),"OTROS")</f>
        <v>DERIVADOS</v>
      </c>
      <c r="L118" s="27">
        <f t="shared" si="8"/>
        <v>560688</v>
      </c>
      <c r="M118" s="27">
        <f t="shared" si="9"/>
        <v>560688</v>
      </c>
    </row>
    <row r="119" spans="1:13" ht="16.5" hidden="1" outlineLevel="1">
      <c r="A119" s="38"/>
      <c r="B119" s="39" t="s">
        <v>26</v>
      </c>
      <c r="C119" s="36">
        <v>228552</v>
      </c>
      <c r="D119" s="36">
        <v>0</v>
      </c>
      <c r="E119" s="36"/>
      <c r="F119" s="36">
        <v>1642173.15</v>
      </c>
      <c r="G119" s="37">
        <f t="shared" si="10"/>
        <v>0.1391765539462145</v>
      </c>
      <c r="H119" s="23">
        <f t="shared" si="12"/>
        <v>0</v>
      </c>
      <c r="I119" s="24">
        <f t="shared" si="12"/>
        <v>0</v>
      </c>
      <c r="J119" s="32" t="str" cm="1">
        <f t="array" ref="J119">IFERROR(_xlfn.IFS(B119="044 - BLEND TRADICION","BLEND",B119="113 - CAFÉ GOURMET","GOURMET",B119="114 - CAFÉ CONSUMO","CONSUMO",B119="112 - CAFÉ ORGANICO","GOURMET",B119="172 - CAFÉ COSECHA","ESPECIALES",B119="176 - CAFE DESCAFEINADO","GOURMET",B119="147 - CAPSULAS","CAPSULAS",B119="130 - GALLETAS CAFECITAS","DERIVADOS",B119="140 - MERENGUES","DERIVADOS",B119="100 - CAFÉ ESPECIAL","ESPECIALES",B119="141 - AREQUIPE","DERIVADOS",B119="142 - MERMELADA","DERIVADOS",B119="131 - GALLETAS AVENA","DERIVADOS",B119="160 - SOUVENIR","OTROS",B119="148 - CARAMELOS","DERIVADOS",B119="143 - CHOCOFFES","DERIVADOS",B119="162 - CONVENIOS Y DSC POS ","OTROS"),"OTROS")</f>
        <v>CAPSULAS</v>
      </c>
      <c r="L119" s="27">
        <f t="shared" si="8"/>
        <v>228552</v>
      </c>
      <c r="M119" s="27">
        <f t="shared" si="9"/>
        <v>228552</v>
      </c>
    </row>
    <row r="120" spans="1:13" ht="16.5" hidden="1" outlineLevel="1">
      <c r="A120" s="38"/>
      <c r="B120" s="39" t="s">
        <v>27</v>
      </c>
      <c r="C120" s="36">
        <v>758965</v>
      </c>
      <c r="D120" s="36">
        <v>0</v>
      </c>
      <c r="E120" s="36"/>
      <c r="F120" s="36">
        <v>3108561.46</v>
      </c>
      <c r="G120" s="37">
        <f t="shared" si="10"/>
        <v>0.24415312670060577</v>
      </c>
      <c r="H120" s="23">
        <f t="shared" ref="H120:I135" si="13">IFERROR(+D120/L120*100%,0)</f>
        <v>0</v>
      </c>
      <c r="I120" s="24">
        <f t="shared" si="13"/>
        <v>0</v>
      </c>
      <c r="J120" s="32" t="str" cm="1">
        <f t="array" ref="J120">IFERROR(_xlfn.IFS(B120="044 - BLEND TRADICION","BLEND",B120="113 - CAFÉ GOURMET","GOURMET",B120="114 - CAFÉ CONSUMO","CONSUMO",B120="112 - CAFÉ ORGANICO","GOURMET",B120="172 - CAFÉ COSECHA","ESPECIALES",B120="176 - CAFE DESCAFEINADO","GOURMET",B120="147 - CAPSULAS","CAPSULAS",B120="130 - GALLETAS CAFECITAS","DERIVADOS",B120="140 - MERENGUES","DERIVADOS",B120="100 - CAFÉ ESPECIAL","ESPECIALES",B120="141 - AREQUIPE","DERIVADOS",B120="142 - MERMELADA","DERIVADOS",B120="131 - GALLETAS AVENA","DERIVADOS",B120="160 - SOUVENIR","OTROS",B120="148 - CARAMELOS","DERIVADOS",B120="143 - CHOCOFFES","DERIVADOS",B120="162 - CONVENIOS Y DSC POS ","OTROS"),"OTROS")</f>
        <v>DERIVADOS</v>
      </c>
      <c r="L120" s="27">
        <f t="shared" si="8"/>
        <v>758965</v>
      </c>
      <c r="M120" s="27">
        <f t="shared" si="9"/>
        <v>758965</v>
      </c>
    </row>
    <row r="121" spans="1:13" ht="16.5" hidden="1" outlineLevel="1">
      <c r="A121" s="38"/>
      <c r="B121" s="39" t="s">
        <v>28</v>
      </c>
      <c r="C121" s="36">
        <v>79379</v>
      </c>
      <c r="D121" s="36">
        <v>0</v>
      </c>
      <c r="E121" s="36">
        <v>0</v>
      </c>
      <c r="F121" s="36">
        <v>1929397.03</v>
      </c>
      <c r="G121" s="37">
        <f t="shared" si="10"/>
        <v>4.1141869073987328E-2</v>
      </c>
      <c r="H121" s="23">
        <f t="shared" si="13"/>
        <v>0</v>
      </c>
      <c r="I121" s="24">
        <f t="shared" si="13"/>
        <v>0</v>
      </c>
      <c r="J121" s="32" t="str" cm="1">
        <f t="array" ref="J121">IFERROR(_xlfn.IFS(B121="044 - BLEND TRADICION","BLEND",B121="113 - CAFÉ GOURMET","GOURMET",B121="114 - CAFÉ CONSUMO","CONSUMO",B121="112 - CAFÉ ORGANICO","GOURMET",B121="172 - CAFÉ COSECHA","ESPECIALES",B121="176 - CAFE DESCAFEINADO","GOURMET",B121="147 - CAPSULAS","CAPSULAS",B121="130 - GALLETAS CAFECITAS","DERIVADOS",B121="140 - MERENGUES","DERIVADOS",B121="100 - CAFÉ ESPECIAL","ESPECIALES",B121="141 - AREQUIPE","DERIVADOS",B121="142 - MERMELADA","DERIVADOS",B121="131 - GALLETAS AVENA","DERIVADOS",B121="160 - SOUVENIR","OTROS",B121="148 - CARAMELOS","DERIVADOS",B121="143 - CHOCOFFES","DERIVADOS",B121="162 - CONVENIOS Y DSC POS ","OTROS"),"OTROS")</f>
        <v>OTROS</v>
      </c>
      <c r="L121" s="27">
        <f t="shared" si="8"/>
        <v>79379</v>
      </c>
      <c r="M121" s="27">
        <f t="shared" si="9"/>
        <v>79379</v>
      </c>
    </row>
    <row r="122" spans="1:13" ht="16.5" hidden="1" outlineLevel="1">
      <c r="A122" s="38"/>
      <c r="B122" s="39" t="s">
        <v>29</v>
      </c>
      <c r="C122" s="36">
        <v>0</v>
      </c>
      <c r="D122" s="36">
        <v>0</v>
      </c>
      <c r="E122" s="36"/>
      <c r="F122" s="36">
        <v>2019776.56</v>
      </c>
      <c r="G122" s="37">
        <f t="shared" si="10"/>
        <v>0</v>
      </c>
      <c r="H122" s="23">
        <f t="shared" si="13"/>
        <v>0</v>
      </c>
      <c r="I122" s="24">
        <f t="shared" si="13"/>
        <v>0</v>
      </c>
      <c r="J122" s="32" t="str" cm="1">
        <f t="array" ref="J122">IFERROR(_xlfn.IFS(B122="044 - BLEND TRADICION","BLEND",B122="113 - CAFÉ GOURMET","GOURMET",B122="114 - CAFÉ CONSUMO","CONSUMO",B122="112 - CAFÉ ORGANICO","GOURMET",B122="172 - CAFÉ COSECHA","ESPECIALES",B122="176 - CAFE DESCAFEINADO","GOURMET",B122="147 - CAPSULAS","CAPSULAS",B122="130 - GALLETAS CAFECITAS","DERIVADOS",B122="140 - MERENGUES","DERIVADOS",B122="100 - CAFÉ ESPECIAL","ESPECIALES",B122="141 - AREQUIPE","DERIVADOS",B122="142 - MERMELADA","DERIVADOS",B122="131 - GALLETAS AVENA","DERIVADOS",B122="160 - SOUVENIR","OTROS",B122="148 - CARAMELOS","DERIVADOS",B122="143 - CHOCOFFES","DERIVADOS",B122="162 - CONVENIOS Y DSC POS ","OTROS"),"OTROS")</f>
        <v>ESPECIALES</v>
      </c>
      <c r="L122" s="27">
        <f t="shared" si="8"/>
        <v>0</v>
      </c>
      <c r="M122" s="27">
        <f t="shared" si="9"/>
        <v>0</v>
      </c>
    </row>
    <row r="123" spans="1:13" ht="16.5" hidden="1" outlineLevel="1">
      <c r="A123" s="38"/>
      <c r="B123" s="39" t="s">
        <v>30</v>
      </c>
      <c r="C123" s="36">
        <v>0</v>
      </c>
      <c r="D123" s="36">
        <v>0</v>
      </c>
      <c r="E123" s="36">
        <v>0</v>
      </c>
      <c r="F123" s="36">
        <v>75457.58</v>
      </c>
      <c r="G123" s="37">
        <f t="shared" si="10"/>
        <v>0</v>
      </c>
      <c r="H123" s="23">
        <f t="shared" si="13"/>
        <v>0</v>
      </c>
      <c r="I123" s="24">
        <f t="shared" si="13"/>
        <v>0</v>
      </c>
      <c r="J123" s="32" t="str" cm="1">
        <f t="array" ref="J123">IFERROR(_xlfn.IFS(B123="044 - BLEND TRADICION","BLEND",B123="113 - CAFÉ GOURMET","GOURMET",B123="114 - CAFÉ CONSUMO","CONSUMO",B123="112 - CAFÉ ORGANICO","GOURMET",B123="172 - CAFÉ COSECHA","ESPECIALES",B123="176 - CAFE DESCAFEINADO","GOURMET",B123="147 - CAPSULAS","CAPSULAS",B123="130 - GALLETAS CAFECITAS","DERIVADOS",B123="140 - MERENGUES","DERIVADOS",B123="100 - CAFÉ ESPECIAL","ESPECIALES",B123="141 - AREQUIPE","DERIVADOS",B123="142 - MERMELADA","DERIVADOS",B123="131 - GALLETAS AVENA","DERIVADOS",B123="160 - SOUVENIR","OTROS",B123="148 - CARAMELOS","DERIVADOS",B123="143 - CHOCOFFES","DERIVADOS",B123="162 - CONVENIOS Y DSC POS ","OTROS"),"OTROS")</f>
        <v>GOURMET</v>
      </c>
      <c r="L123" s="27">
        <f t="shared" si="8"/>
        <v>0</v>
      </c>
      <c r="M123" s="27">
        <f t="shared" si="9"/>
        <v>0</v>
      </c>
    </row>
    <row r="124" spans="1:13" ht="16.5" hidden="1" outlineLevel="1">
      <c r="A124" s="19" t="s">
        <v>49</v>
      </c>
      <c r="B124" s="56" t="s">
        <v>32</v>
      </c>
      <c r="C124" s="54">
        <f>SUM(C111:C123)</f>
        <v>7818486</v>
      </c>
      <c r="D124" s="54">
        <f>SUM(D111:D123)</f>
        <v>0</v>
      </c>
      <c r="E124" s="54">
        <f>SUM(E111:E123)</f>
        <v>0</v>
      </c>
      <c r="F124" s="58">
        <f>SUM(F111:F123)</f>
        <v>58873274.050000004</v>
      </c>
      <c r="G124" s="55">
        <f t="shared" si="10"/>
        <v>0.13280195684989257</v>
      </c>
      <c r="H124" s="23">
        <f t="shared" si="13"/>
        <v>0</v>
      </c>
      <c r="I124" s="24">
        <f t="shared" si="13"/>
        <v>0</v>
      </c>
      <c r="J124" s="32" t="str" cm="1">
        <f t="array" ref="J124">IFERROR(_xlfn.IFS(B124="044 - BLEND TRADICION","BLEND",B124="113 - CAFÉ GOURMET","GOURMET",B124="114 - CAFÉ CONSUMO","CONSUMO",B124="112 - CAFÉ ORGANICO","GOURMET",B124="172 - CAFÉ COSECHA","ESPECIALES",B124="176 - CAFE DESCAFEINADO","GOURMET",B124="147 - CAPSULAS","CAPSULAS",B124="130 - GALLETAS CAFECITAS","DERIVADOS",B124="140 - MERENGUES","DERIVADOS",B124="100 - CAFÉ ESPECIAL","ESPECIALES",B124="141 - AREQUIPE","DERIVADOS",B124="142 - MERMELADA","DERIVADOS",B124="131 - GALLETAS AVENA","DERIVADOS",B124="160 - SOUVENIR","OTROS",B124="148 - CARAMELOS","DERIVADOS",B124="143 - CHOCOFFES","DERIVADOS",B124="162 - CONVENIOS Y DSC POS ","OTROS"),"OTROS")</f>
        <v>OTROS</v>
      </c>
      <c r="L124" s="27">
        <f t="shared" si="8"/>
        <v>7818486</v>
      </c>
      <c r="M124" s="27">
        <f t="shared" si="9"/>
        <v>7818486</v>
      </c>
    </row>
    <row r="125" spans="1:13" ht="16.5" hidden="1" outlineLevel="1">
      <c r="A125" s="33"/>
      <c r="B125" s="39" t="s">
        <v>18</v>
      </c>
      <c r="C125" s="36">
        <v>260800</v>
      </c>
      <c r="D125" s="36">
        <v>0</v>
      </c>
      <c r="E125" s="36"/>
      <c r="F125" s="36">
        <v>5334403.3099999996</v>
      </c>
      <c r="G125" s="37">
        <f t="shared" si="10"/>
        <v>4.8890191619200989E-2</v>
      </c>
      <c r="H125" s="23">
        <f t="shared" si="13"/>
        <v>0</v>
      </c>
      <c r="I125" s="24">
        <f t="shared" si="13"/>
        <v>0</v>
      </c>
      <c r="J125" s="32" t="str" cm="1">
        <f t="array" ref="J125">IFERROR(_xlfn.IFS(B125="044 - BLEND TRADICION","BLEND",B125="113 - CAFÉ GOURMET","GOURMET",B125="114 - CAFÉ CONSUMO","CONSUMO",B125="112 - CAFÉ ORGANICO","GOURMET",B125="172 - CAFÉ COSECHA","ESPECIALES",B125="176 - CAFE DESCAFEINADO","GOURMET",B125="147 - CAPSULAS","CAPSULAS",B125="130 - GALLETAS CAFECITAS","DERIVADOS",B125="140 - MERENGUES","DERIVADOS",B125="100 - CAFÉ ESPECIAL","ESPECIALES",B125="141 - AREQUIPE","DERIVADOS",B125="142 - MERMELADA","DERIVADOS",B125="131 - GALLETAS AVENA","DERIVADOS",B125="160 - SOUVENIR","OTROS",B125="148 - CARAMELOS","DERIVADOS",B125="143 - CHOCOFFES","DERIVADOS",B125="162 - CONVENIOS Y DSC POS ","OTROS"),"OTROS")</f>
        <v>BLEND</v>
      </c>
      <c r="L125" s="27">
        <f t="shared" si="8"/>
        <v>260800</v>
      </c>
      <c r="M125" s="27">
        <f t="shared" si="9"/>
        <v>260800</v>
      </c>
    </row>
    <row r="126" spans="1:13" ht="16.5" hidden="1" outlineLevel="1">
      <c r="A126" s="38"/>
      <c r="B126" s="39" t="s">
        <v>19</v>
      </c>
      <c r="C126" s="36">
        <v>0</v>
      </c>
      <c r="D126" s="36">
        <v>0</v>
      </c>
      <c r="E126" s="36"/>
      <c r="F126" s="36">
        <v>1332928.3500000001</v>
      </c>
      <c r="G126" s="37">
        <f t="shared" si="10"/>
        <v>0</v>
      </c>
      <c r="H126" s="23">
        <f t="shared" si="13"/>
        <v>0</v>
      </c>
      <c r="I126" s="24">
        <f t="shared" si="13"/>
        <v>0</v>
      </c>
      <c r="J126" s="32" t="str" cm="1">
        <f t="array" ref="J126">IFERROR(_xlfn.IFS(B126="044 - BLEND TRADICION","BLEND",B126="113 - CAFÉ GOURMET","GOURMET",B126="114 - CAFÉ CONSUMO","CONSUMO",B126="112 - CAFÉ ORGANICO","GOURMET",B126="172 - CAFÉ COSECHA","ESPECIALES",B126="176 - CAFE DESCAFEINADO","GOURMET",B126="147 - CAPSULAS","CAPSULAS",B126="130 - GALLETAS CAFECITAS","DERIVADOS",B126="140 - MERENGUES","DERIVADOS",B126="100 - CAFÉ ESPECIAL","ESPECIALES",B126="141 - AREQUIPE","DERIVADOS",B126="142 - MERMELADA","DERIVADOS",B126="131 - GALLETAS AVENA","DERIVADOS",B126="160 - SOUVENIR","OTROS",B126="148 - CARAMELOS","DERIVADOS",B126="143 - CHOCOFFES","DERIVADOS",B126="162 - CONVENIOS Y DSC POS ","OTROS"),"OTROS")</f>
        <v>ESPECIALES</v>
      </c>
      <c r="L126" s="27">
        <f t="shared" si="8"/>
        <v>0</v>
      </c>
      <c r="M126" s="27">
        <f t="shared" si="9"/>
        <v>0</v>
      </c>
    </row>
    <row r="127" spans="1:13" ht="16.5" hidden="1" outlineLevel="1">
      <c r="A127" s="38"/>
      <c r="B127" s="39" t="s">
        <v>20</v>
      </c>
      <c r="C127" s="36">
        <v>0</v>
      </c>
      <c r="D127" s="36">
        <v>0</v>
      </c>
      <c r="E127" s="36"/>
      <c r="F127" s="36">
        <v>1484611.46</v>
      </c>
      <c r="G127" s="37">
        <f>IFERROR(C127/F127*100%,"-")</f>
        <v>0</v>
      </c>
      <c r="H127" s="23">
        <f t="shared" si="13"/>
        <v>0</v>
      </c>
      <c r="I127" s="24">
        <f t="shared" si="13"/>
        <v>0</v>
      </c>
      <c r="J127" s="32" t="str" cm="1">
        <f t="array" ref="J127">IFERROR(_xlfn.IFS(B127="044 - BLEND TRADICION","BLEND",B127="113 - CAFÉ GOURMET","GOURMET",B127="114 - CAFÉ CONSUMO","CONSUMO",B127="112 - CAFÉ ORGANICO","GOURMET",B127="172 - CAFÉ COSECHA","ESPECIALES",B127="176 - CAFE DESCAFEINADO","GOURMET",B127="147 - CAPSULAS","CAPSULAS",B127="130 - GALLETAS CAFECITAS","DERIVADOS",B127="140 - MERENGUES","DERIVADOS",B127="100 - CAFÉ ESPECIAL","ESPECIALES",B127="141 - AREQUIPE","DERIVADOS",B127="142 - MERMELADA","DERIVADOS",B127="131 - GALLETAS AVENA","DERIVADOS",B127="160 - SOUVENIR","OTROS",B127="148 - CARAMELOS","DERIVADOS",B127="143 - CHOCOFFES","DERIVADOS",B127="162 - CONVENIOS Y DSC POS ","OTROS"),"OTROS")</f>
        <v>GOURMET</v>
      </c>
      <c r="L127" s="27">
        <f t="shared" si="8"/>
        <v>0</v>
      </c>
      <c r="M127" s="27">
        <f t="shared" si="9"/>
        <v>0</v>
      </c>
    </row>
    <row r="128" spans="1:13" ht="16.5" hidden="1" outlineLevel="1">
      <c r="A128" s="38"/>
      <c r="B128" s="39" t="s">
        <v>21</v>
      </c>
      <c r="C128" s="36">
        <v>2344361</v>
      </c>
      <c r="D128" s="36">
        <v>0</v>
      </c>
      <c r="E128" s="36"/>
      <c r="F128" s="36">
        <v>49968995.509999998</v>
      </c>
      <c r="G128" s="37">
        <f t="shared" ref="G128:G137" si="14">IFERROR(C128/F128*100%,"-")</f>
        <v>4.6916312326727418E-2</v>
      </c>
      <c r="H128" s="23">
        <f t="shared" si="13"/>
        <v>0</v>
      </c>
      <c r="I128" s="24">
        <f t="shared" si="13"/>
        <v>0</v>
      </c>
      <c r="J128" s="32" t="str" cm="1">
        <f t="array" ref="J128">IFERROR(_xlfn.IFS(B128="044 - BLEND TRADICION","BLEND",B128="113 - CAFÉ GOURMET","GOURMET",B128="114 - CAFÉ CONSUMO","CONSUMO",B128="112 - CAFÉ ORGANICO","GOURMET",B128="172 - CAFÉ COSECHA","ESPECIALES",B128="176 - CAFE DESCAFEINADO","GOURMET",B128="147 - CAPSULAS","CAPSULAS",B128="130 - GALLETAS CAFECITAS","DERIVADOS",B128="140 - MERENGUES","DERIVADOS",B128="100 - CAFÉ ESPECIAL","ESPECIALES",B128="141 - AREQUIPE","DERIVADOS",B128="142 - MERMELADA","DERIVADOS",B128="131 - GALLETAS AVENA","DERIVADOS",B128="160 - SOUVENIR","OTROS",B128="148 - CARAMELOS","DERIVADOS",B128="143 - CHOCOFFES","DERIVADOS",B128="162 - CONVENIOS Y DSC POS ","OTROS"),"OTROS")</f>
        <v>GOURMET</v>
      </c>
      <c r="L128" s="27">
        <f t="shared" si="8"/>
        <v>2344361</v>
      </c>
      <c r="M128" s="27">
        <f t="shared" si="9"/>
        <v>2344361</v>
      </c>
    </row>
    <row r="129" spans="1:13" ht="16.5" hidden="1" outlineLevel="1">
      <c r="A129" s="38"/>
      <c r="B129" s="39" t="s">
        <v>22</v>
      </c>
      <c r="C129" s="36">
        <v>12008</v>
      </c>
      <c r="D129" s="36">
        <v>0</v>
      </c>
      <c r="E129" s="36"/>
      <c r="F129" s="36">
        <v>9961569.3200000003</v>
      </c>
      <c r="G129" s="37">
        <f t="shared" si="14"/>
        <v>1.2054325592947839E-3</v>
      </c>
      <c r="H129" s="23">
        <f t="shared" si="13"/>
        <v>0</v>
      </c>
      <c r="I129" s="24">
        <f t="shared" si="13"/>
        <v>0</v>
      </c>
      <c r="J129" s="32" t="str" cm="1">
        <f t="array" ref="J129">IFERROR(_xlfn.IFS(B129="044 - BLEND TRADICION","BLEND",B129="113 - CAFÉ GOURMET","GOURMET",B129="114 - CAFÉ CONSUMO","CONSUMO",B129="112 - CAFÉ ORGANICO","GOURMET",B129="172 - CAFÉ COSECHA","ESPECIALES",B129="176 - CAFE DESCAFEINADO","GOURMET",B129="147 - CAPSULAS","CAPSULAS",B129="130 - GALLETAS CAFECITAS","DERIVADOS",B129="140 - MERENGUES","DERIVADOS",B129="100 - CAFÉ ESPECIAL","ESPECIALES",B129="141 - AREQUIPE","DERIVADOS",B129="142 - MERMELADA","DERIVADOS",B129="131 - GALLETAS AVENA","DERIVADOS",B129="160 - SOUVENIR","OTROS",B129="148 - CARAMELOS","DERIVADOS",B129="143 - CHOCOFFES","DERIVADOS",B129="162 - CONVENIOS Y DSC POS ","OTROS"),"OTROS")</f>
        <v>DERIVADOS</v>
      </c>
      <c r="L129" s="27">
        <f t="shared" si="8"/>
        <v>12008</v>
      </c>
      <c r="M129" s="27">
        <f t="shared" si="9"/>
        <v>12008</v>
      </c>
    </row>
    <row r="130" spans="1:13" ht="16.5" hidden="1" outlineLevel="1">
      <c r="A130" s="38"/>
      <c r="B130" s="39" t="s">
        <v>23</v>
      </c>
      <c r="C130" s="36">
        <v>0</v>
      </c>
      <c r="D130" s="36">
        <v>0</v>
      </c>
      <c r="E130" s="36"/>
      <c r="F130" s="36">
        <v>11794.96</v>
      </c>
      <c r="G130" s="37">
        <f t="shared" si="14"/>
        <v>0</v>
      </c>
      <c r="H130" s="23">
        <f t="shared" si="13"/>
        <v>0</v>
      </c>
      <c r="I130" s="24">
        <f t="shared" si="13"/>
        <v>0</v>
      </c>
      <c r="J130" s="32" t="str" cm="1">
        <f t="array" ref="J130">IFERROR(_xlfn.IFS(B130="044 - BLEND TRADICION","BLEND",B130="113 - CAFÉ GOURMET","GOURMET",B130="114 - CAFÉ CONSUMO","CONSUMO",B130="112 - CAFÉ ORGANICO","GOURMET",B130="172 - CAFÉ COSECHA","ESPECIALES",B130="176 - CAFE DESCAFEINADO","GOURMET",B130="147 - CAPSULAS","CAPSULAS",B130="130 - GALLETAS CAFECITAS","DERIVADOS",B130="140 - MERENGUES","DERIVADOS",B130="100 - CAFÉ ESPECIAL","ESPECIALES",B130="141 - AREQUIPE","DERIVADOS",B130="142 - MERMELADA","DERIVADOS",B130="131 - GALLETAS AVENA","DERIVADOS",B130="160 - SOUVENIR","OTROS",B130="148 - CARAMELOS","DERIVADOS",B130="143 - CHOCOFFES","DERIVADOS",B130="162 - CONVENIOS Y DSC POS ","OTROS"),"OTROS")</f>
        <v>DERIVADOS</v>
      </c>
      <c r="L130" s="27">
        <f t="shared" si="8"/>
        <v>0</v>
      </c>
      <c r="M130" s="27">
        <f t="shared" si="9"/>
        <v>0</v>
      </c>
    </row>
    <row r="131" spans="1:13" ht="16.5" hidden="1" outlineLevel="1">
      <c r="A131" s="38"/>
      <c r="B131" s="39" t="s">
        <v>24</v>
      </c>
      <c r="C131" s="36">
        <v>0</v>
      </c>
      <c r="D131" s="36">
        <v>0</v>
      </c>
      <c r="E131" s="36"/>
      <c r="F131" s="36">
        <v>854376.78</v>
      </c>
      <c r="G131" s="37">
        <f t="shared" si="14"/>
        <v>0</v>
      </c>
      <c r="H131" s="23">
        <f t="shared" si="13"/>
        <v>0</v>
      </c>
      <c r="I131" s="24">
        <f t="shared" si="13"/>
        <v>0</v>
      </c>
      <c r="J131" s="32" t="str" cm="1">
        <f t="array" ref="J131">IFERROR(_xlfn.IFS(B131="044 - BLEND TRADICION","BLEND",B131="113 - CAFÉ GOURMET","GOURMET",B131="114 - CAFÉ CONSUMO","CONSUMO",B131="112 - CAFÉ ORGANICO","GOURMET",B131="172 - CAFÉ COSECHA","ESPECIALES",B131="176 - CAFE DESCAFEINADO","GOURMET",B131="147 - CAPSULAS","CAPSULAS",B131="130 - GALLETAS CAFECITAS","DERIVADOS",B131="140 - MERENGUES","DERIVADOS",B131="100 - CAFÉ ESPECIAL","ESPECIALES",B131="141 - AREQUIPE","DERIVADOS",B131="142 - MERMELADA","DERIVADOS",B131="131 - GALLETAS AVENA","DERIVADOS",B131="160 - SOUVENIR","OTROS",B131="148 - CARAMELOS","DERIVADOS",B131="143 - CHOCOFFES","DERIVADOS",B131="162 - CONVENIOS Y DSC POS ","OTROS"),"OTROS")</f>
        <v>DERIVADOS</v>
      </c>
      <c r="L131" s="27">
        <f t="shared" si="8"/>
        <v>0</v>
      </c>
      <c r="M131" s="27">
        <f t="shared" si="9"/>
        <v>0</v>
      </c>
    </row>
    <row r="132" spans="1:13" ht="16.5" hidden="1" outlineLevel="1">
      <c r="A132" s="38"/>
      <c r="B132" s="39" t="s">
        <v>25</v>
      </c>
      <c r="C132" s="36">
        <v>106855</v>
      </c>
      <c r="D132" s="36">
        <v>0</v>
      </c>
      <c r="E132" s="36"/>
      <c r="F132" s="36">
        <v>3865702.13</v>
      </c>
      <c r="G132" s="37">
        <f t="shared" si="14"/>
        <v>2.7641809018533976E-2</v>
      </c>
      <c r="H132" s="23">
        <f t="shared" si="13"/>
        <v>0</v>
      </c>
      <c r="I132" s="24">
        <f t="shared" si="13"/>
        <v>0</v>
      </c>
      <c r="J132" s="32" t="str" cm="1">
        <f t="array" ref="J132">IFERROR(_xlfn.IFS(B132="044 - BLEND TRADICION","BLEND",B132="113 - CAFÉ GOURMET","GOURMET",B132="114 - CAFÉ CONSUMO","CONSUMO",B132="112 - CAFÉ ORGANICO","GOURMET",B132="172 - CAFÉ COSECHA","ESPECIALES",B132="176 - CAFE DESCAFEINADO","GOURMET",B132="147 - CAPSULAS","CAPSULAS",B132="130 - GALLETAS CAFECITAS","DERIVADOS",B132="140 - MERENGUES","DERIVADOS",B132="100 - CAFÉ ESPECIAL","ESPECIALES",B132="141 - AREQUIPE","DERIVADOS",B132="142 - MERMELADA","DERIVADOS",B132="131 - GALLETAS AVENA","DERIVADOS",B132="160 - SOUVENIR","OTROS",B132="148 - CARAMELOS","DERIVADOS",B132="143 - CHOCOFFES","DERIVADOS",B132="162 - CONVENIOS Y DSC POS ","OTROS"),"OTROS")</f>
        <v>DERIVADOS</v>
      </c>
      <c r="L132" s="27">
        <f t="shared" si="8"/>
        <v>106855</v>
      </c>
      <c r="M132" s="27">
        <f t="shared" si="9"/>
        <v>106855</v>
      </c>
    </row>
    <row r="133" spans="1:13" ht="16.5" hidden="1" outlineLevel="1">
      <c r="A133" s="38"/>
      <c r="B133" s="39" t="s">
        <v>26</v>
      </c>
      <c r="C133" s="36">
        <v>0</v>
      </c>
      <c r="D133" s="36">
        <v>0</v>
      </c>
      <c r="E133" s="36"/>
      <c r="F133" s="36">
        <v>866649.1</v>
      </c>
      <c r="G133" s="37">
        <f t="shared" si="14"/>
        <v>0</v>
      </c>
      <c r="H133" s="23">
        <f t="shared" si="13"/>
        <v>0</v>
      </c>
      <c r="I133" s="24">
        <f t="shared" si="13"/>
        <v>0</v>
      </c>
      <c r="J133" s="32" t="str" cm="1">
        <f t="array" ref="J133">IFERROR(_xlfn.IFS(B133="044 - BLEND TRADICION","BLEND",B133="113 - CAFÉ GOURMET","GOURMET",B133="114 - CAFÉ CONSUMO","CONSUMO",B133="112 - CAFÉ ORGANICO","GOURMET",B133="172 - CAFÉ COSECHA","ESPECIALES",B133="176 - CAFE DESCAFEINADO","GOURMET",B133="147 - CAPSULAS","CAPSULAS",B133="130 - GALLETAS CAFECITAS","DERIVADOS",B133="140 - MERENGUES","DERIVADOS",B133="100 - CAFÉ ESPECIAL","ESPECIALES",B133="141 - AREQUIPE","DERIVADOS",B133="142 - MERMELADA","DERIVADOS",B133="131 - GALLETAS AVENA","DERIVADOS",B133="160 - SOUVENIR","OTROS",B133="148 - CARAMELOS","DERIVADOS",B133="143 - CHOCOFFES","DERIVADOS",B133="162 - CONVENIOS Y DSC POS ","OTROS"),"OTROS")</f>
        <v>CAPSULAS</v>
      </c>
      <c r="L133" s="27">
        <f t="shared" ref="L133:L202" si="15">C133-(D133+E133)</f>
        <v>0</v>
      </c>
      <c r="M133" s="27">
        <f t="shared" ref="M133:M202" si="16">L133</f>
        <v>0</v>
      </c>
    </row>
    <row r="134" spans="1:13" ht="16.5" hidden="1" outlineLevel="1">
      <c r="A134" s="38"/>
      <c r="B134" s="39" t="s">
        <v>27</v>
      </c>
      <c r="C134" s="36">
        <v>1985833</v>
      </c>
      <c r="D134" s="36">
        <v>0</v>
      </c>
      <c r="E134" s="36"/>
      <c r="F134" s="36">
        <v>6049716.3799999999</v>
      </c>
      <c r="G134" s="37">
        <f t="shared" si="14"/>
        <v>0.32825224775248057</v>
      </c>
      <c r="H134" s="23">
        <f t="shared" si="13"/>
        <v>0</v>
      </c>
      <c r="I134" s="24">
        <f t="shared" si="13"/>
        <v>0</v>
      </c>
      <c r="J134" s="32" t="str" cm="1">
        <f t="array" ref="J134">IFERROR(_xlfn.IFS(B134="044 - BLEND TRADICION","BLEND",B134="113 - CAFÉ GOURMET","GOURMET",B134="114 - CAFÉ CONSUMO","CONSUMO",B134="112 - CAFÉ ORGANICO","GOURMET",B134="172 - CAFÉ COSECHA","ESPECIALES",B134="176 - CAFE DESCAFEINADO","GOURMET",B134="147 - CAPSULAS","CAPSULAS",B134="130 - GALLETAS CAFECITAS","DERIVADOS",B134="140 - MERENGUES","DERIVADOS",B134="100 - CAFÉ ESPECIAL","ESPECIALES",B134="141 - AREQUIPE","DERIVADOS",B134="142 - MERMELADA","DERIVADOS",B134="131 - GALLETAS AVENA","DERIVADOS",B134="160 - SOUVENIR","OTROS",B134="148 - CARAMELOS","DERIVADOS",B134="143 - CHOCOFFES","DERIVADOS",B134="162 - CONVENIOS Y DSC POS ","OTROS"),"OTROS")</f>
        <v>DERIVADOS</v>
      </c>
      <c r="L134" s="27">
        <f t="shared" si="15"/>
        <v>1985833</v>
      </c>
      <c r="M134" s="27">
        <f t="shared" si="16"/>
        <v>1985833</v>
      </c>
    </row>
    <row r="135" spans="1:13" ht="16.5" hidden="1" outlineLevel="1">
      <c r="A135" s="38"/>
      <c r="B135" s="39" t="s">
        <v>28</v>
      </c>
      <c r="C135" s="36">
        <v>0</v>
      </c>
      <c r="D135" s="36">
        <v>0</v>
      </c>
      <c r="E135" s="36"/>
      <c r="F135" s="36">
        <v>2122980.0499999998</v>
      </c>
      <c r="G135" s="37">
        <f t="shared" si="14"/>
        <v>0</v>
      </c>
      <c r="H135" s="23">
        <f t="shared" si="13"/>
        <v>0</v>
      </c>
      <c r="I135" s="24">
        <f t="shared" si="13"/>
        <v>0</v>
      </c>
      <c r="J135" s="32" t="str" cm="1">
        <f t="array" ref="J135">IFERROR(_xlfn.IFS(B135="044 - BLEND TRADICION","BLEND",B135="113 - CAFÉ GOURMET","GOURMET",B135="114 - CAFÉ CONSUMO","CONSUMO",B135="112 - CAFÉ ORGANICO","GOURMET",B135="172 - CAFÉ COSECHA","ESPECIALES",B135="176 - CAFE DESCAFEINADO","GOURMET",B135="147 - CAPSULAS","CAPSULAS",B135="130 - GALLETAS CAFECITAS","DERIVADOS",B135="140 - MERENGUES","DERIVADOS",B135="100 - CAFÉ ESPECIAL","ESPECIALES",B135="141 - AREQUIPE","DERIVADOS",B135="142 - MERMELADA","DERIVADOS",B135="131 - GALLETAS AVENA","DERIVADOS",B135="160 - SOUVENIR","OTROS",B135="148 - CARAMELOS","DERIVADOS",B135="143 - CHOCOFFES","DERIVADOS",B135="162 - CONVENIOS Y DSC POS ","OTROS"),"OTROS")</f>
        <v>OTROS</v>
      </c>
      <c r="L135" s="27">
        <f t="shared" si="15"/>
        <v>0</v>
      </c>
      <c r="M135" s="27">
        <f t="shared" si="16"/>
        <v>0</v>
      </c>
    </row>
    <row r="136" spans="1:13" ht="16.5" hidden="1" outlineLevel="1">
      <c r="A136" s="38"/>
      <c r="B136" s="39" t="s">
        <v>29</v>
      </c>
      <c r="C136" s="36">
        <v>0</v>
      </c>
      <c r="D136" s="36">
        <v>0</v>
      </c>
      <c r="E136" s="36"/>
      <c r="F136" s="36">
        <v>6357550.9400000004</v>
      </c>
      <c r="G136" s="37">
        <f t="shared" si="14"/>
        <v>0</v>
      </c>
      <c r="H136" s="23">
        <f t="shared" ref="H136:I167" si="17">IFERROR(+D136/L136*100%,0)</f>
        <v>0</v>
      </c>
      <c r="I136" s="24">
        <f t="shared" si="17"/>
        <v>0</v>
      </c>
      <c r="J136" s="32" t="str" cm="1">
        <f t="array" ref="J136">IFERROR(_xlfn.IFS(B136="044 - BLEND TRADICION","BLEND",B136="113 - CAFÉ GOURMET","GOURMET",B136="114 - CAFÉ CONSUMO","CONSUMO",B136="112 - CAFÉ ORGANICO","GOURMET",B136="172 - CAFÉ COSECHA","ESPECIALES",B136="176 - CAFE DESCAFEINADO","GOURMET",B136="147 - CAPSULAS","CAPSULAS",B136="130 - GALLETAS CAFECITAS","DERIVADOS",B136="140 - MERENGUES","DERIVADOS",B136="100 - CAFÉ ESPECIAL","ESPECIALES",B136="141 - AREQUIPE","DERIVADOS",B136="142 - MERMELADA","DERIVADOS",B136="131 - GALLETAS AVENA","DERIVADOS",B136="160 - SOUVENIR","OTROS",B136="148 - CARAMELOS","DERIVADOS",B136="143 - CHOCOFFES","DERIVADOS",B136="162 - CONVENIOS Y DSC POS ","OTROS"),"OTROS")</f>
        <v>ESPECIALES</v>
      </c>
      <c r="L136" s="27">
        <f t="shared" si="15"/>
        <v>0</v>
      </c>
      <c r="M136" s="27">
        <f t="shared" si="16"/>
        <v>0</v>
      </c>
    </row>
    <row r="137" spans="1:13" ht="16.5" hidden="1" outlineLevel="1">
      <c r="A137" s="38"/>
      <c r="B137" s="61" t="s">
        <v>30</v>
      </c>
      <c r="C137" s="100">
        <v>0</v>
      </c>
      <c r="D137" s="36">
        <v>0</v>
      </c>
      <c r="E137" s="36"/>
      <c r="F137" s="36">
        <v>974571.04</v>
      </c>
      <c r="G137" s="37">
        <f t="shared" si="14"/>
        <v>0</v>
      </c>
      <c r="H137" s="23">
        <f t="shared" si="17"/>
        <v>0</v>
      </c>
      <c r="I137" s="24">
        <f t="shared" si="17"/>
        <v>0</v>
      </c>
      <c r="J137" s="32" t="str" cm="1">
        <f t="array" ref="J137">IFERROR(_xlfn.IFS(B137="044 - BLEND TRADICION","BLEND",B137="113 - CAFÉ GOURMET","GOURMET",B137="114 - CAFÉ CONSUMO","CONSUMO",B137="112 - CAFÉ ORGANICO","GOURMET",B137="172 - CAFÉ COSECHA","ESPECIALES",B137="176 - CAFE DESCAFEINADO","GOURMET",B137="147 - CAPSULAS","CAPSULAS",B137="130 - GALLETAS CAFECITAS","DERIVADOS",B137="140 - MERENGUES","DERIVADOS",B137="100 - CAFÉ ESPECIAL","ESPECIALES",B137="141 - AREQUIPE","DERIVADOS",B137="142 - MERMELADA","DERIVADOS",B137="131 - GALLETAS AVENA","DERIVADOS",B137="160 - SOUVENIR","OTROS",B137="148 - CARAMELOS","DERIVADOS",B137="143 - CHOCOFFES","DERIVADOS",B137="162 - CONVENIOS Y DSC POS ","OTROS"),"OTROS")</f>
        <v>GOURMET</v>
      </c>
      <c r="L137" s="27">
        <f t="shared" si="15"/>
        <v>0</v>
      </c>
      <c r="M137" s="27">
        <f t="shared" si="16"/>
        <v>0</v>
      </c>
    </row>
    <row r="138" spans="1:13" ht="16.5" hidden="1" outlineLevel="1">
      <c r="A138" s="52" t="s">
        <v>51</v>
      </c>
      <c r="B138" s="20" t="s">
        <v>32</v>
      </c>
      <c r="C138" s="21">
        <f>SUM(C125:C137)</f>
        <v>4709857</v>
      </c>
      <c r="D138" s="53">
        <f>SUM(D125:D137)</f>
        <v>0</v>
      </c>
      <c r="E138" s="54">
        <f>SUM(E125:E137)</f>
        <v>0</v>
      </c>
      <c r="F138" s="58">
        <f>SUM(F125:F137)</f>
        <v>89185849.329999968</v>
      </c>
      <c r="G138" s="55">
        <f>IFERROR(C138/F138*100%,"-")</f>
        <v>5.2809465126837311E-2</v>
      </c>
      <c r="H138" s="23">
        <f t="shared" si="17"/>
        <v>0</v>
      </c>
      <c r="I138" s="24">
        <f t="shared" si="17"/>
        <v>0</v>
      </c>
      <c r="J138" s="32" t="str" cm="1">
        <f t="array" ref="J138">IFERROR(_xlfn.IFS(B138="044 - BLEND TRADICION","BLEND",B138="113 - CAFÉ GOURMET","GOURMET",B138="114 - CAFÉ CONSUMO","CONSUMO",B138="112 - CAFÉ ORGANICO","GOURMET",B138="172 - CAFÉ COSECHA","ESPECIALES",B138="176 - CAFE DESCAFEINADO","GOURMET",B138="147 - CAPSULAS","CAPSULAS",B138="130 - GALLETAS CAFECITAS","DERIVADOS",B138="140 - MERENGUES","DERIVADOS",B138="100 - CAFÉ ESPECIAL","ESPECIALES",B138="141 - AREQUIPE","DERIVADOS",B138="142 - MERMELADA","DERIVADOS",B138="131 - GALLETAS AVENA","DERIVADOS",B138="160 - SOUVENIR","OTROS",B138="148 - CARAMELOS","DERIVADOS",B138="143 - CHOCOFFES","DERIVADOS",B138="162 - CONVENIOS Y DSC POS ","OTROS"),"OTROS")</f>
        <v>OTROS</v>
      </c>
      <c r="L138" s="27">
        <f t="shared" si="15"/>
        <v>4709857</v>
      </c>
      <c r="M138" s="27">
        <f t="shared" si="16"/>
        <v>4709857</v>
      </c>
    </row>
    <row r="139" spans="1:13" ht="16.5" hidden="1" outlineLevel="1">
      <c r="A139" s="33"/>
      <c r="B139" s="45" t="s">
        <v>42</v>
      </c>
      <c r="C139" s="46">
        <v>40584</v>
      </c>
      <c r="D139" s="47">
        <v>0</v>
      </c>
      <c r="E139" s="36">
        <v>0</v>
      </c>
      <c r="F139" s="36">
        <v>0</v>
      </c>
      <c r="G139" s="37" t="str">
        <f t="shared" ref="G139:G205" si="18">IFERROR(C139/F139*100%,"-")</f>
        <v>-</v>
      </c>
      <c r="H139" s="23">
        <f t="shared" si="17"/>
        <v>0</v>
      </c>
      <c r="I139" s="24">
        <f t="shared" si="17"/>
        <v>0</v>
      </c>
      <c r="J139" s="32" t="str" cm="1">
        <f t="array" ref="J139">IFERROR(_xlfn.IFS(B139="044 - BLEND TRADICION","BLEND",B139="113 - CAFÉ GOURMET","GOURMET",B139="114 - CAFÉ CONSUMO","CONSUMO",B139="112 - CAFÉ ORGANICO","GOURMET",B139="172 - CAFÉ COSECHA","ESPECIALES",B139="176 - CAFE DESCAFEINADO","GOURMET",B139="147 - CAPSULAS","CAPSULAS",B139="130 - GALLETAS CAFECITAS","DERIVADOS",B139="140 - MERENGUES","DERIVADOS",B139="100 - CAFÉ ESPECIAL","ESPECIALES",B139="141 - AREQUIPE","DERIVADOS",B139="142 - MERMELADA","DERIVADOS",B139="131 - GALLETAS AVENA","DERIVADOS",B139="160 - SOUVENIR","OTROS",B139="148 - CARAMELOS","DERIVADOS",B139="143 - CHOCOFFES","DERIVADOS",B139="162 - CONVENIOS Y DSC POS ","OTROS"),"OTROS")</f>
        <v>OTROS</v>
      </c>
      <c r="L139" s="27">
        <f t="shared" si="15"/>
        <v>40584</v>
      </c>
      <c r="M139" s="27">
        <f t="shared" si="16"/>
        <v>40584</v>
      </c>
    </row>
    <row r="140" spans="1:13" ht="16.5" hidden="1" outlineLevel="1">
      <c r="A140" s="44"/>
      <c r="B140" s="45" t="s">
        <v>18</v>
      </c>
      <c r="C140" s="46">
        <v>2347200</v>
      </c>
      <c r="D140" s="47">
        <v>0</v>
      </c>
      <c r="E140" s="36">
        <v>0</v>
      </c>
      <c r="F140" s="36">
        <v>14379067.41</v>
      </c>
      <c r="G140" s="37">
        <f t="shared" si="18"/>
        <v>0.16323729022701619</v>
      </c>
      <c r="H140" s="23">
        <f t="shared" si="17"/>
        <v>0</v>
      </c>
      <c r="I140" s="24">
        <f t="shared" si="17"/>
        <v>0</v>
      </c>
      <c r="J140" s="32" t="str" cm="1">
        <f t="array" ref="J140">IFERROR(_xlfn.IFS(B140="044 - BLEND TRADICION","BLEND",B140="113 - CAFÉ GOURMET","GOURMET",B140="114 - CAFÉ CONSUMO","CONSUMO",B140="112 - CAFÉ ORGANICO","GOURMET",B140="172 - CAFÉ COSECHA","ESPECIALES",B140="176 - CAFE DESCAFEINADO","GOURMET",B140="147 - CAPSULAS","CAPSULAS",B140="130 - GALLETAS CAFECITAS","DERIVADOS",B140="140 - MERENGUES","DERIVADOS",B140="100 - CAFÉ ESPECIAL","ESPECIALES",B140="141 - AREQUIPE","DERIVADOS",B140="142 - MERMELADA","DERIVADOS",B140="131 - GALLETAS AVENA","DERIVADOS",B140="160 - SOUVENIR","OTROS",B140="148 - CARAMELOS","DERIVADOS",B140="143 - CHOCOFFES","DERIVADOS",B140="162 - CONVENIOS Y DSC POS ","OTROS"),"OTROS")</f>
        <v>BLEND</v>
      </c>
      <c r="L140" s="27">
        <f t="shared" si="15"/>
        <v>2347200</v>
      </c>
      <c r="M140" s="27">
        <f t="shared" si="16"/>
        <v>2347200</v>
      </c>
    </row>
    <row r="141" spans="1:13" ht="16.5" hidden="1" outlineLevel="1">
      <c r="A141" s="44"/>
      <c r="B141" s="45" t="s">
        <v>19</v>
      </c>
      <c r="C141" s="46">
        <v>1026864</v>
      </c>
      <c r="D141" s="47">
        <v>0</v>
      </c>
      <c r="E141" s="36">
        <v>0</v>
      </c>
      <c r="F141" s="36">
        <v>3909295.37</v>
      </c>
      <c r="G141" s="37">
        <f t="shared" si="18"/>
        <v>0.26267240072985326</v>
      </c>
      <c r="H141" s="23">
        <f t="shared" si="17"/>
        <v>0</v>
      </c>
      <c r="I141" s="24">
        <f t="shared" si="17"/>
        <v>0</v>
      </c>
      <c r="J141" s="32" t="str" cm="1">
        <f t="array" ref="J141">IFERROR(_xlfn.IFS(B141="044 - BLEND TRADICION","BLEND",B141="113 - CAFÉ GOURMET","GOURMET",B141="114 - CAFÉ CONSUMO","CONSUMO",B141="112 - CAFÉ ORGANICO","GOURMET",B141="172 - CAFÉ COSECHA","ESPECIALES",B141="176 - CAFE DESCAFEINADO","GOURMET",B141="147 - CAPSULAS","CAPSULAS",B141="130 - GALLETAS CAFECITAS","DERIVADOS",B141="140 - MERENGUES","DERIVADOS",B141="100 - CAFÉ ESPECIAL","ESPECIALES",B141="141 - AREQUIPE","DERIVADOS",B141="142 - MERMELADA","DERIVADOS",B141="131 - GALLETAS AVENA","DERIVADOS",B141="160 - SOUVENIR","OTROS",B141="148 - CARAMELOS","DERIVADOS",B141="143 - CHOCOFFES","DERIVADOS",B141="162 - CONVENIOS Y DSC POS ","OTROS"),"OTROS")</f>
        <v>ESPECIALES</v>
      </c>
      <c r="L141" s="27">
        <f t="shared" si="15"/>
        <v>1026864</v>
      </c>
      <c r="M141" s="27">
        <f t="shared" si="16"/>
        <v>1026864</v>
      </c>
    </row>
    <row r="142" spans="1:13" ht="16.5" hidden="1" outlineLevel="1">
      <c r="A142" s="44"/>
      <c r="B142" s="45" t="s">
        <v>20</v>
      </c>
      <c r="C142" s="46">
        <v>767760</v>
      </c>
      <c r="D142" s="47">
        <v>0</v>
      </c>
      <c r="E142" s="36">
        <v>0</v>
      </c>
      <c r="F142" s="36">
        <v>4626025.21</v>
      </c>
      <c r="G142" s="37">
        <f t="shared" si="18"/>
        <v>0.16596537311131515</v>
      </c>
      <c r="H142" s="23">
        <f t="shared" si="17"/>
        <v>0</v>
      </c>
      <c r="I142" s="24">
        <f t="shared" si="17"/>
        <v>0</v>
      </c>
      <c r="J142" s="32" t="str" cm="1">
        <f t="array" ref="J142">IFERROR(_xlfn.IFS(B142="044 - BLEND TRADICION","BLEND",B142="113 - CAFÉ GOURMET","GOURMET",B142="114 - CAFÉ CONSUMO","CONSUMO",B142="112 - CAFÉ ORGANICO","GOURMET",B142="172 - CAFÉ COSECHA","ESPECIALES",B142="176 - CAFE DESCAFEINADO","GOURMET",B142="147 - CAPSULAS","CAPSULAS",B142="130 - GALLETAS CAFECITAS","DERIVADOS",B142="140 - MERENGUES","DERIVADOS",B142="100 - CAFÉ ESPECIAL","ESPECIALES",B142="141 - AREQUIPE","DERIVADOS",B142="142 - MERMELADA","DERIVADOS",B142="131 - GALLETAS AVENA","DERIVADOS",B142="160 - SOUVENIR","OTROS",B142="148 - CARAMELOS","DERIVADOS",B142="143 - CHOCOFFES","DERIVADOS",B142="162 - CONVENIOS Y DSC POS ","OTROS"),"OTROS")</f>
        <v>GOURMET</v>
      </c>
      <c r="L142" s="27">
        <f t="shared" si="15"/>
        <v>767760</v>
      </c>
      <c r="M142" s="27">
        <f t="shared" si="16"/>
        <v>767760</v>
      </c>
    </row>
    <row r="143" spans="1:13" ht="16.5" hidden="1" outlineLevel="1">
      <c r="A143" s="44"/>
      <c r="B143" s="45" t="s">
        <v>21</v>
      </c>
      <c r="C143" s="46">
        <v>11796408</v>
      </c>
      <c r="D143" s="47">
        <v>0</v>
      </c>
      <c r="E143" s="36"/>
      <c r="F143" s="36">
        <v>114747780.18000001</v>
      </c>
      <c r="G143" s="37">
        <f t="shared" si="18"/>
        <v>0.10280292988235129</v>
      </c>
      <c r="H143" s="23">
        <f t="shared" si="17"/>
        <v>0</v>
      </c>
      <c r="I143" s="24">
        <f t="shared" si="17"/>
        <v>0</v>
      </c>
      <c r="J143" s="32" t="str" cm="1">
        <f t="array" ref="J143">IFERROR(_xlfn.IFS(B143="044 - BLEND TRADICION","BLEND",B143="113 - CAFÉ GOURMET","GOURMET",B143="114 - CAFÉ CONSUMO","CONSUMO",B143="112 - CAFÉ ORGANICO","GOURMET",B143="172 - CAFÉ COSECHA","ESPECIALES",B143="176 - CAFE DESCAFEINADO","GOURMET",B143="147 - CAPSULAS","CAPSULAS",B143="130 - GALLETAS CAFECITAS","DERIVADOS",B143="140 - MERENGUES","DERIVADOS",B143="100 - CAFÉ ESPECIAL","ESPECIALES",B143="141 - AREQUIPE","DERIVADOS",B143="142 - MERMELADA","DERIVADOS",B143="131 - GALLETAS AVENA","DERIVADOS",B143="160 - SOUVENIR","OTROS",B143="148 - CARAMELOS","DERIVADOS",B143="143 - CHOCOFFES","DERIVADOS",B143="162 - CONVENIOS Y DSC POS ","OTROS"),"OTROS")</f>
        <v>GOURMET</v>
      </c>
      <c r="L143" s="27">
        <f t="shared" si="15"/>
        <v>11796408</v>
      </c>
      <c r="M143" s="27">
        <f t="shared" si="16"/>
        <v>11796408</v>
      </c>
    </row>
    <row r="144" spans="1:13" ht="16.5" hidden="1" outlineLevel="1">
      <c r="A144" s="38"/>
      <c r="B144" s="34" t="s">
        <v>38</v>
      </c>
      <c r="C144" s="35">
        <v>0</v>
      </c>
      <c r="D144" s="36">
        <v>0</v>
      </c>
      <c r="E144" s="36"/>
      <c r="F144" s="36">
        <v>353869.81</v>
      </c>
      <c r="G144" s="37">
        <f t="shared" si="18"/>
        <v>0</v>
      </c>
      <c r="H144" s="23">
        <f t="shared" si="17"/>
        <v>0</v>
      </c>
      <c r="I144" s="24">
        <f t="shared" si="17"/>
        <v>0</v>
      </c>
      <c r="J144" s="32" t="str" cm="1">
        <f t="array" ref="J144">IFERROR(_xlfn.IFS(B144="044 - BLEND TRADICION","BLEND",B144="113 - CAFÉ GOURMET","GOURMET",B144="114 - CAFÉ CONSUMO","CONSUMO",B144="112 - CAFÉ ORGANICO","GOURMET",B144="172 - CAFÉ COSECHA","ESPECIALES",B144="176 - CAFE DESCAFEINADO","GOURMET",B144="147 - CAPSULAS","CAPSULAS",B144="130 - GALLETAS CAFECITAS","DERIVADOS",B144="140 - MERENGUES","DERIVADOS",B144="100 - CAFÉ ESPECIAL","ESPECIALES",B144="141 - AREQUIPE","DERIVADOS",B144="142 - MERMELADA","DERIVADOS",B144="131 - GALLETAS AVENA","DERIVADOS",B144="160 - SOUVENIR","OTROS",B144="148 - CARAMELOS","DERIVADOS",B144="143 - CHOCOFFES","DERIVADOS",B144="162 - CONVENIOS Y DSC POS ","OTROS"),"OTROS")</f>
        <v>CONSUMO</v>
      </c>
      <c r="L144" s="27">
        <f t="shared" si="15"/>
        <v>0</v>
      </c>
      <c r="M144" s="27">
        <f t="shared" si="16"/>
        <v>0</v>
      </c>
    </row>
    <row r="145" spans="1:13" ht="16.5" hidden="1" outlineLevel="1">
      <c r="A145" s="38"/>
      <c r="B145" s="39" t="s">
        <v>22</v>
      </c>
      <c r="C145" s="36">
        <v>2535732</v>
      </c>
      <c r="D145" s="36">
        <v>0</v>
      </c>
      <c r="E145" s="36"/>
      <c r="F145" s="36">
        <v>21366443.850000001</v>
      </c>
      <c r="G145" s="37">
        <f t="shared" si="18"/>
        <v>0.11867824228503986</v>
      </c>
      <c r="H145" s="23">
        <f t="shared" si="17"/>
        <v>0</v>
      </c>
      <c r="I145" s="24">
        <f t="shared" si="17"/>
        <v>0</v>
      </c>
      <c r="J145" s="32" t="str" cm="1">
        <f t="array" ref="J145">IFERROR(_xlfn.IFS(B145="044 - BLEND TRADICION","BLEND",B145="113 - CAFÉ GOURMET","GOURMET",B145="114 - CAFÉ CONSUMO","CONSUMO",B145="112 - CAFÉ ORGANICO","GOURMET",B145="172 - CAFÉ COSECHA","ESPECIALES",B145="176 - CAFE DESCAFEINADO","GOURMET",B145="147 - CAPSULAS","CAPSULAS",B145="130 - GALLETAS CAFECITAS","DERIVADOS",B145="140 - MERENGUES","DERIVADOS",B145="100 - CAFÉ ESPECIAL","ESPECIALES",B145="141 - AREQUIPE","DERIVADOS",B145="142 - MERMELADA","DERIVADOS",B145="131 - GALLETAS AVENA","DERIVADOS",B145="160 - SOUVENIR","OTROS",B145="148 - CARAMELOS","DERIVADOS",B145="143 - CHOCOFFES","DERIVADOS",B145="162 - CONVENIOS Y DSC POS ","OTROS"),"OTROS")</f>
        <v>DERIVADOS</v>
      </c>
      <c r="L145" s="27">
        <f t="shared" si="15"/>
        <v>2535732</v>
      </c>
      <c r="M145" s="27">
        <f t="shared" si="16"/>
        <v>2535732</v>
      </c>
    </row>
    <row r="146" spans="1:13" ht="16.5" hidden="1" outlineLevel="1">
      <c r="A146" s="38"/>
      <c r="B146" s="39" t="s">
        <v>23</v>
      </c>
      <c r="C146" s="36">
        <v>59664</v>
      </c>
      <c r="D146" s="36">
        <v>0</v>
      </c>
      <c r="E146" s="36"/>
      <c r="F146" s="36">
        <v>227657.98</v>
      </c>
      <c r="G146" s="37">
        <f t="shared" si="18"/>
        <v>0.26207734953986678</v>
      </c>
      <c r="H146" s="23">
        <f t="shared" si="17"/>
        <v>0</v>
      </c>
      <c r="I146" s="24">
        <f t="shared" si="17"/>
        <v>0</v>
      </c>
      <c r="J146" s="32" t="str" cm="1">
        <f t="array" ref="J146">IFERROR(_xlfn.IFS(B146="044 - BLEND TRADICION","BLEND",B146="113 - CAFÉ GOURMET","GOURMET",B146="114 - CAFÉ CONSUMO","CONSUMO",B146="112 - CAFÉ ORGANICO","GOURMET",B146="172 - CAFÉ COSECHA","ESPECIALES",B146="176 - CAFE DESCAFEINADO","GOURMET",B146="147 - CAPSULAS","CAPSULAS",B146="130 - GALLETAS CAFECITAS","DERIVADOS",B146="140 - MERENGUES","DERIVADOS",B146="100 - CAFÉ ESPECIAL","ESPECIALES",B146="141 - AREQUIPE","DERIVADOS",B146="142 - MERMELADA","DERIVADOS",B146="131 - GALLETAS AVENA","DERIVADOS",B146="160 - SOUVENIR","OTROS",B146="148 - CARAMELOS","DERIVADOS",B146="143 - CHOCOFFES","DERIVADOS",B146="162 - CONVENIOS Y DSC POS ","OTROS"),"OTROS")</f>
        <v>DERIVADOS</v>
      </c>
      <c r="L146" s="27">
        <f t="shared" si="15"/>
        <v>59664</v>
      </c>
      <c r="M146" s="27">
        <f t="shared" si="16"/>
        <v>59664</v>
      </c>
    </row>
    <row r="147" spans="1:13" ht="16.5" hidden="1" outlineLevel="1">
      <c r="A147" s="38"/>
      <c r="B147" s="39" t="s">
        <v>24</v>
      </c>
      <c r="C147" s="36">
        <v>296014</v>
      </c>
      <c r="D147" s="36">
        <v>0</v>
      </c>
      <c r="E147" s="36"/>
      <c r="F147" s="36">
        <v>2117327.71</v>
      </c>
      <c r="G147" s="37">
        <f t="shared" si="18"/>
        <v>0.13980547205892846</v>
      </c>
      <c r="H147" s="23">
        <f t="shared" si="17"/>
        <v>0</v>
      </c>
      <c r="I147" s="24">
        <f t="shared" si="17"/>
        <v>0</v>
      </c>
      <c r="J147" s="32" t="str" cm="1">
        <f t="array" ref="J147">IFERROR(_xlfn.IFS(B147="044 - BLEND TRADICION","BLEND",B147="113 - CAFÉ GOURMET","GOURMET",B147="114 - CAFÉ CONSUMO","CONSUMO",B147="112 - CAFÉ ORGANICO","GOURMET",B147="172 - CAFÉ COSECHA","ESPECIALES",B147="176 - CAFE DESCAFEINADO","GOURMET",B147="147 - CAPSULAS","CAPSULAS",B147="130 - GALLETAS CAFECITAS","DERIVADOS",B147="140 - MERENGUES","DERIVADOS",B147="100 - CAFÉ ESPECIAL","ESPECIALES",B147="141 - AREQUIPE","DERIVADOS",B147="142 - MERMELADA","DERIVADOS",B147="131 - GALLETAS AVENA","DERIVADOS",B147="160 - SOUVENIR","OTROS",B147="148 - CARAMELOS","DERIVADOS",B147="143 - CHOCOFFES","DERIVADOS",B147="162 - CONVENIOS Y DSC POS ","OTROS"),"OTROS")</f>
        <v>DERIVADOS</v>
      </c>
      <c r="L147" s="27">
        <f t="shared" si="15"/>
        <v>296014</v>
      </c>
      <c r="M147" s="27">
        <f t="shared" si="16"/>
        <v>296014</v>
      </c>
    </row>
    <row r="148" spans="1:13" ht="16.5" hidden="1" outlineLevel="1">
      <c r="A148" s="38"/>
      <c r="B148" s="39" t="s">
        <v>25</v>
      </c>
      <c r="C148" s="36">
        <v>1752876</v>
      </c>
      <c r="D148" s="36">
        <v>0</v>
      </c>
      <c r="E148" s="36"/>
      <c r="F148" s="36">
        <v>5087944.59</v>
      </c>
      <c r="G148" s="37">
        <f t="shared" si="18"/>
        <v>0.34451554434086318</v>
      </c>
      <c r="H148" s="23">
        <f t="shared" si="17"/>
        <v>0</v>
      </c>
      <c r="I148" s="24">
        <f t="shared" si="17"/>
        <v>0</v>
      </c>
      <c r="J148" s="32" t="str" cm="1">
        <f t="array" ref="J148">IFERROR(_xlfn.IFS(B148="044 - BLEND TRADICION","BLEND",B148="113 - CAFÉ GOURMET","GOURMET",B148="114 - CAFÉ CONSUMO","CONSUMO",B148="112 - CAFÉ ORGANICO","GOURMET",B148="172 - CAFÉ COSECHA","ESPECIALES",B148="176 - CAFE DESCAFEINADO","GOURMET",B148="147 - CAPSULAS","CAPSULAS",B148="130 - GALLETAS CAFECITAS","DERIVADOS",B148="140 - MERENGUES","DERIVADOS",B148="100 - CAFÉ ESPECIAL","ESPECIALES",B148="141 - AREQUIPE","DERIVADOS",B148="142 - MERMELADA","DERIVADOS",B148="131 - GALLETAS AVENA","DERIVADOS",B148="160 - SOUVENIR","OTROS",B148="148 - CARAMELOS","DERIVADOS",B148="143 - CHOCOFFES","DERIVADOS",B148="162 - CONVENIOS Y DSC POS ","OTROS"),"OTROS")</f>
        <v>DERIVADOS</v>
      </c>
      <c r="L148" s="27">
        <f t="shared" si="15"/>
        <v>1752876</v>
      </c>
      <c r="M148" s="27">
        <f t="shared" si="16"/>
        <v>1752876</v>
      </c>
    </row>
    <row r="149" spans="1:13" ht="16.5" hidden="1" outlineLevel="1">
      <c r="A149" s="38"/>
      <c r="B149" s="39" t="s">
        <v>26</v>
      </c>
      <c r="C149" s="36">
        <v>660216</v>
      </c>
      <c r="D149" s="36">
        <v>0</v>
      </c>
      <c r="E149" s="36"/>
      <c r="F149" s="36">
        <v>4929036.9800000004</v>
      </c>
      <c r="G149" s="37">
        <f t="shared" si="18"/>
        <v>0.13394421723328193</v>
      </c>
      <c r="H149" s="23">
        <f t="shared" si="17"/>
        <v>0</v>
      </c>
      <c r="I149" s="24">
        <f t="shared" si="17"/>
        <v>0</v>
      </c>
      <c r="J149" s="32" t="str" cm="1">
        <f t="array" ref="J149">IFERROR(_xlfn.IFS(B149="044 - BLEND TRADICION","BLEND",B149="113 - CAFÉ GOURMET","GOURMET",B149="114 - CAFÉ CONSUMO","CONSUMO",B149="112 - CAFÉ ORGANICO","GOURMET",B149="172 - CAFÉ COSECHA","ESPECIALES",B149="176 - CAFE DESCAFEINADO","GOURMET",B149="147 - CAPSULAS","CAPSULAS",B149="130 - GALLETAS CAFECITAS","DERIVADOS",B149="140 - MERENGUES","DERIVADOS",B149="100 - CAFÉ ESPECIAL","ESPECIALES",B149="141 - AREQUIPE","DERIVADOS",B149="142 - MERMELADA","DERIVADOS",B149="131 - GALLETAS AVENA","DERIVADOS",B149="160 - SOUVENIR","OTROS",B149="148 - CARAMELOS","DERIVADOS",B149="143 - CHOCOFFES","DERIVADOS",B149="162 - CONVENIOS Y DSC POS ","OTROS"),"OTROS")</f>
        <v>CAPSULAS</v>
      </c>
      <c r="L149" s="27">
        <f t="shared" si="15"/>
        <v>660216</v>
      </c>
      <c r="M149" s="27">
        <f t="shared" si="16"/>
        <v>660216</v>
      </c>
    </row>
    <row r="150" spans="1:13" ht="16.5" hidden="1" outlineLevel="1">
      <c r="A150" s="38"/>
      <c r="B150" s="39" t="s">
        <v>27</v>
      </c>
      <c r="C150" s="36">
        <v>625086</v>
      </c>
      <c r="D150" s="36">
        <v>0</v>
      </c>
      <c r="E150" s="36"/>
      <c r="F150" s="36">
        <v>3748792.41</v>
      </c>
      <c r="G150" s="37">
        <f t="shared" si="18"/>
        <v>0.1667432953429395</v>
      </c>
      <c r="H150" s="23">
        <f t="shared" si="17"/>
        <v>0</v>
      </c>
      <c r="I150" s="24">
        <f t="shared" si="17"/>
        <v>0</v>
      </c>
      <c r="J150" s="32" t="str" cm="1">
        <f t="array" ref="J150">IFERROR(_xlfn.IFS(B150="044 - BLEND TRADICION","BLEND",B150="113 - CAFÉ GOURMET","GOURMET",B150="114 - CAFÉ CONSUMO","CONSUMO",B150="112 - CAFÉ ORGANICO","GOURMET",B150="172 - CAFÉ COSECHA","ESPECIALES",B150="176 - CAFE DESCAFEINADO","GOURMET",B150="147 - CAPSULAS","CAPSULAS",B150="130 - GALLETAS CAFECITAS","DERIVADOS",B150="140 - MERENGUES","DERIVADOS",B150="100 - CAFÉ ESPECIAL","ESPECIALES",B150="141 - AREQUIPE","DERIVADOS",B150="142 - MERMELADA","DERIVADOS",B150="131 - GALLETAS AVENA","DERIVADOS",B150="160 - SOUVENIR","OTROS",B150="148 - CARAMELOS","DERIVADOS",B150="143 - CHOCOFFES","DERIVADOS",B150="162 - CONVENIOS Y DSC POS ","OTROS"),"OTROS")</f>
        <v>DERIVADOS</v>
      </c>
      <c r="L150" s="27">
        <f t="shared" si="15"/>
        <v>625086</v>
      </c>
      <c r="M150" s="27">
        <f t="shared" si="16"/>
        <v>625086</v>
      </c>
    </row>
    <row r="151" spans="1:13" ht="16.5" hidden="1" outlineLevel="1">
      <c r="A151" s="38"/>
      <c r="B151" s="39" t="s">
        <v>28</v>
      </c>
      <c r="C151" s="36">
        <v>275620</v>
      </c>
      <c r="D151" s="36">
        <v>0</v>
      </c>
      <c r="E151" s="36">
        <v>0</v>
      </c>
      <c r="F151" s="36">
        <v>3497038.66</v>
      </c>
      <c r="G151" s="37">
        <f t="shared" si="18"/>
        <v>7.8815256792156826E-2</v>
      </c>
      <c r="H151" s="23">
        <f t="shared" si="17"/>
        <v>0</v>
      </c>
      <c r="I151" s="24">
        <f t="shared" si="17"/>
        <v>0</v>
      </c>
      <c r="J151" s="32" t="str" cm="1">
        <f t="array" ref="J151">IFERROR(_xlfn.IFS(B151="044 - BLEND TRADICION","BLEND",B151="113 - CAFÉ GOURMET","GOURMET",B151="114 - CAFÉ CONSUMO","CONSUMO",B151="112 - CAFÉ ORGANICO","GOURMET",B151="172 - CAFÉ COSECHA","ESPECIALES",B151="176 - CAFE DESCAFEINADO","GOURMET",B151="147 - CAPSULAS","CAPSULAS",B151="130 - GALLETAS CAFECITAS","DERIVADOS",B151="140 - MERENGUES","DERIVADOS",B151="100 - CAFÉ ESPECIAL","ESPECIALES",B151="141 - AREQUIPE","DERIVADOS",B151="142 - MERMELADA","DERIVADOS",B151="131 - GALLETAS AVENA","DERIVADOS",B151="160 - SOUVENIR","OTROS",B151="148 - CARAMELOS","DERIVADOS",B151="143 - CHOCOFFES","DERIVADOS",B151="162 - CONVENIOS Y DSC POS ","OTROS"),"OTROS")</f>
        <v>OTROS</v>
      </c>
      <c r="L151" s="27">
        <f t="shared" si="15"/>
        <v>275620</v>
      </c>
      <c r="M151" s="27">
        <f t="shared" si="16"/>
        <v>275620</v>
      </c>
    </row>
    <row r="152" spans="1:13" ht="16.5" hidden="1" outlineLevel="1">
      <c r="A152" s="38"/>
      <c r="B152" s="39" t="s">
        <v>29</v>
      </c>
      <c r="C152" s="36">
        <v>421842</v>
      </c>
      <c r="D152" s="36">
        <v>0</v>
      </c>
      <c r="E152" s="36">
        <v>0</v>
      </c>
      <c r="F152" s="36">
        <v>7182790.8499999996</v>
      </c>
      <c r="G152" s="37">
        <f t="shared" si="18"/>
        <v>5.8729539646835187E-2</v>
      </c>
      <c r="H152" s="23">
        <f t="shared" si="17"/>
        <v>0</v>
      </c>
      <c r="I152" s="24">
        <f t="shared" si="17"/>
        <v>0</v>
      </c>
      <c r="J152" s="32" t="str" cm="1">
        <f t="array" ref="J152">IFERROR(_xlfn.IFS(B152="044 - BLEND TRADICION","BLEND",B152="113 - CAFÉ GOURMET","GOURMET",B152="114 - CAFÉ CONSUMO","CONSUMO",B152="112 - CAFÉ ORGANICO","GOURMET",B152="172 - CAFÉ COSECHA","ESPECIALES",B152="176 - CAFE DESCAFEINADO","GOURMET",B152="147 - CAPSULAS","CAPSULAS",B152="130 - GALLETAS CAFECITAS","DERIVADOS",B152="140 - MERENGUES","DERIVADOS",B152="100 - CAFÉ ESPECIAL","ESPECIALES",B152="141 - AREQUIPE","DERIVADOS",B152="142 - MERMELADA","DERIVADOS",B152="131 - GALLETAS AVENA","DERIVADOS",B152="160 - SOUVENIR","OTROS",B152="148 - CARAMELOS","DERIVADOS",B152="143 - CHOCOFFES","DERIVADOS",B152="162 - CONVENIOS Y DSC POS ","OTROS"),"OTROS")</f>
        <v>ESPECIALES</v>
      </c>
      <c r="L152" s="27">
        <f t="shared" si="15"/>
        <v>421842</v>
      </c>
      <c r="M152" s="27">
        <f t="shared" si="16"/>
        <v>421842</v>
      </c>
    </row>
    <row r="153" spans="1:13" ht="16.5" hidden="1" outlineLevel="1">
      <c r="A153" s="38"/>
      <c r="B153" s="39" t="s">
        <v>30</v>
      </c>
      <c r="C153" s="36">
        <v>189786</v>
      </c>
      <c r="D153" s="36">
        <v>0</v>
      </c>
      <c r="E153" s="36"/>
      <c r="F153" s="36">
        <v>1596976.67</v>
      </c>
      <c r="G153" s="37">
        <f t="shared" si="18"/>
        <v>0.11884080936511114</v>
      </c>
      <c r="H153" s="23">
        <f t="shared" si="17"/>
        <v>0</v>
      </c>
      <c r="I153" s="24">
        <f t="shared" si="17"/>
        <v>0</v>
      </c>
      <c r="J153" s="32" t="str" cm="1">
        <f t="array" ref="J153">IFERROR(_xlfn.IFS(B153="044 - BLEND TRADICION","BLEND",B153="113 - CAFÉ GOURMET","GOURMET",B153="114 - CAFÉ CONSUMO","CONSUMO",B153="112 - CAFÉ ORGANICO","GOURMET",B153="172 - CAFÉ COSECHA","ESPECIALES",B153="176 - CAFE DESCAFEINADO","GOURMET",B153="147 - CAPSULAS","CAPSULAS",B153="130 - GALLETAS CAFECITAS","DERIVADOS",B153="140 - MERENGUES","DERIVADOS",B153="100 - CAFÉ ESPECIAL","ESPECIALES",B153="141 - AREQUIPE","DERIVADOS",B153="142 - MERMELADA","DERIVADOS",B153="131 - GALLETAS AVENA","DERIVADOS",B153="160 - SOUVENIR","OTROS",B153="148 - CARAMELOS","DERIVADOS",B153="143 - CHOCOFFES","DERIVADOS",B153="162 - CONVENIOS Y DSC POS ","OTROS"),"OTROS")</f>
        <v>GOURMET</v>
      </c>
      <c r="L153" s="27">
        <f t="shared" si="15"/>
        <v>189786</v>
      </c>
      <c r="M153" s="27">
        <f t="shared" si="16"/>
        <v>189786</v>
      </c>
    </row>
    <row r="154" spans="1:13" ht="16.5" hidden="1" outlineLevel="1">
      <c r="A154" s="19" t="s">
        <v>52</v>
      </c>
      <c r="B154" s="56" t="s">
        <v>32</v>
      </c>
      <c r="C154" s="54">
        <f>SUM(C139:C153)</f>
        <v>22795652</v>
      </c>
      <c r="D154" s="54">
        <f>SUM(D139:D153)</f>
        <v>0</v>
      </c>
      <c r="E154" s="54">
        <f>SUM(E139:E153)</f>
        <v>0</v>
      </c>
      <c r="F154" s="58">
        <f>SUM(F139:F153)</f>
        <v>187770047.67999998</v>
      </c>
      <c r="G154" s="55">
        <f t="shared" si="18"/>
        <v>0.12140196097115888</v>
      </c>
      <c r="H154" s="23">
        <f t="shared" si="17"/>
        <v>0</v>
      </c>
      <c r="I154" s="24">
        <f t="shared" si="17"/>
        <v>0</v>
      </c>
      <c r="J154" s="32" t="str" cm="1">
        <f t="array" ref="J154">IFERROR(_xlfn.IFS(B154="044 - BLEND TRADICION","BLEND",B154="113 - CAFÉ GOURMET","GOURMET",B154="114 - CAFÉ CONSUMO","CONSUMO",B154="112 - CAFÉ ORGANICO","GOURMET",B154="172 - CAFÉ COSECHA","ESPECIALES",B154="176 - CAFE DESCAFEINADO","GOURMET",B154="147 - CAPSULAS","CAPSULAS",B154="130 - GALLETAS CAFECITAS","DERIVADOS",B154="140 - MERENGUES","DERIVADOS",B154="100 - CAFÉ ESPECIAL","ESPECIALES",B154="141 - AREQUIPE","DERIVADOS",B154="142 - MERMELADA","DERIVADOS",B154="131 - GALLETAS AVENA","DERIVADOS",B154="160 - SOUVENIR","OTROS",B154="148 - CARAMELOS","DERIVADOS",B154="143 - CHOCOFFES","DERIVADOS",B154="162 - CONVENIOS Y DSC POS ","OTROS"),"OTROS")</f>
        <v>OTROS</v>
      </c>
      <c r="L154" s="27">
        <f t="shared" si="15"/>
        <v>22795652</v>
      </c>
      <c r="M154" s="27">
        <f t="shared" si="16"/>
        <v>22795652</v>
      </c>
    </row>
    <row r="155" spans="1:13" ht="16.5" hidden="1" outlineLevel="1">
      <c r="A155" s="33"/>
      <c r="B155" s="39" t="s">
        <v>42</v>
      </c>
      <c r="C155" s="36">
        <v>6900</v>
      </c>
      <c r="D155" s="36">
        <v>0</v>
      </c>
      <c r="E155" s="36">
        <v>0</v>
      </c>
      <c r="F155" s="36">
        <v>0</v>
      </c>
      <c r="G155" s="37" t="str">
        <f t="shared" si="18"/>
        <v>-</v>
      </c>
      <c r="H155" s="23">
        <f t="shared" si="17"/>
        <v>0</v>
      </c>
      <c r="I155" s="24">
        <f t="shared" si="17"/>
        <v>0</v>
      </c>
      <c r="J155" s="32" t="str" cm="1">
        <f t="array" ref="J155">IFERROR(_xlfn.IFS(B155="044 - BLEND TRADICION","BLEND",B155="113 - CAFÉ GOURMET","GOURMET",B155="114 - CAFÉ CONSUMO","CONSUMO",B155="112 - CAFÉ ORGANICO","GOURMET",B155="172 - CAFÉ COSECHA","ESPECIALES",B155="176 - CAFE DESCAFEINADO","GOURMET",B155="147 - CAPSULAS","CAPSULAS",B155="130 - GALLETAS CAFECITAS","DERIVADOS",B155="140 - MERENGUES","DERIVADOS",B155="100 - CAFÉ ESPECIAL","ESPECIALES",B155="141 - AREQUIPE","DERIVADOS",B155="142 - MERMELADA","DERIVADOS",B155="131 - GALLETAS AVENA","DERIVADOS",B155="160 - SOUVENIR","OTROS",B155="148 - CARAMELOS","DERIVADOS",B155="143 - CHOCOFFES","DERIVADOS",B155="162 - CONVENIOS Y DSC POS ","OTROS"),"OTROS")</f>
        <v>OTROS</v>
      </c>
      <c r="L155" s="27">
        <f t="shared" si="15"/>
        <v>6900</v>
      </c>
      <c r="M155" s="27">
        <f t="shared" si="16"/>
        <v>6900</v>
      </c>
    </row>
    <row r="156" spans="1:13" ht="16.5" hidden="1" outlineLevel="1">
      <c r="A156" s="38"/>
      <c r="B156" s="39" t="s">
        <v>18</v>
      </c>
      <c r="C156" s="36">
        <v>649392</v>
      </c>
      <c r="D156" s="36">
        <v>0</v>
      </c>
      <c r="E156" s="36">
        <v>0</v>
      </c>
      <c r="F156" s="36">
        <v>9645193.6699999999</v>
      </c>
      <c r="G156" s="37">
        <f t="shared" si="18"/>
        <v>6.7328041532213209E-2</v>
      </c>
      <c r="H156" s="23">
        <f t="shared" si="17"/>
        <v>0</v>
      </c>
      <c r="I156" s="24">
        <f t="shared" si="17"/>
        <v>0</v>
      </c>
      <c r="J156" s="32" t="str" cm="1">
        <f t="array" ref="J156">IFERROR(_xlfn.IFS(B156="044 - BLEND TRADICION","BLEND",B156="113 - CAFÉ GOURMET","GOURMET",B156="114 - CAFÉ CONSUMO","CONSUMO",B156="112 - CAFÉ ORGANICO","GOURMET",B156="172 - CAFÉ COSECHA","ESPECIALES",B156="176 - CAFE DESCAFEINADO","GOURMET",B156="147 - CAPSULAS","CAPSULAS",B156="130 - GALLETAS CAFECITAS","DERIVADOS",B156="140 - MERENGUES","DERIVADOS",B156="100 - CAFÉ ESPECIAL","ESPECIALES",B156="141 - AREQUIPE","DERIVADOS",B156="142 - MERMELADA","DERIVADOS",B156="131 - GALLETAS AVENA","DERIVADOS",B156="160 - SOUVENIR","OTROS",B156="148 - CARAMELOS","DERIVADOS",B156="143 - CHOCOFFES","DERIVADOS",B156="162 - CONVENIOS Y DSC POS ","OTROS"),"OTROS")</f>
        <v>BLEND</v>
      </c>
      <c r="L156" s="27">
        <f t="shared" si="15"/>
        <v>649392</v>
      </c>
      <c r="M156" s="27">
        <f t="shared" si="16"/>
        <v>649392</v>
      </c>
    </row>
    <row r="157" spans="1:13" ht="16.5" hidden="1" outlineLevel="1">
      <c r="A157" s="38"/>
      <c r="B157" s="39" t="s">
        <v>19</v>
      </c>
      <c r="C157" s="36">
        <v>27383</v>
      </c>
      <c r="D157" s="36">
        <v>0</v>
      </c>
      <c r="E157" s="36"/>
      <c r="F157" s="36">
        <v>2739705.11</v>
      </c>
      <c r="G157" s="37">
        <f t="shared" si="18"/>
        <v>9.9948713093432166E-3</v>
      </c>
      <c r="H157" s="23">
        <f t="shared" si="17"/>
        <v>0</v>
      </c>
      <c r="I157" s="24">
        <f t="shared" si="17"/>
        <v>0</v>
      </c>
      <c r="J157" s="32" t="str" cm="1">
        <f t="array" ref="J157">IFERROR(_xlfn.IFS(B157="044 - BLEND TRADICION","BLEND",B157="113 - CAFÉ GOURMET","GOURMET",B157="114 - CAFÉ CONSUMO","CONSUMO",B157="112 - CAFÉ ORGANICO","GOURMET",B157="172 - CAFÉ COSECHA","ESPECIALES",B157="176 - CAFE DESCAFEINADO","GOURMET",B157="147 - CAPSULAS","CAPSULAS",B157="130 - GALLETAS CAFECITAS","DERIVADOS",B157="140 - MERENGUES","DERIVADOS",B157="100 - CAFÉ ESPECIAL","ESPECIALES",B157="141 - AREQUIPE","DERIVADOS",B157="142 - MERMELADA","DERIVADOS",B157="131 - GALLETAS AVENA","DERIVADOS",B157="160 - SOUVENIR","OTROS",B157="148 - CARAMELOS","DERIVADOS",B157="143 - CHOCOFFES","DERIVADOS",B157="162 - CONVENIOS Y DSC POS ","OTROS"),"OTROS")</f>
        <v>ESPECIALES</v>
      </c>
      <c r="L157" s="27">
        <f t="shared" si="15"/>
        <v>27383</v>
      </c>
      <c r="M157" s="27">
        <f t="shared" si="16"/>
        <v>27383</v>
      </c>
    </row>
    <row r="158" spans="1:13" ht="16.5" hidden="1" outlineLevel="1">
      <c r="A158" s="38"/>
      <c r="B158" s="39" t="s">
        <v>20</v>
      </c>
      <c r="C158" s="36">
        <v>30710</v>
      </c>
      <c r="D158" s="36">
        <v>0</v>
      </c>
      <c r="E158" s="36">
        <v>0</v>
      </c>
      <c r="F158" s="36">
        <v>825254.9</v>
      </c>
      <c r="G158" s="37">
        <f t="shared" si="18"/>
        <v>3.7212744813753904E-2</v>
      </c>
      <c r="H158" s="23">
        <f t="shared" si="17"/>
        <v>0</v>
      </c>
      <c r="I158" s="24">
        <f t="shared" si="17"/>
        <v>0</v>
      </c>
      <c r="J158" s="32" t="str" cm="1">
        <f t="array" ref="J158">IFERROR(_xlfn.IFS(B158="044 - BLEND TRADICION","BLEND",B158="113 - CAFÉ GOURMET","GOURMET",B158="114 - CAFÉ CONSUMO","CONSUMO",B158="112 - CAFÉ ORGANICO","GOURMET",B158="172 - CAFÉ COSECHA","ESPECIALES",B158="176 - CAFE DESCAFEINADO","GOURMET",B158="147 - CAPSULAS","CAPSULAS",B158="130 - GALLETAS CAFECITAS","DERIVADOS",B158="140 - MERENGUES","DERIVADOS",B158="100 - CAFÉ ESPECIAL","ESPECIALES",B158="141 - AREQUIPE","DERIVADOS",B158="142 - MERMELADA","DERIVADOS",B158="131 - GALLETAS AVENA","DERIVADOS",B158="160 - SOUVENIR","OTROS",B158="148 - CARAMELOS","DERIVADOS",B158="143 - CHOCOFFES","DERIVADOS",B158="162 - CONVENIOS Y DSC POS ","OTROS"),"OTROS")</f>
        <v>GOURMET</v>
      </c>
      <c r="L158" s="27">
        <f t="shared" si="15"/>
        <v>30710</v>
      </c>
      <c r="M158" s="27">
        <f t="shared" si="16"/>
        <v>30710</v>
      </c>
    </row>
    <row r="159" spans="1:13" ht="16.5" hidden="1" outlineLevel="1">
      <c r="A159" s="38"/>
      <c r="B159" s="39" t="s">
        <v>21</v>
      </c>
      <c r="C159" s="36">
        <v>3091273</v>
      </c>
      <c r="D159" s="36">
        <v>0</v>
      </c>
      <c r="E159" s="36">
        <v>0</v>
      </c>
      <c r="F159" s="36">
        <v>43096072.049999997</v>
      </c>
      <c r="G159" s="37">
        <f t="shared" ref="G159:G162" si="19">IFERROR(C159/F159*100%,"-")</f>
        <v>7.1729808610248982E-2</v>
      </c>
      <c r="H159" s="23">
        <f t="shared" ref="H159:H162" si="20">IFERROR(+D159/L159*100%,0)</f>
        <v>0</v>
      </c>
      <c r="I159" s="24">
        <f t="shared" ref="I159:I162" si="21">IFERROR(+E159/M159*100%,0)</f>
        <v>0</v>
      </c>
      <c r="J159" s="32" t="str" cm="1">
        <f t="array" ref="J159">IFERROR(_xlfn.IFS(B159="044 - BLEND TRADICION","BLEND",B159="113 - CAFÉ GOURMET","GOURMET",B159="114 - CAFÉ CONSUMO","CONSUMO",B159="112 - CAFÉ ORGANICO","GOURMET",B159="172 - CAFÉ COSECHA","ESPECIALES",B159="176 - CAFE DESCAFEINADO","GOURMET",B159="147 - CAPSULAS","CAPSULAS",B159="130 - GALLETAS CAFECITAS","DERIVADOS",B159="140 - MERENGUES","DERIVADOS",B159="100 - CAFÉ ESPECIAL","ESPECIALES",B159="141 - AREQUIPE","DERIVADOS",B159="142 - MERMELADA","DERIVADOS",B159="131 - GALLETAS AVENA","DERIVADOS",B159="160 - SOUVENIR","OTROS",B159="148 - CARAMELOS","DERIVADOS",B159="143 - CHOCOFFES","DERIVADOS",B159="162 - CONVENIOS Y DSC POS ","OTROS"),"OTROS")</f>
        <v>GOURMET</v>
      </c>
      <c r="L159" s="27">
        <f t="shared" ref="L159:L162" si="22">C159-(D159+E159)</f>
        <v>3091273</v>
      </c>
      <c r="M159" s="27">
        <f t="shared" ref="M159:M162" si="23">L159</f>
        <v>3091273</v>
      </c>
    </row>
    <row r="160" spans="1:13" ht="16.5" hidden="1" outlineLevel="1">
      <c r="A160" s="38"/>
      <c r="B160" s="39" t="s">
        <v>38</v>
      </c>
      <c r="C160" s="36">
        <v>1302225</v>
      </c>
      <c r="D160" s="36">
        <v>0</v>
      </c>
      <c r="E160" s="36">
        <v>0</v>
      </c>
      <c r="F160" s="36">
        <v>16145456.630000001</v>
      </c>
      <c r="G160" s="37">
        <f t="shared" si="19"/>
        <v>8.0655817289201057E-2</v>
      </c>
      <c r="H160" s="23">
        <f t="shared" si="20"/>
        <v>0</v>
      </c>
      <c r="I160" s="24">
        <f t="shared" si="21"/>
        <v>0</v>
      </c>
      <c r="J160" s="32" t="str" cm="1">
        <f t="array" ref="J160">IFERROR(_xlfn.IFS(B160="044 - BLEND TRADICION","BLEND",B160="113 - CAFÉ GOURMET","GOURMET",B160="114 - CAFÉ CONSUMO","CONSUMO",B160="112 - CAFÉ ORGANICO","GOURMET",B160="172 - CAFÉ COSECHA","ESPECIALES",B160="176 - CAFE DESCAFEINADO","GOURMET",B160="147 - CAPSULAS","CAPSULAS",B160="130 - GALLETAS CAFECITAS","DERIVADOS",B160="140 - MERENGUES","DERIVADOS",B160="100 - CAFÉ ESPECIAL","ESPECIALES",B160="141 - AREQUIPE","DERIVADOS",B160="142 - MERMELADA","DERIVADOS",B160="131 - GALLETAS AVENA","DERIVADOS",B160="160 - SOUVENIR","OTROS",B160="148 - CARAMELOS","DERIVADOS",B160="143 - CHOCOFFES","DERIVADOS",B160="162 - CONVENIOS Y DSC POS ","OTROS"),"OTROS")</f>
        <v>CONSUMO</v>
      </c>
      <c r="L160" s="27">
        <f t="shared" si="22"/>
        <v>1302225</v>
      </c>
      <c r="M160" s="27">
        <f t="shared" si="23"/>
        <v>1302225</v>
      </c>
    </row>
    <row r="161" spans="1:13" ht="16.5" hidden="1" outlineLevel="1">
      <c r="A161" s="38"/>
      <c r="B161" s="39" t="s">
        <v>22</v>
      </c>
      <c r="C161" s="36">
        <v>2221398</v>
      </c>
      <c r="D161" s="36">
        <v>0</v>
      </c>
      <c r="E161" s="36"/>
      <c r="F161" s="36">
        <v>33513805.359999999</v>
      </c>
      <c r="G161" s="37">
        <f t="shared" si="19"/>
        <v>6.6283072785620553E-2</v>
      </c>
      <c r="H161" s="23">
        <f t="shared" si="20"/>
        <v>0</v>
      </c>
      <c r="I161" s="24">
        <f t="shared" si="21"/>
        <v>0</v>
      </c>
      <c r="J161" s="32" t="str" cm="1">
        <f t="array" ref="J161">IFERROR(_xlfn.IFS(B161="044 - BLEND TRADICION","BLEND",B161="113 - CAFÉ GOURMET","GOURMET",B161="114 - CAFÉ CONSUMO","CONSUMO",B161="112 - CAFÉ ORGANICO","GOURMET",B161="172 - CAFÉ COSECHA","ESPECIALES",B161="176 - CAFE DESCAFEINADO","GOURMET",B161="147 - CAPSULAS","CAPSULAS",B161="130 - GALLETAS CAFECITAS","DERIVADOS",B161="140 - MERENGUES","DERIVADOS",B161="100 - CAFÉ ESPECIAL","ESPECIALES",B161="141 - AREQUIPE","DERIVADOS",B161="142 - MERMELADA","DERIVADOS",B161="131 - GALLETAS AVENA","DERIVADOS",B161="160 - SOUVENIR","OTROS",B161="148 - CARAMELOS","DERIVADOS",B161="143 - CHOCOFFES","DERIVADOS",B161="162 - CONVENIOS Y DSC POS ","OTROS"),"OTROS")</f>
        <v>DERIVADOS</v>
      </c>
      <c r="L161" s="27">
        <f t="shared" si="22"/>
        <v>2221398</v>
      </c>
      <c r="M161" s="27">
        <f t="shared" si="23"/>
        <v>2221398</v>
      </c>
    </row>
    <row r="162" spans="1:13" ht="16.5" hidden="1" outlineLevel="1">
      <c r="A162" s="38"/>
      <c r="B162" s="39" t="s">
        <v>23</v>
      </c>
      <c r="C162" s="36">
        <v>0</v>
      </c>
      <c r="D162" s="36">
        <v>0</v>
      </c>
      <c r="E162" s="36"/>
      <c r="F162" s="36">
        <v>174887.86</v>
      </c>
      <c r="G162" s="37">
        <f t="shared" si="19"/>
        <v>0</v>
      </c>
      <c r="H162" s="23">
        <f t="shared" si="20"/>
        <v>0</v>
      </c>
      <c r="I162" s="24">
        <f t="shared" si="21"/>
        <v>0</v>
      </c>
      <c r="J162" s="32" t="str" cm="1">
        <f t="array" ref="J162">IFERROR(_xlfn.IFS(B162="044 - BLEND TRADICION","BLEND",B162="113 - CAFÉ GOURMET","GOURMET",B162="114 - CAFÉ CONSUMO","CONSUMO",B162="112 - CAFÉ ORGANICO","GOURMET",B162="172 - CAFÉ COSECHA","ESPECIALES",B162="176 - CAFE DESCAFEINADO","GOURMET",B162="147 - CAPSULAS","CAPSULAS",B162="130 - GALLETAS CAFECITAS","DERIVADOS",B162="140 - MERENGUES","DERIVADOS",B162="100 - CAFÉ ESPECIAL","ESPECIALES",B162="141 - AREQUIPE","DERIVADOS",B162="142 - MERMELADA","DERIVADOS",B162="131 - GALLETAS AVENA","DERIVADOS",B162="160 - SOUVENIR","OTROS",B162="148 - CARAMELOS","DERIVADOS",B162="143 - CHOCOFFES","DERIVADOS",B162="162 - CONVENIOS Y DSC POS ","OTROS"),"OTROS")</f>
        <v>DERIVADOS</v>
      </c>
      <c r="L162" s="27">
        <f t="shared" si="22"/>
        <v>0</v>
      </c>
      <c r="M162" s="27">
        <f t="shared" si="23"/>
        <v>0</v>
      </c>
    </row>
    <row r="163" spans="1:13" ht="16.5" hidden="1" outlineLevel="1">
      <c r="A163" s="38"/>
      <c r="B163" s="39" t="s">
        <v>24</v>
      </c>
      <c r="C163" s="36">
        <v>122564</v>
      </c>
      <c r="D163" s="36">
        <v>0</v>
      </c>
      <c r="E163" s="36">
        <v>0</v>
      </c>
      <c r="F163" s="36">
        <v>2405932.35</v>
      </c>
      <c r="G163" s="37">
        <f t="shared" si="18"/>
        <v>5.0942413239507753E-2</v>
      </c>
      <c r="H163" s="23">
        <f t="shared" si="17"/>
        <v>0</v>
      </c>
      <c r="I163" s="24">
        <f t="shared" si="17"/>
        <v>0</v>
      </c>
      <c r="J163" s="32" t="str" cm="1">
        <f t="array" ref="J163">IFERROR(_xlfn.IFS(B163="044 - BLEND TRADICION","BLEND",B163="113 - CAFÉ GOURMET","GOURMET",B163="114 - CAFÉ CONSUMO","CONSUMO",B163="112 - CAFÉ ORGANICO","GOURMET",B163="172 - CAFÉ COSECHA","ESPECIALES",B163="176 - CAFE DESCAFEINADO","GOURMET",B163="147 - CAPSULAS","CAPSULAS",B163="130 - GALLETAS CAFECITAS","DERIVADOS",B163="140 - MERENGUES","DERIVADOS",B163="100 - CAFÉ ESPECIAL","ESPECIALES",B163="141 - AREQUIPE","DERIVADOS",B163="142 - MERMELADA","DERIVADOS",B163="131 - GALLETAS AVENA","DERIVADOS",B163="160 - SOUVENIR","OTROS",B163="148 - CARAMELOS","DERIVADOS",B163="143 - CHOCOFFES","DERIVADOS",B163="162 - CONVENIOS Y DSC POS ","OTROS"),"OTROS")</f>
        <v>DERIVADOS</v>
      </c>
      <c r="L163" s="27">
        <f t="shared" si="15"/>
        <v>122564</v>
      </c>
      <c r="M163" s="27">
        <f t="shared" si="16"/>
        <v>122564</v>
      </c>
    </row>
    <row r="164" spans="1:13" ht="16.5" hidden="1" outlineLevel="1">
      <c r="A164" s="38"/>
      <c r="B164" s="39" t="s">
        <v>25</v>
      </c>
      <c r="C164" s="36">
        <v>1413956</v>
      </c>
      <c r="D164" s="36">
        <v>0</v>
      </c>
      <c r="E164" s="36"/>
      <c r="F164" s="36">
        <v>9395897.5299999993</v>
      </c>
      <c r="G164" s="37">
        <f t="shared" si="18"/>
        <v>0.1504865283476543</v>
      </c>
      <c r="H164" s="23">
        <f t="shared" si="17"/>
        <v>0</v>
      </c>
      <c r="I164" s="24">
        <f t="shared" si="17"/>
        <v>0</v>
      </c>
      <c r="J164" s="32" t="str" cm="1">
        <f t="array" ref="J164">IFERROR(_xlfn.IFS(B164="044 - BLEND TRADICION","BLEND",B164="113 - CAFÉ GOURMET","GOURMET",B164="114 - CAFÉ CONSUMO","CONSUMO",B164="112 - CAFÉ ORGANICO","GOURMET",B164="172 - CAFÉ COSECHA","ESPECIALES",B164="176 - CAFE DESCAFEINADO","GOURMET",B164="147 - CAPSULAS","CAPSULAS",B164="130 - GALLETAS CAFECITAS","DERIVADOS",B164="140 - MERENGUES","DERIVADOS",B164="100 - CAFÉ ESPECIAL","ESPECIALES",B164="141 - AREQUIPE","DERIVADOS",B164="142 - MERMELADA","DERIVADOS",B164="131 - GALLETAS AVENA","DERIVADOS",B164="160 - SOUVENIR","OTROS",B164="148 - CARAMELOS","DERIVADOS",B164="143 - CHOCOFFES","DERIVADOS",B164="162 - CONVENIOS Y DSC POS ","OTROS"),"OTROS")</f>
        <v>DERIVADOS</v>
      </c>
      <c r="L164" s="27">
        <f t="shared" si="15"/>
        <v>1413956</v>
      </c>
      <c r="M164" s="27">
        <f t="shared" si="16"/>
        <v>1413956</v>
      </c>
    </row>
    <row r="165" spans="1:13" ht="16.5" hidden="1" outlineLevel="1">
      <c r="A165" s="38"/>
      <c r="B165" s="39" t="s">
        <v>26</v>
      </c>
      <c r="C165" s="36">
        <v>90990</v>
      </c>
      <c r="D165" s="36">
        <v>0</v>
      </c>
      <c r="E165" s="36"/>
      <c r="F165" s="36">
        <v>297105.94</v>
      </c>
      <c r="G165" s="37">
        <f t="shared" si="18"/>
        <v>0.30625439531771059</v>
      </c>
      <c r="H165" s="23">
        <f t="shared" si="17"/>
        <v>0</v>
      </c>
      <c r="I165" s="24">
        <f t="shared" si="17"/>
        <v>0</v>
      </c>
      <c r="J165" s="32" t="str" cm="1">
        <f t="array" ref="J165">IFERROR(_xlfn.IFS(B165="044 - BLEND TRADICION","BLEND",B165="113 - CAFÉ GOURMET","GOURMET",B165="114 - CAFÉ CONSUMO","CONSUMO",B165="112 - CAFÉ ORGANICO","GOURMET",B165="172 - CAFÉ COSECHA","ESPECIALES",B165="176 - CAFE DESCAFEINADO","GOURMET",B165="147 - CAPSULAS","CAPSULAS",B165="130 - GALLETAS CAFECITAS","DERIVADOS",B165="140 - MERENGUES","DERIVADOS",B165="100 - CAFÉ ESPECIAL","ESPECIALES",B165="141 - AREQUIPE","DERIVADOS",B165="142 - MERMELADA","DERIVADOS",B165="131 - GALLETAS AVENA","DERIVADOS",B165="160 - SOUVENIR","OTROS",B165="148 - CARAMELOS","DERIVADOS",B165="143 - CHOCOFFES","DERIVADOS",B165="162 - CONVENIOS Y DSC POS ","OTROS"),"OTROS")</f>
        <v>CAPSULAS</v>
      </c>
      <c r="L165" s="27">
        <f t="shared" si="15"/>
        <v>90990</v>
      </c>
      <c r="M165" s="27">
        <f t="shared" si="16"/>
        <v>90990</v>
      </c>
    </row>
    <row r="166" spans="1:13" ht="16.5" hidden="1" outlineLevel="1">
      <c r="A166" s="38"/>
      <c r="B166" s="39" t="s">
        <v>27</v>
      </c>
      <c r="C166" s="36">
        <v>883975</v>
      </c>
      <c r="D166" s="36">
        <v>0</v>
      </c>
      <c r="E166" s="36">
        <v>0</v>
      </c>
      <c r="F166" s="36">
        <v>18205206.140000001</v>
      </c>
      <c r="G166" s="37">
        <f t="shared" si="18"/>
        <v>4.8556165373912101E-2</v>
      </c>
      <c r="H166" s="23">
        <f t="shared" si="17"/>
        <v>0</v>
      </c>
      <c r="I166" s="24">
        <f t="shared" si="17"/>
        <v>0</v>
      </c>
      <c r="J166" s="32" t="str" cm="1">
        <f t="array" ref="J166">IFERROR(_xlfn.IFS(B166="044 - BLEND TRADICION","BLEND",B166="113 - CAFÉ GOURMET","GOURMET",B166="114 - CAFÉ CONSUMO","CONSUMO",B166="112 - CAFÉ ORGANICO","GOURMET",B166="172 - CAFÉ COSECHA","ESPECIALES",B166="176 - CAFE DESCAFEINADO","GOURMET",B166="147 - CAPSULAS","CAPSULAS",B166="130 - GALLETAS CAFECITAS","DERIVADOS",B166="140 - MERENGUES","DERIVADOS",B166="100 - CAFÉ ESPECIAL","ESPECIALES",B166="141 - AREQUIPE","DERIVADOS",B166="142 - MERMELADA","DERIVADOS",B166="131 - GALLETAS AVENA","DERIVADOS",B166="160 - SOUVENIR","OTROS",B166="148 - CARAMELOS","DERIVADOS",B166="143 - CHOCOFFES","DERIVADOS",B166="162 - CONVENIOS Y DSC POS ","OTROS"),"OTROS")</f>
        <v>DERIVADOS</v>
      </c>
      <c r="L166" s="27">
        <f t="shared" si="15"/>
        <v>883975</v>
      </c>
      <c r="M166" s="27">
        <f t="shared" si="16"/>
        <v>883975</v>
      </c>
    </row>
    <row r="167" spans="1:13" ht="16.5" hidden="1" outlineLevel="1">
      <c r="A167" s="38"/>
      <c r="B167" s="39" t="s">
        <v>28</v>
      </c>
      <c r="C167" s="36">
        <v>81584</v>
      </c>
      <c r="D167" s="36">
        <v>0</v>
      </c>
      <c r="E167" s="36"/>
      <c r="F167" s="36">
        <v>6286220.4699999997</v>
      </c>
      <c r="G167" s="37">
        <f t="shared" si="18"/>
        <v>1.2978227599452935E-2</v>
      </c>
      <c r="H167" s="23">
        <f t="shared" si="17"/>
        <v>0</v>
      </c>
      <c r="I167" s="24">
        <f t="shared" si="17"/>
        <v>0</v>
      </c>
      <c r="J167" s="32" t="str" cm="1">
        <f t="array" ref="J167">IFERROR(_xlfn.IFS(B167="044 - BLEND TRADICION","BLEND",B167="113 - CAFÉ GOURMET","GOURMET",B167="114 - CAFÉ CONSUMO","CONSUMO",B167="112 - CAFÉ ORGANICO","GOURMET",B167="172 - CAFÉ COSECHA","ESPECIALES",B167="176 - CAFE DESCAFEINADO","GOURMET",B167="147 - CAPSULAS","CAPSULAS",B167="130 - GALLETAS CAFECITAS","DERIVADOS",B167="140 - MERENGUES","DERIVADOS",B167="100 - CAFÉ ESPECIAL","ESPECIALES",B167="141 - AREQUIPE","DERIVADOS",B167="142 - MERMELADA","DERIVADOS",B167="131 - GALLETAS AVENA","DERIVADOS",B167="160 - SOUVENIR","OTROS",B167="148 - CARAMELOS","DERIVADOS",B167="143 - CHOCOFFES","DERIVADOS",B167="162 - CONVENIOS Y DSC POS ","OTROS"),"OTROS")</f>
        <v>OTROS</v>
      </c>
      <c r="L167" s="27">
        <f t="shared" si="15"/>
        <v>81584</v>
      </c>
      <c r="M167" s="27">
        <f t="shared" si="16"/>
        <v>81584</v>
      </c>
    </row>
    <row r="168" spans="1:13" ht="16.5" hidden="1" outlineLevel="1">
      <c r="A168" s="38"/>
      <c r="B168" s="39" t="s">
        <v>29</v>
      </c>
      <c r="C168" s="36">
        <v>65280</v>
      </c>
      <c r="D168" s="36">
        <v>0</v>
      </c>
      <c r="E168" s="36"/>
      <c r="F168" s="36">
        <v>2023867.68</v>
      </c>
      <c r="G168" s="37">
        <f t="shared" si="18"/>
        <v>3.2255073118218874E-2</v>
      </c>
      <c r="H168" s="23">
        <f t="shared" ref="H168:I183" si="24">IFERROR(+D168/L168*100%,0)</f>
        <v>0</v>
      </c>
      <c r="I168" s="24">
        <f t="shared" si="24"/>
        <v>0</v>
      </c>
      <c r="J168" s="32" t="str" cm="1">
        <f t="array" ref="J168">IFERROR(_xlfn.IFS(B168="044 - BLEND TRADICION","BLEND",B168="113 - CAFÉ GOURMET","GOURMET",B168="114 - CAFÉ CONSUMO","CONSUMO",B168="112 - CAFÉ ORGANICO","GOURMET",B168="172 - CAFÉ COSECHA","ESPECIALES",B168="176 - CAFE DESCAFEINADO","GOURMET",B168="147 - CAPSULAS","CAPSULAS",B168="130 - GALLETAS CAFECITAS","DERIVADOS",B168="140 - MERENGUES","DERIVADOS",B168="100 - CAFÉ ESPECIAL","ESPECIALES",B168="141 - AREQUIPE","DERIVADOS",B168="142 - MERMELADA","DERIVADOS",B168="131 - GALLETAS AVENA","DERIVADOS",B168="160 - SOUVENIR","OTROS",B168="148 - CARAMELOS","DERIVADOS",B168="143 - CHOCOFFES","DERIVADOS",B168="162 - CONVENIOS Y DSC POS ","OTROS"),"OTROS")</f>
        <v>ESPECIALES</v>
      </c>
      <c r="L168" s="27">
        <f t="shared" si="15"/>
        <v>65280</v>
      </c>
      <c r="M168" s="27">
        <f t="shared" si="16"/>
        <v>65280</v>
      </c>
    </row>
    <row r="169" spans="1:13" ht="16.5" hidden="1" outlineLevel="1">
      <c r="A169" s="38"/>
      <c r="B169" s="39" t="s">
        <v>30</v>
      </c>
      <c r="C169" s="36">
        <v>0</v>
      </c>
      <c r="D169" s="36">
        <v>0</v>
      </c>
      <c r="E169" s="36"/>
      <c r="F169" s="36">
        <v>160123.85</v>
      </c>
      <c r="G169" s="37">
        <f t="shared" si="18"/>
        <v>0</v>
      </c>
      <c r="H169" s="23">
        <f t="shared" si="24"/>
        <v>0</v>
      </c>
      <c r="I169" s="24">
        <f t="shared" si="24"/>
        <v>0</v>
      </c>
      <c r="J169" s="32" t="str" cm="1">
        <f t="array" ref="J169">IFERROR(_xlfn.IFS(B169="044 - BLEND TRADICION","BLEND",B169="113 - CAFÉ GOURMET","GOURMET",B169="114 - CAFÉ CONSUMO","CONSUMO",B169="112 - CAFÉ ORGANICO","GOURMET",B169="172 - CAFÉ COSECHA","ESPECIALES",B169="176 - CAFE DESCAFEINADO","GOURMET",B169="147 - CAPSULAS","CAPSULAS",B169="130 - GALLETAS CAFECITAS","DERIVADOS",B169="140 - MERENGUES","DERIVADOS",B169="100 - CAFÉ ESPECIAL","ESPECIALES",B169="141 - AREQUIPE","DERIVADOS",B169="142 - MERMELADA","DERIVADOS",B169="131 - GALLETAS AVENA","DERIVADOS",B169="160 - SOUVENIR","OTROS",B169="148 - CARAMELOS","DERIVADOS",B169="143 - CHOCOFFES","DERIVADOS",B169="162 - CONVENIOS Y DSC POS ","OTROS"),"OTROS")</f>
        <v>GOURMET</v>
      </c>
      <c r="L169" s="27">
        <f t="shared" si="15"/>
        <v>0</v>
      </c>
      <c r="M169" s="27">
        <f t="shared" si="16"/>
        <v>0</v>
      </c>
    </row>
    <row r="170" spans="1:13" ht="16.5" hidden="1" outlineLevel="1">
      <c r="A170" s="19" t="s">
        <v>53</v>
      </c>
      <c r="B170" s="56" t="s">
        <v>32</v>
      </c>
      <c r="C170" s="54">
        <f>SUM(C155:C169)</f>
        <v>9987630</v>
      </c>
      <c r="D170" s="54">
        <f>SUM(D155:D169)</f>
        <v>0</v>
      </c>
      <c r="E170" s="54">
        <f>SUM(E155:E169)</f>
        <v>0</v>
      </c>
      <c r="F170" s="54">
        <f>SUM(F155:F169)</f>
        <v>144914729.53999999</v>
      </c>
      <c r="G170" s="55">
        <f t="shared" si="18"/>
        <v>6.8920737261861098E-2</v>
      </c>
      <c r="H170" s="23">
        <f t="shared" si="24"/>
        <v>0</v>
      </c>
      <c r="I170" s="24">
        <f t="shared" si="24"/>
        <v>0</v>
      </c>
      <c r="J170" s="32" t="str" cm="1">
        <f t="array" ref="J170">IFERROR(_xlfn.IFS(B170="044 - BLEND TRADICION","BLEND",B170="113 - CAFÉ GOURMET","GOURMET",B170="114 - CAFÉ CONSUMO","CONSUMO",B170="112 - CAFÉ ORGANICO","GOURMET",B170="172 - CAFÉ COSECHA","ESPECIALES",B170="176 - CAFE DESCAFEINADO","GOURMET",B170="147 - CAPSULAS","CAPSULAS",B170="130 - GALLETAS CAFECITAS","DERIVADOS",B170="140 - MERENGUES","DERIVADOS",B170="100 - CAFÉ ESPECIAL","ESPECIALES",B170="141 - AREQUIPE","DERIVADOS",B170="142 - MERMELADA","DERIVADOS",B170="131 - GALLETAS AVENA","DERIVADOS",B170="160 - SOUVENIR","OTROS",B170="148 - CARAMELOS","DERIVADOS",B170="143 - CHOCOFFES","DERIVADOS",B170="162 - CONVENIOS Y DSC POS ","OTROS"),"OTROS")</f>
        <v>OTROS</v>
      </c>
      <c r="L170" s="27">
        <f t="shared" si="15"/>
        <v>9987630</v>
      </c>
      <c r="M170" s="27">
        <f t="shared" si="16"/>
        <v>9987630</v>
      </c>
    </row>
    <row r="171" spans="1:13" ht="16.5" hidden="1" outlineLevel="1">
      <c r="A171" s="33"/>
      <c r="B171" s="39" t="s">
        <v>42</v>
      </c>
      <c r="C171" s="36">
        <v>40584</v>
      </c>
      <c r="D171" s="36">
        <v>0</v>
      </c>
      <c r="E171" s="36">
        <v>0</v>
      </c>
      <c r="F171" s="36">
        <v>0</v>
      </c>
      <c r="G171" s="37" t="str">
        <f t="shared" si="18"/>
        <v>-</v>
      </c>
      <c r="H171" s="23">
        <f t="shared" si="24"/>
        <v>0</v>
      </c>
      <c r="I171" s="24">
        <f t="shared" si="24"/>
        <v>0</v>
      </c>
      <c r="J171" s="32" t="str" cm="1">
        <f t="array" ref="J171">IFERROR(_xlfn.IFS(B171="044 - BLEND TRADICION","BLEND",B171="113 - CAFÉ GOURMET","GOURMET",B171="114 - CAFÉ CONSUMO","CONSUMO",B171="112 - CAFÉ ORGANICO","GOURMET",B171="172 - CAFÉ COSECHA","ESPECIALES",B171="176 - CAFE DESCAFEINADO","GOURMET",B171="147 - CAPSULAS","CAPSULAS",B171="130 - GALLETAS CAFECITAS","DERIVADOS",B171="140 - MERENGUES","DERIVADOS",B171="100 - CAFÉ ESPECIAL","ESPECIALES",B171="141 - AREQUIPE","DERIVADOS",B171="142 - MERMELADA","DERIVADOS",B171="131 - GALLETAS AVENA","DERIVADOS",B171="160 - SOUVENIR","OTROS",B171="148 - CARAMELOS","DERIVADOS",B171="143 - CHOCOFFES","DERIVADOS",B171="162 - CONVENIOS Y DSC POS ","OTROS"),"OTROS")</f>
        <v>OTROS</v>
      </c>
      <c r="L171" s="27">
        <f t="shared" si="15"/>
        <v>40584</v>
      </c>
      <c r="M171" s="27">
        <f t="shared" si="16"/>
        <v>40584</v>
      </c>
    </row>
    <row r="172" spans="1:13" ht="16.5" hidden="1" outlineLevel="1">
      <c r="A172" s="33"/>
      <c r="B172" s="39" t="s">
        <v>18</v>
      </c>
      <c r="C172" s="36">
        <v>1756488</v>
      </c>
      <c r="D172" s="36">
        <v>0</v>
      </c>
      <c r="E172" s="36"/>
      <c r="F172" s="36">
        <v>10236889.550000001</v>
      </c>
      <c r="G172" s="37">
        <f t="shared" si="18"/>
        <v>0.17158415077361069</v>
      </c>
      <c r="H172" s="23">
        <f t="shared" si="24"/>
        <v>0</v>
      </c>
      <c r="I172" s="24">
        <f t="shared" si="24"/>
        <v>0</v>
      </c>
      <c r="J172" s="32" t="str" cm="1">
        <f t="array" ref="J172">IFERROR(_xlfn.IFS(B172="044 - BLEND TRADICION","BLEND",B172="113 - CAFÉ GOURMET","GOURMET",B172="114 - CAFÉ CONSUMO","CONSUMO",B172="112 - CAFÉ ORGANICO","GOURMET",B172="172 - CAFÉ COSECHA","ESPECIALES",B172="176 - CAFE DESCAFEINADO","GOURMET",B172="147 - CAPSULAS","CAPSULAS",B172="130 - GALLETAS CAFECITAS","DERIVADOS",B172="140 - MERENGUES","DERIVADOS",B172="100 - CAFÉ ESPECIAL","ESPECIALES",B172="141 - AREQUIPE","DERIVADOS",B172="142 - MERMELADA","DERIVADOS",B172="131 - GALLETAS AVENA","DERIVADOS",B172="160 - SOUVENIR","OTROS",B172="148 - CARAMELOS","DERIVADOS",B172="143 - CHOCOFFES","DERIVADOS",B172="162 - CONVENIOS Y DSC POS ","OTROS"),"OTROS")</f>
        <v>BLEND</v>
      </c>
      <c r="L172" s="27">
        <f t="shared" si="15"/>
        <v>1756488</v>
      </c>
      <c r="M172" s="27">
        <f t="shared" si="16"/>
        <v>1756488</v>
      </c>
    </row>
    <row r="173" spans="1:13" ht="16.5" hidden="1" outlineLevel="1">
      <c r="A173" s="38"/>
      <c r="B173" s="39" t="s">
        <v>19</v>
      </c>
      <c r="C173" s="36">
        <v>1667777</v>
      </c>
      <c r="D173" s="36">
        <v>0</v>
      </c>
      <c r="E173" s="36">
        <v>0</v>
      </c>
      <c r="F173" s="36">
        <v>6016526.7400000002</v>
      </c>
      <c r="G173" s="37">
        <f t="shared" si="18"/>
        <v>0.2771992998738006</v>
      </c>
      <c r="H173" s="23">
        <f t="shared" si="24"/>
        <v>0</v>
      </c>
      <c r="I173" s="24">
        <f t="shared" si="24"/>
        <v>0</v>
      </c>
      <c r="J173" s="32" t="str" cm="1">
        <f t="array" ref="J173">IFERROR(_xlfn.IFS(B173="044 - BLEND TRADICION","BLEND",B173="113 - CAFÉ GOURMET","GOURMET",B173="114 - CAFÉ CONSUMO","CONSUMO",B173="112 - CAFÉ ORGANICO","GOURMET",B173="172 - CAFÉ COSECHA","ESPECIALES",B173="176 - CAFE DESCAFEINADO","GOURMET",B173="147 - CAPSULAS","CAPSULAS",B173="130 - GALLETAS CAFECITAS","DERIVADOS",B173="140 - MERENGUES","DERIVADOS",B173="100 - CAFÉ ESPECIAL","ESPECIALES",B173="141 - AREQUIPE","DERIVADOS",B173="142 - MERMELADA","DERIVADOS",B173="131 - GALLETAS AVENA","DERIVADOS",B173="160 - SOUVENIR","OTROS",B173="148 - CARAMELOS","DERIVADOS",B173="143 - CHOCOFFES","DERIVADOS",B173="162 - CONVENIOS Y DSC POS ","OTROS"),"OTROS")</f>
        <v>ESPECIALES</v>
      </c>
      <c r="L173" s="27">
        <f t="shared" si="15"/>
        <v>1667777</v>
      </c>
      <c r="M173" s="27">
        <f t="shared" si="16"/>
        <v>1667777</v>
      </c>
    </row>
    <row r="174" spans="1:13" ht="16.5" hidden="1" outlineLevel="1">
      <c r="A174" s="38"/>
      <c r="B174" s="39" t="s">
        <v>20</v>
      </c>
      <c r="C174" s="36">
        <v>537434</v>
      </c>
      <c r="D174" s="36">
        <v>0</v>
      </c>
      <c r="E174" s="36">
        <v>0</v>
      </c>
      <c r="F174" s="36">
        <v>1636189.73</v>
      </c>
      <c r="G174" s="37">
        <f t="shared" si="18"/>
        <v>0.32846679706270981</v>
      </c>
      <c r="H174" s="23">
        <f t="shared" si="24"/>
        <v>0</v>
      </c>
      <c r="I174" s="24">
        <f t="shared" si="24"/>
        <v>0</v>
      </c>
      <c r="J174" s="32" t="str" cm="1">
        <f t="array" ref="J174">IFERROR(_xlfn.IFS(B174="044 - BLEND TRADICION","BLEND",B174="113 - CAFÉ GOURMET","GOURMET",B174="114 - CAFÉ CONSUMO","CONSUMO",B174="112 - CAFÉ ORGANICO","GOURMET",B174="172 - CAFÉ COSECHA","ESPECIALES",B174="176 - CAFE DESCAFEINADO","GOURMET",B174="147 - CAPSULAS","CAPSULAS",B174="130 - GALLETAS CAFECITAS","DERIVADOS",B174="140 - MERENGUES","DERIVADOS",B174="100 - CAFÉ ESPECIAL","ESPECIALES",B174="141 - AREQUIPE","DERIVADOS",B174="142 - MERMELADA","DERIVADOS",B174="131 - GALLETAS AVENA","DERIVADOS",B174="160 - SOUVENIR","OTROS",B174="148 - CARAMELOS","DERIVADOS",B174="143 - CHOCOFFES","DERIVADOS",B174="162 - CONVENIOS Y DSC POS ","OTROS"),"OTROS")</f>
        <v>GOURMET</v>
      </c>
      <c r="L174" s="27">
        <f t="shared" si="15"/>
        <v>537434</v>
      </c>
      <c r="M174" s="27">
        <f t="shared" si="16"/>
        <v>537434</v>
      </c>
    </row>
    <row r="175" spans="1:13" ht="16.5" hidden="1" outlineLevel="1">
      <c r="A175" s="38"/>
      <c r="B175" s="39" t="s">
        <v>21</v>
      </c>
      <c r="C175" s="36">
        <v>11866132</v>
      </c>
      <c r="D175" s="36">
        <v>0</v>
      </c>
      <c r="E175" s="36"/>
      <c r="F175" s="36">
        <v>64517931.119999997</v>
      </c>
      <c r="G175" s="37">
        <f t="shared" si="18"/>
        <v>0.18391990868289951</v>
      </c>
      <c r="H175" s="23">
        <f t="shared" si="24"/>
        <v>0</v>
      </c>
      <c r="I175" s="24">
        <f t="shared" si="24"/>
        <v>0</v>
      </c>
      <c r="J175" s="32" t="str" cm="1">
        <f t="array" ref="J175">IFERROR(_xlfn.IFS(B175="044 - BLEND TRADICION","BLEND",B175="113 - CAFÉ GOURMET","GOURMET",B175="114 - CAFÉ CONSUMO","CONSUMO",B175="112 - CAFÉ ORGANICO","GOURMET",B175="172 - CAFÉ COSECHA","ESPECIALES",B175="176 - CAFE DESCAFEINADO","GOURMET",B175="147 - CAPSULAS","CAPSULAS",B175="130 - GALLETAS CAFECITAS","DERIVADOS",B175="140 - MERENGUES","DERIVADOS",B175="100 - CAFÉ ESPECIAL","ESPECIALES",B175="141 - AREQUIPE","DERIVADOS",B175="142 - MERMELADA","DERIVADOS",B175="131 - GALLETAS AVENA","DERIVADOS",B175="160 - SOUVENIR","OTROS",B175="148 - CARAMELOS","DERIVADOS",B175="143 - CHOCOFFES","DERIVADOS",B175="162 - CONVENIOS Y DSC POS ","OTROS"),"OTROS")</f>
        <v>GOURMET</v>
      </c>
      <c r="L175" s="27">
        <f t="shared" si="15"/>
        <v>11866132</v>
      </c>
      <c r="M175" s="27">
        <f t="shared" si="16"/>
        <v>11866132</v>
      </c>
    </row>
    <row r="176" spans="1:13" ht="16.5" hidden="1" outlineLevel="1">
      <c r="A176" s="38"/>
      <c r="B176" s="39" t="s">
        <v>38</v>
      </c>
      <c r="C176" s="36">
        <v>1526912</v>
      </c>
      <c r="D176" s="36">
        <v>0</v>
      </c>
      <c r="E176" s="36"/>
      <c r="F176" s="36">
        <v>9597044.6699999999</v>
      </c>
      <c r="G176" s="37">
        <f t="shared" si="18"/>
        <v>0.15910231248303652</v>
      </c>
      <c r="H176" s="23">
        <f t="shared" si="24"/>
        <v>0</v>
      </c>
      <c r="I176" s="24">
        <f t="shared" si="24"/>
        <v>0</v>
      </c>
      <c r="J176" s="32" t="str" cm="1">
        <f t="array" ref="J176">IFERROR(_xlfn.IFS(B176="044 - BLEND TRADICION","BLEND",B176="113 - CAFÉ GOURMET","GOURMET",B176="114 - CAFÉ CONSUMO","CONSUMO",B176="112 - CAFÉ ORGANICO","GOURMET",B176="172 - CAFÉ COSECHA","ESPECIALES",B176="176 - CAFE DESCAFEINADO","GOURMET",B176="147 - CAPSULAS","CAPSULAS",B176="130 - GALLETAS CAFECITAS","DERIVADOS",B176="140 - MERENGUES","DERIVADOS",B176="100 - CAFÉ ESPECIAL","ESPECIALES",B176="141 - AREQUIPE","DERIVADOS",B176="142 - MERMELADA","DERIVADOS",B176="131 - GALLETAS AVENA","DERIVADOS",B176="160 - SOUVENIR","OTROS",B176="148 - CARAMELOS","DERIVADOS",B176="143 - CHOCOFFES","DERIVADOS",B176="162 - CONVENIOS Y DSC POS ","OTROS"),"OTROS")</f>
        <v>CONSUMO</v>
      </c>
      <c r="L176" s="27">
        <f t="shared" si="15"/>
        <v>1526912</v>
      </c>
      <c r="M176" s="27">
        <f t="shared" si="16"/>
        <v>1526912</v>
      </c>
    </row>
    <row r="177" spans="1:13" ht="16.5" hidden="1" outlineLevel="1">
      <c r="A177" s="38"/>
      <c r="B177" s="39" t="s">
        <v>22</v>
      </c>
      <c r="C177" s="36">
        <v>2820710</v>
      </c>
      <c r="D177" s="36">
        <v>0</v>
      </c>
      <c r="E177" s="36"/>
      <c r="F177" s="36">
        <v>25972256.75</v>
      </c>
      <c r="G177" s="37">
        <f t="shared" si="18"/>
        <v>0.10860473262493833</v>
      </c>
      <c r="H177" s="23">
        <f t="shared" si="24"/>
        <v>0</v>
      </c>
      <c r="I177" s="24">
        <f t="shared" si="24"/>
        <v>0</v>
      </c>
      <c r="J177" s="32" t="str" cm="1">
        <f t="array" ref="J177">IFERROR(_xlfn.IFS(B177="044 - BLEND TRADICION","BLEND",B177="113 - CAFÉ GOURMET","GOURMET",B177="114 - CAFÉ CONSUMO","CONSUMO",B177="112 - CAFÉ ORGANICO","GOURMET",B177="172 - CAFÉ COSECHA","ESPECIALES",B177="176 - CAFE DESCAFEINADO","GOURMET",B177="147 - CAPSULAS","CAPSULAS",B177="130 - GALLETAS CAFECITAS","DERIVADOS",B177="140 - MERENGUES","DERIVADOS",B177="100 - CAFÉ ESPECIAL","ESPECIALES",B177="141 - AREQUIPE","DERIVADOS",B177="142 - MERMELADA","DERIVADOS",B177="131 - GALLETAS AVENA","DERIVADOS",B177="160 - SOUVENIR","OTROS",B177="148 - CARAMELOS","DERIVADOS",B177="143 - CHOCOFFES","DERIVADOS",B177="162 - CONVENIOS Y DSC POS ","OTROS"),"OTROS")</f>
        <v>DERIVADOS</v>
      </c>
      <c r="L177" s="27">
        <f t="shared" si="15"/>
        <v>2820710</v>
      </c>
      <c r="M177" s="27">
        <f t="shared" si="16"/>
        <v>2820710</v>
      </c>
    </row>
    <row r="178" spans="1:13" ht="16.5" hidden="1" outlineLevel="1">
      <c r="A178" s="38"/>
      <c r="B178" s="39" t="s">
        <v>24</v>
      </c>
      <c r="C178" s="36">
        <v>241681</v>
      </c>
      <c r="D178" s="36">
        <v>0</v>
      </c>
      <c r="E178" s="36"/>
      <c r="F178" s="36">
        <v>2464599.98</v>
      </c>
      <c r="G178" s="37">
        <f t="shared" si="18"/>
        <v>9.8060943747958651E-2</v>
      </c>
      <c r="H178" s="23">
        <f t="shared" si="24"/>
        <v>0</v>
      </c>
      <c r="I178" s="24">
        <f t="shared" si="24"/>
        <v>0</v>
      </c>
      <c r="J178" s="32" t="str" cm="1">
        <f t="array" ref="J178">IFERROR(_xlfn.IFS(B178="044 - BLEND TRADICION","BLEND",B178="113 - CAFÉ GOURMET","GOURMET",B178="114 - CAFÉ CONSUMO","CONSUMO",B178="112 - CAFÉ ORGANICO","GOURMET",B178="172 - CAFÉ COSECHA","ESPECIALES",B178="176 - CAFE DESCAFEINADO","GOURMET",B178="147 - CAPSULAS","CAPSULAS",B178="130 - GALLETAS CAFECITAS","DERIVADOS",B178="140 - MERENGUES","DERIVADOS",B178="100 - CAFÉ ESPECIAL","ESPECIALES",B178="141 - AREQUIPE","DERIVADOS",B178="142 - MERMELADA","DERIVADOS",B178="131 - GALLETAS AVENA","DERIVADOS",B178="160 - SOUVENIR","OTROS",B178="148 - CARAMELOS","DERIVADOS",B178="143 - CHOCOFFES","DERIVADOS",B178="162 - CONVENIOS Y DSC POS ","OTROS"),"OTROS")</f>
        <v>DERIVADOS</v>
      </c>
      <c r="L178" s="27">
        <f t="shared" si="15"/>
        <v>241681</v>
      </c>
      <c r="M178" s="27">
        <f t="shared" si="16"/>
        <v>241681</v>
      </c>
    </row>
    <row r="179" spans="1:13" ht="16.5" hidden="1" outlineLevel="1">
      <c r="A179" s="38"/>
      <c r="B179" s="39" t="s">
        <v>25</v>
      </c>
      <c r="C179" s="36">
        <v>1966038</v>
      </c>
      <c r="D179" s="36">
        <v>0</v>
      </c>
      <c r="E179" s="36"/>
      <c r="F179" s="36">
        <v>12421685.26</v>
      </c>
      <c r="G179" s="37">
        <f t="shared" si="18"/>
        <v>0.15827465910209354</v>
      </c>
      <c r="H179" s="23">
        <f t="shared" si="24"/>
        <v>0</v>
      </c>
      <c r="I179" s="24">
        <f t="shared" si="24"/>
        <v>0</v>
      </c>
      <c r="J179" s="32" t="str" cm="1">
        <f t="array" ref="J179">IFERROR(_xlfn.IFS(B179="044 - BLEND TRADICION","BLEND",B179="113 - CAFÉ GOURMET","GOURMET",B179="114 - CAFÉ CONSUMO","CONSUMO",B179="112 - CAFÉ ORGANICO","GOURMET",B179="172 - CAFÉ COSECHA","ESPECIALES",B179="176 - CAFE DESCAFEINADO","GOURMET",B179="147 - CAPSULAS","CAPSULAS",B179="130 - GALLETAS CAFECITAS","DERIVADOS",B179="140 - MERENGUES","DERIVADOS",B179="100 - CAFÉ ESPECIAL","ESPECIALES",B179="141 - AREQUIPE","DERIVADOS",B179="142 - MERMELADA","DERIVADOS",B179="131 - GALLETAS AVENA","DERIVADOS",B179="160 - SOUVENIR","OTROS",B179="148 - CARAMELOS","DERIVADOS",B179="143 - CHOCOFFES","DERIVADOS",B179="162 - CONVENIOS Y DSC POS ","OTROS"),"OTROS")</f>
        <v>DERIVADOS</v>
      </c>
      <c r="L179" s="27">
        <f t="shared" si="15"/>
        <v>1966038</v>
      </c>
      <c r="M179" s="27">
        <f t="shared" si="16"/>
        <v>1966038</v>
      </c>
    </row>
    <row r="180" spans="1:13" ht="16.5" hidden="1" outlineLevel="1">
      <c r="A180" s="38"/>
      <c r="B180" s="39" t="s">
        <v>26</v>
      </c>
      <c r="C180" s="36">
        <v>95442</v>
      </c>
      <c r="D180" s="36">
        <v>0</v>
      </c>
      <c r="E180" s="36"/>
      <c r="F180" s="36">
        <v>2257638.58</v>
      </c>
      <c r="G180" s="37">
        <f t="shared" si="18"/>
        <v>4.2275145740998096E-2</v>
      </c>
      <c r="H180" s="23">
        <f t="shared" si="24"/>
        <v>0</v>
      </c>
      <c r="I180" s="24">
        <f t="shared" si="24"/>
        <v>0</v>
      </c>
      <c r="J180" s="32" t="str" cm="1">
        <f t="array" ref="J180">IFERROR(_xlfn.IFS(B180="044 - BLEND TRADICION","BLEND",B180="113 - CAFÉ GOURMET","GOURMET",B180="114 - CAFÉ CONSUMO","CONSUMO",B180="112 - CAFÉ ORGANICO","GOURMET",B180="172 - CAFÉ COSECHA","ESPECIALES",B180="176 - CAFE DESCAFEINADO","GOURMET",B180="147 - CAPSULAS","CAPSULAS",B180="130 - GALLETAS CAFECITAS","DERIVADOS",B180="140 - MERENGUES","DERIVADOS",B180="100 - CAFÉ ESPECIAL","ESPECIALES",B180="141 - AREQUIPE","DERIVADOS",B180="142 - MERMELADA","DERIVADOS",B180="131 - GALLETAS AVENA","DERIVADOS",B180="160 - SOUVENIR","OTROS",B180="148 - CARAMELOS","DERIVADOS",B180="143 - CHOCOFFES","DERIVADOS",B180="162 - CONVENIOS Y DSC POS ","OTROS"),"OTROS")</f>
        <v>CAPSULAS</v>
      </c>
      <c r="L180" s="27">
        <f t="shared" si="15"/>
        <v>95442</v>
      </c>
      <c r="M180" s="27">
        <f t="shared" si="16"/>
        <v>95442</v>
      </c>
    </row>
    <row r="181" spans="1:13" ht="16.5" hidden="1" outlineLevel="1">
      <c r="A181" s="38"/>
      <c r="B181" s="39" t="s">
        <v>27</v>
      </c>
      <c r="C181" s="36">
        <v>3798378</v>
      </c>
      <c r="D181" s="36">
        <v>0</v>
      </c>
      <c r="E181" s="36"/>
      <c r="F181" s="36">
        <v>20712565.039999999</v>
      </c>
      <c r="G181" s="37">
        <f t="shared" si="18"/>
        <v>0.18338520567899688</v>
      </c>
      <c r="H181" s="23">
        <f t="shared" si="24"/>
        <v>0</v>
      </c>
      <c r="I181" s="24">
        <f t="shared" si="24"/>
        <v>0</v>
      </c>
      <c r="J181" s="32" t="str" cm="1">
        <f t="array" ref="J181">IFERROR(_xlfn.IFS(B181="044 - BLEND TRADICION","BLEND",B181="113 - CAFÉ GOURMET","GOURMET",B181="114 - CAFÉ CONSUMO","CONSUMO",B181="112 - CAFÉ ORGANICO","GOURMET",B181="172 - CAFÉ COSECHA","ESPECIALES",B181="176 - CAFE DESCAFEINADO","GOURMET",B181="147 - CAPSULAS","CAPSULAS",B181="130 - GALLETAS CAFECITAS","DERIVADOS",B181="140 - MERENGUES","DERIVADOS",B181="100 - CAFÉ ESPECIAL","ESPECIALES",B181="141 - AREQUIPE","DERIVADOS",B181="142 - MERMELADA","DERIVADOS",B181="131 - GALLETAS AVENA","DERIVADOS",B181="160 - SOUVENIR","OTROS",B181="148 - CARAMELOS","DERIVADOS",B181="143 - CHOCOFFES","DERIVADOS",B181="162 - CONVENIOS Y DSC POS ","OTROS"),"OTROS")</f>
        <v>DERIVADOS</v>
      </c>
      <c r="L181" s="27">
        <f t="shared" si="15"/>
        <v>3798378</v>
      </c>
      <c r="M181" s="27">
        <f t="shared" si="16"/>
        <v>3798378</v>
      </c>
    </row>
    <row r="182" spans="1:13" ht="16.5" hidden="1" outlineLevel="1">
      <c r="A182" s="38"/>
      <c r="B182" s="39" t="s">
        <v>28</v>
      </c>
      <c r="C182" s="36">
        <v>1570999</v>
      </c>
      <c r="D182" s="36">
        <v>0</v>
      </c>
      <c r="E182" s="36"/>
      <c r="F182" s="36">
        <v>14886549.630000001</v>
      </c>
      <c r="G182" s="37">
        <f t="shared" si="18"/>
        <v>0.10553143871794554</v>
      </c>
      <c r="H182" s="23">
        <f t="shared" si="24"/>
        <v>0</v>
      </c>
      <c r="I182" s="24">
        <f t="shared" si="24"/>
        <v>0</v>
      </c>
      <c r="J182" s="32" t="str" cm="1">
        <f t="array" ref="J182">IFERROR(_xlfn.IFS(B182="044 - BLEND TRADICION","BLEND",B182="113 - CAFÉ GOURMET","GOURMET",B182="114 - CAFÉ CONSUMO","CONSUMO",B182="112 - CAFÉ ORGANICO","GOURMET",B182="172 - CAFÉ COSECHA","ESPECIALES",B182="176 - CAFE DESCAFEINADO","GOURMET",B182="147 - CAPSULAS","CAPSULAS",B182="130 - GALLETAS CAFECITAS","DERIVADOS",B182="140 - MERENGUES","DERIVADOS",B182="100 - CAFÉ ESPECIAL","ESPECIALES",B182="141 - AREQUIPE","DERIVADOS",B182="142 - MERMELADA","DERIVADOS",B182="131 - GALLETAS AVENA","DERIVADOS",B182="160 - SOUVENIR","OTROS",B182="148 - CARAMELOS","DERIVADOS",B182="143 - CHOCOFFES","DERIVADOS",B182="162 - CONVENIOS Y DSC POS ","OTROS"),"OTROS")</f>
        <v>OTROS</v>
      </c>
      <c r="L182" s="27">
        <f t="shared" si="15"/>
        <v>1570999</v>
      </c>
      <c r="M182" s="27">
        <f t="shared" si="16"/>
        <v>1570999</v>
      </c>
    </row>
    <row r="183" spans="1:13" ht="16.5" hidden="1" outlineLevel="1">
      <c r="A183" s="38"/>
      <c r="B183" s="39" t="s">
        <v>29</v>
      </c>
      <c r="C183" s="36">
        <v>2079329</v>
      </c>
      <c r="D183" s="36">
        <v>0</v>
      </c>
      <c r="E183" s="36"/>
      <c r="F183" s="36">
        <v>8209679.5599999996</v>
      </c>
      <c r="G183" s="37">
        <f t="shared" si="18"/>
        <v>0.25327772963650241</v>
      </c>
      <c r="H183" s="23">
        <f t="shared" si="24"/>
        <v>0</v>
      </c>
      <c r="I183" s="24">
        <f t="shared" si="24"/>
        <v>0</v>
      </c>
      <c r="J183" s="32" t="str" cm="1">
        <f t="array" ref="J183">IFERROR(_xlfn.IFS(B183="044 - BLEND TRADICION","BLEND",B183="113 - CAFÉ GOURMET","GOURMET",B183="114 - CAFÉ CONSUMO","CONSUMO",B183="112 - CAFÉ ORGANICO","GOURMET",B183="172 - CAFÉ COSECHA","ESPECIALES",B183="176 - CAFE DESCAFEINADO","GOURMET",B183="147 - CAPSULAS","CAPSULAS",B183="130 - GALLETAS CAFECITAS","DERIVADOS",B183="140 - MERENGUES","DERIVADOS",B183="100 - CAFÉ ESPECIAL","ESPECIALES",B183="141 - AREQUIPE","DERIVADOS",B183="142 - MERMELADA","DERIVADOS",B183="131 - GALLETAS AVENA","DERIVADOS",B183="160 - SOUVENIR","OTROS",B183="148 - CARAMELOS","DERIVADOS",B183="143 - CHOCOFFES","DERIVADOS",B183="162 - CONVENIOS Y DSC POS ","OTROS"),"OTROS")</f>
        <v>ESPECIALES</v>
      </c>
      <c r="L183" s="27">
        <f t="shared" si="15"/>
        <v>2079329</v>
      </c>
      <c r="M183" s="27">
        <f t="shared" si="16"/>
        <v>2079329</v>
      </c>
    </row>
    <row r="184" spans="1:13" ht="16.5" hidden="1" outlineLevel="1">
      <c r="A184" s="38"/>
      <c r="B184" s="39" t="s">
        <v>30</v>
      </c>
      <c r="C184" s="36">
        <v>272027</v>
      </c>
      <c r="D184" s="36">
        <v>0</v>
      </c>
      <c r="E184" s="36"/>
      <c r="F184" s="36">
        <v>1016149.79</v>
      </c>
      <c r="G184" s="37">
        <f t="shared" si="18"/>
        <v>0.26770364239311606</v>
      </c>
      <c r="H184" s="23">
        <f t="shared" ref="H184:I248" si="25">IFERROR(+D184/L184*100%,0)</f>
        <v>0</v>
      </c>
      <c r="I184" s="24">
        <f t="shared" si="25"/>
        <v>0</v>
      </c>
      <c r="J184" s="32" t="str" cm="1">
        <f t="array" ref="J184">IFERROR(_xlfn.IFS(B184="044 - BLEND TRADICION","BLEND",B184="113 - CAFÉ GOURMET","GOURMET",B184="114 - CAFÉ CONSUMO","CONSUMO",B184="112 - CAFÉ ORGANICO","GOURMET",B184="172 - CAFÉ COSECHA","ESPECIALES",B184="176 - CAFE DESCAFEINADO","GOURMET",B184="147 - CAPSULAS","CAPSULAS",B184="130 - GALLETAS CAFECITAS","DERIVADOS",B184="140 - MERENGUES","DERIVADOS",B184="100 - CAFÉ ESPECIAL","ESPECIALES",B184="141 - AREQUIPE","DERIVADOS",B184="142 - MERMELADA","DERIVADOS",B184="131 - GALLETAS AVENA","DERIVADOS",B184="160 - SOUVENIR","OTROS",B184="148 - CARAMELOS","DERIVADOS",B184="143 - CHOCOFFES","DERIVADOS",B184="162 - CONVENIOS Y DSC POS ","OTROS"),"OTROS")</f>
        <v>GOURMET</v>
      </c>
      <c r="L184" s="27">
        <f t="shared" si="15"/>
        <v>272027</v>
      </c>
      <c r="M184" s="27">
        <f t="shared" si="16"/>
        <v>272027</v>
      </c>
    </row>
    <row r="185" spans="1:13" ht="16.5" hidden="1" outlineLevel="1">
      <c r="A185" s="19" t="s">
        <v>54</v>
      </c>
      <c r="B185" s="56" t="s">
        <v>32</v>
      </c>
      <c r="C185" s="54">
        <f>SUM(C171:C184)</f>
        <v>30239931</v>
      </c>
      <c r="D185" s="54">
        <f>SUM(D171:D184)</f>
        <v>0</v>
      </c>
      <c r="E185" s="54">
        <f>SUM(E171:E184)</f>
        <v>0</v>
      </c>
      <c r="F185" s="58">
        <f>SUM(F171:F184)</f>
        <v>179945706.40000001</v>
      </c>
      <c r="G185" s="55">
        <f t="shared" si="18"/>
        <v>0.16805030586714792</v>
      </c>
      <c r="H185" s="23">
        <f t="shared" si="25"/>
        <v>0</v>
      </c>
      <c r="I185" s="24">
        <f t="shared" si="25"/>
        <v>0</v>
      </c>
      <c r="J185" s="32" t="str" cm="1">
        <f t="array" ref="J185">IFERROR(_xlfn.IFS(B185="044 - BLEND TRADICION","BLEND",B185="113 - CAFÉ GOURMET","GOURMET",B185="114 - CAFÉ CONSUMO","CONSUMO",B185="112 - CAFÉ ORGANICO","GOURMET",B185="172 - CAFÉ COSECHA","ESPECIALES",B185="176 - CAFE DESCAFEINADO","GOURMET",B185="147 - CAPSULAS","CAPSULAS",B185="130 - GALLETAS CAFECITAS","DERIVADOS",B185="140 - MERENGUES","DERIVADOS",B185="100 - CAFÉ ESPECIAL","ESPECIALES",B185="141 - AREQUIPE","DERIVADOS",B185="142 - MERMELADA","DERIVADOS",B185="131 - GALLETAS AVENA","DERIVADOS",B185="160 - SOUVENIR","OTROS",B185="148 - CARAMELOS","DERIVADOS",B185="143 - CHOCOFFES","DERIVADOS",B185="162 - CONVENIOS Y DSC POS ","OTROS"),"OTROS")</f>
        <v>OTROS</v>
      </c>
      <c r="L185" s="27">
        <f t="shared" si="15"/>
        <v>30239931</v>
      </c>
      <c r="M185" s="27">
        <f t="shared" si="16"/>
        <v>30239931</v>
      </c>
    </row>
    <row r="186" spans="1:13" ht="16.5" collapsed="1">
      <c r="A186" s="28" t="s">
        <v>55</v>
      </c>
      <c r="B186" s="29" t="s">
        <v>17</v>
      </c>
      <c r="C186" s="30">
        <f>+C200</f>
        <v>31887483</v>
      </c>
      <c r="D186" s="30">
        <f t="shared" ref="D186:E186" si="26">+D200</f>
        <v>0</v>
      </c>
      <c r="E186" s="30">
        <f t="shared" si="26"/>
        <v>0</v>
      </c>
      <c r="F186" s="30">
        <f>+F200</f>
        <v>251466278.25</v>
      </c>
      <c r="G186" s="31">
        <f t="shared" si="18"/>
        <v>0.12680619931193499</v>
      </c>
      <c r="H186" s="23">
        <f t="shared" si="25"/>
        <v>0</v>
      </c>
      <c r="I186" s="24">
        <f t="shared" si="25"/>
        <v>0</v>
      </c>
      <c r="J186" s="32" t="str" cm="1">
        <f t="array" ref="J186">IFERROR(_xlfn.IFS(B186="044 - BLEND TRADICION","BLEND",B186="113 - CAFÉ GOURMET","GOURMET",B186="114 - CAFÉ CONSUMO","CONSUMO",B186="112 - CAFÉ ORGANICO","GOURMET",B186="172 - CAFÉ COSECHA","ESPECIALES",B186="176 - CAFE DESCAFEINADO","GOURMET",B186="147 - CAPSULAS","CAPSULAS",B186="130 - GALLETAS CAFECITAS","DERIVADOS",B186="140 - MERENGUES","DERIVADOS",B186="100 - CAFÉ ESPECIAL","ESPECIALES",B186="141 - AREQUIPE","DERIVADOS",B186="142 - MERMELADA","DERIVADOS",B186="131 - GALLETAS AVENA","DERIVADOS",B186="160 - SOUVENIR","OTROS",B186="148 - CARAMELOS","DERIVADOS",B186="143 - CHOCOFFES","DERIVADOS",B186="162 - CONVENIOS Y DSC POS ","OTROS"),"OTROS")</f>
        <v>OTROS</v>
      </c>
      <c r="L186" s="27">
        <f t="shared" si="15"/>
        <v>31887483</v>
      </c>
      <c r="M186" s="27">
        <f t="shared" si="16"/>
        <v>31887483</v>
      </c>
    </row>
    <row r="187" spans="1:13" ht="16.5" hidden="1" outlineLevel="1">
      <c r="A187" s="38"/>
      <c r="B187" s="39" t="s">
        <v>34</v>
      </c>
      <c r="C187" s="36">
        <v>0</v>
      </c>
      <c r="D187" s="36">
        <v>0</v>
      </c>
      <c r="E187" s="36">
        <v>0</v>
      </c>
      <c r="F187" s="36">
        <v>4405498.4400000004</v>
      </c>
      <c r="G187" s="37">
        <f t="shared" si="18"/>
        <v>0</v>
      </c>
      <c r="H187" s="23">
        <f t="shared" si="25"/>
        <v>0</v>
      </c>
      <c r="I187" s="24">
        <f t="shared" si="25"/>
        <v>0</v>
      </c>
      <c r="J187" s="32" t="str" cm="1">
        <f t="array" ref="J187">IFERROR(_xlfn.IFS(B187="044 - BLEND TRADICION","BLEND",B187="113 - CAFÉ GOURMET","GOURMET",B187="114 - CAFÉ CONSUMO","CONSUMO",B187="112 - CAFÉ ORGANICO","GOURMET",B187="172 - CAFÉ COSECHA","ESPECIALES",B187="176 - CAFE DESCAFEINADO","GOURMET",B187="147 - CAPSULAS","CAPSULAS",B187="130 - GALLETAS CAFECITAS","DERIVADOS",B187="140 - MERENGUES","DERIVADOS",B187="100 - CAFÉ ESPECIAL","ESPECIALES",B187="141 - AREQUIPE","DERIVADOS",B187="142 - MERMELADA","DERIVADOS",B187="131 - GALLETAS AVENA","DERIVADOS",B187="160 - SOUVENIR","OTROS",B187="148 - CARAMELOS","DERIVADOS",B187="143 - CHOCOFFES","DERIVADOS",B187="162 - CONVENIOS Y DSC POS ","OTROS"),"OTROS")</f>
        <v>OTROS</v>
      </c>
      <c r="K187" s="62"/>
      <c r="L187" s="27">
        <f t="shared" si="15"/>
        <v>0</v>
      </c>
      <c r="M187" s="27">
        <f t="shared" si="16"/>
        <v>0</v>
      </c>
    </row>
    <row r="188" spans="1:13" ht="16.5" hidden="1" outlineLevel="1">
      <c r="A188" s="38"/>
      <c r="B188" s="39" t="s">
        <v>18</v>
      </c>
      <c r="C188" s="36">
        <v>0</v>
      </c>
      <c r="D188" s="36">
        <v>0</v>
      </c>
      <c r="E188" s="36"/>
      <c r="F188" s="36">
        <v>1752263.11</v>
      </c>
      <c r="G188" s="37">
        <f t="shared" si="18"/>
        <v>0</v>
      </c>
      <c r="H188" s="23">
        <f t="shared" si="25"/>
        <v>0</v>
      </c>
      <c r="I188" s="24">
        <f t="shared" si="25"/>
        <v>0</v>
      </c>
      <c r="J188" s="32" t="str" cm="1">
        <f t="array" ref="J188">IFERROR(_xlfn.IFS(B188="044 - BLEND TRADICION","BLEND",B188="113 - CAFÉ GOURMET","GOURMET",B188="114 - CAFÉ CONSUMO","CONSUMO",B188="112 - CAFÉ ORGANICO","GOURMET",B188="172 - CAFÉ COSECHA","ESPECIALES",B188="176 - CAFE DESCAFEINADO","GOURMET",B188="147 - CAPSULAS","CAPSULAS",B188="130 - GALLETAS CAFECITAS","DERIVADOS",B188="140 - MERENGUES","DERIVADOS",B188="100 - CAFÉ ESPECIAL","ESPECIALES",B188="141 - AREQUIPE","DERIVADOS",B188="142 - MERMELADA","DERIVADOS",B188="131 - GALLETAS AVENA","DERIVADOS",B188="160 - SOUVENIR","OTROS",B188="148 - CARAMELOS","DERIVADOS",B188="143 - CHOCOFFES","DERIVADOS",B188="162 - CONVENIOS Y DSC POS ","OTROS"),"OTROS")</f>
        <v>BLEND</v>
      </c>
      <c r="K188" s="62"/>
      <c r="L188" s="27">
        <f t="shared" si="15"/>
        <v>0</v>
      </c>
      <c r="M188" s="27">
        <f t="shared" si="16"/>
        <v>0</v>
      </c>
    </row>
    <row r="189" spans="1:13" ht="16.5" hidden="1" outlineLevel="1">
      <c r="A189" s="38"/>
      <c r="B189" s="39" t="s">
        <v>19</v>
      </c>
      <c r="C189" s="36">
        <v>0</v>
      </c>
      <c r="D189" s="36">
        <v>0</v>
      </c>
      <c r="E189" s="36"/>
      <c r="F189" s="36">
        <v>5187386.37</v>
      </c>
      <c r="G189" s="37">
        <f t="shared" si="18"/>
        <v>0</v>
      </c>
      <c r="H189" s="23">
        <f t="shared" si="25"/>
        <v>0</v>
      </c>
      <c r="I189" s="24">
        <f t="shared" si="25"/>
        <v>0</v>
      </c>
      <c r="J189" s="32" t="str" cm="1">
        <f t="array" ref="J189">IFERROR(_xlfn.IFS(B189="044 - BLEND TRADICION","BLEND",B189="113 - CAFÉ GOURMET","GOURMET",B189="114 - CAFÉ CONSUMO","CONSUMO",B189="112 - CAFÉ ORGANICO","GOURMET",B189="172 - CAFÉ COSECHA","ESPECIALES",B189="176 - CAFE DESCAFEINADO","GOURMET",B189="147 - CAPSULAS","CAPSULAS",B189="130 - GALLETAS CAFECITAS","DERIVADOS",B189="140 - MERENGUES","DERIVADOS",B189="100 - CAFÉ ESPECIAL","ESPECIALES",B189="141 - AREQUIPE","DERIVADOS",B189="142 - MERMELADA","DERIVADOS",B189="131 - GALLETAS AVENA","DERIVADOS",B189="160 - SOUVENIR","OTROS",B189="148 - CARAMELOS","DERIVADOS",B189="143 - CHOCOFFES","DERIVADOS",B189="162 - CONVENIOS Y DSC POS ","OTROS"),"OTROS")</f>
        <v>ESPECIALES</v>
      </c>
      <c r="K189" s="62"/>
      <c r="L189" s="27">
        <f t="shared" si="15"/>
        <v>0</v>
      </c>
      <c r="M189" s="27">
        <f t="shared" si="16"/>
        <v>0</v>
      </c>
    </row>
    <row r="190" spans="1:13" ht="16.5" hidden="1" outlineLevel="1">
      <c r="A190" s="38"/>
      <c r="B190" s="39" t="s">
        <v>20</v>
      </c>
      <c r="C190" s="36">
        <v>924209</v>
      </c>
      <c r="D190" s="36">
        <v>0</v>
      </c>
      <c r="E190" s="36"/>
      <c r="F190" s="36">
        <v>7440163.29</v>
      </c>
      <c r="G190" s="37">
        <f t="shared" si="18"/>
        <v>0.12421891348032497</v>
      </c>
      <c r="H190" s="23">
        <f t="shared" si="25"/>
        <v>0</v>
      </c>
      <c r="I190" s="24">
        <f t="shared" si="25"/>
        <v>0</v>
      </c>
      <c r="J190" s="32" t="str" cm="1">
        <f t="array" ref="J190">IFERROR(_xlfn.IFS(B190="044 - BLEND TRADICION","BLEND",B190="113 - CAFÉ GOURMET","GOURMET",B190="114 - CAFÉ CONSUMO","CONSUMO",B190="112 - CAFÉ ORGANICO","GOURMET",B190="172 - CAFÉ COSECHA","ESPECIALES",B190="176 - CAFE DESCAFEINADO","GOURMET",B190="147 - CAPSULAS","CAPSULAS",B190="130 - GALLETAS CAFECITAS","DERIVADOS",B190="140 - MERENGUES","DERIVADOS",B190="100 - CAFÉ ESPECIAL","ESPECIALES",B190="141 - AREQUIPE","DERIVADOS",B190="142 - MERMELADA","DERIVADOS",B190="131 - GALLETAS AVENA","DERIVADOS",B190="160 - SOUVENIR","OTROS",B190="148 - CARAMELOS","DERIVADOS",B190="143 - CHOCOFFES","DERIVADOS",B190="162 - CONVENIOS Y DSC POS ","OTROS"),"OTROS")</f>
        <v>GOURMET</v>
      </c>
      <c r="K190" s="62"/>
      <c r="L190" s="27">
        <f t="shared" si="15"/>
        <v>924209</v>
      </c>
      <c r="M190" s="27">
        <f t="shared" si="16"/>
        <v>924209</v>
      </c>
    </row>
    <row r="191" spans="1:13" ht="16.5" hidden="1" outlineLevel="1">
      <c r="A191" s="38"/>
      <c r="B191" s="39" t="s">
        <v>21</v>
      </c>
      <c r="C191" s="36">
        <v>12773375</v>
      </c>
      <c r="D191" s="36">
        <v>0</v>
      </c>
      <c r="E191" s="36"/>
      <c r="F191" s="36">
        <v>142013899.65000001</v>
      </c>
      <c r="G191" s="37">
        <f t="shared" si="18"/>
        <v>8.9944540861708527E-2</v>
      </c>
      <c r="H191" s="23">
        <f t="shared" si="25"/>
        <v>0</v>
      </c>
      <c r="I191" s="24">
        <f t="shared" si="25"/>
        <v>0</v>
      </c>
      <c r="J191" s="32" t="str" cm="1">
        <f t="array" ref="J191">IFERROR(_xlfn.IFS(B191="044 - BLEND TRADICION","BLEND",B191="113 - CAFÉ GOURMET","GOURMET",B191="114 - CAFÉ CONSUMO","CONSUMO",B191="112 - CAFÉ ORGANICO","GOURMET",B191="172 - CAFÉ COSECHA","ESPECIALES",B191="176 - CAFE DESCAFEINADO","GOURMET",B191="147 - CAPSULAS","CAPSULAS",B191="130 - GALLETAS CAFECITAS","DERIVADOS",B191="140 - MERENGUES","DERIVADOS",B191="100 - CAFÉ ESPECIAL","ESPECIALES",B191="141 - AREQUIPE","DERIVADOS",B191="142 - MERMELADA","DERIVADOS",B191="131 - GALLETAS AVENA","DERIVADOS",B191="160 - SOUVENIR","OTROS",B191="148 - CARAMELOS","DERIVADOS",B191="143 - CHOCOFFES","DERIVADOS",B191="162 - CONVENIOS Y DSC POS ","OTROS"),"OTROS")</f>
        <v>GOURMET</v>
      </c>
      <c r="K191" s="62"/>
      <c r="L191" s="27">
        <f t="shared" si="15"/>
        <v>12773375</v>
      </c>
      <c r="M191" s="27">
        <f t="shared" si="16"/>
        <v>12773375</v>
      </c>
    </row>
    <row r="192" spans="1:13" ht="16.5" hidden="1" outlineLevel="1">
      <c r="A192" s="38"/>
      <c r="B192" s="39" t="s">
        <v>22</v>
      </c>
      <c r="C192" s="36">
        <v>0</v>
      </c>
      <c r="D192" s="36">
        <v>0</v>
      </c>
      <c r="E192" s="36"/>
      <c r="F192" s="36">
        <v>2033308.06</v>
      </c>
      <c r="G192" s="37">
        <f t="shared" si="18"/>
        <v>0</v>
      </c>
      <c r="H192" s="23">
        <f t="shared" si="25"/>
        <v>0</v>
      </c>
      <c r="I192" s="24">
        <f t="shared" si="25"/>
        <v>0</v>
      </c>
      <c r="J192" s="32" t="str" cm="1">
        <f t="array" ref="J192">IFERROR(_xlfn.IFS(B192="044 - BLEND TRADICION","BLEND",B192="113 - CAFÉ GOURMET","GOURMET",B192="114 - CAFÉ CONSUMO","CONSUMO",B192="112 - CAFÉ ORGANICO","GOURMET",B192="172 - CAFÉ COSECHA","ESPECIALES",B192="176 - CAFE DESCAFEINADO","GOURMET",B192="147 - CAPSULAS","CAPSULAS",B192="130 - GALLETAS CAFECITAS","DERIVADOS",B192="140 - MERENGUES","DERIVADOS",B192="100 - CAFÉ ESPECIAL","ESPECIALES",B192="141 - AREQUIPE","DERIVADOS",B192="142 - MERMELADA","DERIVADOS",B192="131 - GALLETAS AVENA","DERIVADOS",B192="160 - SOUVENIR","OTROS",B192="148 - CARAMELOS","DERIVADOS",B192="143 - CHOCOFFES","DERIVADOS",B192="162 - CONVENIOS Y DSC POS ","OTROS"),"OTROS")</f>
        <v>DERIVADOS</v>
      </c>
      <c r="K192" s="62"/>
      <c r="L192" s="27">
        <f t="shared" si="15"/>
        <v>0</v>
      </c>
      <c r="M192" s="27">
        <f t="shared" si="16"/>
        <v>0</v>
      </c>
    </row>
    <row r="193" spans="1:13" ht="16.5" hidden="1" outlineLevel="1">
      <c r="A193" s="38"/>
      <c r="B193" s="39" t="s">
        <v>24</v>
      </c>
      <c r="C193" s="36">
        <v>0</v>
      </c>
      <c r="D193" s="36">
        <v>0</v>
      </c>
      <c r="E193" s="36"/>
      <c r="F193" s="36">
        <v>5794.52</v>
      </c>
      <c r="G193" s="37">
        <f t="shared" si="18"/>
        <v>0</v>
      </c>
      <c r="H193" s="23">
        <f t="shared" si="25"/>
        <v>0</v>
      </c>
      <c r="I193" s="24">
        <f t="shared" si="25"/>
        <v>0</v>
      </c>
      <c r="J193" s="32" t="str" cm="1">
        <f t="array" ref="J193">IFERROR(_xlfn.IFS(B193="044 - BLEND TRADICION","BLEND",B193="113 - CAFÉ GOURMET","GOURMET",B193="114 - CAFÉ CONSUMO","CONSUMO",B193="112 - CAFÉ ORGANICO","GOURMET",B193="172 - CAFÉ COSECHA","ESPECIALES",B193="176 - CAFE DESCAFEINADO","GOURMET",B193="147 - CAPSULAS","CAPSULAS",B193="130 - GALLETAS CAFECITAS","DERIVADOS",B193="140 - MERENGUES","DERIVADOS",B193="100 - CAFÉ ESPECIAL","ESPECIALES",B193="141 - AREQUIPE","DERIVADOS",B193="142 - MERMELADA","DERIVADOS",B193="131 - GALLETAS AVENA","DERIVADOS",B193="160 - SOUVENIR","OTROS",B193="148 - CARAMELOS","DERIVADOS",B193="143 - CHOCOFFES","DERIVADOS",B193="162 - CONVENIOS Y DSC POS ","OTROS"),"OTROS")</f>
        <v>DERIVADOS</v>
      </c>
      <c r="K193" s="62"/>
      <c r="L193" s="27">
        <f t="shared" si="15"/>
        <v>0</v>
      </c>
      <c r="M193" s="27">
        <f t="shared" si="16"/>
        <v>0</v>
      </c>
    </row>
    <row r="194" spans="1:13" ht="16.5" hidden="1" outlineLevel="1">
      <c r="A194" s="38"/>
      <c r="B194" s="39" t="s">
        <v>25</v>
      </c>
      <c r="C194" s="36">
        <v>140047</v>
      </c>
      <c r="D194" s="36">
        <v>0</v>
      </c>
      <c r="E194" s="36"/>
      <c r="F194" s="36">
        <v>3644356.83</v>
      </c>
      <c r="G194" s="37">
        <f t="shared" si="18"/>
        <v>3.8428454328935734E-2</v>
      </c>
      <c r="H194" s="23">
        <f t="shared" si="25"/>
        <v>0</v>
      </c>
      <c r="I194" s="24">
        <f t="shared" si="25"/>
        <v>0</v>
      </c>
      <c r="J194" s="32" t="str" cm="1">
        <f t="array" ref="J194">IFERROR(_xlfn.IFS(B194="044 - BLEND TRADICION","BLEND",B194="113 - CAFÉ GOURMET","GOURMET",B194="114 - CAFÉ CONSUMO","CONSUMO",B194="112 - CAFÉ ORGANICO","GOURMET",B194="172 - CAFÉ COSECHA","ESPECIALES",B194="176 - CAFE DESCAFEINADO","GOURMET",B194="147 - CAPSULAS","CAPSULAS",B194="130 - GALLETAS CAFECITAS","DERIVADOS",B194="140 - MERENGUES","DERIVADOS",B194="100 - CAFÉ ESPECIAL","ESPECIALES",B194="141 - AREQUIPE","DERIVADOS",B194="142 - MERMELADA","DERIVADOS",B194="131 - GALLETAS AVENA","DERIVADOS",B194="160 - SOUVENIR","OTROS",B194="148 - CARAMELOS","DERIVADOS",B194="143 - CHOCOFFES","DERIVADOS",B194="162 - CONVENIOS Y DSC POS ","OTROS"),"OTROS")</f>
        <v>DERIVADOS</v>
      </c>
      <c r="K194" s="62"/>
      <c r="L194" s="27">
        <f t="shared" si="15"/>
        <v>140047</v>
      </c>
      <c r="M194" s="27">
        <f t="shared" si="16"/>
        <v>140047</v>
      </c>
    </row>
    <row r="195" spans="1:13" ht="16.5" hidden="1" outlineLevel="1">
      <c r="A195" s="38"/>
      <c r="B195" s="39" t="s">
        <v>26</v>
      </c>
      <c r="C195" s="36">
        <v>14292428</v>
      </c>
      <c r="D195" s="36">
        <v>0</v>
      </c>
      <c r="E195" s="36"/>
      <c r="F195" s="36">
        <v>59490908.259999998</v>
      </c>
      <c r="G195" s="37">
        <f t="shared" si="18"/>
        <v>0.2402455840401049</v>
      </c>
      <c r="H195" s="23">
        <f t="shared" si="25"/>
        <v>0</v>
      </c>
      <c r="I195" s="24">
        <f t="shared" si="25"/>
        <v>0</v>
      </c>
      <c r="J195" s="32" t="str" cm="1">
        <f t="array" ref="J195">IFERROR(_xlfn.IFS(B195="044 - BLEND TRADICION","BLEND",B195="113 - CAFÉ GOURMET","GOURMET",B195="114 - CAFÉ CONSUMO","CONSUMO",B195="112 - CAFÉ ORGANICO","GOURMET",B195="172 - CAFÉ COSECHA","ESPECIALES",B195="176 - CAFE DESCAFEINADO","GOURMET",B195="147 - CAPSULAS","CAPSULAS",B195="130 - GALLETAS CAFECITAS","DERIVADOS",B195="140 - MERENGUES","DERIVADOS",B195="100 - CAFÉ ESPECIAL","ESPECIALES",B195="141 - AREQUIPE","DERIVADOS",B195="142 - MERMELADA","DERIVADOS",B195="131 - GALLETAS AVENA","DERIVADOS",B195="160 - SOUVENIR","OTROS",B195="148 - CARAMELOS","DERIVADOS",B195="143 - CHOCOFFES","DERIVADOS",B195="162 - CONVENIOS Y DSC POS ","OTROS"),"OTROS")</f>
        <v>CAPSULAS</v>
      </c>
      <c r="K195" s="62"/>
      <c r="L195" s="27">
        <f t="shared" si="15"/>
        <v>14292428</v>
      </c>
      <c r="M195" s="27">
        <f t="shared" si="16"/>
        <v>14292428</v>
      </c>
    </row>
    <row r="196" spans="1:13" ht="16.5" hidden="1" outlineLevel="1">
      <c r="A196" s="38"/>
      <c r="B196" s="39" t="s">
        <v>27</v>
      </c>
      <c r="C196" s="36">
        <v>0</v>
      </c>
      <c r="D196" s="36">
        <v>0</v>
      </c>
      <c r="E196" s="36"/>
      <c r="F196" s="36">
        <v>3108564.42</v>
      </c>
      <c r="G196" s="37">
        <f t="shared" si="18"/>
        <v>0</v>
      </c>
      <c r="H196" s="23">
        <f t="shared" si="25"/>
        <v>0</v>
      </c>
      <c r="I196" s="24">
        <f t="shared" si="25"/>
        <v>0</v>
      </c>
      <c r="J196" s="32" t="str" cm="1">
        <f t="array" ref="J196">IFERROR(_xlfn.IFS(B196="044 - BLEND TRADICION","BLEND",B196="113 - CAFÉ GOURMET","GOURMET",B196="114 - CAFÉ CONSUMO","CONSUMO",B196="112 - CAFÉ ORGANICO","GOURMET",B196="172 - CAFÉ COSECHA","ESPECIALES",B196="176 - CAFE DESCAFEINADO","GOURMET",B196="147 - CAPSULAS","CAPSULAS",B196="130 - GALLETAS CAFECITAS","DERIVADOS",B196="140 - MERENGUES","DERIVADOS",B196="100 - CAFÉ ESPECIAL","ESPECIALES",B196="141 - AREQUIPE","DERIVADOS",B196="142 - MERMELADA","DERIVADOS",B196="131 - GALLETAS AVENA","DERIVADOS",B196="160 - SOUVENIR","OTROS",B196="148 - CARAMELOS","DERIVADOS",B196="143 - CHOCOFFES","DERIVADOS",B196="162 - CONVENIOS Y DSC POS ","OTROS"),"OTROS")</f>
        <v>DERIVADOS</v>
      </c>
      <c r="K196" s="62"/>
      <c r="L196" s="27">
        <f t="shared" si="15"/>
        <v>0</v>
      </c>
      <c r="M196" s="27">
        <f t="shared" si="16"/>
        <v>0</v>
      </c>
    </row>
    <row r="197" spans="1:13" ht="16.5" hidden="1" outlineLevel="1">
      <c r="A197" s="38"/>
      <c r="B197" s="39" t="s">
        <v>28</v>
      </c>
      <c r="C197" s="36">
        <v>532914</v>
      </c>
      <c r="D197" s="36">
        <v>0</v>
      </c>
      <c r="E197" s="36"/>
      <c r="F197" s="36">
        <v>7821246.9800000004</v>
      </c>
      <c r="G197" s="37">
        <f t="shared" si="18"/>
        <v>6.8136705229068215E-2</v>
      </c>
      <c r="H197" s="23">
        <f t="shared" si="25"/>
        <v>0</v>
      </c>
      <c r="I197" s="24">
        <f t="shared" si="25"/>
        <v>0</v>
      </c>
      <c r="J197" s="32" t="str" cm="1">
        <f t="array" ref="J197">IFERROR(_xlfn.IFS(B197="044 - BLEND TRADICION","BLEND",B197="113 - CAFÉ GOURMET","GOURMET",B197="114 - CAFÉ CONSUMO","CONSUMO",B197="112 - CAFÉ ORGANICO","GOURMET",B197="172 - CAFÉ COSECHA","ESPECIALES",B197="176 - CAFE DESCAFEINADO","GOURMET",B197="147 - CAPSULAS","CAPSULAS",B197="130 - GALLETAS CAFECITAS","DERIVADOS",B197="140 - MERENGUES","DERIVADOS",B197="100 - CAFÉ ESPECIAL","ESPECIALES",B197="141 - AREQUIPE","DERIVADOS",B197="142 - MERMELADA","DERIVADOS",B197="131 - GALLETAS AVENA","DERIVADOS",B197="160 - SOUVENIR","OTROS",B197="148 - CARAMELOS","DERIVADOS",B197="143 - CHOCOFFES","DERIVADOS",B197="162 - CONVENIOS Y DSC POS ","OTROS"),"OTROS")</f>
        <v>OTROS</v>
      </c>
      <c r="K197" s="62"/>
      <c r="L197" s="27">
        <f t="shared" si="15"/>
        <v>532914</v>
      </c>
      <c r="M197" s="27">
        <f t="shared" si="16"/>
        <v>532914</v>
      </c>
    </row>
    <row r="198" spans="1:13" ht="16.5" hidden="1" outlineLevel="1">
      <c r="A198" s="38"/>
      <c r="B198" s="39" t="s">
        <v>29</v>
      </c>
      <c r="C198" s="36">
        <v>1389908</v>
      </c>
      <c r="D198" s="36">
        <v>0</v>
      </c>
      <c r="E198" s="36"/>
      <c r="F198" s="36">
        <v>12404965.970000001</v>
      </c>
      <c r="G198" s="37">
        <f t="shared" si="18"/>
        <v>0.11204448310147197</v>
      </c>
      <c r="H198" s="23">
        <f t="shared" si="25"/>
        <v>0</v>
      </c>
      <c r="I198" s="24">
        <f t="shared" si="25"/>
        <v>0</v>
      </c>
      <c r="J198" s="32" t="str" cm="1">
        <f t="array" ref="J198">IFERROR(_xlfn.IFS(B198="044 - BLEND TRADICION","BLEND",B198="113 - CAFÉ GOURMET","GOURMET",B198="114 - CAFÉ CONSUMO","CONSUMO",B198="112 - CAFÉ ORGANICO","GOURMET",B198="172 - CAFÉ COSECHA","ESPECIALES",B198="176 - CAFE DESCAFEINADO","GOURMET",B198="147 - CAPSULAS","CAPSULAS",B198="130 - GALLETAS CAFECITAS","DERIVADOS",B198="140 - MERENGUES","DERIVADOS",B198="100 - CAFÉ ESPECIAL","ESPECIALES",B198="141 - AREQUIPE","DERIVADOS",B198="142 - MERMELADA","DERIVADOS",B198="131 - GALLETAS AVENA","DERIVADOS",B198="160 - SOUVENIR","OTROS",B198="148 - CARAMELOS","DERIVADOS",B198="143 - CHOCOFFES","DERIVADOS",B198="162 - CONVENIOS Y DSC POS ","OTROS"),"OTROS")</f>
        <v>ESPECIALES</v>
      </c>
      <c r="K198" s="62"/>
      <c r="L198" s="27">
        <f t="shared" si="15"/>
        <v>1389908</v>
      </c>
      <c r="M198" s="27">
        <f t="shared" si="16"/>
        <v>1389908</v>
      </c>
    </row>
    <row r="199" spans="1:13" ht="16.5" hidden="1" outlineLevel="1">
      <c r="A199" s="38"/>
      <c r="B199" s="39" t="s">
        <v>30</v>
      </c>
      <c r="C199" s="36">
        <v>1834602</v>
      </c>
      <c r="D199" s="36">
        <v>0</v>
      </c>
      <c r="E199" s="36"/>
      <c r="F199" s="36">
        <v>2157922.35</v>
      </c>
      <c r="G199" s="37">
        <f t="shared" si="18"/>
        <v>0.8501705355616711</v>
      </c>
      <c r="H199" s="23">
        <f t="shared" si="25"/>
        <v>0</v>
      </c>
      <c r="I199" s="24">
        <f t="shared" si="25"/>
        <v>0</v>
      </c>
      <c r="J199" s="32" t="str" cm="1">
        <f t="array" ref="J199">IFERROR(_xlfn.IFS(B199="044 - BLEND TRADICION","BLEND",B199="113 - CAFÉ GOURMET","GOURMET",B199="114 - CAFÉ CONSUMO","CONSUMO",B199="112 - CAFÉ ORGANICO","GOURMET",B199="172 - CAFÉ COSECHA","ESPECIALES",B199="176 - CAFE DESCAFEINADO","GOURMET",B199="147 - CAPSULAS","CAPSULAS",B199="130 - GALLETAS CAFECITAS","DERIVADOS",B199="140 - MERENGUES","DERIVADOS",B199="100 - CAFÉ ESPECIAL","ESPECIALES",B199="141 - AREQUIPE","DERIVADOS",B199="142 - MERMELADA","DERIVADOS",B199="131 - GALLETAS AVENA","DERIVADOS",B199="160 - SOUVENIR","OTROS",B199="148 - CARAMELOS","DERIVADOS",B199="143 - CHOCOFFES","DERIVADOS",B199="162 - CONVENIOS Y DSC POS ","OTROS"),"OTROS")</f>
        <v>GOURMET</v>
      </c>
      <c r="K199" s="62"/>
      <c r="L199" s="27">
        <f t="shared" si="15"/>
        <v>1834602</v>
      </c>
      <c r="M199" s="27">
        <f t="shared" si="16"/>
        <v>1834602</v>
      </c>
    </row>
    <row r="200" spans="1:13" ht="16.5" hidden="1" outlineLevel="1">
      <c r="A200" s="19" t="s">
        <v>56</v>
      </c>
      <c r="B200" s="56" t="s">
        <v>32</v>
      </c>
      <c r="C200" s="54">
        <f>SUM(C187:C199)</f>
        <v>31887483</v>
      </c>
      <c r="D200" s="54">
        <f>SUM(D187:D199)</f>
        <v>0</v>
      </c>
      <c r="E200" s="54">
        <f>SUM(E187:E199)</f>
        <v>0</v>
      </c>
      <c r="F200" s="58">
        <f>SUM(F187:F199)</f>
        <v>251466278.25</v>
      </c>
      <c r="G200" s="55">
        <f t="shared" si="18"/>
        <v>0.12680619931193499</v>
      </c>
      <c r="H200" s="23">
        <f t="shared" si="25"/>
        <v>0</v>
      </c>
      <c r="I200" s="24">
        <f t="shared" si="25"/>
        <v>0</v>
      </c>
      <c r="J200" s="32" t="str" cm="1">
        <f t="array" ref="J200">IFERROR(_xlfn.IFS(B200="044 - BLEND TRADICION","BLEND",B200="113 - CAFÉ GOURMET","GOURMET",B200="114 - CAFÉ CONSUMO","CONSUMO",B200="112 - CAFÉ ORGANICO","GOURMET",B200="172 - CAFÉ COSECHA","ESPECIALES",B200="176 - CAFE DESCAFEINADO","GOURMET",B200="147 - CAPSULAS","CAPSULAS",B200="130 - GALLETAS CAFECITAS","DERIVADOS",B200="140 - MERENGUES","DERIVADOS",B200="100 - CAFÉ ESPECIAL","ESPECIALES",B200="141 - AREQUIPE","DERIVADOS",B200="142 - MERMELADA","DERIVADOS",B200="131 - GALLETAS AVENA","DERIVADOS",B200="160 - SOUVENIR","OTROS",B200="148 - CARAMELOS","DERIVADOS",B200="143 - CHOCOFFES","DERIVADOS",B200="162 - CONVENIOS Y DSC POS ","OTROS"),"OTROS")</f>
        <v>OTROS</v>
      </c>
      <c r="K200" s="62">
        <f>C200-E200</f>
        <v>31887483</v>
      </c>
      <c r="L200" s="27">
        <f t="shared" si="15"/>
        <v>31887483</v>
      </c>
      <c r="M200" s="27">
        <f t="shared" si="16"/>
        <v>31887483</v>
      </c>
    </row>
    <row r="201" spans="1:13" ht="16.5" collapsed="1">
      <c r="A201" s="28" t="s">
        <v>57</v>
      </c>
      <c r="B201" s="29" t="s">
        <v>17</v>
      </c>
      <c r="C201" s="30">
        <f>+C216</f>
        <v>19010456</v>
      </c>
      <c r="D201" s="30">
        <f>+D216</f>
        <v>0</v>
      </c>
      <c r="E201" s="30">
        <f>+E216</f>
        <v>0</v>
      </c>
      <c r="F201" s="30">
        <f>+F216</f>
        <v>242185563.47000003</v>
      </c>
      <c r="G201" s="31">
        <f t="shared" si="18"/>
        <v>7.849541371343903E-2</v>
      </c>
      <c r="H201" s="23">
        <f t="shared" si="25"/>
        <v>0</v>
      </c>
      <c r="I201" s="24">
        <f t="shared" si="25"/>
        <v>0</v>
      </c>
      <c r="J201" s="32" t="str" cm="1">
        <f t="array" ref="J201">IFERROR(_xlfn.IFS(B201="044 - BLEND TRADICION","BLEND",B201="113 - CAFÉ GOURMET","GOURMET",B201="114 - CAFÉ CONSUMO","CONSUMO",B201="112 - CAFÉ ORGANICO","GOURMET",B201="172 - CAFÉ COSECHA","ESPECIALES",B201="176 - CAFE DESCAFEINADO","GOURMET",B201="147 - CAPSULAS","CAPSULAS",B201="130 - GALLETAS CAFECITAS","DERIVADOS",B201="140 - MERENGUES","DERIVADOS",B201="100 - CAFÉ ESPECIAL","ESPECIALES",B201="141 - AREQUIPE","DERIVADOS",B201="142 - MERMELADA","DERIVADOS",B201="131 - GALLETAS AVENA","DERIVADOS",B201="160 - SOUVENIR","OTROS",B201="148 - CARAMELOS","DERIVADOS",B201="143 - CHOCOFFES","DERIVADOS",B201="162 - CONVENIOS Y DSC POS ","OTROS"),"OTROS")</f>
        <v>OTROS</v>
      </c>
      <c r="K201" s="62">
        <f>C201-E201</f>
        <v>19010456</v>
      </c>
      <c r="L201" s="27">
        <f t="shared" si="15"/>
        <v>19010456</v>
      </c>
      <c r="M201" s="27">
        <f t="shared" si="16"/>
        <v>19010456</v>
      </c>
    </row>
    <row r="202" spans="1:13" ht="15.75" hidden="1" customHeight="1" outlineLevel="1">
      <c r="A202" s="44"/>
      <c r="B202" s="45" t="s">
        <v>34</v>
      </c>
      <c r="C202" s="46">
        <v>0</v>
      </c>
      <c r="D202" s="46">
        <v>0</v>
      </c>
      <c r="E202" s="46"/>
      <c r="F202" s="46">
        <v>183711.31</v>
      </c>
      <c r="G202" s="37">
        <f t="shared" si="18"/>
        <v>0</v>
      </c>
      <c r="H202" s="23">
        <f t="shared" si="25"/>
        <v>0</v>
      </c>
      <c r="I202" s="24">
        <f t="shared" si="25"/>
        <v>0</v>
      </c>
      <c r="J202" s="32" t="str" cm="1">
        <f t="array" ref="J202">IFERROR(_xlfn.IFS(B202="044 - BLEND TRADICION","BLEND",B202="113 - CAFÉ GOURMET","GOURMET",B202="114 - CAFÉ CONSUMO","CONSUMO",B202="112 - CAFÉ ORGANICO","GOURMET",B202="172 - CAFÉ COSECHA","ESPECIALES",B202="176 - CAFE DESCAFEINADO","GOURMET",B202="147 - CAPSULAS","CAPSULAS",B202="130 - GALLETAS CAFECITAS","DERIVADOS",B202="140 - MERENGUES","DERIVADOS",B202="100 - CAFÉ ESPECIAL","ESPECIALES",B202="141 - AREQUIPE","DERIVADOS",B202="142 - MERMELADA","DERIVADOS",B202="131 - GALLETAS AVENA","DERIVADOS",B202="160 - SOUVENIR","OTROS",B202="148 - CARAMELOS","DERIVADOS",B202="143 - CHOCOFFES","DERIVADOS",B202="162 - CONVENIOS Y DSC POS ","OTROS"),"OTROS")</f>
        <v>OTROS</v>
      </c>
      <c r="K202" s="62">
        <f>C202-E202</f>
        <v>0</v>
      </c>
      <c r="L202" s="27">
        <f t="shared" si="15"/>
        <v>0</v>
      </c>
      <c r="M202" s="27">
        <f t="shared" si="16"/>
        <v>0</v>
      </c>
    </row>
    <row r="203" spans="1:13" ht="15.75" hidden="1" customHeight="1" outlineLevel="1">
      <c r="A203" s="44"/>
      <c r="B203" s="45" t="s">
        <v>18</v>
      </c>
      <c r="C203" s="46">
        <v>0</v>
      </c>
      <c r="D203" s="46">
        <v>0</v>
      </c>
      <c r="E203" s="46"/>
      <c r="F203" s="46">
        <v>22057449.760000002</v>
      </c>
      <c r="G203" s="37">
        <f t="shared" si="18"/>
        <v>0</v>
      </c>
      <c r="H203" s="23">
        <f t="shared" si="25"/>
        <v>0</v>
      </c>
      <c r="I203" s="24">
        <f t="shared" si="25"/>
        <v>0</v>
      </c>
      <c r="J203" s="32" t="str" cm="1">
        <f t="array" ref="J203">IFERROR(_xlfn.IFS(B203="044 - BLEND TRADICION","BLEND",B203="113 - CAFÉ GOURMET","GOURMET",B203="114 - CAFÉ CONSUMO","CONSUMO",B203="112 - CAFÉ ORGANICO","GOURMET",B203="172 - CAFÉ COSECHA","ESPECIALES",B203="176 - CAFE DESCAFEINADO","GOURMET",B203="147 - CAPSULAS","CAPSULAS",B203="130 - GALLETAS CAFECITAS","DERIVADOS",B203="140 - MERENGUES","DERIVADOS",B203="100 - CAFÉ ESPECIAL","ESPECIALES",B203="141 - AREQUIPE","DERIVADOS",B203="142 - MERMELADA","DERIVADOS",B203="131 - GALLETAS AVENA","DERIVADOS",B203="160 - SOUVENIR","OTROS",B203="148 - CARAMELOS","DERIVADOS",B203="143 - CHOCOFFES","DERIVADOS",B203="162 - CONVENIOS Y DSC POS ","OTROS"),"OTROS")</f>
        <v>BLEND</v>
      </c>
      <c r="K203" s="62">
        <f>C203-E203</f>
        <v>0</v>
      </c>
      <c r="L203" s="27">
        <f t="shared" ref="L203:L243" si="27">C203-(D203+E203)</f>
        <v>0</v>
      </c>
      <c r="M203" s="27">
        <f t="shared" ref="M203:M260" si="28">L203</f>
        <v>0</v>
      </c>
    </row>
    <row r="204" spans="1:13" ht="15.75" hidden="1" customHeight="1" outlineLevel="1">
      <c r="A204" s="44"/>
      <c r="B204" s="45" t="s">
        <v>19</v>
      </c>
      <c r="C204" s="46">
        <v>1181269</v>
      </c>
      <c r="D204" s="46">
        <v>0</v>
      </c>
      <c r="E204" s="46"/>
      <c r="F204" s="46">
        <v>4724786.33</v>
      </c>
      <c r="G204" s="37">
        <f t="shared" si="18"/>
        <v>0.25001532714813796</v>
      </c>
      <c r="H204" s="23">
        <f t="shared" si="25"/>
        <v>0</v>
      </c>
      <c r="I204" s="24">
        <f t="shared" si="25"/>
        <v>0</v>
      </c>
      <c r="J204" s="32" t="str" cm="1">
        <f t="array" ref="J204">IFERROR(_xlfn.IFS(B204="044 - BLEND TRADICION","BLEND",B204="113 - CAFÉ GOURMET","GOURMET",B204="114 - CAFÉ CONSUMO","CONSUMO",B204="112 - CAFÉ ORGANICO","GOURMET",B204="172 - CAFÉ COSECHA","ESPECIALES",B204="176 - CAFE DESCAFEINADO","GOURMET",B204="147 - CAPSULAS","CAPSULAS",B204="130 - GALLETAS CAFECITAS","DERIVADOS",B204="140 - MERENGUES","DERIVADOS",B204="100 - CAFÉ ESPECIAL","ESPECIALES",B204="141 - AREQUIPE","DERIVADOS",B204="142 - MERMELADA","DERIVADOS",B204="131 - GALLETAS AVENA","DERIVADOS",B204="160 - SOUVENIR","OTROS",B204="148 - CARAMELOS","DERIVADOS",B204="143 - CHOCOFFES","DERIVADOS",B204="162 - CONVENIOS Y DSC POS ","OTROS"),"OTROS")</f>
        <v>ESPECIALES</v>
      </c>
      <c r="K204" s="62"/>
      <c r="L204" s="27">
        <f t="shared" si="27"/>
        <v>1181269</v>
      </c>
      <c r="M204" s="27">
        <f t="shared" si="28"/>
        <v>1181269</v>
      </c>
    </row>
    <row r="205" spans="1:13" ht="15.75" hidden="1" customHeight="1" outlineLevel="1">
      <c r="A205" s="44"/>
      <c r="B205" s="45" t="s">
        <v>20</v>
      </c>
      <c r="C205" s="46">
        <v>0</v>
      </c>
      <c r="D205" s="46">
        <v>0</v>
      </c>
      <c r="E205" s="46"/>
      <c r="F205" s="46">
        <v>4267385.9800000004</v>
      </c>
      <c r="G205" s="37">
        <f t="shared" si="18"/>
        <v>0</v>
      </c>
      <c r="H205" s="23">
        <f t="shared" si="25"/>
        <v>0</v>
      </c>
      <c r="I205" s="24">
        <f t="shared" si="25"/>
        <v>0</v>
      </c>
      <c r="J205" s="32" t="str" cm="1">
        <f t="array" ref="J205">IFERROR(_xlfn.IFS(B205="044 - BLEND TRADICION","BLEND",B205="113 - CAFÉ GOURMET","GOURMET",B205="114 - CAFÉ CONSUMO","CONSUMO",B205="112 - CAFÉ ORGANICO","GOURMET",B205="172 - CAFÉ COSECHA","ESPECIALES",B205="176 - CAFE DESCAFEINADO","GOURMET",B205="147 - CAPSULAS","CAPSULAS",B205="130 - GALLETAS CAFECITAS","DERIVADOS",B205="140 - MERENGUES","DERIVADOS",B205="100 - CAFÉ ESPECIAL","ESPECIALES",B205="141 - AREQUIPE","DERIVADOS",B205="142 - MERMELADA","DERIVADOS",B205="131 - GALLETAS AVENA","DERIVADOS",B205="160 - SOUVENIR","OTROS",B205="148 - CARAMELOS","DERIVADOS",B205="143 - CHOCOFFES","DERIVADOS",B205="162 - CONVENIOS Y DSC POS ","OTROS"),"OTROS")</f>
        <v>GOURMET</v>
      </c>
      <c r="K205" s="62"/>
      <c r="L205" s="27">
        <f t="shared" si="27"/>
        <v>0</v>
      </c>
      <c r="M205" s="27">
        <f t="shared" si="28"/>
        <v>0</v>
      </c>
    </row>
    <row r="206" spans="1:13" ht="15.75" hidden="1" customHeight="1" outlineLevel="1">
      <c r="A206" s="44"/>
      <c r="B206" s="45" t="s">
        <v>21</v>
      </c>
      <c r="C206" s="46">
        <v>12662613</v>
      </c>
      <c r="D206" s="46">
        <v>0</v>
      </c>
      <c r="E206" s="46"/>
      <c r="F206" s="46">
        <v>156321504.86000001</v>
      </c>
      <c r="G206" s="37">
        <f t="shared" ref="G206:G260" si="29">IFERROR(C206/F206*100%,"-")</f>
        <v>8.1003653408662557E-2</v>
      </c>
      <c r="H206" s="23">
        <f t="shared" si="25"/>
        <v>0</v>
      </c>
      <c r="I206" s="24">
        <f t="shared" si="25"/>
        <v>0</v>
      </c>
      <c r="J206" s="32" t="str" cm="1">
        <f t="array" ref="J206">IFERROR(_xlfn.IFS(B206="044 - BLEND TRADICION","BLEND",B206="113 - CAFÉ GOURMET","GOURMET",B206="114 - CAFÉ CONSUMO","CONSUMO",B206="112 - CAFÉ ORGANICO","GOURMET",B206="172 - CAFÉ COSECHA","ESPECIALES",B206="176 - CAFE DESCAFEINADO","GOURMET",B206="147 - CAPSULAS","CAPSULAS",B206="130 - GALLETAS CAFECITAS","DERIVADOS",B206="140 - MERENGUES","DERIVADOS",B206="100 - CAFÉ ESPECIAL","ESPECIALES",B206="141 - AREQUIPE","DERIVADOS",B206="142 - MERMELADA","DERIVADOS",B206="131 - GALLETAS AVENA","DERIVADOS",B206="160 - SOUVENIR","OTROS",B206="148 - CARAMELOS","DERIVADOS",B206="143 - CHOCOFFES","DERIVADOS",B206="162 - CONVENIOS Y DSC POS ","OTROS"),"OTROS")</f>
        <v>GOURMET</v>
      </c>
      <c r="K206" s="62">
        <f t="shared" ref="K206" si="30">C206-E206</f>
        <v>12662613</v>
      </c>
      <c r="L206" s="27">
        <f t="shared" si="27"/>
        <v>12662613</v>
      </c>
      <c r="M206" s="27">
        <f t="shared" si="28"/>
        <v>12662613</v>
      </c>
    </row>
    <row r="207" spans="1:13" ht="15.75" hidden="1" customHeight="1" outlineLevel="1">
      <c r="A207" s="44"/>
      <c r="B207" s="45" t="s">
        <v>22</v>
      </c>
      <c r="C207" s="46">
        <v>825029</v>
      </c>
      <c r="D207" s="46">
        <v>0</v>
      </c>
      <c r="E207" s="46"/>
      <c r="F207" s="46">
        <v>7161969.0599999996</v>
      </c>
      <c r="G207" s="37">
        <f t="shared" si="29"/>
        <v>0.11519583414676188</v>
      </c>
      <c r="H207" s="23">
        <f t="shared" si="25"/>
        <v>0</v>
      </c>
      <c r="I207" s="24">
        <f t="shared" si="25"/>
        <v>0</v>
      </c>
      <c r="J207" s="32" t="str" cm="1">
        <f t="array" ref="J207">IFERROR(_xlfn.IFS(B207="044 - BLEND TRADICION","BLEND",B207="113 - CAFÉ GOURMET","GOURMET",B207="114 - CAFÉ CONSUMO","CONSUMO",B207="112 - CAFÉ ORGANICO","GOURMET",B207="172 - CAFÉ COSECHA","ESPECIALES",B207="176 - CAFE DESCAFEINADO","GOURMET",B207="147 - CAPSULAS","CAPSULAS",B207="130 - GALLETAS CAFECITAS","DERIVADOS",B207="140 - MERENGUES","DERIVADOS",B207="100 - CAFÉ ESPECIAL","ESPECIALES",B207="141 - AREQUIPE","DERIVADOS",B207="142 - MERMELADA","DERIVADOS",B207="131 - GALLETAS AVENA","DERIVADOS",B207="160 - SOUVENIR","OTROS",B207="148 - CARAMELOS","DERIVADOS",B207="143 - CHOCOFFES","DERIVADOS",B207="162 - CONVENIOS Y DSC POS ","OTROS"),"OTROS")</f>
        <v>DERIVADOS</v>
      </c>
      <c r="K207" s="62"/>
      <c r="L207" s="27">
        <f t="shared" si="27"/>
        <v>825029</v>
      </c>
      <c r="M207" s="27">
        <f t="shared" si="28"/>
        <v>825029</v>
      </c>
    </row>
    <row r="208" spans="1:13" ht="15.75" hidden="1" customHeight="1" outlineLevel="1">
      <c r="A208" s="44"/>
      <c r="B208" s="45" t="s">
        <v>23</v>
      </c>
      <c r="C208" s="46">
        <v>0</v>
      </c>
      <c r="D208" s="46">
        <v>0</v>
      </c>
      <c r="E208" s="46"/>
      <c r="F208" s="46">
        <v>19945.96</v>
      </c>
      <c r="G208" s="37">
        <f t="shared" si="29"/>
        <v>0</v>
      </c>
      <c r="H208" s="23">
        <f t="shared" si="25"/>
        <v>0</v>
      </c>
      <c r="I208" s="24">
        <f t="shared" si="25"/>
        <v>0</v>
      </c>
      <c r="J208" s="32" t="str" cm="1">
        <f t="array" ref="J208">IFERROR(_xlfn.IFS(B208="044 - BLEND TRADICION","BLEND",B208="113 - CAFÉ GOURMET","GOURMET",B208="114 - CAFÉ CONSUMO","CONSUMO",B208="112 - CAFÉ ORGANICO","GOURMET",B208="172 - CAFÉ COSECHA","ESPECIALES",B208="176 - CAFE DESCAFEINADO","GOURMET",B208="147 - CAPSULAS","CAPSULAS",B208="130 - GALLETAS CAFECITAS","DERIVADOS",B208="140 - MERENGUES","DERIVADOS",B208="100 - CAFÉ ESPECIAL","ESPECIALES",B208="141 - AREQUIPE","DERIVADOS",B208="142 - MERMELADA","DERIVADOS",B208="131 - GALLETAS AVENA","DERIVADOS",B208="160 - SOUVENIR","OTROS",B208="148 - CARAMELOS","DERIVADOS",B208="143 - CHOCOFFES","DERIVADOS",B208="162 - CONVENIOS Y DSC POS ","OTROS"),"OTROS")</f>
        <v>DERIVADOS</v>
      </c>
      <c r="K208" s="62"/>
      <c r="L208" s="27">
        <f t="shared" si="27"/>
        <v>0</v>
      </c>
      <c r="M208" s="27">
        <f t="shared" si="28"/>
        <v>0</v>
      </c>
    </row>
    <row r="209" spans="1:13" ht="15.75" hidden="1" customHeight="1" outlineLevel="1">
      <c r="A209" s="44"/>
      <c r="B209" s="45" t="s">
        <v>24</v>
      </c>
      <c r="C209" s="46">
        <v>91104</v>
      </c>
      <c r="D209" s="46">
        <v>0</v>
      </c>
      <c r="E209" s="46"/>
      <c r="F209" s="46">
        <v>1393477.12</v>
      </c>
      <c r="G209" s="37">
        <f t="shared" si="29"/>
        <v>6.537889908088336E-2</v>
      </c>
      <c r="H209" s="23">
        <f t="shared" si="25"/>
        <v>0</v>
      </c>
      <c r="I209" s="24">
        <f t="shared" si="25"/>
        <v>0</v>
      </c>
      <c r="J209" s="32" t="str" cm="1">
        <f t="array" ref="J209">IFERROR(_xlfn.IFS(B209="044 - BLEND TRADICION","BLEND",B209="113 - CAFÉ GOURMET","GOURMET",B209="114 - CAFÉ CONSUMO","CONSUMO",B209="112 - CAFÉ ORGANICO","GOURMET",B209="172 - CAFÉ COSECHA","ESPECIALES",B209="176 - CAFE DESCAFEINADO","GOURMET",B209="147 - CAPSULAS","CAPSULAS",B209="130 - GALLETAS CAFECITAS","DERIVADOS",B209="140 - MERENGUES","DERIVADOS",B209="100 - CAFÉ ESPECIAL","ESPECIALES",B209="141 - AREQUIPE","DERIVADOS",B209="142 - MERMELADA","DERIVADOS",B209="131 - GALLETAS AVENA","DERIVADOS",B209="160 - SOUVENIR","OTROS",B209="148 - CARAMELOS","DERIVADOS",B209="143 - CHOCOFFES","DERIVADOS",B209="162 - CONVENIOS Y DSC POS ","OTROS"),"OTROS")</f>
        <v>DERIVADOS</v>
      </c>
      <c r="K209" s="62">
        <f t="shared" ref="K209" si="31">C209-E209</f>
        <v>91104</v>
      </c>
      <c r="L209" s="27">
        <f t="shared" si="27"/>
        <v>91104</v>
      </c>
      <c r="M209" s="27">
        <f t="shared" si="28"/>
        <v>91104</v>
      </c>
    </row>
    <row r="210" spans="1:13" ht="15.75" hidden="1" customHeight="1" outlineLevel="1">
      <c r="A210" s="44"/>
      <c r="B210" s="45" t="s">
        <v>25</v>
      </c>
      <c r="C210" s="46">
        <v>707573</v>
      </c>
      <c r="D210" s="46">
        <v>0</v>
      </c>
      <c r="E210" s="46"/>
      <c r="F210" s="46">
        <v>2683173.4900000002</v>
      </c>
      <c r="G210" s="37">
        <f t="shared" si="29"/>
        <v>0.26370751002015896</v>
      </c>
      <c r="H210" s="23">
        <f t="shared" si="25"/>
        <v>0</v>
      </c>
      <c r="I210" s="24">
        <f t="shared" si="25"/>
        <v>0</v>
      </c>
      <c r="J210" s="32" t="str" cm="1">
        <f t="array" ref="J210">IFERROR(_xlfn.IFS(B210="044 - BLEND TRADICION","BLEND",B210="113 - CAFÉ GOURMET","GOURMET",B210="114 - CAFÉ CONSUMO","CONSUMO",B210="112 - CAFÉ ORGANICO","GOURMET",B210="172 - CAFÉ COSECHA","ESPECIALES",B210="176 - CAFE DESCAFEINADO","GOURMET",B210="147 - CAPSULAS","CAPSULAS",B210="130 - GALLETAS CAFECITAS","DERIVADOS",B210="140 - MERENGUES","DERIVADOS",B210="100 - CAFÉ ESPECIAL","ESPECIALES",B210="141 - AREQUIPE","DERIVADOS",B210="142 - MERMELADA","DERIVADOS",B210="131 - GALLETAS AVENA","DERIVADOS",B210="160 - SOUVENIR","OTROS",B210="148 - CARAMELOS","DERIVADOS",B210="143 - CHOCOFFES","DERIVADOS",B210="162 - CONVENIOS Y DSC POS ","OTROS"),"OTROS")</f>
        <v>DERIVADOS</v>
      </c>
      <c r="K210" s="62"/>
      <c r="L210" s="27">
        <f t="shared" si="27"/>
        <v>707573</v>
      </c>
      <c r="M210" s="27">
        <f t="shared" si="28"/>
        <v>707573</v>
      </c>
    </row>
    <row r="211" spans="1:13" ht="15.75" hidden="1" customHeight="1" outlineLevel="1">
      <c r="A211" s="44"/>
      <c r="B211" s="45" t="s">
        <v>26</v>
      </c>
      <c r="C211" s="46">
        <v>909909</v>
      </c>
      <c r="D211" s="46">
        <v>0</v>
      </c>
      <c r="E211" s="46"/>
      <c r="F211" s="46">
        <v>14923818.029999999</v>
      </c>
      <c r="G211" s="37">
        <f t="shared" si="29"/>
        <v>6.0970255612263054E-2</v>
      </c>
      <c r="H211" s="23">
        <f t="shared" si="25"/>
        <v>0</v>
      </c>
      <c r="I211" s="24">
        <f t="shared" si="25"/>
        <v>0</v>
      </c>
      <c r="J211" s="32" t="str" cm="1">
        <f t="array" ref="J211">IFERROR(_xlfn.IFS(B211="044 - BLEND TRADICION","BLEND",B211="113 - CAFÉ GOURMET","GOURMET",B211="114 - CAFÉ CONSUMO","CONSUMO",B211="112 - CAFÉ ORGANICO","GOURMET",B211="172 - CAFÉ COSECHA","ESPECIALES",B211="176 - CAFE DESCAFEINADO","GOURMET",B211="147 - CAPSULAS","CAPSULAS",B211="130 - GALLETAS CAFECITAS","DERIVADOS",B211="140 - MERENGUES","DERIVADOS",B211="100 - CAFÉ ESPECIAL","ESPECIALES",B211="141 - AREQUIPE","DERIVADOS",B211="142 - MERMELADA","DERIVADOS",B211="131 - GALLETAS AVENA","DERIVADOS",B211="160 - SOUVENIR","OTROS",B211="148 - CARAMELOS","DERIVADOS",B211="143 - CHOCOFFES","DERIVADOS",B211="162 - CONVENIOS Y DSC POS ","OTROS"),"OTROS")</f>
        <v>CAPSULAS</v>
      </c>
      <c r="K211" s="62"/>
      <c r="L211" s="27">
        <f t="shared" si="27"/>
        <v>909909</v>
      </c>
      <c r="M211" s="27">
        <f t="shared" si="28"/>
        <v>909909</v>
      </c>
    </row>
    <row r="212" spans="1:13" ht="15.75" hidden="1" customHeight="1" outlineLevel="1">
      <c r="A212" s="44"/>
      <c r="B212" s="45" t="s">
        <v>27</v>
      </c>
      <c r="C212" s="46">
        <v>1019132</v>
      </c>
      <c r="D212" s="46">
        <v>0</v>
      </c>
      <c r="E212" s="46"/>
      <c r="F212" s="46">
        <v>3692134.82</v>
      </c>
      <c r="G212" s="37">
        <f t="shared" si="29"/>
        <v>0.2760278401751321</v>
      </c>
      <c r="H212" s="23">
        <f t="shared" si="25"/>
        <v>0</v>
      </c>
      <c r="I212" s="24">
        <f t="shared" si="25"/>
        <v>0</v>
      </c>
      <c r="J212" s="32" t="str" cm="1">
        <f t="array" ref="J212">IFERROR(_xlfn.IFS(B212="044 - BLEND TRADICION","BLEND",B212="113 - CAFÉ GOURMET","GOURMET",B212="114 - CAFÉ CONSUMO","CONSUMO",B212="112 - CAFÉ ORGANICO","GOURMET",B212="172 - CAFÉ COSECHA","ESPECIALES",B212="176 - CAFE DESCAFEINADO","GOURMET",B212="147 - CAPSULAS","CAPSULAS",B212="130 - GALLETAS CAFECITAS","DERIVADOS",B212="140 - MERENGUES","DERIVADOS",B212="100 - CAFÉ ESPECIAL","ESPECIALES",B212="141 - AREQUIPE","DERIVADOS",B212="142 - MERMELADA","DERIVADOS",B212="131 - GALLETAS AVENA","DERIVADOS",B212="160 - SOUVENIR","OTROS",B212="148 - CARAMELOS","DERIVADOS",B212="143 - CHOCOFFES","DERIVADOS",B212="162 - CONVENIOS Y DSC POS ","OTROS"),"OTROS")</f>
        <v>DERIVADOS</v>
      </c>
      <c r="K212" s="62">
        <f t="shared" ref="K212" si="32">C212-E212</f>
        <v>1019132</v>
      </c>
      <c r="L212" s="27">
        <f t="shared" si="27"/>
        <v>1019132</v>
      </c>
      <c r="M212" s="27">
        <f t="shared" si="28"/>
        <v>1019132</v>
      </c>
    </row>
    <row r="213" spans="1:13" ht="15.75" hidden="1" customHeight="1" outlineLevel="1">
      <c r="A213" s="44"/>
      <c r="B213" s="45" t="s">
        <v>28</v>
      </c>
      <c r="C213" s="46">
        <v>1515907</v>
      </c>
      <c r="D213" s="46">
        <v>0</v>
      </c>
      <c r="E213" s="46"/>
      <c r="F213" s="46">
        <v>11283255.869999999</v>
      </c>
      <c r="G213" s="37">
        <f t="shared" si="29"/>
        <v>0.13435013948682173</v>
      </c>
      <c r="H213" s="23">
        <f t="shared" si="25"/>
        <v>0</v>
      </c>
      <c r="I213" s="24">
        <f t="shared" si="25"/>
        <v>0</v>
      </c>
      <c r="J213" s="32" t="str" cm="1">
        <f t="array" ref="J213">IFERROR(_xlfn.IFS(B213="044 - BLEND TRADICION","BLEND",B213="113 - CAFÉ GOURMET","GOURMET",B213="114 - CAFÉ CONSUMO","CONSUMO",B213="112 - CAFÉ ORGANICO","GOURMET",B213="172 - CAFÉ COSECHA","ESPECIALES",B213="176 - CAFE DESCAFEINADO","GOURMET",B213="147 - CAPSULAS","CAPSULAS",B213="130 - GALLETAS CAFECITAS","DERIVADOS",B213="140 - MERENGUES","DERIVADOS",B213="100 - CAFÉ ESPECIAL","ESPECIALES",B213="141 - AREQUIPE","DERIVADOS",B213="142 - MERMELADA","DERIVADOS",B213="131 - GALLETAS AVENA","DERIVADOS",B213="160 - SOUVENIR","OTROS",B213="148 - CARAMELOS","DERIVADOS",B213="143 - CHOCOFFES","DERIVADOS",B213="162 - CONVENIOS Y DSC POS ","OTROS"),"OTROS")</f>
        <v>OTROS</v>
      </c>
      <c r="K213" s="62"/>
      <c r="L213" s="27">
        <f t="shared" si="27"/>
        <v>1515907</v>
      </c>
      <c r="M213" s="27">
        <f t="shared" si="28"/>
        <v>1515907</v>
      </c>
    </row>
    <row r="214" spans="1:13" ht="15.75" hidden="1" customHeight="1" outlineLevel="1">
      <c r="A214" s="44"/>
      <c r="B214" s="45" t="s">
        <v>29</v>
      </c>
      <c r="C214" s="46">
        <v>97920</v>
      </c>
      <c r="D214" s="46">
        <v>0</v>
      </c>
      <c r="E214" s="46"/>
      <c r="F214" s="46">
        <v>12790414.619999999</v>
      </c>
      <c r="G214" s="37">
        <f t="shared" si="29"/>
        <v>7.6557330555090328E-3</v>
      </c>
      <c r="H214" s="23">
        <f t="shared" si="25"/>
        <v>0</v>
      </c>
      <c r="I214" s="24">
        <f t="shared" si="25"/>
        <v>0</v>
      </c>
      <c r="J214" s="32" t="str" cm="1">
        <f t="array" ref="J214">IFERROR(_xlfn.IFS(B214="044 - BLEND TRADICION","BLEND",B214="113 - CAFÉ GOURMET","GOURMET",B214="114 - CAFÉ CONSUMO","CONSUMO",B214="112 - CAFÉ ORGANICO","GOURMET",B214="172 - CAFÉ COSECHA","ESPECIALES",B214="176 - CAFE DESCAFEINADO","GOURMET",B214="147 - CAPSULAS","CAPSULAS",B214="130 - GALLETAS CAFECITAS","DERIVADOS",B214="140 - MERENGUES","DERIVADOS",B214="100 - CAFÉ ESPECIAL","ESPECIALES",B214="141 - AREQUIPE","DERIVADOS",B214="142 - MERMELADA","DERIVADOS",B214="131 - GALLETAS AVENA","DERIVADOS",B214="160 - SOUVENIR","OTROS",B214="148 - CARAMELOS","DERIVADOS",B214="143 - CHOCOFFES","DERIVADOS",B214="162 - CONVENIOS Y DSC POS ","OTROS"),"OTROS")</f>
        <v>ESPECIALES</v>
      </c>
      <c r="K214" s="62"/>
      <c r="L214" s="27">
        <f t="shared" si="27"/>
        <v>97920</v>
      </c>
      <c r="M214" s="27">
        <f t="shared" si="28"/>
        <v>97920</v>
      </c>
    </row>
    <row r="215" spans="1:13" ht="15.75" hidden="1" customHeight="1" outlineLevel="1">
      <c r="A215" s="44"/>
      <c r="B215" s="45" t="s">
        <v>30</v>
      </c>
      <c r="C215" s="46">
        <v>0</v>
      </c>
      <c r="D215" s="46">
        <v>0</v>
      </c>
      <c r="E215" s="46"/>
      <c r="F215" s="46">
        <v>682536.26</v>
      </c>
      <c r="G215" s="37">
        <f t="shared" si="29"/>
        <v>0</v>
      </c>
      <c r="H215" s="23">
        <f t="shared" si="25"/>
        <v>0</v>
      </c>
      <c r="I215" s="24">
        <f t="shared" si="25"/>
        <v>0</v>
      </c>
      <c r="J215" s="32" t="str" cm="1">
        <f t="array" ref="J215">IFERROR(_xlfn.IFS(B215="044 - BLEND TRADICION","BLEND",B215="113 - CAFÉ GOURMET","GOURMET",B215="114 - CAFÉ CONSUMO","CONSUMO",B215="112 - CAFÉ ORGANICO","GOURMET",B215="172 - CAFÉ COSECHA","ESPECIALES",B215="176 - CAFE DESCAFEINADO","GOURMET",B215="147 - CAPSULAS","CAPSULAS",B215="130 - GALLETAS CAFECITAS","DERIVADOS",B215="140 - MERENGUES","DERIVADOS",B215="100 - CAFÉ ESPECIAL","ESPECIALES",B215="141 - AREQUIPE","DERIVADOS",B215="142 - MERMELADA","DERIVADOS",B215="131 - GALLETAS AVENA","DERIVADOS",B215="160 - SOUVENIR","OTROS",B215="148 - CARAMELOS","DERIVADOS",B215="143 - CHOCOFFES","DERIVADOS",B215="162 - CONVENIOS Y DSC POS ","OTROS"),"OTROS")</f>
        <v>GOURMET</v>
      </c>
      <c r="K215" s="62">
        <f t="shared" ref="K215" si="33">C215-E215</f>
        <v>0</v>
      </c>
      <c r="L215" s="27">
        <f t="shared" si="27"/>
        <v>0</v>
      </c>
      <c r="M215" s="27">
        <f t="shared" si="28"/>
        <v>0</v>
      </c>
    </row>
    <row r="216" spans="1:13" ht="15.75" hidden="1" customHeight="1" outlineLevel="1">
      <c r="A216" s="19" t="s">
        <v>58</v>
      </c>
      <c r="B216" s="40" t="s">
        <v>32</v>
      </c>
      <c r="C216" s="41">
        <f>SUM(C202:C215)</f>
        <v>19010456</v>
      </c>
      <c r="D216" s="41">
        <f>SUM(D202:D215)</f>
        <v>0</v>
      </c>
      <c r="E216" s="41">
        <f>SUM(E202:E215)</f>
        <v>0</v>
      </c>
      <c r="F216" s="41">
        <f>SUM(F202:F215)</f>
        <v>242185563.47000003</v>
      </c>
      <c r="G216" s="42">
        <f t="shared" si="29"/>
        <v>7.849541371343903E-2</v>
      </c>
      <c r="H216" s="43">
        <f t="shared" si="25"/>
        <v>0</v>
      </c>
      <c r="I216" s="24">
        <f t="shared" si="25"/>
        <v>0</v>
      </c>
      <c r="J216" s="32" t="str" cm="1">
        <f t="array" ref="J216">IFERROR(_xlfn.IFS(B216="044 - BLEND TRADICION","BLEND",B216="113 - CAFÉ GOURMET","GOURMET",B216="114 - CAFÉ CONSUMO","CONSUMO",B216="112 - CAFÉ ORGANICO","GOURMET",B216="172 - CAFÉ COSECHA","ESPECIALES",B216="176 - CAFE DESCAFEINADO","GOURMET",B216="147 - CAPSULAS","CAPSULAS",B216="130 - GALLETAS CAFECITAS","DERIVADOS",B216="140 - MERENGUES","DERIVADOS",B216="100 - CAFÉ ESPECIAL","ESPECIALES",B216="141 - AREQUIPE","DERIVADOS",B216="142 - MERMELADA","DERIVADOS",B216="131 - GALLETAS AVENA","DERIVADOS",B216="160 - SOUVENIR","OTROS",B216="148 - CARAMELOS","DERIVADOS",B216="143 - CHOCOFFES","DERIVADOS",B216="162 - CONVENIOS Y DSC POS ","OTROS"),"OTROS")</f>
        <v>OTROS</v>
      </c>
      <c r="L216" s="27">
        <f t="shared" si="27"/>
        <v>19010456</v>
      </c>
      <c r="M216" s="27">
        <f t="shared" si="28"/>
        <v>19010456</v>
      </c>
    </row>
    <row r="217" spans="1:13" ht="16.5" collapsed="1">
      <c r="A217" s="28" t="s">
        <v>59</v>
      </c>
      <c r="B217" s="29" t="s">
        <v>17</v>
      </c>
      <c r="C217" s="30">
        <f>+C231</f>
        <v>48853867</v>
      </c>
      <c r="D217" s="30">
        <f>+D231</f>
        <v>0</v>
      </c>
      <c r="E217" s="30">
        <f>+E231</f>
        <v>0</v>
      </c>
      <c r="F217" s="30">
        <f>+F231</f>
        <v>278548044.25999999</v>
      </c>
      <c r="G217" s="31">
        <f t="shared" si="29"/>
        <v>0.17538757857656767</v>
      </c>
      <c r="H217" s="23">
        <f t="shared" si="25"/>
        <v>0</v>
      </c>
      <c r="I217" s="24">
        <f t="shared" si="25"/>
        <v>0</v>
      </c>
      <c r="J217" s="32" t="str" cm="1">
        <f t="array" ref="J217">IFERROR(_xlfn.IFS(B217="044 - BLEND TRADICION","BLEND",B217="113 - CAFÉ GOURMET","GOURMET",B217="114 - CAFÉ CONSUMO","CONSUMO",B217="112 - CAFÉ ORGANICO","GOURMET",B217="172 - CAFÉ COSECHA","ESPECIALES",B217="176 - CAFE DESCAFEINADO","GOURMET",B217="147 - CAPSULAS","CAPSULAS",B217="130 - GALLETAS CAFECITAS","DERIVADOS",B217="140 - MERENGUES","DERIVADOS",B217="100 - CAFÉ ESPECIAL","ESPECIALES",B217="141 - AREQUIPE","DERIVADOS",B217="142 - MERMELADA","DERIVADOS",B217="131 - GALLETAS AVENA","DERIVADOS",B217="160 - SOUVENIR","OTROS",B217="148 - CARAMELOS","DERIVADOS",B217="143 - CHOCOFFES","DERIVADOS",B217="162 - CONVENIOS Y DSC POS ","OTROS"),"OTROS")</f>
        <v>OTROS</v>
      </c>
      <c r="K217" s="6"/>
      <c r="L217" s="27">
        <f t="shared" si="27"/>
        <v>48853867</v>
      </c>
      <c r="M217" s="27">
        <f t="shared" si="28"/>
        <v>48853867</v>
      </c>
    </row>
    <row r="218" spans="1:13" ht="15.75" hidden="1" customHeight="1" outlineLevel="2">
      <c r="A218" s="33"/>
      <c r="B218" s="39" t="s">
        <v>18</v>
      </c>
      <c r="C218" s="36">
        <v>2347200</v>
      </c>
      <c r="D218" s="36">
        <v>0</v>
      </c>
      <c r="E218" s="36">
        <v>0</v>
      </c>
      <c r="F218" s="35">
        <v>12548768.83</v>
      </c>
      <c r="G218" s="37">
        <f t="shared" si="29"/>
        <v>0.18704623790571492</v>
      </c>
      <c r="H218" s="23">
        <f t="shared" si="25"/>
        <v>0</v>
      </c>
      <c r="I218" s="24">
        <f t="shared" si="25"/>
        <v>0</v>
      </c>
      <c r="J218" s="32" t="str" cm="1">
        <f t="array" ref="J218">IFERROR(_xlfn.IFS(B218="044 - BLEND TRADICION","BLEND",B218="113 - CAFÉ GOURMET","GOURMET",B218="114 - CAFÉ CONSUMO","CONSUMO",B218="112 - CAFÉ ORGANICO","GOURMET",B218="172 - CAFÉ COSECHA","ESPECIALES",B218="176 - CAFE DESCAFEINADO","GOURMET",B218="147 - CAPSULAS","CAPSULAS",B218="130 - GALLETAS CAFECITAS","DERIVADOS",B218="140 - MERENGUES","DERIVADOS",B218="100 - CAFÉ ESPECIAL","ESPECIALES",B218="141 - AREQUIPE","DERIVADOS",B218="142 - MERMELADA","DERIVADOS",B218="131 - GALLETAS AVENA","DERIVADOS",B218="160 - SOUVENIR","OTROS",B218="148 - CARAMELOS","DERIVADOS",B218="143 - CHOCOFFES","DERIVADOS",B218="162 - CONVENIOS Y DSC POS ","OTROS"),"OTROS")</f>
        <v>BLEND</v>
      </c>
      <c r="K218" s="6"/>
      <c r="L218" s="27">
        <f t="shared" si="27"/>
        <v>2347200</v>
      </c>
      <c r="M218" s="27">
        <f t="shared" si="28"/>
        <v>2347200</v>
      </c>
    </row>
    <row r="219" spans="1:13" ht="15.75" hidden="1" customHeight="1" outlineLevel="2">
      <c r="A219" s="33"/>
      <c r="B219" s="39" t="s">
        <v>19</v>
      </c>
      <c r="C219" s="36">
        <v>1625868</v>
      </c>
      <c r="D219" s="36">
        <v>0</v>
      </c>
      <c r="E219" s="36"/>
      <c r="F219" s="35">
        <v>15024939.119999999</v>
      </c>
      <c r="G219" s="37">
        <f t="shared" si="29"/>
        <v>0.10821128704846293</v>
      </c>
      <c r="H219" s="23">
        <f t="shared" si="25"/>
        <v>0</v>
      </c>
      <c r="I219" s="24">
        <f t="shared" si="25"/>
        <v>0</v>
      </c>
      <c r="J219" s="32" t="str" cm="1">
        <f t="array" ref="J219">IFERROR(_xlfn.IFS(B219="044 - BLEND TRADICION","BLEND",B219="113 - CAFÉ GOURMET","GOURMET",B219="114 - CAFÉ CONSUMO","CONSUMO",B219="112 - CAFÉ ORGANICO","GOURMET",B219="172 - CAFÉ COSECHA","ESPECIALES",B219="176 - CAFE DESCAFEINADO","GOURMET",B219="147 - CAPSULAS","CAPSULAS",B219="130 - GALLETAS CAFECITAS","DERIVADOS",B219="140 - MERENGUES","DERIVADOS",B219="100 - CAFÉ ESPECIAL","ESPECIALES",B219="141 - AREQUIPE","DERIVADOS",B219="142 - MERMELADA","DERIVADOS",B219="131 - GALLETAS AVENA","DERIVADOS",B219="160 - SOUVENIR","OTROS",B219="148 - CARAMELOS","DERIVADOS",B219="143 - CHOCOFFES","DERIVADOS",B219="162 - CONVENIOS Y DSC POS ","OTROS"),"OTROS")</f>
        <v>ESPECIALES</v>
      </c>
      <c r="K219" s="6"/>
      <c r="L219" s="27">
        <f t="shared" si="27"/>
        <v>1625868</v>
      </c>
      <c r="M219" s="27">
        <f t="shared" si="28"/>
        <v>1625868</v>
      </c>
    </row>
    <row r="220" spans="1:13" ht="15.75" hidden="1" customHeight="1" outlineLevel="2">
      <c r="A220" s="38"/>
      <c r="B220" s="39" t="s">
        <v>20</v>
      </c>
      <c r="C220" s="36">
        <v>3071040</v>
      </c>
      <c r="D220" s="36">
        <v>0</v>
      </c>
      <c r="E220" s="36">
        <v>0</v>
      </c>
      <c r="F220" s="36">
        <v>16967408.859999999</v>
      </c>
      <c r="G220" s="37">
        <f t="shared" si="29"/>
        <v>0.18099640465668604</v>
      </c>
      <c r="H220" s="23">
        <f t="shared" si="25"/>
        <v>0</v>
      </c>
      <c r="I220" s="24">
        <f t="shared" si="25"/>
        <v>0</v>
      </c>
      <c r="J220" s="32" t="str" cm="1">
        <f t="array" ref="J220">IFERROR(_xlfn.IFS(B220="044 - BLEND TRADICION","BLEND",B220="113 - CAFÉ GOURMET","GOURMET",B220="114 - CAFÉ CONSUMO","CONSUMO",B220="112 - CAFÉ ORGANICO","GOURMET",B220="172 - CAFÉ COSECHA","ESPECIALES",B220="176 - CAFE DESCAFEINADO","GOURMET",B220="147 - CAPSULAS","CAPSULAS",B220="130 - GALLETAS CAFECITAS","DERIVADOS",B220="140 - MERENGUES","DERIVADOS",B220="100 - CAFÉ ESPECIAL","ESPECIALES",B220="141 - AREQUIPE","DERIVADOS",B220="142 - MERMELADA","DERIVADOS",B220="131 - GALLETAS AVENA","DERIVADOS",B220="160 - SOUVENIR","OTROS",B220="148 - CARAMELOS","DERIVADOS",B220="143 - CHOCOFFES","DERIVADOS",B220="162 - CONVENIOS Y DSC POS ","OTROS"),"OTROS")</f>
        <v>GOURMET</v>
      </c>
      <c r="K220" s="6"/>
      <c r="L220" s="27">
        <f t="shared" si="27"/>
        <v>3071040</v>
      </c>
      <c r="M220" s="27">
        <f t="shared" si="28"/>
        <v>3071040</v>
      </c>
    </row>
    <row r="221" spans="1:13" ht="15.75" hidden="1" customHeight="1" outlineLevel="2">
      <c r="A221" s="38"/>
      <c r="B221" s="39" t="s">
        <v>21</v>
      </c>
      <c r="C221" s="36">
        <v>31365930</v>
      </c>
      <c r="D221" s="36">
        <v>0</v>
      </c>
      <c r="E221" s="36">
        <v>0</v>
      </c>
      <c r="F221" s="36">
        <v>189138509.15000001</v>
      </c>
      <c r="G221" s="37">
        <f t="shared" si="29"/>
        <v>0.16583576840570649</v>
      </c>
      <c r="H221" s="23">
        <f t="shared" si="25"/>
        <v>0</v>
      </c>
      <c r="I221" s="24">
        <f t="shared" si="25"/>
        <v>0</v>
      </c>
      <c r="J221" s="32" t="str" cm="1">
        <f t="array" ref="J221">IFERROR(_xlfn.IFS(B221="044 - BLEND TRADICION","BLEND",B221="113 - CAFÉ GOURMET","GOURMET",B221="114 - CAFÉ CONSUMO","CONSUMO",B221="112 - CAFÉ ORGANICO","GOURMET",B221="172 - CAFÉ COSECHA","ESPECIALES",B221="176 - CAFE DESCAFEINADO","GOURMET",B221="147 - CAPSULAS","CAPSULAS",B221="130 - GALLETAS CAFECITAS","DERIVADOS",B221="140 - MERENGUES","DERIVADOS",B221="100 - CAFÉ ESPECIAL","ESPECIALES",B221="141 - AREQUIPE","DERIVADOS",B221="142 - MERMELADA","DERIVADOS",B221="131 - GALLETAS AVENA","DERIVADOS",B221="160 - SOUVENIR","OTROS",B221="148 - CARAMELOS","DERIVADOS",B221="143 - CHOCOFFES","DERIVADOS",B221="162 - CONVENIOS Y DSC POS ","OTROS"),"OTROS")</f>
        <v>GOURMET</v>
      </c>
      <c r="K221" s="6"/>
      <c r="L221" s="27">
        <f t="shared" si="27"/>
        <v>31365930</v>
      </c>
      <c r="M221" s="27">
        <f t="shared" si="28"/>
        <v>31365930</v>
      </c>
    </row>
    <row r="222" spans="1:13" ht="15.75" hidden="1" customHeight="1" outlineLevel="2">
      <c r="A222" s="38"/>
      <c r="B222" s="39" t="s">
        <v>38</v>
      </c>
      <c r="C222" s="36">
        <v>0</v>
      </c>
      <c r="D222" s="36">
        <v>0</v>
      </c>
      <c r="E222" s="36">
        <v>0</v>
      </c>
      <c r="F222" s="36">
        <v>1194829.97</v>
      </c>
      <c r="G222" s="37">
        <f t="shared" si="29"/>
        <v>0</v>
      </c>
      <c r="H222" s="23">
        <f t="shared" si="25"/>
        <v>0</v>
      </c>
      <c r="I222" s="24">
        <f t="shared" si="25"/>
        <v>0</v>
      </c>
      <c r="J222" s="32" t="str" cm="1">
        <f t="array" ref="J222">IFERROR(_xlfn.IFS(B222="044 - BLEND TRADICION","BLEND",B222="113 - CAFÉ GOURMET","GOURMET",B222="114 - CAFÉ CONSUMO","CONSUMO",B222="112 - CAFÉ ORGANICO","GOURMET",B222="172 - CAFÉ COSECHA","ESPECIALES",B222="176 - CAFE DESCAFEINADO","GOURMET",B222="147 - CAPSULAS","CAPSULAS",B222="130 - GALLETAS CAFECITAS","DERIVADOS",B222="140 - MERENGUES","DERIVADOS",B222="100 - CAFÉ ESPECIAL","ESPECIALES",B222="141 - AREQUIPE","DERIVADOS",B222="142 - MERMELADA","DERIVADOS",B222="131 - GALLETAS AVENA","DERIVADOS",B222="160 - SOUVENIR","OTROS",B222="148 - CARAMELOS","DERIVADOS",B222="143 - CHOCOFFES","DERIVADOS",B222="162 - CONVENIOS Y DSC POS ","OTROS"),"OTROS")</f>
        <v>CONSUMO</v>
      </c>
      <c r="K222" s="6"/>
      <c r="L222" s="27">
        <f t="shared" si="27"/>
        <v>0</v>
      </c>
      <c r="M222" s="27">
        <f t="shared" si="28"/>
        <v>0</v>
      </c>
    </row>
    <row r="223" spans="1:13" ht="15.75" hidden="1" customHeight="1" outlineLevel="2">
      <c r="A223" s="38"/>
      <c r="B223" s="39" t="s">
        <v>22</v>
      </c>
      <c r="C223" s="36">
        <v>1052597</v>
      </c>
      <c r="D223" s="36">
        <v>0</v>
      </c>
      <c r="E223" s="36"/>
      <c r="F223" s="36">
        <v>4066253.4</v>
      </c>
      <c r="G223" s="37">
        <f t="shared" si="29"/>
        <v>0.258861634151969</v>
      </c>
      <c r="H223" s="23">
        <f t="shared" si="25"/>
        <v>0</v>
      </c>
      <c r="I223" s="24">
        <f t="shared" si="25"/>
        <v>0</v>
      </c>
      <c r="J223" s="32" t="str" cm="1">
        <f t="array" ref="J223">IFERROR(_xlfn.IFS(B223="044 - BLEND TRADICION","BLEND",B223="113 - CAFÉ GOURMET","GOURMET",B223="114 - CAFÉ CONSUMO","CONSUMO",B223="112 - CAFÉ ORGANICO","GOURMET",B223="172 - CAFÉ COSECHA","ESPECIALES",B223="176 - CAFE DESCAFEINADO","GOURMET",B223="147 - CAPSULAS","CAPSULAS",B223="130 - GALLETAS CAFECITAS","DERIVADOS",B223="140 - MERENGUES","DERIVADOS",B223="100 - CAFÉ ESPECIAL","ESPECIALES",B223="141 - AREQUIPE","DERIVADOS",B223="142 - MERMELADA","DERIVADOS",B223="131 - GALLETAS AVENA","DERIVADOS",B223="160 - SOUVENIR","OTROS",B223="148 - CARAMELOS","DERIVADOS",B223="143 - CHOCOFFES","DERIVADOS",B223="162 - CONVENIOS Y DSC POS ","OTROS"),"OTROS")</f>
        <v>DERIVADOS</v>
      </c>
      <c r="K223" s="6"/>
      <c r="L223" s="27">
        <f t="shared" si="27"/>
        <v>1052597</v>
      </c>
      <c r="M223" s="27">
        <f t="shared" si="28"/>
        <v>1052597</v>
      </c>
    </row>
    <row r="224" spans="1:13" ht="15.75" hidden="1" customHeight="1" outlineLevel="2">
      <c r="A224" s="38"/>
      <c r="B224" s="39" t="s">
        <v>24</v>
      </c>
      <c r="C224" s="36">
        <v>51477</v>
      </c>
      <c r="D224" s="36">
        <v>0</v>
      </c>
      <c r="E224" s="36"/>
      <c r="F224" s="36">
        <v>552955.56000000006</v>
      </c>
      <c r="G224" s="37">
        <f t="shared" si="29"/>
        <v>9.3094280487929254E-2</v>
      </c>
      <c r="H224" s="23">
        <f t="shared" si="25"/>
        <v>0</v>
      </c>
      <c r="I224" s="24">
        <f t="shared" si="25"/>
        <v>0</v>
      </c>
      <c r="J224" s="32" t="str" cm="1">
        <f t="array" ref="J224">IFERROR(_xlfn.IFS(B224="044 - BLEND TRADICION","BLEND",B224="113 - CAFÉ GOURMET","GOURMET",B224="114 - CAFÉ CONSUMO","CONSUMO",B224="112 - CAFÉ ORGANICO","GOURMET",B224="172 - CAFÉ COSECHA","ESPECIALES",B224="176 - CAFE DESCAFEINADO","GOURMET",B224="147 - CAPSULAS","CAPSULAS",B224="130 - GALLETAS CAFECITAS","DERIVADOS",B224="140 - MERENGUES","DERIVADOS",B224="100 - CAFÉ ESPECIAL","ESPECIALES",B224="141 - AREQUIPE","DERIVADOS",B224="142 - MERMELADA","DERIVADOS",B224="131 - GALLETAS AVENA","DERIVADOS",B224="160 - SOUVENIR","OTROS",B224="148 - CARAMELOS","DERIVADOS",B224="143 - CHOCOFFES","DERIVADOS",B224="162 - CONVENIOS Y DSC POS ","OTROS"),"OTROS")</f>
        <v>DERIVADOS</v>
      </c>
      <c r="K224" s="6"/>
      <c r="L224" s="27">
        <f t="shared" si="27"/>
        <v>51477</v>
      </c>
      <c r="M224" s="27">
        <f t="shared" si="28"/>
        <v>51477</v>
      </c>
    </row>
    <row r="225" spans="1:13" ht="15.75" hidden="1" customHeight="1" outlineLevel="2">
      <c r="A225" s="38"/>
      <c r="B225" s="39" t="s">
        <v>25</v>
      </c>
      <c r="C225" s="36">
        <v>263156</v>
      </c>
      <c r="D225" s="36">
        <v>0</v>
      </c>
      <c r="E225" s="36"/>
      <c r="F225" s="36">
        <v>2361213.7599999998</v>
      </c>
      <c r="G225" s="37">
        <f t="shared" si="29"/>
        <v>0.11144946063671932</v>
      </c>
      <c r="H225" s="23">
        <f t="shared" si="25"/>
        <v>0</v>
      </c>
      <c r="I225" s="24">
        <f t="shared" si="25"/>
        <v>0</v>
      </c>
      <c r="J225" s="32" t="str" cm="1">
        <f t="array" ref="J225">IFERROR(_xlfn.IFS(B225="044 - BLEND TRADICION","BLEND",B225="113 - CAFÉ GOURMET","GOURMET",B225="114 - CAFÉ CONSUMO","CONSUMO",B225="112 - CAFÉ ORGANICO","GOURMET",B225="172 - CAFÉ COSECHA","ESPECIALES",B225="176 - CAFE DESCAFEINADO","GOURMET",B225="147 - CAPSULAS","CAPSULAS",B225="130 - GALLETAS CAFECITAS","DERIVADOS",B225="140 - MERENGUES","DERIVADOS",B225="100 - CAFÉ ESPECIAL","ESPECIALES",B225="141 - AREQUIPE","DERIVADOS",B225="142 - MERMELADA","DERIVADOS",B225="131 - GALLETAS AVENA","DERIVADOS",B225="160 - SOUVENIR","OTROS",B225="148 - CARAMELOS","DERIVADOS",B225="143 - CHOCOFFES","DERIVADOS",B225="162 - CONVENIOS Y DSC POS ","OTROS"),"OTROS")</f>
        <v>DERIVADOS</v>
      </c>
      <c r="K225" s="6"/>
      <c r="L225" s="27">
        <f t="shared" si="27"/>
        <v>263156</v>
      </c>
      <c r="M225" s="27">
        <f t="shared" si="28"/>
        <v>263156</v>
      </c>
    </row>
    <row r="226" spans="1:13" ht="15.75" hidden="1" customHeight="1" outlineLevel="2">
      <c r="A226" s="38"/>
      <c r="B226" s="39" t="s">
        <v>26</v>
      </c>
      <c r="C226" s="36">
        <v>1548243</v>
      </c>
      <c r="D226" s="36">
        <v>0</v>
      </c>
      <c r="E226" s="36"/>
      <c r="F226" s="36">
        <v>4996182.5999999996</v>
      </c>
      <c r="G226" s="37">
        <f t="shared" si="29"/>
        <v>0.30988519114573598</v>
      </c>
      <c r="H226" s="23">
        <f t="shared" si="25"/>
        <v>0</v>
      </c>
      <c r="I226" s="24">
        <f t="shared" si="25"/>
        <v>0</v>
      </c>
      <c r="J226" s="32" t="str" cm="1">
        <f t="array" ref="J226">IFERROR(_xlfn.IFS(B226="044 - BLEND TRADICION","BLEND",B226="113 - CAFÉ GOURMET","GOURMET",B226="114 - CAFÉ CONSUMO","CONSUMO",B226="112 - CAFÉ ORGANICO","GOURMET",B226="172 - CAFÉ COSECHA","ESPECIALES",B226="176 - CAFE DESCAFEINADO","GOURMET",B226="147 - CAPSULAS","CAPSULAS",B226="130 - GALLETAS CAFECITAS","DERIVADOS",B226="140 - MERENGUES","DERIVADOS",B226="100 - CAFÉ ESPECIAL","ESPECIALES",B226="141 - AREQUIPE","DERIVADOS",B226="142 - MERMELADA","DERIVADOS",B226="131 - GALLETAS AVENA","DERIVADOS",B226="160 - SOUVENIR","OTROS",B226="148 - CARAMELOS","DERIVADOS",B226="143 - CHOCOFFES","DERIVADOS",B226="162 - CONVENIOS Y DSC POS ","OTROS"),"OTROS")</f>
        <v>CAPSULAS</v>
      </c>
      <c r="K226" s="6"/>
      <c r="L226" s="27">
        <f t="shared" si="27"/>
        <v>1548243</v>
      </c>
      <c r="M226" s="27">
        <f t="shared" si="28"/>
        <v>1548243</v>
      </c>
    </row>
    <row r="227" spans="1:13" ht="15.75" hidden="1" customHeight="1" outlineLevel="2">
      <c r="A227" s="38"/>
      <c r="B227" s="39" t="s">
        <v>27</v>
      </c>
      <c r="C227" s="36">
        <v>0</v>
      </c>
      <c r="D227" s="36">
        <v>0</v>
      </c>
      <c r="E227" s="36">
        <v>0</v>
      </c>
      <c r="F227" s="36">
        <v>1098154.5900000001</v>
      </c>
      <c r="G227" s="37">
        <f t="shared" si="29"/>
        <v>0</v>
      </c>
      <c r="H227" s="23">
        <f t="shared" si="25"/>
        <v>0</v>
      </c>
      <c r="I227" s="24">
        <f t="shared" si="25"/>
        <v>0</v>
      </c>
      <c r="J227" s="32" t="str" cm="1">
        <f t="array" ref="J227">IFERROR(_xlfn.IFS(B227="044 - BLEND TRADICION","BLEND",B227="113 - CAFÉ GOURMET","GOURMET",B227="114 - CAFÉ CONSUMO","CONSUMO",B227="112 - CAFÉ ORGANICO","GOURMET",B227="172 - CAFÉ COSECHA","ESPECIALES",B227="176 - CAFE DESCAFEINADO","GOURMET",B227="147 - CAPSULAS","CAPSULAS",B227="130 - GALLETAS CAFECITAS","DERIVADOS",B227="140 - MERENGUES","DERIVADOS",B227="100 - CAFÉ ESPECIAL","ESPECIALES",B227="141 - AREQUIPE","DERIVADOS",B227="142 - MERMELADA","DERIVADOS",B227="131 - GALLETAS AVENA","DERIVADOS",B227="160 - SOUVENIR","OTROS",B227="148 - CARAMELOS","DERIVADOS",B227="143 - CHOCOFFES","DERIVADOS",B227="162 - CONVENIOS Y DSC POS ","OTROS"),"OTROS")</f>
        <v>DERIVADOS</v>
      </c>
      <c r="K227" s="6"/>
      <c r="L227" s="27">
        <f t="shared" si="27"/>
        <v>0</v>
      </c>
      <c r="M227" s="27">
        <f t="shared" si="28"/>
        <v>0</v>
      </c>
    </row>
    <row r="228" spans="1:13" ht="15.75" hidden="1" customHeight="1" outlineLevel="2">
      <c r="A228" s="38"/>
      <c r="B228" s="39" t="s">
        <v>28</v>
      </c>
      <c r="C228" s="36">
        <v>1653720</v>
      </c>
      <c r="D228" s="36">
        <v>0</v>
      </c>
      <c r="E228" s="36"/>
      <c r="F228" s="36">
        <v>4332933.07</v>
      </c>
      <c r="G228" s="37">
        <f t="shared" si="29"/>
        <v>0.38166294592683381</v>
      </c>
      <c r="H228" s="23">
        <f t="shared" si="25"/>
        <v>0</v>
      </c>
      <c r="I228" s="24">
        <f t="shared" si="25"/>
        <v>0</v>
      </c>
      <c r="J228" s="32" t="str" cm="1">
        <f t="array" ref="J228">IFERROR(_xlfn.IFS(B228="044 - BLEND TRADICION","BLEND",B228="113 - CAFÉ GOURMET","GOURMET",B228="114 - CAFÉ CONSUMO","CONSUMO",B228="112 - CAFÉ ORGANICO","GOURMET",B228="172 - CAFÉ COSECHA","ESPECIALES",B228="176 - CAFE DESCAFEINADO","GOURMET",B228="147 - CAPSULAS","CAPSULAS",B228="130 - GALLETAS CAFECITAS","DERIVADOS",B228="140 - MERENGUES","DERIVADOS",B228="100 - CAFÉ ESPECIAL","ESPECIALES",B228="141 - AREQUIPE","DERIVADOS",B228="142 - MERMELADA","DERIVADOS",B228="131 - GALLETAS AVENA","DERIVADOS",B228="160 - SOUVENIR","OTROS",B228="148 - CARAMELOS","DERIVADOS",B228="143 - CHOCOFFES","DERIVADOS",B228="162 - CONVENIOS Y DSC POS ","OTROS"),"OTROS")</f>
        <v>OTROS</v>
      </c>
      <c r="K228" s="6"/>
      <c r="L228" s="27">
        <f t="shared" si="27"/>
        <v>1653720</v>
      </c>
      <c r="M228" s="27">
        <f t="shared" si="28"/>
        <v>1653720</v>
      </c>
    </row>
    <row r="229" spans="1:13" ht="15.75" hidden="1" customHeight="1" outlineLevel="2">
      <c r="A229" s="38"/>
      <c r="B229" s="39" t="s">
        <v>29</v>
      </c>
      <c r="C229" s="36">
        <v>4735920</v>
      </c>
      <c r="D229" s="36">
        <v>0</v>
      </c>
      <c r="E229" s="36"/>
      <c r="F229" s="36">
        <v>19696186.350000001</v>
      </c>
      <c r="G229" s="37">
        <f t="shared" si="29"/>
        <v>0.24044857800606662</v>
      </c>
      <c r="H229" s="23">
        <f t="shared" si="25"/>
        <v>0</v>
      </c>
      <c r="I229" s="24">
        <f t="shared" si="25"/>
        <v>0</v>
      </c>
      <c r="J229" s="32" t="str" cm="1">
        <f t="array" ref="J229">IFERROR(_xlfn.IFS(B229="044 - BLEND TRADICION","BLEND",B229="113 - CAFÉ GOURMET","GOURMET",B229="114 - CAFÉ CONSUMO","CONSUMO",B229="112 - CAFÉ ORGANICO","GOURMET",B229="172 - CAFÉ COSECHA","ESPECIALES",B229="176 - CAFE DESCAFEINADO","GOURMET",B229="147 - CAPSULAS","CAPSULAS",B229="130 - GALLETAS CAFECITAS","DERIVADOS",B229="140 - MERENGUES","DERIVADOS",B229="100 - CAFÉ ESPECIAL","ESPECIALES",B229="141 - AREQUIPE","DERIVADOS",B229="142 - MERMELADA","DERIVADOS",B229="131 - GALLETAS AVENA","DERIVADOS",B229="160 - SOUVENIR","OTROS",B229="148 - CARAMELOS","DERIVADOS",B229="143 - CHOCOFFES","DERIVADOS",B229="162 - CONVENIOS Y DSC POS ","OTROS"),"OTROS")</f>
        <v>ESPECIALES</v>
      </c>
      <c r="K229" s="6"/>
      <c r="L229" s="27">
        <f t="shared" si="27"/>
        <v>4735920</v>
      </c>
      <c r="M229" s="27">
        <f t="shared" si="28"/>
        <v>4735920</v>
      </c>
    </row>
    <row r="230" spans="1:13" ht="15.75" hidden="1" customHeight="1" outlineLevel="2">
      <c r="A230" s="38"/>
      <c r="B230" s="39" t="s">
        <v>30</v>
      </c>
      <c r="C230" s="36">
        <v>1138716</v>
      </c>
      <c r="D230" s="36">
        <v>0</v>
      </c>
      <c r="E230" s="36"/>
      <c r="F230" s="36">
        <v>6569709</v>
      </c>
      <c r="G230" s="37">
        <f t="shared" si="29"/>
        <v>0.17332822504010451</v>
      </c>
      <c r="H230" s="23">
        <f t="shared" si="25"/>
        <v>0</v>
      </c>
      <c r="I230" s="24">
        <f t="shared" si="25"/>
        <v>0</v>
      </c>
      <c r="J230" s="32" t="str" cm="1">
        <f t="array" ref="J230">IFERROR(_xlfn.IFS(B230="044 - BLEND TRADICION","BLEND",B230="113 - CAFÉ GOURMET","GOURMET",B230="114 - CAFÉ CONSUMO","CONSUMO",B230="112 - CAFÉ ORGANICO","GOURMET",B230="172 - CAFÉ COSECHA","ESPECIALES",B230="176 - CAFE DESCAFEINADO","GOURMET",B230="147 - CAPSULAS","CAPSULAS",B230="130 - GALLETAS CAFECITAS","DERIVADOS",B230="140 - MERENGUES","DERIVADOS",B230="100 - CAFÉ ESPECIAL","ESPECIALES",B230="141 - AREQUIPE","DERIVADOS",B230="142 - MERMELADA","DERIVADOS",B230="131 - GALLETAS AVENA","DERIVADOS",B230="160 - SOUVENIR","OTROS",B230="148 - CARAMELOS","DERIVADOS",B230="143 - CHOCOFFES","DERIVADOS",B230="162 - CONVENIOS Y DSC POS ","OTROS"),"OTROS")</f>
        <v>GOURMET</v>
      </c>
      <c r="K230" s="6"/>
      <c r="L230" s="27">
        <f t="shared" si="27"/>
        <v>1138716</v>
      </c>
      <c r="M230" s="27">
        <f t="shared" si="28"/>
        <v>1138716</v>
      </c>
    </row>
    <row r="231" spans="1:13" ht="15.75" hidden="1" customHeight="1" outlineLevel="2">
      <c r="A231" s="19" t="s">
        <v>60</v>
      </c>
      <c r="B231" s="56" t="s">
        <v>32</v>
      </c>
      <c r="C231" s="54">
        <f>SUM(C218:C230)</f>
        <v>48853867</v>
      </c>
      <c r="D231" s="54">
        <f>SUM(D218:D230)</f>
        <v>0</v>
      </c>
      <c r="E231" s="54">
        <f>SUM(E218:E230)</f>
        <v>0</v>
      </c>
      <c r="F231" s="58">
        <f>SUM(F218:F230)</f>
        <v>278548044.25999999</v>
      </c>
      <c r="G231" s="55">
        <f t="shared" si="29"/>
        <v>0.17538757857656767</v>
      </c>
      <c r="H231" s="23">
        <f t="shared" si="25"/>
        <v>0</v>
      </c>
      <c r="I231" s="24">
        <f t="shared" si="25"/>
        <v>0</v>
      </c>
      <c r="J231" s="32" t="str" cm="1">
        <f t="array" ref="J231">IFERROR(_xlfn.IFS(B231="044 - BLEND TRADICION","BLEND",B231="113 - CAFÉ GOURMET","GOURMET",B231="114 - CAFÉ CONSUMO","CONSUMO",B231="112 - CAFÉ ORGANICO","GOURMET",B231="172 - CAFÉ COSECHA","ESPECIALES",B231="176 - CAFE DESCAFEINADO","GOURMET",B231="147 - CAPSULAS","CAPSULAS",B231="130 - GALLETAS CAFECITAS","DERIVADOS",B231="140 - MERENGUES","DERIVADOS",B231="100 - CAFÉ ESPECIAL","ESPECIALES",B231="141 - AREQUIPE","DERIVADOS",B231="142 - MERMELADA","DERIVADOS",B231="131 - GALLETAS AVENA","DERIVADOS",B231="160 - SOUVENIR","OTROS",B231="148 - CARAMELOS","DERIVADOS",B231="143 - CHOCOFFES","DERIVADOS",B231="162 - CONVENIOS Y DSC POS ","OTROS"),"OTROS")</f>
        <v>OTROS</v>
      </c>
      <c r="K231" s="6"/>
      <c r="L231" s="27">
        <f t="shared" si="27"/>
        <v>48853867</v>
      </c>
      <c r="M231" s="27">
        <f t="shared" si="28"/>
        <v>48853867</v>
      </c>
    </row>
    <row r="232" spans="1:13" ht="16.5" collapsed="1">
      <c r="A232" s="28" t="s">
        <v>61</v>
      </c>
      <c r="B232" s="29" t="s">
        <v>17</v>
      </c>
      <c r="C232" s="30">
        <f>+C235+C242+C246</f>
        <v>15756027</v>
      </c>
      <c r="D232" s="30"/>
      <c r="E232" s="30">
        <f>+E235+E242+E246</f>
        <v>0</v>
      </c>
      <c r="F232" s="30">
        <f>+F235+F242+F246</f>
        <v>468781637.60000002</v>
      </c>
      <c r="G232" s="31">
        <f t="shared" si="29"/>
        <v>3.3610589102135942E-2</v>
      </c>
      <c r="H232" s="23">
        <f t="shared" si="25"/>
        <v>0</v>
      </c>
      <c r="I232" s="24">
        <f t="shared" si="25"/>
        <v>0</v>
      </c>
      <c r="J232" s="32" t="str" cm="1">
        <f t="array" ref="J232">IFERROR(_xlfn.IFS(B232="044 - BLEND TRADICION","BLEND",B232="113 - CAFÉ GOURMET","GOURMET",B232="114 - CAFÉ CONSUMO","CONSUMO",B232="112 - CAFÉ ORGANICO","GOURMET",B232="172 - CAFÉ COSECHA","ESPECIALES",B232="176 - CAFE DESCAFEINADO","GOURMET",B232="147 - CAPSULAS","CAPSULAS",B232="130 - GALLETAS CAFECITAS","DERIVADOS",B232="140 - MERENGUES","DERIVADOS",B232="100 - CAFÉ ESPECIAL","ESPECIALES",B232="141 - AREQUIPE","DERIVADOS",B232="142 - MERMELADA","DERIVADOS",B232="131 - GALLETAS AVENA","DERIVADOS",B232="160 - SOUVENIR","OTROS",B232="148 - CARAMELOS","DERIVADOS",B232="143 - CHOCOFFES","DERIVADOS",B232="162 - CONVENIOS Y DSC POS ","OTROS"),"OTROS")</f>
        <v>OTROS</v>
      </c>
      <c r="K232" s="6"/>
      <c r="L232" s="27">
        <f t="shared" si="27"/>
        <v>15756027</v>
      </c>
      <c r="M232" s="27">
        <f t="shared" si="28"/>
        <v>15756027</v>
      </c>
    </row>
    <row r="233" spans="1:13" ht="15.75" hidden="1" customHeight="1" outlineLevel="1">
      <c r="A233" s="33"/>
      <c r="B233" s="45" t="s">
        <v>62</v>
      </c>
      <c r="C233" s="46">
        <v>0</v>
      </c>
      <c r="D233" s="46">
        <v>0</v>
      </c>
      <c r="E233" s="46">
        <v>0</v>
      </c>
      <c r="F233" s="46">
        <v>0</v>
      </c>
      <c r="G233" s="37" t="str">
        <f t="shared" si="29"/>
        <v>-</v>
      </c>
      <c r="H233" s="23">
        <f t="shared" si="25"/>
        <v>0</v>
      </c>
      <c r="I233" s="24">
        <f t="shared" si="25"/>
        <v>0</v>
      </c>
      <c r="J233" s="32" t="str" cm="1">
        <f t="array" ref="J233">IFERROR(_xlfn.IFS(B233="044 - BLEND TRADICION","BLEND",B233="113 - CAFÉ GOURMET","GOURMET",B233="114 - CAFÉ CONSUMO","CONSUMO",B233="112 - CAFÉ ORGANICO","GOURMET",B233="172 - CAFÉ COSECHA","ESPECIALES",B233="176 - CAFE DESCAFEINADO","GOURMET",B233="147 - CAPSULAS","CAPSULAS",B233="130 - GALLETAS CAFECITAS","DERIVADOS",B233="140 - MERENGUES","DERIVADOS",B233="100 - CAFÉ ESPECIAL","ESPECIALES",B233="141 - AREQUIPE","DERIVADOS",B233="142 - MERMELADA","DERIVADOS",B233="131 - GALLETAS AVENA","DERIVADOS",B233="160 - SOUVENIR","OTROS",B233="148 - CARAMELOS","DERIVADOS",B233="143 - CHOCOFFES","DERIVADOS",B233="162 - CONVENIOS Y DSC POS ","OTROS"),"OTROS")</f>
        <v>OTROS</v>
      </c>
      <c r="K233" s="6"/>
      <c r="L233" s="27">
        <f t="shared" si="27"/>
        <v>0</v>
      </c>
      <c r="M233" s="27">
        <f t="shared" si="28"/>
        <v>0</v>
      </c>
    </row>
    <row r="234" spans="1:13" ht="15.75" hidden="1" customHeight="1" outlineLevel="1">
      <c r="A234" s="33"/>
      <c r="B234" s="45" t="s">
        <v>39</v>
      </c>
      <c r="C234" s="46"/>
      <c r="D234" s="46">
        <v>0</v>
      </c>
      <c r="E234" s="46"/>
      <c r="F234" s="46">
        <v>0</v>
      </c>
      <c r="G234" s="37" t="str">
        <f t="shared" si="29"/>
        <v>-</v>
      </c>
      <c r="H234" s="23">
        <f t="shared" si="25"/>
        <v>0</v>
      </c>
      <c r="I234" s="24">
        <f t="shared" si="25"/>
        <v>0</v>
      </c>
      <c r="J234" s="32" t="str" cm="1">
        <f t="array" ref="J234">IFERROR(_xlfn.IFS(B234="044 - BLEND TRADICION","BLEND",B234="113 - CAFÉ GOURMET","GOURMET",B234="114 - CAFÉ CONSUMO","CONSUMO",B234="112 - CAFÉ ORGANICO","GOURMET",B234="172 - CAFÉ COSECHA","ESPECIALES",B234="176 - CAFE DESCAFEINADO","GOURMET",B234="147 - CAPSULAS","CAPSULAS",B234="130 - GALLETAS CAFECITAS","DERIVADOS",B234="140 - MERENGUES","DERIVADOS",B234="100 - CAFÉ ESPECIAL","ESPECIALES",B234="141 - AREQUIPE","DERIVADOS",B234="142 - MERMELADA","DERIVADOS",B234="131 - GALLETAS AVENA","DERIVADOS",B234="160 - SOUVENIR","OTROS",B234="148 - CARAMELOS","DERIVADOS",B234="143 - CHOCOFFES","DERIVADOS",B234="162 - CONVENIOS Y DSC POS ","OTROS"),"OTROS")</f>
        <v>OTROS</v>
      </c>
      <c r="K234" s="6"/>
      <c r="L234" s="27">
        <f t="shared" si="27"/>
        <v>0</v>
      </c>
      <c r="M234" s="27">
        <f t="shared" si="28"/>
        <v>0</v>
      </c>
    </row>
    <row r="235" spans="1:13" ht="15.75" hidden="1" customHeight="1" outlineLevel="1">
      <c r="A235" s="52" t="s">
        <v>63</v>
      </c>
      <c r="B235" s="20" t="s">
        <v>32</v>
      </c>
      <c r="C235" s="21">
        <f>SUM(C233:C234)</f>
        <v>0</v>
      </c>
      <c r="D235" s="21"/>
      <c r="E235" s="21">
        <v>0</v>
      </c>
      <c r="F235" s="21">
        <v>0</v>
      </c>
      <c r="G235" s="55" t="str">
        <f t="shared" si="29"/>
        <v>-</v>
      </c>
      <c r="H235" s="23">
        <f t="shared" si="25"/>
        <v>0</v>
      </c>
      <c r="I235" s="24">
        <f t="shared" si="25"/>
        <v>0</v>
      </c>
      <c r="J235" s="32" t="str" cm="1">
        <f t="array" ref="J235">IFERROR(_xlfn.IFS(B235="044 - BLEND TRADICION","BLEND",B235="113 - CAFÉ GOURMET","GOURMET",B235="114 - CAFÉ CONSUMO","CONSUMO",B235="112 - CAFÉ ORGANICO","GOURMET",B235="172 - CAFÉ COSECHA","ESPECIALES",B235="176 - CAFE DESCAFEINADO","GOURMET",B235="147 - CAPSULAS","CAPSULAS",B235="130 - GALLETAS CAFECITAS","DERIVADOS",B235="140 - MERENGUES","DERIVADOS",B235="100 - CAFÉ ESPECIAL","ESPECIALES",B235="141 - AREQUIPE","DERIVADOS",B235="142 - MERMELADA","DERIVADOS",B235="131 - GALLETAS AVENA","DERIVADOS",B235="160 - SOUVENIR","OTROS",B235="148 - CARAMELOS","DERIVADOS",B235="143 - CHOCOFFES","DERIVADOS",B235="162 - CONVENIOS Y DSC POS ","OTROS"),"OTROS")</f>
        <v>OTROS</v>
      </c>
      <c r="K235" s="6"/>
      <c r="L235" s="27">
        <f t="shared" si="27"/>
        <v>0</v>
      </c>
      <c r="M235" s="27">
        <f t="shared" si="28"/>
        <v>0</v>
      </c>
    </row>
    <row r="236" spans="1:13" ht="15.75" hidden="1" customHeight="1" outlineLevel="1">
      <c r="A236" s="33"/>
      <c r="B236" s="45" t="s">
        <v>18</v>
      </c>
      <c r="C236" s="151">
        <v>0</v>
      </c>
      <c r="D236" s="152">
        <v>0</v>
      </c>
      <c r="E236" s="36"/>
      <c r="F236" s="36">
        <v>413971911.05000001</v>
      </c>
      <c r="G236" s="37">
        <f t="shared" si="29"/>
        <v>0</v>
      </c>
      <c r="H236" s="23">
        <f t="shared" si="25"/>
        <v>0</v>
      </c>
      <c r="I236" s="24">
        <f t="shared" si="25"/>
        <v>0</v>
      </c>
      <c r="J236" s="32" t="str" cm="1">
        <f t="array" ref="J236">IFERROR(_xlfn.IFS(B236="044 - BLEND TRADICION","BLEND",B236="113 - CAFÉ GOURMET","GOURMET",B236="114 - CAFÉ CONSUMO","CONSUMO",B236="112 - CAFÉ ORGANICO","GOURMET",B236="172 - CAFÉ COSECHA","ESPECIALES",B236="176 - CAFE DESCAFEINADO","GOURMET",B236="147 - CAPSULAS","CAPSULAS",B236="130 - GALLETAS CAFECITAS","DERIVADOS",B236="140 - MERENGUES","DERIVADOS",B236="100 - CAFÉ ESPECIAL","ESPECIALES",B236="141 - AREQUIPE","DERIVADOS",B236="142 - MERMELADA","DERIVADOS",B236="131 - GALLETAS AVENA","DERIVADOS",B236="160 - SOUVENIR","OTROS",B236="148 - CARAMELOS","DERIVADOS",B236="143 - CHOCOFFES","DERIVADOS",B236="162 - CONVENIOS Y DSC POS ","OTROS"),"OTROS")</f>
        <v>BLEND</v>
      </c>
      <c r="K236" s="6"/>
      <c r="L236" s="27">
        <f t="shared" si="27"/>
        <v>0</v>
      </c>
      <c r="M236" s="27">
        <f t="shared" si="28"/>
        <v>0</v>
      </c>
    </row>
    <row r="237" spans="1:13" ht="15.75" hidden="1" customHeight="1" outlineLevel="1">
      <c r="A237" s="33"/>
      <c r="B237" s="45" t="s">
        <v>20</v>
      </c>
      <c r="C237" s="151">
        <v>2053771</v>
      </c>
      <c r="D237" s="152">
        <v>0</v>
      </c>
      <c r="E237" s="36"/>
      <c r="F237" s="36">
        <v>4542701.25</v>
      </c>
      <c r="G237" s="37">
        <f t="shared" si="29"/>
        <v>0.45210347037459264</v>
      </c>
      <c r="H237" s="23">
        <f t="shared" si="25"/>
        <v>0</v>
      </c>
      <c r="I237" s="24">
        <f t="shared" si="25"/>
        <v>0</v>
      </c>
      <c r="J237" s="32" t="str" cm="1">
        <f t="array" ref="J237">IFERROR(_xlfn.IFS(B237="044 - BLEND TRADICION","BLEND",B237="113 - CAFÉ GOURMET","GOURMET",B237="114 - CAFÉ CONSUMO","CONSUMO",B237="112 - CAFÉ ORGANICO","GOURMET",B237="172 - CAFÉ COSECHA","ESPECIALES",B237="176 - CAFE DESCAFEINADO","GOURMET",B237="147 - CAPSULAS","CAPSULAS",B237="130 - GALLETAS CAFECITAS","DERIVADOS",B237="140 - MERENGUES","DERIVADOS",B237="100 - CAFÉ ESPECIAL","ESPECIALES",B237="141 - AREQUIPE","DERIVADOS",B237="142 - MERMELADA","DERIVADOS",B237="131 - GALLETAS AVENA","DERIVADOS",B237="160 - SOUVENIR","OTROS",B237="148 - CARAMELOS","DERIVADOS",B237="143 - CHOCOFFES","DERIVADOS",B237="162 - CONVENIOS Y DSC POS ","OTROS"),"OTROS")</f>
        <v>GOURMET</v>
      </c>
      <c r="K237" s="6"/>
      <c r="L237" s="27">
        <f t="shared" si="27"/>
        <v>2053771</v>
      </c>
      <c r="M237" s="27">
        <f t="shared" si="28"/>
        <v>2053771</v>
      </c>
    </row>
    <row r="238" spans="1:13" ht="15.75" hidden="1" customHeight="1" outlineLevel="1">
      <c r="A238" s="33"/>
      <c r="B238" s="45" t="s">
        <v>21</v>
      </c>
      <c r="C238" s="151">
        <v>11134326</v>
      </c>
      <c r="D238" s="152">
        <v>0</v>
      </c>
      <c r="E238" s="36"/>
      <c r="F238" s="36">
        <v>25938878.649999999</v>
      </c>
      <c r="G238" s="37">
        <f t="shared" si="29"/>
        <v>0.42925240332237724</v>
      </c>
      <c r="H238" s="23">
        <f t="shared" si="25"/>
        <v>0</v>
      </c>
      <c r="I238" s="24">
        <f t="shared" si="25"/>
        <v>0</v>
      </c>
      <c r="J238" s="32" t="str" cm="1">
        <f t="array" ref="J238">IFERROR(_xlfn.IFS(B238="044 - BLEND TRADICION","BLEND",B238="113 - CAFÉ GOURMET","GOURMET",B238="114 - CAFÉ CONSUMO","CONSUMO",B238="112 - CAFÉ ORGANICO","GOURMET",B238="172 - CAFÉ COSECHA","ESPECIALES",B238="176 - CAFE DESCAFEINADO","GOURMET",B238="147 - CAPSULAS","CAPSULAS",B238="130 - GALLETAS CAFECITAS","DERIVADOS",B238="140 - MERENGUES","DERIVADOS",B238="100 - CAFÉ ESPECIAL","ESPECIALES",B238="141 - AREQUIPE","DERIVADOS",B238="142 - MERMELADA","DERIVADOS",B238="131 - GALLETAS AVENA","DERIVADOS",B238="160 - SOUVENIR","OTROS",B238="148 - CARAMELOS","DERIVADOS",B238="143 - CHOCOFFES","DERIVADOS",B238="162 - CONVENIOS Y DSC POS ","OTROS"),"OTROS")</f>
        <v>GOURMET</v>
      </c>
      <c r="K238" s="6"/>
      <c r="L238" s="27">
        <f t="shared" si="27"/>
        <v>11134326</v>
      </c>
      <c r="M238" s="27">
        <f t="shared" si="28"/>
        <v>11134326</v>
      </c>
    </row>
    <row r="239" spans="1:13" ht="15.75" hidden="1" customHeight="1" outlineLevel="1">
      <c r="A239" s="33"/>
      <c r="B239" s="45" t="s">
        <v>22</v>
      </c>
      <c r="C239" s="151">
        <v>0</v>
      </c>
      <c r="D239" s="152">
        <v>0</v>
      </c>
      <c r="E239" s="36"/>
      <c r="F239" s="36">
        <v>21964513.23</v>
      </c>
      <c r="G239" s="37">
        <f t="shared" si="29"/>
        <v>0</v>
      </c>
      <c r="H239" s="23">
        <f t="shared" si="25"/>
        <v>0</v>
      </c>
      <c r="I239" s="24">
        <f t="shared" si="25"/>
        <v>0</v>
      </c>
      <c r="J239" s="32" t="str" cm="1">
        <f t="array" ref="J239">IFERROR(_xlfn.IFS(B239="044 - BLEND TRADICION","BLEND",B239="113 - CAFÉ GOURMET","GOURMET",B239="114 - CAFÉ CONSUMO","CONSUMO",B239="112 - CAFÉ ORGANICO","GOURMET",B239="172 - CAFÉ COSECHA","ESPECIALES",B239="176 - CAFE DESCAFEINADO","GOURMET",B239="147 - CAPSULAS","CAPSULAS",B239="130 - GALLETAS CAFECITAS","DERIVADOS",B239="140 - MERENGUES","DERIVADOS",B239="100 - CAFÉ ESPECIAL","ESPECIALES",B239="141 - AREQUIPE","DERIVADOS",B239="142 - MERMELADA","DERIVADOS",B239="131 - GALLETAS AVENA","DERIVADOS",B239="160 - SOUVENIR","OTROS",B239="148 - CARAMELOS","DERIVADOS",B239="143 - CHOCOFFES","DERIVADOS",B239="162 - CONVENIOS Y DSC POS ","OTROS"),"OTROS")</f>
        <v>DERIVADOS</v>
      </c>
      <c r="K239" s="6"/>
      <c r="L239" s="27">
        <f t="shared" si="27"/>
        <v>0</v>
      </c>
      <c r="M239" s="27">
        <f t="shared" si="28"/>
        <v>0</v>
      </c>
    </row>
    <row r="240" spans="1:13" ht="15.75" hidden="1" customHeight="1" outlineLevel="1">
      <c r="A240" s="33"/>
      <c r="B240" s="45" t="s">
        <v>29</v>
      </c>
      <c r="C240" s="151">
        <v>0</v>
      </c>
      <c r="D240" s="152">
        <v>0</v>
      </c>
      <c r="E240" s="36">
        <v>0</v>
      </c>
      <c r="F240" s="36">
        <v>2363633.42</v>
      </c>
      <c r="G240" s="37">
        <f t="shared" si="29"/>
        <v>0</v>
      </c>
      <c r="H240" s="23">
        <f t="shared" si="25"/>
        <v>0</v>
      </c>
      <c r="I240" s="24">
        <f t="shared" si="25"/>
        <v>0</v>
      </c>
      <c r="J240" s="32" t="str" cm="1">
        <f t="array" ref="J240">IFERROR(_xlfn.IFS(B240="044 - BLEND TRADICION","BLEND",B240="113 - CAFÉ GOURMET","GOURMET",B240="114 - CAFÉ CONSUMO","CONSUMO",B240="112 - CAFÉ ORGANICO","GOURMET",B240="172 - CAFÉ COSECHA","ESPECIALES",B240="176 - CAFE DESCAFEINADO","GOURMET",B240="147 - CAPSULAS","CAPSULAS",B240="130 - GALLETAS CAFECITAS","DERIVADOS",B240="140 - MERENGUES","DERIVADOS",B240="100 - CAFÉ ESPECIAL","ESPECIALES",B240="141 - AREQUIPE","DERIVADOS",B240="142 - MERMELADA","DERIVADOS",B240="131 - GALLETAS AVENA","DERIVADOS",B240="160 - SOUVENIR","OTROS",B240="148 - CARAMELOS","DERIVADOS",B240="143 - CHOCOFFES","DERIVADOS",B240="162 - CONVENIOS Y DSC POS ","OTROS"),"OTROS")</f>
        <v>ESPECIALES</v>
      </c>
      <c r="K240" s="6"/>
      <c r="L240" s="27">
        <f t="shared" si="27"/>
        <v>0</v>
      </c>
      <c r="M240" s="27">
        <f t="shared" si="28"/>
        <v>0</v>
      </c>
    </row>
    <row r="241" spans="1:13" ht="15.75" hidden="1" customHeight="1" outlineLevel="1">
      <c r="A241" s="44"/>
      <c r="B241" s="45" t="s">
        <v>92</v>
      </c>
      <c r="C241" s="151">
        <v>2563680</v>
      </c>
      <c r="D241" s="152">
        <v>0</v>
      </c>
      <c r="E241" s="36">
        <v>0</v>
      </c>
      <c r="F241" s="36">
        <v>0</v>
      </c>
      <c r="G241" s="37" t="str">
        <f t="shared" si="29"/>
        <v>-</v>
      </c>
      <c r="H241" s="23">
        <f t="shared" si="25"/>
        <v>0</v>
      </c>
      <c r="I241" s="24">
        <f t="shared" si="25"/>
        <v>0</v>
      </c>
      <c r="J241" s="32" t="str" cm="1">
        <f t="array" ref="J241">IFERROR(_xlfn.IFS(B241="044 - BLEND TRADICION","BLEND",B241="113 - CAFÉ GOURMET","GOURMET",B241="114 - CAFÉ CONSUMO","CONSUMO",B241="112 - CAFÉ ORGANICO","GOURMET",B241="172 - CAFÉ COSECHA","ESPECIALES",B241="176 - CAFE DESCAFEINADO","GOURMET",B241="147 - CAPSULAS","CAPSULAS",B241="130 - GALLETAS CAFECITAS","DERIVADOS",B241="140 - MERENGUES","DERIVADOS",B241="100 - CAFÉ ESPECIAL","ESPECIALES",B241="141 - AREQUIPE","DERIVADOS",B241="142 - MERMELADA","DERIVADOS",B241="131 - GALLETAS AVENA","DERIVADOS",B241="160 - SOUVENIR","OTROS",B241="148 - CARAMELOS","DERIVADOS",B241="143 - CHOCOFFES","DERIVADOS",B241="162 - CONVENIOS Y DSC POS ","OTROS"),"OTROS")</f>
        <v>OTROS</v>
      </c>
      <c r="K241" s="6"/>
      <c r="L241" s="27">
        <f t="shared" si="27"/>
        <v>2563680</v>
      </c>
      <c r="M241" s="27">
        <f t="shared" si="28"/>
        <v>2563680</v>
      </c>
    </row>
    <row r="242" spans="1:13" ht="15.75" hidden="1" customHeight="1" outlineLevel="1">
      <c r="A242" s="19" t="s">
        <v>64</v>
      </c>
      <c r="B242" s="40" t="s">
        <v>32</v>
      </c>
      <c r="C242" s="54">
        <f>SUM(C236:C241)</f>
        <v>15751777</v>
      </c>
      <c r="D242" s="54">
        <f>SUM(D236:D241)</f>
        <v>0</v>
      </c>
      <c r="E242" s="54">
        <f>SUM(E236:E241)</f>
        <v>0</v>
      </c>
      <c r="F242" s="54">
        <f>SUM(F236:F241)</f>
        <v>468781637.60000002</v>
      </c>
      <c r="G242" s="55">
        <f t="shared" si="29"/>
        <v>3.3601523047369464E-2</v>
      </c>
      <c r="H242" s="23">
        <f t="shared" si="25"/>
        <v>0</v>
      </c>
      <c r="I242" s="24">
        <f t="shared" si="25"/>
        <v>0</v>
      </c>
      <c r="J242" s="32" t="str" cm="1">
        <f t="array" ref="J242">IFERROR(_xlfn.IFS(B242="044 - BLEND TRADICION","BLEND",B242="113 - CAFÉ GOURMET","GOURMET",B242="114 - CAFÉ CONSUMO","CONSUMO",B242="112 - CAFÉ ORGANICO","GOURMET",B242="172 - CAFÉ COSECHA","ESPECIALES",B242="176 - CAFE DESCAFEINADO","GOURMET",B242="147 - CAPSULAS","CAPSULAS",B242="130 - GALLETAS CAFECITAS","DERIVADOS",B242="140 - MERENGUES","DERIVADOS",B242="100 - CAFÉ ESPECIAL","ESPECIALES",B242="141 - AREQUIPE","DERIVADOS",B242="142 - MERMELADA","DERIVADOS",B242="131 - GALLETAS AVENA","DERIVADOS",B242="160 - SOUVENIR","OTROS",B242="148 - CARAMELOS","DERIVADOS",B242="143 - CHOCOFFES","DERIVADOS",B242="162 - CONVENIOS Y DSC POS ","OTROS"),"OTROS")</f>
        <v>OTROS</v>
      </c>
      <c r="L242" s="27">
        <f t="shared" si="27"/>
        <v>15751777</v>
      </c>
      <c r="M242" s="27">
        <f t="shared" si="28"/>
        <v>15751777</v>
      </c>
    </row>
    <row r="243" spans="1:13" ht="15.75" hidden="1" customHeight="1" outlineLevel="1">
      <c r="A243" s="33"/>
      <c r="B243" s="39" t="s">
        <v>24</v>
      </c>
      <c r="C243" s="36">
        <v>4250</v>
      </c>
      <c r="D243" s="36"/>
      <c r="E243" s="36">
        <v>0</v>
      </c>
      <c r="F243" s="36">
        <v>0</v>
      </c>
      <c r="G243" s="37" t="str">
        <f t="shared" si="29"/>
        <v>-</v>
      </c>
      <c r="H243" s="23">
        <f t="shared" si="25"/>
        <v>0</v>
      </c>
      <c r="I243" s="24">
        <f t="shared" si="25"/>
        <v>0</v>
      </c>
      <c r="J243" s="32" t="str" cm="1">
        <f t="array" ref="J243">IFERROR(_xlfn.IFS(B243="044 - BLEND TRADICION","BLEND",B243="113 - CAFÉ GOURMET","GOURMET",B243="114 - CAFÉ CONSUMO","CONSUMO",B243="112 - CAFÉ ORGANICO","GOURMET",B243="172 - CAFÉ COSECHA","ESPECIALES",B243="176 - CAFE DESCAFEINADO","GOURMET",B243="147 - CAPSULAS","CAPSULAS",B243="130 - GALLETAS CAFECITAS","DERIVADOS",B243="140 - MERENGUES","DERIVADOS",B243="100 - CAFÉ ESPECIAL","ESPECIALES",B243="141 - AREQUIPE","DERIVADOS",B243="142 - MERMELADA","DERIVADOS",B243="131 - GALLETAS AVENA","DERIVADOS",B243="160 - SOUVENIR","OTROS",B243="148 - CARAMELOS","DERIVADOS",B243="143 - CHOCOFFES","DERIVADOS",B243="162 - CONVENIOS Y DSC POS ","OTROS"),"OTROS")</f>
        <v>DERIVADOS</v>
      </c>
      <c r="L243" s="27">
        <f t="shared" si="27"/>
        <v>4250</v>
      </c>
      <c r="M243" s="27">
        <f t="shared" si="28"/>
        <v>4250</v>
      </c>
    </row>
    <row r="244" spans="1:13" ht="15.75" hidden="1" customHeight="1" outlineLevel="1">
      <c r="A244" s="33"/>
      <c r="B244" s="39" t="s">
        <v>25</v>
      </c>
      <c r="C244" s="36">
        <v>0</v>
      </c>
      <c r="D244" s="36">
        <v>0</v>
      </c>
      <c r="E244" s="36"/>
      <c r="F244" s="36">
        <v>0</v>
      </c>
      <c r="G244" s="37" t="str">
        <f t="shared" si="29"/>
        <v>-</v>
      </c>
      <c r="H244" s="23">
        <f t="shared" si="25"/>
        <v>0</v>
      </c>
      <c r="I244" s="24">
        <f t="shared" si="25"/>
        <v>0</v>
      </c>
      <c r="J244" s="32" t="str" cm="1">
        <f t="array" ref="J244">IFERROR(_xlfn.IFS(B244="044 - BLEND TRADICION","BLEND",B244="113 - CAFÉ GOURMET","GOURMET",B244="114 - CAFÉ CONSUMO","CONSUMO",B244="112 - CAFÉ ORGANICO","GOURMET",B244="172 - CAFÉ COSECHA","ESPECIALES",B244="176 - CAFE DESCAFEINADO","GOURMET",B244="147 - CAPSULAS","CAPSULAS",B244="130 - GALLETAS CAFECITAS","DERIVADOS",B244="140 - MERENGUES","DERIVADOS",B244="100 - CAFÉ ESPECIAL","ESPECIALES",B244="141 - AREQUIPE","DERIVADOS",B244="142 - MERMELADA","DERIVADOS",B244="131 - GALLETAS AVENA","DERIVADOS",B244="160 - SOUVENIR","OTROS",B244="148 - CARAMELOS","DERIVADOS",B244="143 - CHOCOFFES","DERIVADOS",B244="162 - CONVENIOS Y DSC POS ","OTROS"),"OTROS")</f>
        <v>DERIVADOS</v>
      </c>
      <c r="K244" s="6"/>
      <c r="L244" s="27">
        <f>C244-(D244+E244)</f>
        <v>0</v>
      </c>
      <c r="M244" s="27">
        <f t="shared" si="28"/>
        <v>0</v>
      </c>
    </row>
    <row r="245" spans="1:13" ht="15.75" hidden="1" customHeight="1" outlineLevel="1">
      <c r="A245" s="38"/>
      <c r="B245" s="39" t="s">
        <v>29</v>
      </c>
      <c r="C245" s="36">
        <v>0</v>
      </c>
      <c r="D245" s="36">
        <v>0</v>
      </c>
      <c r="E245" s="36">
        <v>0</v>
      </c>
      <c r="F245" s="36">
        <v>0</v>
      </c>
      <c r="G245" s="37" t="str">
        <f t="shared" si="29"/>
        <v>-</v>
      </c>
      <c r="H245" s="23">
        <f t="shared" si="25"/>
        <v>0</v>
      </c>
      <c r="I245" s="24">
        <f t="shared" si="25"/>
        <v>0</v>
      </c>
      <c r="J245" s="32" t="str" cm="1">
        <f t="array" ref="J245">IFERROR(_xlfn.IFS(B245="044 - BLEND TRADICION","BLEND",B245="113 - CAFÉ GOURMET","GOURMET",B245="114 - CAFÉ CONSUMO","CONSUMO",B245="112 - CAFÉ ORGANICO","GOURMET",B245="172 - CAFÉ COSECHA","ESPECIALES",B245="176 - CAFE DESCAFEINADO","GOURMET",B245="147 - CAPSULAS","CAPSULAS",B245="130 - GALLETAS CAFECITAS","DERIVADOS",B245="140 - MERENGUES","DERIVADOS",B245="100 - CAFÉ ESPECIAL","ESPECIALES",B245="141 - AREQUIPE","DERIVADOS",B245="142 - MERMELADA","DERIVADOS",B245="131 - GALLETAS AVENA","DERIVADOS",B245="160 - SOUVENIR","OTROS",B245="148 - CARAMELOS","DERIVADOS",B245="143 - CHOCOFFES","DERIVADOS",B245="162 - CONVENIOS Y DSC POS ","OTROS"),"OTROS")</f>
        <v>ESPECIALES</v>
      </c>
      <c r="K245" s="6"/>
      <c r="L245" s="27">
        <f t="shared" ref="L245:L261" si="34">C245-(D245+E245)</f>
        <v>0</v>
      </c>
      <c r="M245" s="27">
        <f t="shared" si="28"/>
        <v>0</v>
      </c>
    </row>
    <row r="246" spans="1:13" ht="15.75" hidden="1" customHeight="1" outlineLevel="1">
      <c r="A246" s="19" t="s">
        <v>65</v>
      </c>
      <c r="B246" s="56" t="s">
        <v>32</v>
      </c>
      <c r="C246" s="54">
        <f>SUM(C243:C245)</f>
        <v>4250</v>
      </c>
      <c r="D246" s="54">
        <f>SUM(D243:D245)</f>
        <v>0</v>
      </c>
      <c r="E246" s="57">
        <v>0</v>
      </c>
      <c r="F246" s="58">
        <v>0</v>
      </c>
      <c r="G246" s="55" t="str">
        <f t="shared" si="29"/>
        <v>-</v>
      </c>
      <c r="H246" s="23">
        <f t="shared" si="25"/>
        <v>0</v>
      </c>
      <c r="I246" s="24">
        <f t="shared" si="25"/>
        <v>0</v>
      </c>
      <c r="J246" s="32" t="str" cm="1">
        <f t="array" ref="J246">IFERROR(_xlfn.IFS(B246="044 - BLEND TRADICION","BLEND",B246="113 - CAFÉ GOURMET","GOURMET",B246="114 - CAFÉ CONSUMO","CONSUMO",B246="112 - CAFÉ ORGANICO","GOURMET",B246="172 - CAFÉ COSECHA","ESPECIALES",B246="176 - CAFE DESCAFEINADO","GOURMET",B246="147 - CAPSULAS","CAPSULAS",B246="130 - GALLETAS CAFECITAS","DERIVADOS",B246="140 - MERENGUES","DERIVADOS",B246="100 - CAFÉ ESPECIAL","ESPECIALES",B246="141 - AREQUIPE","DERIVADOS",B246="142 - MERMELADA","DERIVADOS",B246="131 - GALLETAS AVENA","DERIVADOS",B246="160 - SOUVENIR","OTROS",B246="148 - CARAMELOS","DERIVADOS",B246="143 - CHOCOFFES","DERIVADOS",B246="162 - CONVENIOS Y DSC POS ","OTROS"),"OTROS")</f>
        <v>OTROS</v>
      </c>
      <c r="K246" s="6"/>
      <c r="L246" s="27">
        <f t="shared" si="34"/>
        <v>4250</v>
      </c>
      <c r="M246" s="27">
        <f t="shared" si="28"/>
        <v>4250</v>
      </c>
    </row>
    <row r="247" spans="1:13" ht="17" collapsed="1" thickBot="1">
      <c r="A247" s="63" t="s">
        <v>66</v>
      </c>
      <c r="B247" s="64" t="s">
        <v>17</v>
      </c>
      <c r="C247" s="65">
        <f>+C260</f>
        <v>172739317</v>
      </c>
      <c r="D247" s="65">
        <f>+D260</f>
        <v>-34175739</v>
      </c>
      <c r="E247" s="65">
        <f>+E260</f>
        <v>0</v>
      </c>
      <c r="F247" s="65">
        <f>+F260</f>
        <v>3060120402.4200006</v>
      </c>
      <c r="G247" s="66">
        <f t="shared" si="29"/>
        <v>5.6448536097924287E-2</v>
      </c>
      <c r="H247" s="23">
        <f t="shared" si="25"/>
        <v>-0.16516796631754047</v>
      </c>
      <c r="I247" s="24">
        <f t="shared" si="25"/>
        <v>0</v>
      </c>
      <c r="J247" s="32" t="str" cm="1">
        <f t="array" ref="J247">IFERROR(_xlfn.IFS(B247="044 - BLEND TRADICION","BLEND",B247="113 - CAFÉ GOURMET","GOURMET",B247="114 - CAFÉ CONSUMO","CONSUMO",B247="112 - CAFÉ ORGANICO","GOURMET",B247="172 - CAFÉ COSECHA","ESPECIALES",B247="176 - CAFE DESCAFEINADO","GOURMET",B247="147 - CAPSULAS","CAPSULAS",B247="130 - GALLETAS CAFECITAS","DERIVADOS",B247="140 - MERENGUES","DERIVADOS",B247="100 - CAFÉ ESPECIAL","ESPECIALES",B247="141 - AREQUIPE","DERIVADOS",B247="142 - MERMELADA","DERIVADOS",B247="131 - GALLETAS AVENA","DERIVADOS",B247="160 - SOUVENIR","OTROS",B247="148 - CARAMELOS","DERIVADOS",B247="143 - CHOCOFFES","DERIVADOS",B247="162 - CONVENIOS Y DSC POS ","OTROS"),"OTROS")</f>
        <v>OTROS</v>
      </c>
      <c r="K247" s="6"/>
      <c r="L247" s="27">
        <f t="shared" si="34"/>
        <v>206915056</v>
      </c>
      <c r="M247" s="27">
        <f t="shared" si="28"/>
        <v>206915056</v>
      </c>
    </row>
    <row r="248" spans="1:13" s="26" customFormat="1" ht="15.75" hidden="1" customHeight="1" outlineLevel="1">
      <c r="A248" s="67"/>
      <c r="B248" s="34" t="s">
        <v>18</v>
      </c>
      <c r="C248" s="68">
        <v>521600</v>
      </c>
      <c r="D248" s="68">
        <v>0</v>
      </c>
      <c r="E248" s="35">
        <v>0</v>
      </c>
      <c r="F248" s="35">
        <v>4301469.12</v>
      </c>
      <c r="G248" s="49">
        <f t="shared" si="29"/>
        <v>0.12126089609124056</v>
      </c>
      <c r="H248" s="23">
        <f t="shared" si="25"/>
        <v>0</v>
      </c>
      <c r="I248" s="24">
        <f t="shared" si="25"/>
        <v>0</v>
      </c>
      <c r="J248" s="32" t="str" cm="1">
        <f t="array" ref="J248">IFERROR(_xlfn.IFS(B248="044 - BLEND TRADICION","BLEND",B248="113 - CAFÉ GOURMET","GOURMET",B248="114 - CAFÉ CONSUMO","CONSUMO",B248="112 - CAFÉ ORGANICO","GOURMET",B248="172 - CAFÉ COSECHA","ESPECIALES",B248="176 - CAFE DESCAFEINADO","GOURMET",B248="147 - CAPSULAS","CAPSULAS",B248="130 - GALLETAS CAFECITAS","DERIVADOS",B248="140 - MERENGUES","DERIVADOS",B248="100 - CAFÉ ESPECIAL","ESPECIALES",B248="141 - AREQUIPE","DERIVADOS",B248="142 - MERMELADA","DERIVADOS",B248="131 - GALLETAS AVENA","DERIVADOS",B248="160 - SOUVENIR","OTROS",B248="148 - CARAMELOS","DERIVADOS",B248="143 - CHOCOFFES","DERIVADOS",B248="162 - CONVENIOS Y DSC POS ","OTROS"),"OTROS")</f>
        <v>BLEND</v>
      </c>
      <c r="L248" s="27">
        <f t="shared" si="34"/>
        <v>521600</v>
      </c>
      <c r="M248" s="27">
        <f t="shared" si="28"/>
        <v>521600</v>
      </c>
    </row>
    <row r="249" spans="1:13" s="26" customFormat="1" ht="15.75" hidden="1" customHeight="1" outlineLevel="1">
      <c r="A249" s="67"/>
      <c r="B249" s="39" t="s">
        <v>19</v>
      </c>
      <c r="C249" s="60">
        <v>20470299</v>
      </c>
      <c r="D249" s="60">
        <v>-1504857</v>
      </c>
      <c r="E249" s="36"/>
      <c r="F249" s="35">
        <v>133747007.69</v>
      </c>
      <c r="G249" s="37">
        <f t="shared" si="29"/>
        <v>0.15305238863695733</v>
      </c>
      <c r="H249" s="23">
        <f t="shared" ref="H249:I261" si="35">IFERROR(+D249/L249*100%,0)</f>
        <v>-6.8479923418973687E-2</v>
      </c>
      <c r="I249" s="24">
        <f t="shared" si="35"/>
        <v>0</v>
      </c>
      <c r="J249" s="32" t="str" cm="1">
        <f t="array" ref="J249">IFERROR(_xlfn.IFS(B249="044 - BLEND TRADICION","BLEND",B249="113 - CAFÉ GOURMET","GOURMET",B249="114 - CAFÉ CONSUMO","CONSUMO",B249="112 - CAFÉ ORGANICO","GOURMET",B249="172 - CAFÉ COSECHA","ESPECIALES",B249="176 - CAFE DESCAFEINADO","GOURMET",B249="147 - CAPSULAS","CAPSULAS",B249="130 - GALLETAS CAFECITAS","DERIVADOS",B249="140 - MERENGUES","DERIVADOS",B249="100 - CAFÉ ESPECIAL","ESPECIALES",B249="141 - AREQUIPE","DERIVADOS",B249="142 - MERMELADA","DERIVADOS",B249="131 - GALLETAS AVENA","DERIVADOS",B249="160 - SOUVENIR","OTROS",B249="148 - CARAMELOS","DERIVADOS",B249="143 - CHOCOFFES","DERIVADOS",B249="162 - CONVENIOS Y DSC POS ","OTROS"),"OTROS")</f>
        <v>ESPECIALES</v>
      </c>
      <c r="L249" s="27">
        <f t="shared" si="34"/>
        <v>21975156</v>
      </c>
      <c r="M249" s="27">
        <f t="shared" si="28"/>
        <v>21975156</v>
      </c>
    </row>
    <row r="250" spans="1:13" s="26" customFormat="1" ht="15.75" hidden="1" customHeight="1" outlineLevel="1">
      <c r="A250" s="69"/>
      <c r="B250" s="39" t="s">
        <v>20</v>
      </c>
      <c r="C250" s="60">
        <v>14651694</v>
      </c>
      <c r="D250" s="60">
        <v>-319907</v>
      </c>
      <c r="E250" s="36">
        <v>0</v>
      </c>
      <c r="F250" s="36">
        <v>166140099.77000001</v>
      </c>
      <c r="G250" s="37">
        <f t="shared" si="29"/>
        <v>8.8188787777805727E-2</v>
      </c>
      <c r="H250" s="23">
        <f t="shared" si="35"/>
        <v>-2.1367587875204527E-2</v>
      </c>
      <c r="I250" s="24">
        <f t="shared" si="35"/>
        <v>0</v>
      </c>
      <c r="J250" s="32" t="str" cm="1">
        <f t="array" ref="J250">IFERROR(_xlfn.IFS(B250="044 - BLEND TRADICION","BLEND",B250="113 - CAFÉ GOURMET","GOURMET",B250="114 - CAFÉ CONSUMO","CONSUMO",B250="112 - CAFÉ ORGANICO","GOURMET",B250="172 - CAFÉ COSECHA","ESPECIALES",B250="176 - CAFE DESCAFEINADO","GOURMET",B250="147 - CAPSULAS","CAPSULAS",B250="130 - GALLETAS CAFECITAS","DERIVADOS",B250="140 - MERENGUES","DERIVADOS",B250="100 - CAFÉ ESPECIAL","ESPECIALES",B250="141 - AREQUIPE","DERIVADOS",B250="142 - MERMELADA","DERIVADOS",B250="131 - GALLETAS AVENA","DERIVADOS",B250="160 - SOUVENIR","OTROS",B250="148 - CARAMELOS","DERIVADOS",B250="143 - CHOCOFFES","DERIVADOS",B250="162 - CONVENIOS Y DSC POS ","OTROS"),"OTROS")</f>
        <v>GOURMET</v>
      </c>
      <c r="L250" s="27">
        <f t="shared" si="34"/>
        <v>14971601</v>
      </c>
      <c r="M250" s="27">
        <f t="shared" si="28"/>
        <v>14971601</v>
      </c>
    </row>
    <row r="251" spans="1:13" s="26" customFormat="1" ht="15.75" hidden="1" customHeight="1" outlineLevel="1">
      <c r="A251" s="69"/>
      <c r="B251" s="39" t="s">
        <v>21</v>
      </c>
      <c r="C251" s="60">
        <v>130756286</v>
      </c>
      <c r="D251" s="60">
        <v>-2731531</v>
      </c>
      <c r="E251" s="36">
        <v>0</v>
      </c>
      <c r="F251" s="35">
        <v>2016617010.9000001</v>
      </c>
      <c r="G251" s="37">
        <f t="shared" si="29"/>
        <v>6.4839424289912392E-2</v>
      </c>
      <c r="H251" s="23">
        <f t="shared" si="35"/>
        <v>-2.0462773767586595E-2</v>
      </c>
      <c r="I251" s="24">
        <f t="shared" si="35"/>
        <v>0</v>
      </c>
      <c r="J251" s="32" t="str" cm="1">
        <f t="array" ref="J251">IFERROR(_xlfn.IFS(B251="044 - BLEND TRADICION","BLEND",B251="113 - CAFÉ GOURMET","GOURMET",B251="114 - CAFÉ CONSUMO","CONSUMO",B251="112 - CAFÉ ORGANICO","GOURMET",B251="172 - CAFÉ COSECHA","ESPECIALES",B251="176 - CAFE DESCAFEINADO","GOURMET",B251="147 - CAPSULAS","CAPSULAS",B251="130 - GALLETAS CAFECITAS","DERIVADOS",B251="140 - MERENGUES","DERIVADOS",B251="100 - CAFÉ ESPECIAL","ESPECIALES",B251="141 - AREQUIPE","DERIVADOS",B251="142 - MERMELADA","DERIVADOS",B251="131 - GALLETAS AVENA","DERIVADOS",B251="160 - SOUVENIR","OTROS",B251="148 - CARAMELOS","DERIVADOS",B251="143 - CHOCOFFES","DERIVADOS",B251="162 - CONVENIOS Y DSC POS ","OTROS"),"OTROS")</f>
        <v>GOURMET</v>
      </c>
      <c r="L251" s="27">
        <f t="shared" si="34"/>
        <v>133487817</v>
      </c>
      <c r="M251" s="27">
        <f t="shared" si="28"/>
        <v>133487817</v>
      </c>
    </row>
    <row r="252" spans="1:13" s="26" customFormat="1" ht="15.75" hidden="1" customHeight="1" outlineLevel="1">
      <c r="A252" s="69"/>
      <c r="B252" s="39" t="s">
        <v>22</v>
      </c>
      <c r="C252" s="60">
        <v>12221877</v>
      </c>
      <c r="D252" s="60">
        <v>-2367734</v>
      </c>
      <c r="E252" s="36">
        <v>0</v>
      </c>
      <c r="F252" s="36">
        <v>61087901.090000004</v>
      </c>
      <c r="G252" s="37">
        <f t="shared" si="29"/>
        <v>0.20007033769246171</v>
      </c>
      <c r="H252" s="23">
        <f t="shared" si="35"/>
        <v>-0.16228904252484869</v>
      </c>
      <c r="I252" s="24">
        <f t="shared" si="35"/>
        <v>0</v>
      </c>
      <c r="J252" s="32" t="str" cm="1">
        <f t="array" ref="J252">IFERROR(_xlfn.IFS(B252="044 - BLEND TRADICION","BLEND",B252="113 - CAFÉ GOURMET","GOURMET",B252="114 - CAFÉ CONSUMO","CONSUMO",B252="112 - CAFÉ ORGANICO","GOURMET",B252="172 - CAFÉ COSECHA","ESPECIALES",B252="176 - CAFE DESCAFEINADO","GOURMET",B252="147 - CAPSULAS","CAPSULAS",B252="130 - GALLETAS CAFECITAS","DERIVADOS",B252="140 - MERENGUES","DERIVADOS",B252="100 - CAFÉ ESPECIAL","ESPECIALES",B252="141 - AREQUIPE","DERIVADOS",B252="142 - MERMELADA","DERIVADOS",B252="131 - GALLETAS AVENA","DERIVADOS",B252="160 - SOUVENIR","OTROS",B252="148 - CARAMELOS","DERIVADOS",B252="143 - CHOCOFFES","DERIVADOS",B252="162 - CONVENIOS Y DSC POS ","OTROS"),"OTROS")</f>
        <v>DERIVADOS</v>
      </c>
      <c r="L252" s="27">
        <f t="shared" si="34"/>
        <v>14589611</v>
      </c>
      <c r="M252" s="27">
        <f t="shared" si="28"/>
        <v>14589611</v>
      </c>
    </row>
    <row r="253" spans="1:13" s="26" customFormat="1" ht="15.75" hidden="1" customHeight="1" outlineLevel="1">
      <c r="A253" s="69"/>
      <c r="B253" s="39" t="s">
        <v>24</v>
      </c>
      <c r="C253" s="60">
        <v>1702679</v>
      </c>
      <c r="D253" s="60">
        <v>-168057</v>
      </c>
      <c r="E253" s="36"/>
      <c r="F253" s="35">
        <v>7233101.0300000003</v>
      </c>
      <c r="G253" s="37">
        <f t="shared" si="29"/>
        <v>0.23540097019770231</v>
      </c>
      <c r="H253" s="23">
        <f t="shared" si="35"/>
        <v>-8.9834696076838208E-2</v>
      </c>
      <c r="I253" s="24">
        <f t="shared" si="35"/>
        <v>0</v>
      </c>
      <c r="J253" s="32" t="str" cm="1">
        <f t="array" ref="J253">IFERROR(_xlfn.IFS(B253="044 - BLEND TRADICION","BLEND",B253="113 - CAFÉ GOURMET","GOURMET",B253="114 - CAFÉ CONSUMO","CONSUMO",B253="112 - CAFÉ ORGANICO","GOURMET",B253="172 - CAFÉ COSECHA","ESPECIALES",B253="176 - CAFE DESCAFEINADO","GOURMET",B253="147 - CAPSULAS","CAPSULAS",B253="130 - GALLETAS CAFECITAS","DERIVADOS",B253="140 - MERENGUES","DERIVADOS",B253="100 - CAFÉ ESPECIAL","ESPECIALES",B253="141 - AREQUIPE","DERIVADOS",B253="142 - MERMELADA","DERIVADOS",B253="131 - GALLETAS AVENA","DERIVADOS",B253="160 - SOUVENIR","OTROS",B253="148 - CARAMELOS","DERIVADOS",B253="143 - CHOCOFFES","DERIVADOS",B253="162 - CONVENIOS Y DSC POS ","OTROS"),"OTROS")</f>
        <v>DERIVADOS</v>
      </c>
      <c r="L253" s="27">
        <f t="shared" si="34"/>
        <v>1870736</v>
      </c>
      <c r="M253" s="27">
        <f t="shared" si="28"/>
        <v>1870736</v>
      </c>
    </row>
    <row r="254" spans="1:13" s="26" customFormat="1" ht="15.75" hidden="1" customHeight="1" outlineLevel="1">
      <c r="A254" s="69"/>
      <c r="B254" s="39" t="s">
        <v>25</v>
      </c>
      <c r="C254" s="60">
        <v>1536508</v>
      </c>
      <c r="D254" s="60">
        <v>-149012</v>
      </c>
      <c r="E254" s="36"/>
      <c r="F254" s="35">
        <v>8769038.3300000001</v>
      </c>
      <c r="G254" s="37">
        <f t="shared" si="29"/>
        <v>0.17521966972631536</v>
      </c>
      <c r="H254" s="23">
        <f t="shared" si="35"/>
        <v>-8.8407138449855233E-2</v>
      </c>
      <c r="I254" s="24">
        <f t="shared" si="35"/>
        <v>0</v>
      </c>
      <c r="J254" s="32" t="str" cm="1">
        <f t="array" ref="J254">IFERROR(_xlfn.IFS(B254="044 - BLEND TRADICION","BLEND",B254="113 - CAFÉ GOURMET","GOURMET",B254="114 - CAFÉ CONSUMO","CONSUMO",B254="112 - CAFÉ ORGANICO","GOURMET",B254="172 - CAFÉ COSECHA","ESPECIALES",B254="176 - CAFE DESCAFEINADO","GOURMET",B254="147 - CAPSULAS","CAPSULAS",B254="130 - GALLETAS CAFECITAS","DERIVADOS",B254="140 - MERENGUES","DERIVADOS",B254="100 - CAFÉ ESPECIAL","ESPECIALES",B254="141 - AREQUIPE","DERIVADOS",B254="142 - MERMELADA","DERIVADOS",B254="131 - GALLETAS AVENA","DERIVADOS",B254="160 - SOUVENIR","OTROS",B254="148 - CARAMELOS","DERIVADOS",B254="143 - CHOCOFFES","DERIVADOS",B254="162 - CONVENIOS Y DSC POS ","OTROS"),"OTROS")</f>
        <v>DERIVADOS</v>
      </c>
      <c r="L254" s="27">
        <f t="shared" si="34"/>
        <v>1685520</v>
      </c>
      <c r="M254" s="27">
        <f t="shared" si="28"/>
        <v>1685520</v>
      </c>
    </row>
    <row r="255" spans="1:13" s="26" customFormat="1" ht="15.75" hidden="1" customHeight="1" outlineLevel="1">
      <c r="A255" s="69"/>
      <c r="B255" s="39" t="s">
        <v>26</v>
      </c>
      <c r="C255" s="60">
        <v>-18488784</v>
      </c>
      <c r="D255" s="60">
        <v>-24328639</v>
      </c>
      <c r="E255" s="36">
        <v>0</v>
      </c>
      <c r="F255" s="36">
        <v>155253232.08000001</v>
      </c>
      <c r="G255" s="37">
        <f t="shared" si="29"/>
        <v>-0.11908791689742707</v>
      </c>
      <c r="H255" s="23">
        <f t="shared" si="35"/>
        <v>-4.1659662782723199</v>
      </c>
      <c r="I255" s="24">
        <f t="shared" si="35"/>
        <v>0</v>
      </c>
      <c r="J255" s="32" t="str" cm="1">
        <f t="array" ref="J255">IFERROR(_xlfn.IFS(B255="044 - BLEND TRADICION","BLEND",B255="113 - CAFÉ GOURMET","GOURMET",B255="114 - CAFÉ CONSUMO","CONSUMO",B255="112 - CAFÉ ORGANICO","GOURMET",B255="172 - CAFÉ COSECHA","ESPECIALES",B255="176 - CAFE DESCAFEINADO","GOURMET",B255="147 - CAPSULAS","CAPSULAS",B255="130 - GALLETAS CAFECITAS","DERIVADOS",B255="140 - MERENGUES","DERIVADOS",B255="100 - CAFÉ ESPECIAL","ESPECIALES",B255="141 - AREQUIPE","DERIVADOS",B255="142 - MERMELADA","DERIVADOS",B255="131 - GALLETAS AVENA","DERIVADOS",B255="160 - SOUVENIR","OTROS",B255="148 - CARAMELOS","DERIVADOS",B255="143 - CHOCOFFES","DERIVADOS",B255="162 - CONVENIOS Y DSC POS ","OTROS"),"OTROS")</f>
        <v>CAPSULAS</v>
      </c>
      <c r="L255" s="27">
        <f t="shared" si="34"/>
        <v>5839855</v>
      </c>
      <c r="M255" s="27">
        <f t="shared" si="28"/>
        <v>5839855</v>
      </c>
    </row>
    <row r="256" spans="1:13" s="26" customFormat="1" ht="15.75" hidden="1" customHeight="1" outlineLevel="1">
      <c r="A256" s="69"/>
      <c r="B256" s="39" t="s">
        <v>27</v>
      </c>
      <c r="C256" s="60">
        <v>0</v>
      </c>
      <c r="D256" s="60">
        <v>0</v>
      </c>
      <c r="E256" s="36">
        <v>0</v>
      </c>
      <c r="F256" s="35">
        <v>5439026.3600000003</v>
      </c>
      <c r="G256" s="37">
        <f t="shared" si="29"/>
        <v>0</v>
      </c>
      <c r="H256" s="23">
        <f t="shared" si="35"/>
        <v>0</v>
      </c>
      <c r="I256" s="24">
        <f t="shared" si="35"/>
        <v>0</v>
      </c>
      <c r="J256" s="32" t="str" cm="1">
        <f t="array" ref="J256">IFERROR(_xlfn.IFS(B256="044 - BLEND TRADICION","BLEND",B256="113 - CAFÉ GOURMET","GOURMET",B256="114 - CAFÉ CONSUMO","CONSUMO",B256="112 - CAFÉ ORGANICO","GOURMET",B256="172 - CAFÉ COSECHA","ESPECIALES",B256="176 - CAFE DESCAFEINADO","GOURMET",B256="147 - CAPSULAS","CAPSULAS",B256="130 - GALLETAS CAFECITAS","DERIVADOS",B256="140 - MERENGUES","DERIVADOS",B256="100 - CAFÉ ESPECIAL","ESPECIALES",B256="141 - AREQUIPE","DERIVADOS",B256="142 - MERMELADA","DERIVADOS",B256="131 - GALLETAS AVENA","DERIVADOS",B256="160 - SOUVENIR","OTROS",B256="148 - CARAMELOS","DERIVADOS",B256="143 - CHOCOFFES","DERIVADOS",B256="162 - CONVENIOS Y DSC POS ","OTROS"),"OTROS")</f>
        <v>DERIVADOS</v>
      </c>
      <c r="L256" s="27">
        <f t="shared" si="34"/>
        <v>0</v>
      </c>
      <c r="M256" s="27">
        <f t="shared" si="28"/>
        <v>0</v>
      </c>
    </row>
    <row r="257" spans="1:13" s="26" customFormat="1" ht="15.75" hidden="1" customHeight="1" outlineLevel="1">
      <c r="A257" s="69"/>
      <c r="B257" s="39" t="s">
        <v>28</v>
      </c>
      <c r="C257" s="60">
        <v>3398040</v>
      </c>
      <c r="D257" s="60">
        <v>-1132680</v>
      </c>
      <c r="E257" s="36">
        <v>0</v>
      </c>
      <c r="F257" s="36">
        <v>137373469.31999999</v>
      </c>
      <c r="G257" s="37">
        <f t="shared" si="29"/>
        <v>2.4735780619215129E-2</v>
      </c>
      <c r="H257" s="23">
        <f t="shared" si="35"/>
        <v>-0.25</v>
      </c>
      <c r="I257" s="24">
        <f t="shared" si="35"/>
        <v>0</v>
      </c>
      <c r="J257" s="32" t="str" cm="1">
        <f t="array" ref="J257">IFERROR(_xlfn.IFS(B257="044 - BLEND TRADICION","BLEND",B257="113 - CAFÉ GOURMET","GOURMET",B257="114 - CAFÉ CONSUMO","CONSUMO",B257="112 - CAFÉ ORGANICO","GOURMET",B257="172 - CAFÉ COSECHA","ESPECIALES",B257="176 - CAFE DESCAFEINADO","GOURMET",B257="147 - CAPSULAS","CAPSULAS",B257="130 - GALLETAS CAFECITAS","DERIVADOS",B257="140 - MERENGUES","DERIVADOS",B257="100 - CAFÉ ESPECIAL","ESPECIALES",B257="141 - AREQUIPE","DERIVADOS",B257="142 - MERMELADA","DERIVADOS",B257="131 - GALLETAS AVENA","DERIVADOS",B257="160 - SOUVENIR","OTROS",B257="148 - CARAMELOS","DERIVADOS",B257="143 - CHOCOFFES","DERIVADOS",B257="162 - CONVENIOS Y DSC POS ","OTROS"),"OTROS")</f>
        <v>OTROS</v>
      </c>
      <c r="L257" s="27">
        <f t="shared" si="34"/>
        <v>4530720</v>
      </c>
      <c r="M257" s="27">
        <f t="shared" si="28"/>
        <v>4530720</v>
      </c>
    </row>
    <row r="258" spans="1:13" s="26" customFormat="1" ht="15.75" hidden="1" customHeight="1" outlineLevel="1">
      <c r="A258" s="69"/>
      <c r="B258" s="39" t="s">
        <v>29</v>
      </c>
      <c r="C258" s="60">
        <v>4848973</v>
      </c>
      <c r="D258" s="60">
        <v>-1440503</v>
      </c>
      <c r="E258" s="36">
        <v>0</v>
      </c>
      <c r="F258" s="36">
        <v>320749097.20999998</v>
      </c>
      <c r="G258" s="37">
        <f t="shared" si="29"/>
        <v>1.5117651280013716E-2</v>
      </c>
      <c r="H258" s="23">
        <f t="shared" si="35"/>
        <v>-0.22903386546033405</v>
      </c>
      <c r="I258" s="24">
        <f t="shared" si="35"/>
        <v>0</v>
      </c>
      <c r="J258" s="32" t="str" cm="1">
        <f t="array" ref="J258">IFERROR(_xlfn.IFS(B258="044 - BLEND TRADICION","BLEND",B258="113 - CAFÉ GOURMET","GOURMET",B258="114 - CAFÉ CONSUMO","CONSUMO",B258="112 - CAFÉ ORGANICO","GOURMET",B258="172 - CAFÉ COSECHA","ESPECIALES",B258="176 - CAFE DESCAFEINADO","GOURMET",B258="147 - CAPSULAS","CAPSULAS",B258="130 - GALLETAS CAFECITAS","DERIVADOS",B258="140 - MERENGUES","DERIVADOS",B258="100 - CAFÉ ESPECIAL","ESPECIALES",B258="141 - AREQUIPE","DERIVADOS",B258="142 - MERMELADA","DERIVADOS",B258="131 - GALLETAS AVENA","DERIVADOS",B258="160 - SOUVENIR","OTROS",B258="148 - CARAMELOS","DERIVADOS",B258="143 - CHOCOFFES","DERIVADOS",B258="162 - CONVENIOS Y DSC POS ","OTROS"),"OTROS")</f>
        <v>ESPECIALES</v>
      </c>
      <c r="L258" s="27">
        <f t="shared" si="34"/>
        <v>6289476</v>
      </c>
      <c r="M258" s="27">
        <f t="shared" si="28"/>
        <v>6289476</v>
      </c>
    </row>
    <row r="259" spans="1:13" s="26" customFormat="1" ht="15.75" hidden="1" customHeight="1" outlineLevel="1">
      <c r="A259" s="69"/>
      <c r="B259" s="39" t="s">
        <v>30</v>
      </c>
      <c r="C259" s="60">
        <v>1120145</v>
      </c>
      <c r="D259" s="60">
        <v>-32819</v>
      </c>
      <c r="E259" s="60">
        <v>0</v>
      </c>
      <c r="F259" s="36">
        <v>43409949.520000003</v>
      </c>
      <c r="G259" s="37">
        <f t="shared" si="29"/>
        <v>2.5803877046296088E-2</v>
      </c>
      <c r="H259" s="23">
        <f t="shared" si="35"/>
        <v>-2.8464895694921957E-2</v>
      </c>
      <c r="I259" s="24">
        <f t="shared" si="35"/>
        <v>0</v>
      </c>
      <c r="J259" s="32" t="str" cm="1">
        <f t="array" ref="J259">IFERROR(_xlfn.IFS(B259="044 - BLEND TRADICION","BLEND",B259="113 - CAFÉ GOURMET","GOURMET",B259="114 - CAFÉ CONSUMO","CONSUMO",B259="112 - CAFÉ ORGANICO","GOURMET",B259="172 - CAFÉ COSECHA","ESPECIALES",B259="176 - CAFE DESCAFEINADO","GOURMET",B259="147 - CAPSULAS","CAPSULAS",B259="130 - GALLETAS CAFECITAS","DERIVADOS",B259="140 - MERENGUES","DERIVADOS",B259="100 - CAFÉ ESPECIAL","ESPECIALES",B259="141 - AREQUIPE","DERIVADOS",B259="142 - MERMELADA","DERIVADOS",B259="131 - GALLETAS AVENA","DERIVADOS",B259="160 - SOUVENIR","OTROS",B259="148 - CARAMELOS","DERIVADOS",B259="143 - CHOCOFFES","DERIVADOS",B259="162 - CONVENIOS Y DSC POS ","OTROS"),"OTROS")</f>
        <v>GOURMET</v>
      </c>
      <c r="L259" s="27">
        <f t="shared" si="34"/>
        <v>1152964</v>
      </c>
      <c r="M259" s="27">
        <f t="shared" si="28"/>
        <v>1152964</v>
      </c>
    </row>
    <row r="260" spans="1:13" s="26" customFormat="1" ht="15.75" hidden="1" customHeight="1" outlineLevel="1" thickBot="1">
      <c r="A260" s="70" t="s">
        <v>66</v>
      </c>
      <c r="B260" s="56" t="s">
        <v>32</v>
      </c>
      <c r="C260" s="54">
        <f>SUM(C248:C259)</f>
        <v>172739317</v>
      </c>
      <c r="D260" s="54">
        <f>SUM(D248:D259)</f>
        <v>-34175739</v>
      </c>
      <c r="E260" s="54">
        <f>SUM(E248:E259)</f>
        <v>0</v>
      </c>
      <c r="F260" s="71">
        <f>SUM(F248:F259)</f>
        <v>3060120402.4200006</v>
      </c>
      <c r="G260" s="72">
        <f t="shared" si="29"/>
        <v>5.6448536097924287E-2</v>
      </c>
      <c r="H260" s="73">
        <f t="shared" si="35"/>
        <v>-0.16516796631754047</v>
      </c>
      <c r="I260" s="74">
        <f t="shared" si="35"/>
        <v>0</v>
      </c>
      <c r="J260" s="32"/>
      <c r="L260" s="27">
        <f t="shared" si="34"/>
        <v>206915056</v>
      </c>
      <c r="M260" s="27">
        <f t="shared" si="28"/>
        <v>206915056</v>
      </c>
    </row>
    <row r="261" spans="1:13" s="26" customFormat="1" ht="17" collapsed="1" thickBot="1">
      <c r="A261" s="181" t="s">
        <v>67</v>
      </c>
      <c r="B261" s="182"/>
      <c r="C261" s="75">
        <f>+C57+C103+C186+C201+C232+C5+C217+C247+C21</f>
        <v>500265583</v>
      </c>
      <c r="D261" s="75">
        <f>+D57+D103+D186+D201+D232+D5+D217+D247+D21</f>
        <v>-37791530</v>
      </c>
      <c r="E261" s="75">
        <f>+E57+E103+E186+E201+E232+E5+E217+E247+E21</f>
        <v>0</v>
      </c>
      <c r="F261" s="75">
        <f>+F57+F103+F186+F201+F232+F5+F217+F247+F21</f>
        <v>6068096467.1400003</v>
      </c>
      <c r="G261" s="76">
        <f>IFERROR(C261/F261*100%,"-")</f>
        <v>8.2441929806001235E-2</v>
      </c>
      <c r="H261" s="76">
        <f t="shared" si="35"/>
        <v>-7.0237023332502618E-2</v>
      </c>
      <c r="I261" s="77">
        <f t="shared" si="35"/>
        <v>0</v>
      </c>
      <c r="J261" s="32"/>
      <c r="L261" s="27">
        <f t="shared" si="34"/>
        <v>538057113</v>
      </c>
      <c r="M261" s="27">
        <f>L261</f>
        <v>538057113</v>
      </c>
    </row>
    <row r="262" spans="1:13" s="26" customFormat="1" ht="16.5">
      <c r="A262" s="6" t="s">
        <v>68</v>
      </c>
      <c r="B262" s="6" t="s">
        <v>68</v>
      </c>
      <c r="C262" s="78"/>
      <c r="D262" s="78"/>
      <c r="E262" s="78"/>
      <c r="F262" s="79"/>
      <c r="G262" s="79"/>
      <c r="H262" s="6"/>
      <c r="I262" s="6"/>
      <c r="J262" s="32"/>
    </row>
    <row r="263" spans="1:13" s="26" customFormat="1" ht="16.5">
      <c r="A263" s="183" t="s">
        <v>69</v>
      </c>
      <c r="B263" s="184"/>
      <c r="C263" s="187"/>
      <c r="D263" s="187"/>
      <c r="E263" s="187"/>
      <c r="F263" s="188"/>
      <c r="G263" s="79"/>
      <c r="H263" s="6"/>
      <c r="I263" s="6"/>
      <c r="J263" s="32"/>
    </row>
    <row r="264" spans="1:13" s="26" customFormat="1" ht="16.5">
      <c r="A264" s="185"/>
      <c r="B264" s="186"/>
      <c r="C264" s="171"/>
      <c r="D264" s="171"/>
      <c r="E264" s="171"/>
      <c r="F264" s="172"/>
      <c r="G264" s="79"/>
      <c r="H264" s="6"/>
      <c r="I264" s="6"/>
      <c r="J264" s="32"/>
    </row>
    <row r="265" spans="1:13" s="26" customFormat="1" ht="16.5">
      <c r="A265" s="80"/>
      <c r="B265" s="12" t="s">
        <v>2</v>
      </c>
      <c r="C265" s="13" t="s">
        <v>3</v>
      </c>
      <c r="D265" s="13" t="s">
        <v>4</v>
      </c>
      <c r="E265" s="13" t="s">
        <v>6</v>
      </c>
      <c r="F265" s="15" t="s">
        <v>7</v>
      </c>
      <c r="G265" s="81" t="s">
        <v>8</v>
      </c>
      <c r="H265" s="6"/>
      <c r="I265" s="6"/>
      <c r="J265" s="32"/>
    </row>
    <row r="266" spans="1:13" s="26" customFormat="1" ht="16.5">
      <c r="A266" s="82"/>
      <c r="B266" s="83" t="s">
        <v>34</v>
      </c>
      <c r="C266" s="84">
        <v>26841680</v>
      </c>
      <c r="D266" s="84">
        <v>0</v>
      </c>
      <c r="E266" s="84">
        <v>54501464.539999999</v>
      </c>
      <c r="F266" s="85">
        <f>IFERROR(C266/E266*100%,"-")</f>
        <v>0.4924946554472901</v>
      </c>
      <c r="G266" s="85">
        <f t="shared" ref="G266:G284" si="36">IFERROR((D266/C266)*100%,"-")</f>
        <v>0</v>
      </c>
      <c r="H266" s="6"/>
      <c r="I266" s="6"/>
      <c r="J266" s="32"/>
    </row>
    <row r="267" spans="1:13" s="26" customFormat="1" ht="16.5">
      <c r="A267" s="82"/>
      <c r="B267" s="83" t="s">
        <v>42</v>
      </c>
      <c r="C267" s="84">
        <v>88068</v>
      </c>
      <c r="D267" s="84">
        <v>0</v>
      </c>
      <c r="E267" s="84">
        <v>0</v>
      </c>
      <c r="F267" s="85" t="str">
        <f t="shared" ref="F267:F284" si="37">IFERROR(C267/E267*100%,"-")</f>
        <v>-</v>
      </c>
      <c r="G267" s="85">
        <f t="shared" si="36"/>
        <v>0</v>
      </c>
      <c r="H267" s="6"/>
      <c r="I267" s="6"/>
      <c r="J267" s="32"/>
    </row>
    <row r="268" spans="1:13" s="26" customFormat="1" ht="16.5">
      <c r="A268" s="82"/>
      <c r="B268" s="83" t="s">
        <v>18</v>
      </c>
      <c r="C268" s="84">
        <v>9274048</v>
      </c>
      <c r="D268" s="84">
        <v>0</v>
      </c>
      <c r="E268" s="84">
        <v>507299188.97000003</v>
      </c>
      <c r="F268" s="85">
        <f t="shared" si="37"/>
        <v>1.8281219843520064E-2</v>
      </c>
      <c r="G268" s="85">
        <f t="shared" si="36"/>
        <v>0</v>
      </c>
      <c r="H268" s="6"/>
      <c r="I268" s="6"/>
      <c r="J268" s="32"/>
    </row>
    <row r="269" spans="1:13" s="26" customFormat="1" ht="16.5">
      <c r="A269" s="82"/>
      <c r="B269" s="83" t="s">
        <v>36</v>
      </c>
      <c r="C269" s="84">
        <v>15646</v>
      </c>
      <c r="D269" s="84">
        <v>0</v>
      </c>
      <c r="E269" s="84">
        <v>0</v>
      </c>
      <c r="F269" s="85" t="str">
        <f t="shared" ref="F269:F277" si="38">IFERROR(C269/E269*100%,"-")</f>
        <v>-</v>
      </c>
      <c r="G269" s="85">
        <f t="shared" ref="G269:G277" si="39">IFERROR((D269/C269)*100%,"-")</f>
        <v>0</v>
      </c>
      <c r="H269" s="6"/>
      <c r="I269" s="6"/>
      <c r="J269" s="32"/>
    </row>
    <row r="270" spans="1:13" s="26" customFormat="1" ht="16.5">
      <c r="A270" s="82"/>
      <c r="B270" s="83" t="s">
        <v>19</v>
      </c>
      <c r="C270" s="84">
        <v>29001776</v>
      </c>
      <c r="D270" s="84">
        <v>-1504857</v>
      </c>
      <c r="E270" s="84">
        <v>191019804.03</v>
      </c>
      <c r="F270" s="85">
        <f t="shared" si="38"/>
        <v>0.151826016926733</v>
      </c>
      <c r="G270" s="85">
        <f t="shared" si="39"/>
        <v>-5.1888442969837432E-2</v>
      </c>
      <c r="H270" s="6"/>
      <c r="I270" s="6"/>
      <c r="J270" s="32"/>
    </row>
    <row r="271" spans="1:13" s="26" customFormat="1" ht="16.5">
      <c r="A271" s="82"/>
      <c r="B271" s="83" t="s">
        <v>20</v>
      </c>
      <c r="C271" s="84">
        <v>22297018</v>
      </c>
      <c r="D271" s="84">
        <v>-319907</v>
      </c>
      <c r="E271" s="84">
        <v>223501100.75</v>
      </c>
      <c r="F271" s="85">
        <f t="shared" si="38"/>
        <v>9.9762452735929083E-2</v>
      </c>
      <c r="G271" s="85">
        <f t="shared" si="39"/>
        <v>-1.4347523960378916E-2</v>
      </c>
      <c r="H271" s="6"/>
      <c r="I271" s="6"/>
      <c r="J271" s="32"/>
    </row>
    <row r="272" spans="1:13" s="26" customFormat="1" ht="16.5">
      <c r="A272" s="82"/>
      <c r="B272" s="83" t="s">
        <v>21</v>
      </c>
      <c r="C272" s="84">
        <v>315563859</v>
      </c>
      <c r="D272" s="84">
        <v>-5838586</v>
      </c>
      <c r="E272" s="84">
        <v>3601471598.6100001</v>
      </c>
      <c r="F272" s="85">
        <f t="shared" si="38"/>
        <v>8.7620810093794133E-2</v>
      </c>
      <c r="G272" s="85">
        <f t="shared" si="39"/>
        <v>-1.8502074408970896E-2</v>
      </c>
      <c r="H272" s="6"/>
      <c r="I272" s="6"/>
      <c r="J272" s="32"/>
    </row>
    <row r="273" spans="1:31" s="26" customFormat="1" ht="16.5">
      <c r="A273" s="82"/>
      <c r="B273" s="83" t="s">
        <v>38</v>
      </c>
      <c r="C273" s="84">
        <v>2829137</v>
      </c>
      <c r="D273" s="84">
        <v>0</v>
      </c>
      <c r="E273" s="84">
        <v>53476353.159999996</v>
      </c>
      <c r="F273" s="85">
        <f t="shared" si="38"/>
        <v>5.2904449028812577E-2</v>
      </c>
      <c r="G273" s="85">
        <f t="shared" si="39"/>
        <v>0</v>
      </c>
      <c r="H273" s="6"/>
      <c r="I273" s="6"/>
      <c r="J273" s="32"/>
    </row>
    <row r="274" spans="1:31" s="26" customFormat="1" ht="16.5">
      <c r="A274" s="82"/>
      <c r="B274" s="83" t="s">
        <v>22</v>
      </c>
      <c r="C274" s="84">
        <v>27137438</v>
      </c>
      <c r="D274" s="84">
        <v>-2367734</v>
      </c>
      <c r="E274" s="84">
        <v>217515060.65000001</v>
      </c>
      <c r="F274" s="85">
        <f t="shared" si="38"/>
        <v>0.12476119087526732</v>
      </c>
      <c r="G274" s="85">
        <f t="shared" si="39"/>
        <v>-8.724972490033879E-2</v>
      </c>
      <c r="H274" s="6"/>
      <c r="I274" s="6"/>
      <c r="J274" s="32"/>
    </row>
    <row r="275" spans="1:31" s="26" customFormat="1" ht="16.5">
      <c r="A275" s="82"/>
      <c r="B275" s="83" t="s">
        <v>23</v>
      </c>
      <c r="C275" s="84">
        <v>173217</v>
      </c>
      <c r="D275" s="84">
        <v>0</v>
      </c>
      <c r="E275" s="84">
        <v>2178053.21</v>
      </c>
      <c r="F275" s="85">
        <f t="shared" si="38"/>
        <v>7.9528360099154788E-2</v>
      </c>
      <c r="G275" s="85">
        <f t="shared" si="39"/>
        <v>0</v>
      </c>
      <c r="H275" s="6"/>
      <c r="I275" s="6"/>
      <c r="J275" s="32"/>
    </row>
    <row r="276" spans="1:31" s="26" customFormat="1" ht="16.5">
      <c r="A276" s="82"/>
      <c r="B276" s="83" t="s">
        <v>24</v>
      </c>
      <c r="C276" s="84">
        <v>3582378</v>
      </c>
      <c r="D276" s="84">
        <v>-168057</v>
      </c>
      <c r="E276" s="84">
        <v>22254856.469999999</v>
      </c>
      <c r="F276" s="85">
        <f t="shared" si="38"/>
        <v>0.16097061802349158</v>
      </c>
      <c r="G276" s="85">
        <f t="shared" si="39"/>
        <v>-4.6912134900337153E-2</v>
      </c>
      <c r="H276" s="6"/>
      <c r="I276" s="6"/>
      <c r="J276" s="32"/>
    </row>
    <row r="277" spans="1:31" s="26" customFormat="1" ht="16.5">
      <c r="A277" s="82"/>
      <c r="B277" s="83" t="s">
        <v>25</v>
      </c>
      <c r="C277" s="84">
        <v>12261550</v>
      </c>
      <c r="D277" s="84">
        <v>-149012</v>
      </c>
      <c r="E277" s="84">
        <v>73446237.840000004</v>
      </c>
      <c r="F277" s="85">
        <f t="shared" si="38"/>
        <v>0.16694592344826903</v>
      </c>
      <c r="G277" s="85">
        <f t="shared" si="39"/>
        <v>-1.2152786556348912E-2</v>
      </c>
      <c r="H277" s="6"/>
      <c r="I277" s="6"/>
      <c r="J277" s="32"/>
    </row>
    <row r="278" spans="1:31" s="26" customFormat="1" ht="16.5">
      <c r="A278" s="82"/>
      <c r="B278" s="83" t="s">
        <v>26</v>
      </c>
      <c r="C278" s="84">
        <v>4017854</v>
      </c>
      <c r="D278" s="84">
        <v>-24328639</v>
      </c>
      <c r="E278" s="84">
        <v>283274900.44</v>
      </c>
      <c r="F278" s="85">
        <f t="shared" si="37"/>
        <v>1.4183586310538711E-2</v>
      </c>
      <c r="G278" s="85">
        <f t="shared" si="36"/>
        <v>-6.0551326653482178</v>
      </c>
      <c r="H278" s="6"/>
      <c r="I278" s="6"/>
      <c r="J278" s="32"/>
    </row>
    <row r="279" spans="1:31" s="26" customFormat="1" ht="16.5">
      <c r="A279" s="82"/>
      <c r="B279" s="83" t="s">
        <v>27</v>
      </c>
      <c r="C279" s="84">
        <v>13446236</v>
      </c>
      <c r="D279" s="84">
        <v>0</v>
      </c>
      <c r="E279" s="84">
        <v>86150297.260000005</v>
      </c>
      <c r="F279" s="85">
        <f t="shared" si="37"/>
        <v>0.15607881142208377</v>
      </c>
      <c r="G279" s="85">
        <f t="shared" si="36"/>
        <v>0</v>
      </c>
      <c r="H279" s="6"/>
      <c r="I279" s="6"/>
      <c r="J279" s="32"/>
    </row>
    <row r="280" spans="1:31" s="26" customFormat="1" ht="16.5">
      <c r="A280" s="82"/>
      <c r="B280" s="83" t="s">
        <v>28</v>
      </c>
      <c r="C280" s="84">
        <v>11619813</v>
      </c>
      <c r="D280" s="84">
        <v>-1132680</v>
      </c>
      <c r="E280" s="84">
        <v>247793209.88999999</v>
      </c>
      <c r="F280" s="85">
        <f t="shared" si="37"/>
        <v>4.6893185673482544E-2</v>
      </c>
      <c r="G280" s="85">
        <f t="shared" si="36"/>
        <v>-9.7478332912930704E-2</v>
      </c>
      <c r="H280" s="6"/>
      <c r="I280" s="6"/>
      <c r="J280" s="32"/>
    </row>
    <row r="281" spans="1:31" s="26" customFormat="1">
      <c r="A281" s="82"/>
      <c r="B281" s="83" t="s">
        <v>29</v>
      </c>
      <c r="C281" s="84">
        <v>14072168</v>
      </c>
      <c r="D281" s="84">
        <v>-1440503</v>
      </c>
      <c r="E281" s="84">
        <v>442463603.77999997</v>
      </c>
      <c r="F281" s="85">
        <f t="shared" si="37"/>
        <v>3.180412553661003E-2</v>
      </c>
      <c r="G281" s="85">
        <f t="shared" si="36"/>
        <v>-0.10236539245409805</v>
      </c>
      <c r="H281" s="6"/>
      <c r="I281" s="6"/>
    </row>
    <row r="282" spans="1:31" s="26" customFormat="1">
      <c r="A282" s="82"/>
      <c r="B282" s="83" t="s">
        <v>30</v>
      </c>
      <c r="C282" s="84">
        <v>5964753</v>
      </c>
      <c r="D282" s="84">
        <v>-32819</v>
      </c>
      <c r="E282" s="84">
        <v>61750737.539999999</v>
      </c>
      <c r="F282" s="85">
        <f t="shared" si="37"/>
        <v>9.65940365673566E-2</v>
      </c>
      <c r="G282" s="85">
        <f t="shared" si="36"/>
        <v>-5.5021557472706749E-3</v>
      </c>
      <c r="H282" s="6"/>
      <c r="I282" s="6"/>
    </row>
    <row r="283" spans="1:31" s="26" customFormat="1" ht="16.5">
      <c r="A283" s="82"/>
      <c r="B283" s="83" t="s">
        <v>92</v>
      </c>
      <c r="C283" s="84">
        <v>2563680</v>
      </c>
      <c r="D283" s="84">
        <v>0</v>
      </c>
      <c r="E283" s="84">
        <v>0</v>
      </c>
      <c r="F283" s="85" t="str">
        <f t="shared" si="37"/>
        <v>-</v>
      </c>
      <c r="G283" s="85">
        <f t="shared" si="36"/>
        <v>0</v>
      </c>
      <c r="H283" s="6"/>
      <c r="I283" s="6"/>
      <c r="J283" s="32"/>
    </row>
    <row r="284" spans="1:31" s="26" customFormat="1" ht="16.5">
      <c r="A284" s="82"/>
      <c r="B284" s="83" t="s">
        <v>31</v>
      </c>
      <c r="C284" s="84">
        <v>-484736</v>
      </c>
      <c r="D284" s="84">
        <v>-508736</v>
      </c>
      <c r="E284" s="84">
        <v>0</v>
      </c>
      <c r="F284" s="85" t="str">
        <f t="shared" si="37"/>
        <v>-</v>
      </c>
      <c r="G284" s="85">
        <f t="shared" si="36"/>
        <v>1.0495114866649062</v>
      </c>
      <c r="H284" s="6"/>
      <c r="I284" s="6"/>
      <c r="J284" s="32"/>
    </row>
    <row r="285" spans="1:31" s="79" customFormat="1" ht="16.5">
      <c r="A285" s="82"/>
      <c r="B285" s="86" t="s">
        <v>32</v>
      </c>
      <c r="C285" s="87">
        <f>SUM(C266:C284)</f>
        <v>500265583</v>
      </c>
      <c r="D285" s="87">
        <f>SUM(D266:D284)</f>
        <v>-37791530</v>
      </c>
      <c r="E285" s="87">
        <f>SUM(E266:E284)</f>
        <v>6068096467.1399994</v>
      </c>
      <c r="F285" s="88">
        <f>C285/E285*100%</f>
        <v>8.2441929806001249E-2</v>
      </c>
      <c r="G285" s="88">
        <v>2.1700000000000001E-2</v>
      </c>
      <c r="H285" s="6"/>
      <c r="I285" s="27"/>
      <c r="J285" s="32"/>
      <c r="K285" s="26"/>
      <c r="L285" s="26"/>
      <c r="M285" s="26"/>
      <c r="O285" s="26"/>
      <c r="P285" s="26"/>
      <c r="R285" s="26"/>
      <c r="S285" s="26"/>
      <c r="U285" s="26"/>
      <c r="V285" s="26"/>
      <c r="X285" s="26"/>
      <c r="Y285" s="26"/>
      <c r="Z285" s="26"/>
      <c r="AA285" s="26"/>
      <c r="AB285" s="26"/>
      <c r="AC285" s="26"/>
      <c r="AD285" s="26"/>
      <c r="AE285" s="26"/>
    </row>
    <row r="286" spans="1:31" s="79" customFormat="1">
      <c r="A286" s="89"/>
      <c r="B286" s="90"/>
      <c r="C286" s="91"/>
      <c r="D286" s="91"/>
      <c r="E286" s="91"/>
      <c r="F286" s="92"/>
      <c r="H286" s="6"/>
      <c r="I286" s="6"/>
      <c r="J286" s="83" t="s">
        <v>50</v>
      </c>
      <c r="K286" s="26"/>
      <c r="L286" s="93"/>
      <c r="M286" s="26"/>
      <c r="O286" s="26"/>
      <c r="P286" s="26"/>
      <c r="R286" s="26"/>
      <c r="S286" s="26"/>
      <c r="X286" s="26"/>
      <c r="Y286" s="26"/>
      <c r="Z286" s="26"/>
      <c r="AA286" s="26"/>
      <c r="AB286" s="26"/>
      <c r="AD286" s="26"/>
      <c r="AE286" s="26"/>
    </row>
    <row r="287" spans="1:31" s="79" customFormat="1" ht="16.5">
      <c r="A287" s="165">
        <f>+A1</f>
        <v>46238</v>
      </c>
      <c r="B287" s="166"/>
      <c r="C287" s="169"/>
      <c r="D287" s="169"/>
      <c r="E287" s="169"/>
      <c r="F287" s="170"/>
      <c r="H287" s="6"/>
      <c r="I287" s="6"/>
      <c r="J287" s="32"/>
      <c r="K287" s="26"/>
      <c r="L287" s="27"/>
      <c r="M287" s="26"/>
      <c r="O287" s="26"/>
      <c r="P287" s="26"/>
      <c r="R287" s="26"/>
      <c r="S287" s="26"/>
      <c r="X287" s="26"/>
      <c r="Y287" s="26"/>
      <c r="Z287" s="26"/>
      <c r="AA287" s="26"/>
      <c r="AB287" s="26"/>
      <c r="AD287" s="26"/>
      <c r="AE287" s="26"/>
    </row>
    <row r="288" spans="1:31" s="78" customFormat="1">
      <c r="A288" s="167"/>
      <c r="B288" s="168"/>
      <c r="C288" s="171"/>
      <c r="D288" s="171"/>
      <c r="E288" s="171"/>
      <c r="F288" s="172"/>
      <c r="G288" s="94">
        <f>+H2</f>
        <v>9.5238095238095233E-2</v>
      </c>
      <c r="H288" s="6"/>
      <c r="I288" s="6"/>
      <c r="J288" s="27"/>
      <c r="K288" s="26"/>
      <c r="L288" s="26"/>
      <c r="M288" s="26"/>
      <c r="O288" s="26"/>
      <c r="P288" s="26"/>
      <c r="R288" s="26"/>
      <c r="S288" s="26"/>
      <c r="U288" s="79"/>
      <c r="V288" s="79"/>
      <c r="X288" s="26"/>
      <c r="Y288" s="26"/>
      <c r="Z288" s="26"/>
      <c r="AA288" s="26"/>
      <c r="AB288" s="26"/>
      <c r="AC288" s="79"/>
      <c r="AD288" s="26"/>
      <c r="AE288" s="26"/>
    </row>
    <row r="289" spans="1:31">
      <c r="A289" s="95" t="s">
        <v>1</v>
      </c>
      <c r="B289" s="12" t="s">
        <v>2</v>
      </c>
      <c r="C289" s="13" t="s">
        <v>3</v>
      </c>
      <c r="D289" s="13" t="s">
        <v>4</v>
      </c>
      <c r="E289" s="13" t="s">
        <v>6</v>
      </c>
      <c r="F289" s="15" t="s">
        <v>7</v>
      </c>
      <c r="G289" s="81" t="s">
        <v>8</v>
      </c>
      <c r="O289" s="26"/>
      <c r="P289" s="26"/>
      <c r="R289" s="26"/>
      <c r="S289" s="26"/>
      <c r="U289" s="78"/>
      <c r="V289" s="78"/>
      <c r="X289" s="26"/>
      <c r="Y289" s="26"/>
      <c r="Z289" s="79"/>
      <c r="AA289" s="26"/>
      <c r="AB289" s="26"/>
      <c r="AC289" s="78"/>
      <c r="AD289" s="79"/>
      <c r="AE289" s="79"/>
    </row>
    <row r="290" spans="1:31">
      <c r="A290" s="173" t="s">
        <v>69</v>
      </c>
      <c r="B290" s="174"/>
      <c r="C290" s="96">
        <f>+C5+C57+C103+C186+C201+C217+C232+C247+C21</f>
        <v>500265583</v>
      </c>
      <c r="D290" s="96">
        <f>+D5+D57+D103+D186+D201+D217+D232+D247+D21</f>
        <v>-37791530</v>
      </c>
      <c r="E290" s="97">
        <f>+F57+F103+F186+F201+F5+F232+F217+F247+F21</f>
        <v>6068096467.1400003</v>
      </c>
      <c r="F290" s="31">
        <f>C290/E290*100%</f>
        <v>8.2441929806001235E-2</v>
      </c>
      <c r="G290" s="31">
        <f>D290/C290*100%</f>
        <v>-7.5542934161832997E-2</v>
      </c>
      <c r="L290" s="98"/>
      <c r="M290" s="98"/>
      <c r="O290" s="26"/>
      <c r="P290" s="26"/>
      <c r="R290" s="26"/>
      <c r="S290" s="26"/>
      <c r="X290" s="79"/>
      <c r="Y290" s="79"/>
      <c r="Z290" s="79"/>
      <c r="AA290" s="26"/>
      <c r="AB290" s="26"/>
      <c r="AD290" s="79"/>
      <c r="AE290" s="79"/>
    </row>
    <row r="291" spans="1:31" s="26" customFormat="1">
      <c r="A291" s="99"/>
      <c r="B291" s="6"/>
      <c r="C291" s="78"/>
      <c r="D291" s="6"/>
      <c r="E291" s="6"/>
      <c r="F291" s="6"/>
      <c r="G291" s="6"/>
      <c r="H291" s="6"/>
      <c r="I291" s="6"/>
      <c r="J291" s="6"/>
      <c r="L291" s="98"/>
      <c r="M291" s="98"/>
      <c r="U291" s="6"/>
      <c r="V291" s="6"/>
      <c r="X291" s="79"/>
      <c r="Y291" s="79"/>
      <c r="Z291" s="79"/>
      <c r="AC291" s="6"/>
      <c r="AD291" s="79"/>
      <c r="AE291" s="79"/>
    </row>
    <row r="292" spans="1:31">
      <c r="J292" s="78"/>
      <c r="O292" s="26"/>
      <c r="P292" s="26"/>
      <c r="R292" s="26"/>
      <c r="S292" s="26"/>
      <c r="X292" s="26"/>
      <c r="Y292" s="26"/>
      <c r="Z292" s="26"/>
      <c r="AA292" s="26"/>
      <c r="AB292" s="26"/>
      <c r="AD292" s="26"/>
      <c r="AE292" s="26"/>
    </row>
    <row r="293" spans="1:31">
      <c r="O293" s="26"/>
      <c r="P293" s="26"/>
      <c r="R293" s="26"/>
      <c r="S293" s="26"/>
      <c r="X293" s="26"/>
      <c r="Y293" s="26"/>
      <c r="Z293" s="26"/>
      <c r="AA293" s="26"/>
      <c r="AB293" s="26"/>
      <c r="AD293" s="26"/>
      <c r="AE293" s="26"/>
    </row>
    <row r="294" spans="1:31">
      <c r="O294" s="26"/>
      <c r="P294" s="26"/>
      <c r="R294" s="26"/>
      <c r="S294" s="26"/>
      <c r="X294" s="26"/>
      <c r="Y294" s="26"/>
      <c r="Z294" s="26"/>
      <c r="AA294" s="26"/>
      <c r="AB294" s="26"/>
      <c r="AD294" s="26"/>
      <c r="AE294" s="26"/>
    </row>
    <row r="295" spans="1:31">
      <c r="O295" s="26"/>
      <c r="P295" s="26"/>
      <c r="R295" s="26"/>
      <c r="S295" s="26"/>
      <c r="X295" s="26"/>
      <c r="Y295" s="26"/>
      <c r="AA295" s="26"/>
      <c r="AB295" s="26"/>
    </row>
    <row r="296" spans="1:31">
      <c r="O296" s="26"/>
      <c r="P296" s="26"/>
      <c r="R296" s="26"/>
      <c r="S296" s="26"/>
      <c r="AA296" s="26"/>
      <c r="AB296" s="26"/>
    </row>
    <row r="297" spans="1:31">
      <c r="O297" s="26"/>
      <c r="P297" s="26"/>
      <c r="R297" s="26"/>
      <c r="S297" s="26"/>
      <c r="AA297" s="26"/>
      <c r="AB297" s="26"/>
    </row>
  </sheetData>
  <mergeCells count="10">
    <mergeCell ref="A287:B288"/>
    <mergeCell ref="C287:F287"/>
    <mergeCell ref="C288:F288"/>
    <mergeCell ref="A290:B290"/>
    <mergeCell ref="A1:B2"/>
    <mergeCell ref="C2:G2"/>
    <mergeCell ref="A261:B261"/>
    <mergeCell ref="A263:B264"/>
    <mergeCell ref="C263:F263"/>
    <mergeCell ref="C264:F264"/>
  </mergeCells>
  <conditionalFormatting sqref="F266:F284">
    <cfRule type="top10" dxfId="17" priority="1" bottom="1" rank="3"/>
    <cfRule type="top10" dxfId="16" priority="2" rank="3"/>
  </conditionalFormatting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A0295-4D68-4158-B83A-8931DFC8A0A0}">
  <dimension ref="A1:AE304"/>
  <sheetViews>
    <sheetView showGridLines="0" zoomScale="70" zoomScaleNormal="70" zoomScaleSheetLayoutView="70" workbookViewId="0">
      <selection activeCell="I272" sqref="I272"/>
    </sheetView>
  </sheetViews>
  <sheetFormatPr baseColWidth="10" defaultColWidth="11.453125" defaultRowHeight="15.5" outlineLevelRow="2"/>
  <cols>
    <col min="1" max="1" width="36.7265625" style="6" customWidth="1"/>
    <col min="2" max="2" width="30.7265625" style="6" customWidth="1"/>
    <col min="3" max="3" width="18.81640625" style="78" bestFit="1" customWidth="1"/>
    <col min="4" max="4" width="18" style="78" customWidth="1"/>
    <col min="5" max="5" width="28.7265625" style="78" customWidth="1"/>
    <col min="6" max="6" width="22.26953125" style="79" bestFit="1" customWidth="1"/>
    <col min="7" max="7" width="18.7265625" style="79" bestFit="1" customWidth="1"/>
    <col min="8" max="8" width="11.81640625" style="6" customWidth="1"/>
    <col min="9" max="9" width="13.1796875" style="6" bestFit="1" customWidth="1"/>
    <col min="10" max="10" width="13.81640625" style="6" customWidth="1"/>
    <col min="11" max="11" width="3.26953125" style="26" customWidth="1"/>
    <col min="12" max="12" width="19.54296875" style="26" customWidth="1"/>
    <col min="13" max="13" width="18.81640625" style="26" customWidth="1"/>
    <col min="14" max="14" width="11.453125" style="6"/>
    <col min="15" max="15" width="21.7265625" style="6" bestFit="1" customWidth="1"/>
    <col min="16" max="16" width="13" style="6" bestFit="1" customWidth="1"/>
    <col min="17" max="17" width="11.453125" style="6"/>
    <col min="18" max="18" width="21.7265625" style="6" bestFit="1" customWidth="1"/>
    <col min="19" max="19" width="13" style="6" bestFit="1" customWidth="1"/>
    <col min="20" max="20" width="11.453125" style="6"/>
    <col min="21" max="21" width="22.26953125" style="6" bestFit="1" customWidth="1"/>
    <col min="22" max="22" width="13.54296875" style="6" bestFit="1" customWidth="1"/>
    <col min="23" max="23" width="11.453125" style="6"/>
    <col min="24" max="24" width="22.26953125" style="6" bestFit="1" customWidth="1"/>
    <col min="25" max="25" width="14.26953125" style="6" bestFit="1" customWidth="1"/>
    <col min="26" max="26" width="11.453125" style="6"/>
    <col min="27" max="27" width="22.26953125" style="6" bestFit="1" customWidth="1"/>
    <col min="28" max="28" width="13" style="6" bestFit="1" customWidth="1"/>
    <col min="29" max="29" width="11.453125" style="6"/>
    <col min="30" max="30" width="26.54296875" style="6" bestFit="1" customWidth="1"/>
    <col min="31" max="31" width="14.26953125" style="6" bestFit="1" customWidth="1"/>
    <col min="32" max="16384" width="11.453125" style="6"/>
  </cols>
  <sheetData>
    <row r="1" spans="1:13">
      <c r="A1" s="175">
        <v>46239</v>
      </c>
      <c r="B1" s="176"/>
      <c r="C1" s="1"/>
      <c r="D1" s="1"/>
      <c r="E1" s="1"/>
      <c r="F1" s="2"/>
      <c r="G1" s="2"/>
      <c r="H1" s="3"/>
      <c r="I1" s="4" t="s">
        <v>0</v>
      </c>
      <c r="J1" s="5"/>
      <c r="K1" s="6"/>
      <c r="L1" s="6"/>
      <c r="M1" s="6"/>
    </row>
    <row r="2" spans="1:13">
      <c r="A2" s="177"/>
      <c r="B2" s="178"/>
      <c r="C2" s="179"/>
      <c r="D2" s="179"/>
      <c r="E2" s="179"/>
      <c r="F2" s="179"/>
      <c r="G2" s="180"/>
      <c r="H2" s="7">
        <f>+M2/100</f>
        <v>0.14285714285714285</v>
      </c>
      <c r="I2" s="8">
        <v>3</v>
      </c>
      <c r="J2" s="9"/>
      <c r="K2" s="6"/>
      <c r="L2" s="10">
        <f>100/21</f>
        <v>4.7619047619047619</v>
      </c>
      <c r="M2" s="10">
        <f>L2*I2</f>
        <v>14.285714285714285</v>
      </c>
    </row>
    <row r="3" spans="1:13" ht="31">
      <c r="A3" s="11" t="s">
        <v>1</v>
      </c>
      <c r="B3" s="12" t="s">
        <v>2</v>
      </c>
      <c r="C3" s="13" t="s">
        <v>3</v>
      </c>
      <c r="D3" s="13" t="s">
        <v>4</v>
      </c>
      <c r="E3" s="14" t="s">
        <v>5</v>
      </c>
      <c r="F3" s="13" t="s">
        <v>6</v>
      </c>
      <c r="G3" s="15" t="s">
        <v>7</v>
      </c>
      <c r="H3" s="16" t="s">
        <v>8</v>
      </c>
      <c r="I3" s="17" t="s">
        <v>9</v>
      </c>
      <c r="J3" s="18" t="s">
        <v>10</v>
      </c>
      <c r="K3" s="6"/>
      <c r="L3" s="6"/>
      <c r="M3" s="6"/>
    </row>
    <row r="4" spans="1:13" ht="18.75" hidden="1" customHeight="1" outlineLevel="1">
      <c r="A4" s="19" t="s">
        <v>11</v>
      </c>
      <c r="B4" s="20" t="s">
        <v>12</v>
      </c>
      <c r="C4" s="21" t="s">
        <v>13</v>
      </c>
      <c r="D4" s="21" t="s">
        <v>14</v>
      </c>
      <c r="E4" s="14" t="s">
        <v>5</v>
      </c>
      <c r="F4" s="21" t="s">
        <v>6</v>
      </c>
      <c r="G4" s="22" t="s">
        <v>15</v>
      </c>
      <c r="H4" s="23">
        <f t="shared" ref="H4:I13" si="0">IFERROR(+D4/L4*100%,0)</f>
        <v>0</v>
      </c>
      <c r="I4" s="24">
        <f t="shared" si="0"/>
        <v>0</v>
      </c>
      <c r="J4" s="25"/>
      <c r="L4" s="27"/>
      <c r="M4" s="27"/>
    </row>
    <row r="5" spans="1:13" ht="16.5" collapsed="1">
      <c r="A5" s="28" t="s">
        <v>16</v>
      </c>
      <c r="B5" s="29" t="s">
        <v>17</v>
      </c>
      <c r="C5" s="30">
        <f>+C20</f>
        <v>9754154</v>
      </c>
      <c r="D5" s="30">
        <f>+D20</f>
        <v>-508736</v>
      </c>
      <c r="E5" s="30">
        <f>+E20</f>
        <v>0</v>
      </c>
      <c r="F5" s="30">
        <f>+F20</f>
        <v>132391087.09</v>
      </c>
      <c r="G5" s="31">
        <f t="shared" ref="G5" si="1">IFERROR(C5/F5*100%,"-")</f>
        <v>7.3676817785846005E-2</v>
      </c>
      <c r="H5" s="23">
        <f t="shared" si="0"/>
        <v>-4.9570442633605154E-2</v>
      </c>
      <c r="I5" s="24">
        <f t="shared" si="0"/>
        <v>0</v>
      </c>
      <c r="J5" s="32"/>
      <c r="L5" s="27">
        <f t="shared" ref="L5:L13" si="2">C5-(D5+E5)</f>
        <v>10262890</v>
      </c>
      <c r="M5" s="27">
        <f t="shared" ref="M5:M13" si="3">L5</f>
        <v>10262890</v>
      </c>
    </row>
    <row r="6" spans="1:13" ht="16.5" hidden="1" outlineLevel="1">
      <c r="A6" s="33"/>
      <c r="B6" s="34" t="s">
        <v>18</v>
      </c>
      <c r="C6" s="35">
        <v>0</v>
      </c>
      <c r="D6" s="36">
        <v>0</v>
      </c>
      <c r="E6" s="36">
        <v>0</v>
      </c>
      <c r="F6" s="35">
        <v>2190251</v>
      </c>
      <c r="G6" s="37">
        <f>IFERROR(C6/F6*100%,"-")</f>
        <v>0</v>
      </c>
      <c r="H6" s="23">
        <f t="shared" si="0"/>
        <v>0</v>
      </c>
      <c r="I6" s="24">
        <f t="shared" si="0"/>
        <v>0</v>
      </c>
      <c r="J6" s="32" t="str" cm="1">
        <f t="array" ref="J6">IFERROR(_xlfn.IFS(B6="044 - BLEND TRADICION","BLEND",B6="113 - CAFÉ GOURMET","GOURMET",B6="114 - CAFÉ CONSUMO","CONSUMO",B6="112 - CAFÉ ORGANICO","GOURMET",B6="172 - CAFÉ COSECHA","ESPECIALES",B6="176 - CAFE DESCAFEINADO","GOURMET",B6="147 - CAPSULAS","CAPSULAS",B6="130 - GALLETAS CAFECITAS","DERIVADOS",B6="140 - MERENGUES","DERIVADOS",B6="100 - CAFÉ ESPECIAL","ESPECIALES",B6="141 - AREQUIPE","DERIVADOS",B6="142 - MERMELADA","DERIVADOS",B6="131 - GALLETAS AVENA","DERIVADOS",B6="160 - SOUVENIR","OTROS",B6="148 - CARAMELOS","DERIVADOS",B6="143 - CHOCOFFES","DERIVADOS",B6="162 - CONVENIOS Y DSC POS ","OTROS"),"OTROS")</f>
        <v>BLEND</v>
      </c>
      <c r="L6" s="27">
        <f t="shared" si="2"/>
        <v>0</v>
      </c>
      <c r="M6" s="27">
        <f t="shared" si="3"/>
        <v>0</v>
      </c>
    </row>
    <row r="7" spans="1:13" ht="16.5" hidden="1" outlineLevel="1">
      <c r="A7" s="33"/>
      <c r="B7" s="34" t="s">
        <v>19</v>
      </c>
      <c r="C7" s="35">
        <v>0</v>
      </c>
      <c r="D7" s="36">
        <v>0</v>
      </c>
      <c r="E7" s="36"/>
      <c r="F7" s="35">
        <v>3013430.38</v>
      </c>
      <c r="G7" s="37">
        <f t="shared" ref="G7:G18" si="4">IFERROR(C7/F7*100%,"-")</f>
        <v>0</v>
      </c>
      <c r="H7" s="23">
        <f t="shared" si="0"/>
        <v>0</v>
      </c>
      <c r="I7" s="24">
        <f t="shared" si="0"/>
        <v>0</v>
      </c>
      <c r="J7" s="32" t="str" cm="1">
        <f t="array" ref="J7">IFERROR(_xlfn.IFS(B7="044 - BLEND TRADICION","BLEND",B7="113 - CAFÉ GOURMET","GOURMET",B7="114 - CAFÉ CONSUMO","CONSUMO",B7="112 - CAFÉ ORGANICO","GOURMET",B7="172 - CAFÉ COSECHA","ESPECIALES",B7="176 - CAFE DESCAFEINADO","GOURMET",B7="147 - CAPSULAS","CAPSULAS",B7="130 - GALLETAS CAFECITAS","DERIVADOS",B7="140 - MERENGUES","DERIVADOS",B7="100 - CAFÉ ESPECIAL","ESPECIALES",B7="141 - AREQUIPE","DERIVADOS",B7="142 - MERMELADA","DERIVADOS",B7="131 - GALLETAS AVENA","DERIVADOS",B7="160 - SOUVENIR","OTROS",B7="148 - CARAMELOS","DERIVADOS",B7="143 - CHOCOFFES","DERIVADOS",B7="162 - CONVENIOS Y DSC POS ","OTROS"),"OTROS")</f>
        <v>ESPECIALES</v>
      </c>
      <c r="L7" s="27">
        <f t="shared" si="2"/>
        <v>0</v>
      </c>
      <c r="M7" s="27">
        <f t="shared" si="3"/>
        <v>0</v>
      </c>
    </row>
    <row r="8" spans="1:13" ht="16.5" hidden="1" outlineLevel="1">
      <c r="A8" s="38"/>
      <c r="B8" s="39" t="s">
        <v>20</v>
      </c>
      <c r="C8" s="36">
        <v>68459</v>
      </c>
      <c r="D8" s="36">
        <v>0</v>
      </c>
      <c r="E8" s="36">
        <v>0</v>
      </c>
      <c r="F8" s="36">
        <v>2838463.33</v>
      </c>
      <c r="G8" s="37">
        <f t="shared" si="4"/>
        <v>2.4118331660814514E-2</v>
      </c>
      <c r="H8" s="23">
        <f t="shared" si="0"/>
        <v>0</v>
      </c>
      <c r="I8" s="24">
        <f t="shared" si="0"/>
        <v>0</v>
      </c>
      <c r="J8" s="32" t="str" cm="1">
        <f t="array" ref="J8">IFERROR(_xlfn.IFS(B8="044 - BLEND TRADICION","BLEND",B8="113 - CAFÉ GOURMET","GOURMET",B8="114 - CAFÉ CONSUMO","CONSUMO",B8="112 - CAFÉ ORGANICO","GOURMET",B8="172 - CAFÉ COSECHA","ESPECIALES",B8="176 - CAFE DESCAFEINADO","GOURMET",B8="147 - CAPSULAS","CAPSULAS",B8="130 - GALLETAS CAFECITAS","DERIVADOS",B8="140 - MERENGUES","DERIVADOS",B8="100 - CAFÉ ESPECIAL","ESPECIALES",B8="141 - AREQUIPE","DERIVADOS",B8="142 - MERMELADA","DERIVADOS",B8="131 - GALLETAS AVENA","DERIVADOS",B8="160 - SOUVENIR","OTROS",B8="148 - CARAMELOS","DERIVADOS",B8="143 - CHOCOFFES","DERIVADOS",B8="162 - CONVENIOS Y DSC POS ","OTROS"),"OTROS")</f>
        <v>GOURMET</v>
      </c>
      <c r="L8" s="27">
        <f t="shared" si="2"/>
        <v>68459</v>
      </c>
      <c r="M8" s="27">
        <f t="shared" si="3"/>
        <v>68459</v>
      </c>
    </row>
    <row r="9" spans="1:13" ht="16.5" hidden="1" outlineLevel="1">
      <c r="A9" s="38"/>
      <c r="B9" s="39" t="s">
        <v>21</v>
      </c>
      <c r="C9" s="36">
        <v>9150094</v>
      </c>
      <c r="D9" s="36">
        <v>0</v>
      </c>
      <c r="E9" s="36">
        <v>0</v>
      </c>
      <c r="F9" s="36">
        <v>87912157.530000001</v>
      </c>
      <c r="G9" s="37">
        <f t="shared" si="4"/>
        <v>0.10408223682688635</v>
      </c>
      <c r="H9" s="23">
        <f t="shared" si="0"/>
        <v>0</v>
      </c>
      <c r="I9" s="24">
        <f t="shared" si="0"/>
        <v>0</v>
      </c>
      <c r="J9" s="32" t="str" cm="1">
        <f t="array" ref="J9">IFERROR(_xlfn.IFS(B9="044 - BLEND TRADICION","BLEND",B9="113 - CAFÉ GOURMET","GOURMET",B9="114 - CAFÉ CONSUMO","CONSUMO",B9="112 - CAFÉ ORGANICO","GOURMET",B9="172 - CAFÉ COSECHA","ESPECIALES",B9="176 - CAFE DESCAFEINADO","GOURMET",B9="147 - CAPSULAS","CAPSULAS",B9="130 - GALLETAS CAFECITAS","DERIVADOS",B9="140 - MERENGUES","DERIVADOS",B9="100 - CAFÉ ESPECIAL","ESPECIALES",B9="141 - AREQUIPE","DERIVADOS",B9="142 - MERMELADA","DERIVADOS",B9="131 - GALLETAS AVENA","DERIVADOS",B9="160 - SOUVENIR","OTROS",B9="148 - CARAMELOS","DERIVADOS",B9="143 - CHOCOFFES","DERIVADOS",B9="162 - CONVENIOS Y DSC POS ","OTROS"),"OTROS")</f>
        <v>GOURMET</v>
      </c>
      <c r="L9" s="27">
        <f t="shared" si="2"/>
        <v>9150094</v>
      </c>
      <c r="M9" s="27">
        <f t="shared" si="3"/>
        <v>9150094</v>
      </c>
    </row>
    <row r="10" spans="1:13" ht="16.5" hidden="1" outlineLevel="1">
      <c r="A10" s="38"/>
      <c r="B10" s="39" t="s">
        <v>22</v>
      </c>
      <c r="C10" s="36">
        <v>250456</v>
      </c>
      <c r="D10" s="36">
        <v>0</v>
      </c>
      <c r="E10" s="36">
        <v>0</v>
      </c>
      <c r="F10" s="36">
        <v>4458765.92</v>
      </c>
      <c r="G10" s="37">
        <f t="shared" si="4"/>
        <v>5.6171596467212613E-2</v>
      </c>
      <c r="H10" s="23">
        <f t="shared" si="0"/>
        <v>0</v>
      </c>
      <c r="I10" s="24">
        <f t="shared" si="0"/>
        <v>0</v>
      </c>
      <c r="J10" s="32" t="str" cm="1">
        <f t="array" ref="J10">IFERROR(_xlfn.IFS(B10="044 - BLEND TRADICION","BLEND",B10="113 - CAFÉ GOURMET","GOURMET",B10="114 - CAFÉ CONSUMO","CONSUMO",B10="112 - CAFÉ ORGANICO","GOURMET",B10="172 - CAFÉ COSECHA","ESPECIALES",B10="176 - CAFE DESCAFEINADO","GOURMET",B10="147 - CAPSULAS","CAPSULAS",B10="130 - GALLETAS CAFECITAS","DERIVADOS",B10="140 - MERENGUES","DERIVADOS",B10="100 - CAFÉ ESPECIAL","ESPECIALES",B10="141 - AREQUIPE","DERIVADOS",B10="142 - MERMELADA","DERIVADOS",B10="131 - GALLETAS AVENA","DERIVADOS",B10="160 - SOUVENIR","OTROS",B10="148 - CARAMELOS","DERIVADOS",B10="143 - CHOCOFFES","DERIVADOS",B10="162 - CONVENIOS Y DSC POS ","OTROS"),"OTROS")</f>
        <v>DERIVADOS</v>
      </c>
      <c r="L10" s="27">
        <f t="shared" si="2"/>
        <v>250456</v>
      </c>
      <c r="M10" s="27">
        <f t="shared" si="3"/>
        <v>250456</v>
      </c>
    </row>
    <row r="11" spans="1:13" ht="16.5" hidden="1" outlineLevel="1">
      <c r="A11" s="38"/>
      <c r="B11" s="39" t="s">
        <v>23</v>
      </c>
      <c r="C11" s="36">
        <v>63836</v>
      </c>
      <c r="D11" s="36">
        <v>0</v>
      </c>
      <c r="E11" s="36">
        <v>0</v>
      </c>
      <c r="F11" s="36">
        <v>347556.62</v>
      </c>
      <c r="G11" s="37">
        <f t="shared" si="4"/>
        <v>0.18367079297755859</v>
      </c>
      <c r="H11" s="23">
        <f t="shared" si="0"/>
        <v>0</v>
      </c>
      <c r="I11" s="24">
        <f t="shared" si="0"/>
        <v>0</v>
      </c>
      <c r="J11" s="32" t="str" cm="1">
        <f t="array" ref="J11">IFERROR(_xlfn.IFS(B11="044 - BLEND TRADICION","BLEND",B11="113 - CAFÉ GOURMET","GOURMET",B11="114 - CAFÉ CONSUMO","CONSUMO",B11="112 - CAFÉ ORGANICO","GOURMET",B11="172 - CAFÉ COSECHA","ESPECIALES",B11="176 - CAFE DESCAFEINADO","GOURMET",B11="147 - CAPSULAS","CAPSULAS",B11="130 - GALLETAS CAFECITAS","DERIVADOS",B11="140 - MERENGUES","DERIVADOS",B11="100 - CAFÉ ESPECIAL","ESPECIALES",B11="141 - AREQUIPE","DERIVADOS",B11="142 - MERMELADA","DERIVADOS",B11="131 - GALLETAS AVENA","DERIVADOS",B11="160 - SOUVENIR","OTROS",B11="148 - CARAMELOS","DERIVADOS",B11="143 - CHOCOFFES","DERIVADOS",B11="162 - CONVENIOS Y DSC POS ","OTROS"),"OTROS")</f>
        <v>DERIVADOS</v>
      </c>
      <c r="L11" s="27">
        <f t="shared" si="2"/>
        <v>63836</v>
      </c>
      <c r="M11" s="27">
        <f t="shared" si="3"/>
        <v>63836</v>
      </c>
    </row>
    <row r="12" spans="1:13" ht="16.5" hidden="1" outlineLevel="1">
      <c r="A12" s="38"/>
      <c r="B12" s="39" t="s">
        <v>24</v>
      </c>
      <c r="C12" s="36">
        <v>48741</v>
      </c>
      <c r="D12" s="36">
        <v>0</v>
      </c>
      <c r="E12" s="36"/>
      <c r="F12" s="36">
        <v>1108552.25</v>
      </c>
      <c r="G12" s="37">
        <f t="shared" si="4"/>
        <v>4.3968157567674415E-2</v>
      </c>
      <c r="H12" s="23">
        <f t="shared" si="0"/>
        <v>0</v>
      </c>
      <c r="I12" s="24">
        <f t="shared" si="0"/>
        <v>0</v>
      </c>
      <c r="J12" s="32" t="str" cm="1">
        <f t="array" ref="J12">IFERROR(_xlfn.IFS(B12="044 - BLEND TRADICION","BLEND",B12="113 - CAFÉ GOURMET","GOURMET",B12="114 - CAFÉ CONSUMO","CONSUMO",B12="112 - CAFÉ ORGANICO","GOURMET",B12="172 - CAFÉ COSECHA","ESPECIALES",B12="176 - CAFE DESCAFEINADO","GOURMET",B12="147 - CAPSULAS","CAPSULAS",B12="130 - GALLETAS CAFECITAS","DERIVADOS",B12="140 - MERENGUES","DERIVADOS",B12="100 - CAFÉ ESPECIAL","ESPECIALES",B12="141 - AREQUIPE","DERIVADOS",B12="142 - MERMELADA","DERIVADOS",B12="131 - GALLETAS AVENA","DERIVADOS",B12="160 - SOUVENIR","OTROS",B12="148 - CARAMELOS","DERIVADOS",B12="143 - CHOCOFFES","DERIVADOS",B12="162 - CONVENIOS Y DSC POS ","OTROS"),"OTROS")</f>
        <v>DERIVADOS</v>
      </c>
      <c r="L12" s="27">
        <f t="shared" si="2"/>
        <v>48741</v>
      </c>
      <c r="M12" s="27">
        <f t="shared" si="3"/>
        <v>48741</v>
      </c>
    </row>
    <row r="13" spans="1:13" ht="16.5" hidden="1" outlineLevel="1">
      <c r="A13" s="38"/>
      <c r="B13" s="39" t="s">
        <v>25</v>
      </c>
      <c r="C13" s="36">
        <v>42096</v>
      </c>
      <c r="D13" s="36">
        <v>0</v>
      </c>
      <c r="E13" s="36"/>
      <c r="F13" s="36">
        <v>5164325.42</v>
      </c>
      <c r="G13" s="37">
        <f t="shared" si="4"/>
        <v>8.1513066231213606E-3</v>
      </c>
      <c r="H13" s="23">
        <f t="shared" si="0"/>
        <v>0</v>
      </c>
      <c r="I13" s="24">
        <f t="shared" si="0"/>
        <v>0</v>
      </c>
      <c r="J13" s="32" t="str" cm="1">
        <f t="array" ref="J13">IFERROR(_xlfn.IFS(B13="044 - BLEND TRADICION","BLEND",B13="113 - CAFÉ GOURMET","GOURMET",B13="114 - CAFÉ CONSUMO","CONSUMO",B13="112 - CAFÉ ORGANICO","GOURMET",B13="172 - CAFÉ COSECHA","ESPECIALES",B13="176 - CAFE DESCAFEINADO","GOURMET",B13="147 - CAPSULAS","CAPSULAS",B13="130 - GALLETAS CAFECITAS","DERIVADOS",B13="140 - MERENGUES","DERIVADOS",B13="100 - CAFÉ ESPECIAL","ESPECIALES",B13="141 - AREQUIPE","DERIVADOS",B13="142 - MERMELADA","DERIVADOS",B13="131 - GALLETAS AVENA","DERIVADOS",B13="160 - SOUVENIR","OTROS",B13="148 - CARAMELOS","DERIVADOS",B13="143 - CHOCOFFES","DERIVADOS",B13="162 - CONVENIOS Y DSC POS ","OTROS"),"OTROS")</f>
        <v>DERIVADOS</v>
      </c>
      <c r="L13" s="27">
        <f t="shared" si="2"/>
        <v>42096</v>
      </c>
      <c r="M13" s="27">
        <f t="shared" si="3"/>
        <v>42096</v>
      </c>
    </row>
    <row r="14" spans="1:13" ht="16.5" hidden="1" outlineLevel="1">
      <c r="A14" s="38"/>
      <c r="B14" s="39" t="s">
        <v>26</v>
      </c>
      <c r="C14" s="36">
        <v>0</v>
      </c>
      <c r="D14" s="36">
        <v>0</v>
      </c>
      <c r="E14" s="36"/>
      <c r="F14" s="36">
        <v>2621339.7000000002</v>
      </c>
      <c r="G14" s="37">
        <f t="shared" si="4"/>
        <v>0</v>
      </c>
      <c r="H14" s="23">
        <f t="shared" ref="H14:H19" si="5">IFERROR(+D14/L14*100%,0)</f>
        <v>0</v>
      </c>
      <c r="I14" s="24">
        <f t="shared" ref="I14:I19" si="6">IFERROR(+E14/M14*100%,0)</f>
        <v>0</v>
      </c>
      <c r="J14" s="32" t="str" cm="1">
        <f t="array" ref="J14">IFERROR(_xlfn.IFS(B14="044 - BLEND TRADICION","BLEND",B14="113 - CAFÉ GOURMET","GOURMET",B14="114 - CAFÉ CONSUMO","CONSUMO",B14="112 - CAFÉ ORGANICO","GOURMET",B14="172 - CAFÉ COSECHA","ESPECIALES",B14="176 - CAFE DESCAFEINADO","GOURMET",B14="147 - CAPSULAS","CAPSULAS",B14="130 - GALLETAS CAFECITAS","DERIVADOS",B14="140 - MERENGUES","DERIVADOS",B14="100 - CAFÉ ESPECIAL","ESPECIALES",B14="141 - AREQUIPE","DERIVADOS",B14="142 - MERMELADA","DERIVADOS",B14="131 - GALLETAS AVENA","DERIVADOS",B14="160 - SOUVENIR","OTROS",B14="148 - CARAMELOS","DERIVADOS",B14="143 - CHOCOFFES","DERIVADOS",B14="162 - CONVENIOS Y DSC POS ","OTROS"),"OTROS")</f>
        <v>CAPSULAS</v>
      </c>
      <c r="L14" s="27">
        <f t="shared" ref="L14:L19" si="7">C14-(D14+E14)</f>
        <v>0</v>
      </c>
      <c r="M14" s="27">
        <f t="shared" ref="M14:M19" si="8">L14</f>
        <v>0</v>
      </c>
    </row>
    <row r="15" spans="1:13" ht="16.5" hidden="1" outlineLevel="1">
      <c r="A15" s="38"/>
      <c r="B15" s="39" t="s">
        <v>27</v>
      </c>
      <c r="C15" s="36">
        <v>0</v>
      </c>
      <c r="D15" s="36">
        <v>0</v>
      </c>
      <c r="E15" s="36"/>
      <c r="F15" s="36">
        <v>4581829.2699999996</v>
      </c>
      <c r="G15" s="37">
        <f t="shared" si="4"/>
        <v>0</v>
      </c>
      <c r="H15" s="23">
        <f t="shared" si="5"/>
        <v>0</v>
      </c>
      <c r="I15" s="24">
        <f t="shared" si="6"/>
        <v>0</v>
      </c>
      <c r="J15" s="32" t="str" cm="1">
        <f t="array" ref="J15">IFERROR(_xlfn.IFS(B15="044 - BLEND TRADICION","BLEND",B15="113 - CAFÉ GOURMET","GOURMET",B15="114 - CAFÉ CONSUMO","CONSUMO",B15="112 - CAFÉ ORGANICO","GOURMET",B15="172 - CAFÉ COSECHA","ESPECIALES",B15="176 - CAFE DESCAFEINADO","GOURMET",B15="147 - CAPSULAS","CAPSULAS",B15="130 - GALLETAS CAFECITAS","DERIVADOS",B15="140 - MERENGUES","DERIVADOS",B15="100 - CAFÉ ESPECIAL","ESPECIALES",B15="141 - AREQUIPE","DERIVADOS",B15="142 - MERMELADA","DERIVADOS",B15="131 - GALLETAS AVENA","DERIVADOS",B15="160 - SOUVENIR","OTROS",B15="148 - CARAMELOS","DERIVADOS",B15="143 - CHOCOFFES","DERIVADOS",B15="162 - CONVENIOS Y DSC POS ","OTROS"),"OTROS")</f>
        <v>DERIVADOS</v>
      </c>
      <c r="L15" s="27">
        <f t="shared" si="7"/>
        <v>0</v>
      </c>
      <c r="M15" s="27">
        <f t="shared" si="8"/>
        <v>0</v>
      </c>
    </row>
    <row r="16" spans="1:13" ht="16.5" hidden="1" outlineLevel="1">
      <c r="A16" s="38"/>
      <c r="B16" s="39" t="s">
        <v>28</v>
      </c>
      <c r="C16" s="36">
        <v>494974</v>
      </c>
      <c r="D16" s="36">
        <v>0</v>
      </c>
      <c r="E16" s="36"/>
      <c r="F16" s="36">
        <v>11251446.380000001</v>
      </c>
      <c r="G16" s="37">
        <f t="shared" si="4"/>
        <v>4.3992032960299278E-2</v>
      </c>
      <c r="H16" s="23">
        <f t="shared" si="5"/>
        <v>0</v>
      </c>
      <c r="I16" s="24">
        <f t="shared" si="6"/>
        <v>0</v>
      </c>
      <c r="J16" s="32" t="str" cm="1">
        <f t="array" ref="J16">IFERROR(_xlfn.IFS(B16="044 - BLEND TRADICION","BLEND",B16="113 - CAFÉ GOURMET","GOURMET",B16="114 - CAFÉ CONSUMO","CONSUMO",B16="112 - CAFÉ ORGANICO","GOURMET",B16="172 - CAFÉ COSECHA","ESPECIALES",B16="176 - CAFE DESCAFEINADO","GOURMET",B16="147 - CAPSULAS","CAPSULAS",B16="130 - GALLETAS CAFECITAS","DERIVADOS",B16="140 - MERENGUES","DERIVADOS",B16="100 - CAFÉ ESPECIAL","ESPECIALES",B16="141 - AREQUIPE","DERIVADOS",B16="142 - MERMELADA","DERIVADOS",B16="131 - GALLETAS AVENA","DERIVADOS",B16="160 - SOUVENIR","OTROS",B16="148 - CARAMELOS","DERIVADOS",B16="143 - CHOCOFFES","DERIVADOS",B16="162 - CONVENIOS Y DSC POS ","OTROS"),"OTROS")</f>
        <v>OTROS</v>
      </c>
      <c r="L16" s="27">
        <f t="shared" si="7"/>
        <v>494974</v>
      </c>
      <c r="M16" s="27">
        <f t="shared" si="8"/>
        <v>494974</v>
      </c>
    </row>
    <row r="17" spans="1:13" ht="16.5" hidden="1" outlineLevel="1">
      <c r="A17" s="38"/>
      <c r="B17" s="39" t="s">
        <v>29</v>
      </c>
      <c r="C17" s="36">
        <v>0</v>
      </c>
      <c r="D17" s="36">
        <v>0</v>
      </c>
      <c r="E17" s="36"/>
      <c r="F17" s="36">
        <v>6227226.4500000002</v>
      </c>
      <c r="G17" s="37">
        <f t="shared" si="4"/>
        <v>0</v>
      </c>
      <c r="H17" s="23">
        <f t="shared" si="5"/>
        <v>0</v>
      </c>
      <c r="I17" s="24">
        <f t="shared" si="6"/>
        <v>0</v>
      </c>
      <c r="J17" s="32" t="str" cm="1">
        <f t="array" ref="J17">IFERROR(_xlfn.IFS(B17="044 - BLEND TRADICION","BLEND",B17="113 - CAFÉ GOURMET","GOURMET",B17="114 - CAFÉ CONSUMO","CONSUMO",B17="112 - CAFÉ ORGANICO","GOURMET",B17="172 - CAFÉ COSECHA","ESPECIALES",B17="176 - CAFE DESCAFEINADO","GOURMET",B17="147 - CAPSULAS","CAPSULAS",B17="130 - GALLETAS CAFECITAS","DERIVADOS",B17="140 - MERENGUES","DERIVADOS",B17="100 - CAFÉ ESPECIAL","ESPECIALES",B17="141 - AREQUIPE","DERIVADOS",B17="142 - MERMELADA","DERIVADOS",B17="131 - GALLETAS AVENA","DERIVADOS",B17="160 - SOUVENIR","OTROS",B17="148 - CARAMELOS","DERIVADOS",B17="143 - CHOCOFFES","DERIVADOS",B17="162 - CONVENIOS Y DSC POS ","OTROS"),"OTROS")</f>
        <v>ESPECIALES</v>
      </c>
      <c r="L17" s="27">
        <f t="shared" si="7"/>
        <v>0</v>
      </c>
      <c r="M17" s="27">
        <f t="shared" si="8"/>
        <v>0</v>
      </c>
    </row>
    <row r="18" spans="1:13" ht="16.5" hidden="1" outlineLevel="1">
      <c r="A18" s="38"/>
      <c r="B18" s="39" t="s">
        <v>30</v>
      </c>
      <c r="C18" s="36">
        <v>144234</v>
      </c>
      <c r="D18" s="36">
        <v>0</v>
      </c>
      <c r="E18" s="36"/>
      <c r="F18" s="36">
        <v>675742.84</v>
      </c>
      <c r="G18" s="37">
        <f t="shared" si="4"/>
        <v>0.21344510287375004</v>
      </c>
      <c r="H18" s="23">
        <f t="shared" si="5"/>
        <v>0</v>
      </c>
      <c r="I18" s="24">
        <f t="shared" si="6"/>
        <v>0</v>
      </c>
      <c r="J18" s="32" t="str" cm="1">
        <f t="array" ref="J18">IFERROR(_xlfn.IFS(B18="044 - BLEND TRADICION","BLEND",B18="113 - CAFÉ GOURMET","GOURMET",B18="114 - CAFÉ CONSUMO","CONSUMO",B18="112 - CAFÉ ORGANICO","GOURMET",B18="172 - CAFÉ COSECHA","ESPECIALES",B18="176 - CAFE DESCAFEINADO","GOURMET",B18="147 - CAPSULAS","CAPSULAS",B18="130 - GALLETAS CAFECITAS","DERIVADOS",B18="140 - MERENGUES","DERIVADOS",B18="100 - CAFÉ ESPECIAL","ESPECIALES",B18="141 - AREQUIPE","DERIVADOS",B18="142 - MERMELADA","DERIVADOS",B18="131 - GALLETAS AVENA","DERIVADOS",B18="160 - SOUVENIR","OTROS",B18="148 - CARAMELOS","DERIVADOS",B18="143 - CHOCOFFES","DERIVADOS",B18="162 - CONVENIOS Y DSC POS ","OTROS"),"OTROS")</f>
        <v>GOURMET</v>
      </c>
      <c r="L18" s="27">
        <f t="shared" si="7"/>
        <v>144234</v>
      </c>
      <c r="M18" s="27">
        <f t="shared" si="8"/>
        <v>144234</v>
      </c>
    </row>
    <row r="19" spans="1:13" ht="16.5" hidden="1" outlineLevel="1">
      <c r="A19" s="38"/>
      <c r="B19" s="39" t="s">
        <v>31</v>
      </c>
      <c r="C19" s="36">
        <v>-508736</v>
      </c>
      <c r="D19" s="36">
        <v>-508736</v>
      </c>
      <c r="E19" s="36"/>
      <c r="F19" s="36"/>
      <c r="G19" s="37"/>
      <c r="H19" s="23">
        <f t="shared" si="5"/>
        <v>0</v>
      </c>
      <c r="I19" s="24">
        <f t="shared" si="6"/>
        <v>0</v>
      </c>
      <c r="J19" s="32" t="str" cm="1">
        <f t="array" ref="J19">IFERROR(_xlfn.IFS(B19="044 - BLEND TRADICION","BLEND",B19="113 - CAFÉ GOURMET","GOURMET",B19="114 - CAFÉ CONSUMO","CONSUMO",B19="112 - CAFÉ ORGANICO","GOURMET",B19="172 - CAFÉ COSECHA","ESPECIALES",B19="176 - CAFE DESCAFEINADO","GOURMET",B19="147 - CAPSULAS","CAPSULAS",B19="130 - GALLETAS CAFECITAS","DERIVADOS",B19="140 - MERENGUES","DERIVADOS",B19="100 - CAFÉ ESPECIAL","ESPECIALES",B19="141 - AREQUIPE","DERIVADOS",B19="142 - MERMELADA","DERIVADOS",B19="131 - GALLETAS AVENA","DERIVADOS",B19="160 - SOUVENIR","OTROS",B19="148 - CARAMELOS","DERIVADOS",B19="143 - CHOCOFFES","DERIVADOS",B19="162 - CONVENIOS Y DSC POS ","OTROS"),"OTROS")</f>
        <v>OTROS</v>
      </c>
      <c r="L19" s="27">
        <f t="shared" si="7"/>
        <v>0</v>
      </c>
      <c r="M19" s="27">
        <f t="shared" si="8"/>
        <v>0</v>
      </c>
    </row>
    <row r="20" spans="1:13" ht="16.5" hidden="1" outlineLevel="1">
      <c r="A20" s="19" t="s">
        <v>16</v>
      </c>
      <c r="B20" s="40" t="s">
        <v>32</v>
      </c>
      <c r="C20" s="41">
        <f>SUM(C6:C19)</f>
        <v>9754154</v>
      </c>
      <c r="D20" s="41">
        <f>SUM(D6:D19)</f>
        <v>-508736</v>
      </c>
      <c r="E20" s="41">
        <f>SUM(E6:E19)</f>
        <v>0</v>
      </c>
      <c r="F20" s="41">
        <f>SUM(F6:F19)</f>
        <v>132391087.09</v>
      </c>
      <c r="G20" s="42">
        <f t="shared" ref="G20:G86" si="9">IFERROR(C20/F20*100%,"-")</f>
        <v>7.3676817785846005E-2</v>
      </c>
      <c r="H20" s="43">
        <f t="shared" ref="H20:I35" si="10">IFERROR(+D20/L20*100%,0)</f>
        <v>-4.9570442633605154E-2</v>
      </c>
      <c r="I20" s="24">
        <f t="shared" si="10"/>
        <v>0</v>
      </c>
      <c r="J20" s="32" t="str" cm="1">
        <f t="array" ref="J20">IFERROR(_xlfn.IFS(B20="044 - BLEND TRADICION","BLEND",B20="113 - CAFÉ GOURMET","GOURMET",B20="114 - CAFÉ CONSUMO","CONSUMO",B20="112 - CAFÉ ORGANICO","GOURMET",B20="172 - CAFÉ COSECHA","ESPECIALES",B20="176 - CAFE DESCAFEINADO","GOURMET",B20="147 - CAPSULAS","CAPSULAS",B20="130 - GALLETAS CAFECITAS","DERIVADOS",B20="140 - MERENGUES","DERIVADOS",B20="100 - CAFÉ ESPECIAL","ESPECIALES",B20="141 - AREQUIPE","DERIVADOS",B20="142 - MERMELADA","DERIVADOS",B20="131 - GALLETAS AVENA","DERIVADOS",B20="160 - SOUVENIR","OTROS",B20="148 - CARAMELOS","DERIVADOS",B20="143 - CHOCOFFES","DERIVADOS",B20="162 - CONVENIOS Y DSC POS ","OTROS"),"OTROS")</f>
        <v>OTROS</v>
      </c>
      <c r="L20" s="27">
        <f t="shared" ref="L20:L86" si="11">C20-(D20+E20)</f>
        <v>10262890</v>
      </c>
      <c r="M20" s="27">
        <f t="shared" ref="M20:M86" si="12">L20</f>
        <v>10262890</v>
      </c>
    </row>
    <row r="21" spans="1:13" ht="16.5" collapsed="1">
      <c r="A21" s="28" t="s">
        <v>33</v>
      </c>
      <c r="B21" s="29" t="s">
        <v>17</v>
      </c>
      <c r="C21" s="30">
        <f>+C26+C58+C41</f>
        <v>112881834</v>
      </c>
      <c r="D21" s="30">
        <f>+D26+D58+D41</f>
        <v>0</v>
      </c>
      <c r="E21" s="30">
        <f>+E26+E58+E41</f>
        <v>0</v>
      </c>
      <c r="F21" s="30">
        <f>+F26+F58+F41</f>
        <v>482062133.13</v>
      </c>
      <c r="G21" s="31">
        <f t="shared" si="9"/>
        <v>0.23416449092789168</v>
      </c>
      <c r="H21" s="43">
        <f t="shared" si="10"/>
        <v>0</v>
      </c>
      <c r="I21" s="24">
        <f t="shared" si="10"/>
        <v>0</v>
      </c>
      <c r="J21" s="32" t="str" cm="1">
        <f t="array" ref="J21">IFERROR(_xlfn.IFS(B21="044 - BLEND TRADICION","BLEND",B21="113 - CAFÉ GOURMET","GOURMET",B21="114 - CAFÉ CONSUMO","CONSUMO",B21="112 - CAFÉ ORGANICO","GOURMET",B21="172 - CAFÉ COSECHA","ESPECIALES",B21="176 - CAFE DESCAFEINADO","GOURMET",B21="147 - CAPSULAS","CAPSULAS",B21="130 - GALLETAS CAFECITAS","DERIVADOS",B21="140 - MERENGUES","DERIVADOS",B21="100 - CAFÉ ESPECIAL","ESPECIALES",B21="141 - AREQUIPE","DERIVADOS",B21="142 - MERMELADA","DERIVADOS",B21="131 - GALLETAS AVENA","DERIVADOS",B21="160 - SOUVENIR","OTROS",B21="148 - CARAMELOS","DERIVADOS",B21="143 - CHOCOFFES","DERIVADOS",B21="162 - CONVENIOS Y DSC POS ","OTROS"),"OTROS")</f>
        <v>OTROS</v>
      </c>
      <c r="L21" s="27">
        <f t="shared" si="11"/>
        <v>112881834</v>
      </c>
      <c r="M21" s="27">
        <f t="shared" si="12"/>
        <v>112881834</v>
      </c>
    </row>
    <row r="22" spans="1:13" ht="16.5" hidden="1" outlineLevel="1">
      <c r="A22" s="44"/>
      <c r="B22" s="45" t="s">
        <v>34</v>
      </c>
      <c r="C22" s="46">
        <v>26048700</v>
      </c>
      <c r="D22" s="47">
        <v>0</v>
      </c>
      <c r="E22" s="48"/>
      <c r="F22" s="48">
        <v>43207145.729999997</v>
      </c>
      <c r="G22" s="49">
        <f t="shared" si="9"/>
        <v>0.60287944412661398</v>
      </c>
      <c r="H22" s="43">
        <f t="shared" si="10"/>
        <v>0</v>
      </c>
      <c r="I22" s="24">
        <f t="shared" si="10"/>
        <v>0</v>
      </c>
      <c r="J22" s="32" t="str" cm="1">
        <f t="array" ref="J22">IFERROR(_xlfn.IFS(B22="044 - BLEND TRADICION","BLEND",B22="113 - CAFÉ GOURMET","GOURMET",B22="114 - CAFÉ CONSUMO","CONSUMO",B22="112 - CAFÉ ORGANICO","GOURMET",B22="172 - CAFÉ COSECHA","ESPECIALES",B22="176 - CAFE DESCAFEINADO","GOURMET",B22="147 - CAPSULAS","CAPSULAS",B22="130 - GALLETAS CAFECITAS","DERIVADOS",B22="140 - MERENGUES","DERIVADOS",B22="100 - CAFÉ ESPECIAL","ESPECIALES",B22="141 - AREQUIPE","DERIVADOS",B22="142 - MERMELADA","DERIVADOS",B22="131 - GALLETAS AVENA","DERIVADOS",B22="160 - SOUVENIR","OTROS",B22="148 - CARAMELOS","DERIVADOS",B22="143 - CHOCOFFES","DERIVADOS",B22="162 - CONVENIOS Y DSC POS ","OTROS"),"OTROS")</f>
        <v>OTROS</v>
      </c>
      <c r="L22" s="27">
        <f t="shared" si="11"/>
        <v>26048700</v>
      </c>
      <c r="M22" s="27">
        <f t="shared" si="12"/>
        <v>26048700</v>
      </c>
    </row>
    <row r="23" spans="1:13" ht="16.5" hidden="1" outlineLevel="1">
      <c r="A23" s="44"/>
      <c r="B23" s="45" t="s">
        <v>21</v>
      </c>
      <c r="C23" s="46">
        <v>17902500</v>
      </c>
      <c r="D23" s="50">
        <v>0</v>
      </c>
      <c r="E23" s="51"/>
      <c r="F23" s="51">
        <v>40827157.719999999</v>
      </c>
      <c r="G23" s="49">
        <f t="shared" si="9"/>
        <v>0.43849488918083812</v>
      </c>
      <c r="H23" s="43">
        <f t="shared" si="10"/>
        <v>0</v>
      </c>
      <c r="I23" s="24">
        <f t="shared" si="10"/>
        <v>0</v>
      </c>
      <c r="J23" s="32" t="str" cm="1">
        <f t="array" ref="J23">IFERROR(_xlfn.IFS(B23="044 - BLEND TRADICION","BLEND",B23="113 - CAFÉ GOURMET","GOURMET",B23="114 - CAFÉ CONSUMO","CONSUMO",B23="112 - CAFÉ ORGANICO","GOURMET",B23="172 - CAFÉ COSECHA","ESPECIALES",B23="176 - CAFE DESCAFEINADO","GOURMET",B23="147 - CAPSULAS","CAPSULAS",B23="130 - GALLETAS CAFECITAS","DERIVADOS",B23="140 - MERENGUES","DERIVADOS",B23="100 - CAFÉ ESPECIAL","ESPECIALES",B23="141 - AREQUIPE","DERIVADOS",B23="142 - MERMELADA","DERIVADOS",B23="131 - GALLETAS AVENA","DERIVADOS",B23="160 - SOUVENIR","OTROS",B23="148 - CARAMELOS","DERIVADOS",B23="143 - CHOCOFFES","DERIVADOS",B23="162 - CONVENIOS Y DSC POS ","OTROS"),"OTROS")</f>
        <v>GOURMET</v>
      </c>
      <c r="L23" s="27">
        <f t="shared" si="11"/>
        <v>17902500</v>
      </c>
      <c r="M23" s="27">
        <f t="shared" si="12"/>
        <v>17902500</v>
      </c>
    </row>
    <row r="24" spans="1:13" ht="16.5" hidden="1" outlineLevel="1">
      <c r="A24" s="44"/>
      <c r="B24" s="45" t="s">
        <v>26</v>
      </c>
      <c r="C24" s="46">
        <v>0</v>
      </c>
      <c r="D24" s="50">
        <v>0</v>
      </c>
      <c r="E24" s="51"/>
      <c r="F24" s="51">
        <v>72407.34</v>
      </c>
      <c r="G24" s="49">
        <f t="shared" si="9"/>
        <v>0</v>
      </c>
      <c r="H24" s="43">
        <f t="shared" si="10"/>
        <v>0</v>
      </c>
      <c r="I24" s="24">
        <f t="shared" si="10"/>
        <v>0</v>
      </c>
      <c r="J24" s="32" t="str" cm="1">
        <f t="array" ref="J24">IFERROR(_xlfn.IFS(B24="044 - BLEND TRADICION","BLEND",B24="113 - CAFÉ GOURMET","GOURMET",B24="114 - CAFÉ CONSUMO","CONSUMO",B24="112 - CAFÉ ORGANICO","GOURMET",B24="172 - CAFÉ COSECHA","ESPECIALES",B24="176 - CAFE DESCAFEINADO","GOURMET",B24="147 - CAPSULAS","CAPSULAS",B24="130 - GALLETAS CAFECITAS","DERIVADOS",B24="140 - MERENGUES","DERIVADOS",B24="100 - CAFÉ ESPECIAL","ESPECIALES",B24="141 - AREQUIPE","DERIVADOS",B24="142 - MERMELADA","DERIVADOS",B24="131 - GALLETAS AVENA","DERIVADOS",B24="160 - SOUVENIR","OTROS",B24="148 - CARAMELOS","DERIVADOS",B24="143 - CHOCOFFES","DERIVADOS",B24="162 - CONVENIOS Y DSC POS ","OTROS"),"OTROS")</f>
        <v>CAPSULAS</v>
      </c>
      <c r="L24" s="27">
        <f t="shared" si="11"/>
        <v>0</v>
      </c>
      <c r="M24" s="27">
        <f t="shared" si="12"/>
        <v>0</v>
      </c>
    </row>
    <row r="25" spans="1:13" ht="16.5" hidden="1" outlineLevel="1">
      <c r="A25" s="44"/>
      <c r="B25" s="45" t="s">
        <v>28</v>
      </c>
      <c r="C25" s="46">
        <v>0</v>
      </c>
      <c r="D25" s="50">
        <v>0</v>
      </c>
      <c r="E25" s="51"/>
      <c r="F25" s="51">
        <v>7805453.8099999996</v>
      </c>
      <c r="G25" s="49">
        <f t="shared" si="9"/>
        <v>0</v>
      </c>
      <c r="H25" s="43">
        <f t="shared" si="10"/>
        <v>0</v>
      </c>
      <c r="I25" s="24">
        <f t="shared" si="10"/>
        <v>0</v>
      </c>
      <c r="J25" s="32" t="str" cm="1">
        <f t="array" ref="J25">IFERROR(_xlfn.IFS(B25="044 - BLEND TRADICION","BLEND",B25="113 - CAFÉ GOURMET","GOURMET",B25="114 - CAFÉ CONSUMO","CONSUMO",B25="112 - CAFÉ ORGANICO","GOURMET",B25="172 - CAFÉ COSECHA","ESPECIALES",B25="176 - CAFE DESCAFEINADO","GOURMET",B25="147 - CAPSULAS","CAPSULAS",B25="130 - GALLETAS CAFECITAS","DERIVADOS",B25="140 - MERENGUES","DERIVADOS",B25="100 - CAFÉ ESPECIAL","ESPECIALES",B25="141 - AREQUIPE","DERIVADOS",B25="142 - MERMELADA","DERIVADOS",B25="131 - GALLETAS AVENA","DERIVADOS",B25="160 - SOUVENIR","OTROS",B25="148 - CARAMELOS","DERIVADOS",B25="143 - CHOCOFFES","DERIVADOS",B25="162 - CONVENIOS Y DSC POS ","OTROS"),"OTROS")</f>
        <v>OTROS</v>
      </c>
      <c r="L25" s="27">
        <f t="shared" si="11"/>
        <v>0</v>
      </c>
      <c r="M25" s="27">
        <f t="shared" si="12"/>
        <v>0</v>
      </c>
    </row>
    <row r="26" spans="1:13" ht="16.5" hidden="1" outlineLevel="1">
      <c r="A26" s="52" t="s">
        <v>35</v>
      </c>
      <c r="B26" s="20" t="s">
        <v>32</v>
      </c>
      <c r="C26" s="21">
        <f>SUM(C22:C25)</f>
        <v>43951200</v>
      </c>
      <c r="D26" s="53">
        <f t="shared" ref="D26:E26" si="13">SUM(D22)</f>
        <v>0</v>
      </c>
      <c r="E26" s="54">
        <f t="shared" si="13"/>
        <v>0</v>
      </c>
      <c r="F26" s="54">
        <f>SUM(F22:F25)</f>
        <v>91912164.599999994</v>
      </c>
      <c r="G26" s="55">
        <f t="shared" si="9"/>
        <v>0.47818697548115413</v>
      </c>
      <c r="H26" s="43">
        <f t="shared" si="10"/>
        <v>0</v>
      </c>
      <c r="I26" s="24">
        <f t="shared" si="10"/>
        <v>0</v>
      </c>
      <c r="J26" s="32" t="str" cm="1">
        <f t="array" ref="J26">IFERROR(_xlfn.IFS(B26="044 - BLEND TRADICION","BLEND",B26="113 - CAFÉ GOURMET","GOURMET",B26="114 - CAFÉ CONSUMO","CONSUMO",B26="112 - CAFÉ ORGANICO","GOURMET",B26="172 - CAFÉ COSECHA","ESPECIALES",B26="176 - CAFE DESCAFEINADO","GOURMET",B26="147 - CAPSULAS","CAPSULAS",B26="130 - GALLETAS CAFECITAS","DERIVADOS",B26="140 - MERENGUES","DERIVADOS",B26="100 - CAFÉ ESPECIAL","ESPECIALES",B26="141 - AREQUIPE","DERIVADOS",B26="142 - MERMELADA","DERIVADOS",B26="131 - GALLETAS AVENA","DERIVADOS",B26="160 - SOUVENIR","OTROS",B26="148 - CARAMELOS","DERIVADOS",B26="143 - CHOCOFFES","DERIVADOS",B26="162 - CONVENIOS Y DSC POS ","OTROS"),"OTROS")</f>
        <v>OTROS</v>
      </c>
      <c r="L26" s="27">
        <f t="shared" si="11"/>
        <v>43951200</v>
      </c>
      <c r="M26" s="27">
        <f t="shared" si="12"/>
        <v>43951200</v>
      </c>
    </row>
    <row r="27" spans="1:13" ht="16.5" hidden="1" outlineLevel="1">
      <c r="A27" s="44"/>
      <c r="B27" s="45" t="s">
        <v>34</v>
      </c>
      <c r="C27" s="46">
        <v>2106280</v>
      </c>
      <c r="D27" s="47">
        <v>0</v>
      </c>
      <c r="E27" s="48">
        <v>0</v>
      </c>
      <c r="F27" s="48">
        <v>6545773.3099999996</v>
      </c>
      <c r="G27" s="49">
        <f t="shared" si="9"/>
        <v>0.32177710718796648</v>
      </c>
      <c r="H27" s="43">
        <f t="shared" si="10"/>
        <v>0</v>
      </c>
      <c r="I27" s="24">
        <f t="shared" si="10"/>
        <v>0</v>
      </c>
      <c r="J27" s="32" t="str" cm="1">
        <f t="array" ref="J27">IFERROR(_xlfn.IFS(B27="044 - BLEND TRADICION","BLEND",B27="113 - CAFÉ GOURMET","GOURMET",B27="114 - CAFÉ CONSUMO","CONSUMO",B27="112 - CAFÉ ORGANICO","GOURMET",B27="172 - CAFÉ COSECHA","ESPECIALES",B27="176 - CAFE DESCAFEINADO","GOURMET",B27="147 - CAPSULAS","CAPSULAS",B27="130 - GALLETAS CAFECITAS","DERIVADOS",B27="140 - MERENGUES","DERIVADOS",B27="100 - CAFÉ ESPECIAL","ESPECIALES",B27="141 - AREQUIPE","DERIVADOS",B27="142 - MERMELADA","DERIVADOS",B27="131 - GALLETAS AVENA","DERIVADOS",B27="160 - SOUVENIR","OTROS",B27="148 - CARAMELOS","DERIVADOS",B27="143 - CHOCOFFES","DERIVADOS",B27="162 - CONVENIOS Y DSC POS ","OTROS"),"OTROS")</f>
        <v>OTROS</v>
      </c>
      <c r="L27" s="27">
        <f t="shared" si="11"/>
        <v>2106280</v>
      </c>
      <c r="M27" s="27">
        <f t="shared" si="12"/>
        <v>2106280</v>
      </c>
    </row>
    <row r="28" spans="1:13" ht="16.5" hidden="1" outlineLevel="1">
      <c r="A28" s="38"/>
      <c r="B28" s="34" t="s">
        <v>19</v>
      </c>
      <c r="C28" s="35">
        <v>189399</v>
      </c>
      <c r="D28" s="36">
        <v>0</v>
      </c>
      <c r="E28" s="48">
        <v>0</v>
      </c>
      <c r="F28" s="48">
        <v>4061262.59</v>
      </c>
      <c r="G28" s="49">
        <f t="shared" si="9"/>
        <v>4.6635497164442159E-2</v>
      </c>
      <c r="H28" s="23">
        <f t="shared" si="10"/>
        <v>0</v>
      </c>
      <c r="I28" s="24">
        <f t="shared" si="10"/>
        <v>0</v>
      </c>
      <c r="J28" s="32" t="str" cm="1">
        <f t="array" ref="J28">IFERROR(_xlfn.IFS(B28="044 - BLEND TRADICION","BLEND",B28="113 - CAFÉ GOURMET","GOURMET",B28="114 - CAFÉ CONSUMO","CONSUMO",B28="112 - CAFÉ ORGANICO","GOURMET",B28="172 - CAFÉ COSECHA","ESPECIALES",B28="176 - CAFE DESCAFEINADO","GOURMET",B28="147 - CAPSULAS","CAPSULAS",B28="130 - GALLETAS CAFECITAS","DERIVADOS",B28="140 - MERENGUES","DERIVADOS",B28="100 - CAFÉ ESPECIAL","ESPECIALES",B28="141 - AREQUIPE","DERIVADOS",B28="142 - MERMELADA","DERIVADOS",B28="131 - GALLETAS AVENA","DERIVADOS",B28="160 - SOUVENIR","OTROS",B28="148 - CARAMELOS","DERIVADOS",B28="143 - CHOCOFFES","DERIVADOS",B28="162 - CONVENIOS Y DSC POS ","OTROS"),"OTROS")</f>
        <v>ESPECIALES</v>
      </c>
      <c r="L28" s="27">
        <f t="shared" si="11"/>
        <v>189399</v>
      </c>
      <c r="M28" s="27">
        <f t="shared" si="12"/>
        <v>189399</v>
      </c>
    </row>
    <row r="29" spans="1:13" ht="16.5" hidden="1" outlineLevel="1">
      <c r="A29" s="38"/>
      <c r="B29" s="39" t="s">
        <v>20</v>
      </c>
      <c r="C29" s="36">
        <v>639804</v>
      </c>
      <c r="D29" s="36">
        <v>0</v>
      </c>
      <c r="E29" s="48">
        <v>0</v>
      </c>
      <c r="F29" s="48">
        <v>1222472.22</v>
      </c>
      <c r="G29" s="49">
        <f t="shared" si="9"/>
        <v>0.52336894821217284</v>
      </c>
      <c r="H29" s="23">
        <f t="shared" si="10"/>
        <v>0</v>
      </c>
      <c r="I29" s="24">
        <f t="shared" si="10"/>
        <v>0</v>
      </c>
      <c r="J29" s="32" t="str" cm="1">
        <f t="array" ref="J29">IFERROR(_xlfn.IFS(B29="044 - BLEND TRADICION","BLEND",B29="113 - CAFÉ GOURMET","GOURMET",B29="114 - CAFÉ CONSUMO","CONSUMO",B29="112 - CAFÉ ORGANICO","GOURMET",B29="172 - CAFÉ COSECHA","ESPECIALES",B29="176 - CAFE DESCAFEINADO","GOURMET",B29="147 - CAPSULAS","CAPSULAS",B29="130 - GALLETAS CAFECITAS","DERIVADOS",B29="140 - MERENGUES","DERIVADOS",B29="100 - CAFÉ ESPECIAL","ESPECIALES",B29="141 - AREQUIPE","DERIVADOS",B29="142 - MERMELADA","DERIVADOS",B29="131 - GALLETAS AVENA","DERIVADOS",B29="160 - SOUVENIR","OTROS",B29="148 - CARAMELOS","DERIVADOS",B29="143 - CHOCOFFES","DERIVADOS",B29="162 - CONVENIOS Y DSC POS ","OTROS"),"OTROS")</f>
        <v>GOURMET</v>
      </c>
      <c r="L29" s="27">
        <f t="shared" si="11"/>
        <v>639804</v>
      </c>
      <c r="M29" s="27">
        <f t="shared" si="12"/>
        <v>639804</v>
      </c>
    </row>
    <row r="30" spans="1:13" ht="16.5" hidden="1" outlineLevel="1">
      <c r="A30" s="38"/>
      <c r="B30" s="39" t="s">
        <v>21</v>
      </c>
      <c r="C30" s="36">
        <v>41795122</v>
      </c>
      <c r="D30" s="36">
        <v>0</v>
      </c>
      <c r="E30" s="48">
        <v>0</v>
      </c>
      <c r="F30" s="48">
        <v>223480484.16999999</v>
      </c>
      <c r="G30" s="49">
        <f t="shared" si="9"/>
        <v>0.18701911334775323</v>
      </c>
      <c r="H30" s="23">
        <f t="shared" si="10"/>
        <v>0</v>
      </c>
      <c r="I30" s="24">
        <f t="shared" si="10"/>
        <v>0</v>
      </c>
      <c r="J30" s="32" t="str" cm="1">
        <f t="array" ref="J30">IFERROR(_xlfn.IFS(B30="044 - BLEND TRADICION","BLEND",B30="113 - CAFÉ GOURMET","GOURMET",B30="114 - CAFÉ CONSUMO","CONSUMO",B30="112 - CAFÉ ORGANICO","GOURMET",B30="172 - CAFÉ COSECHA","ESPECIALES",B30="176 - CAFE DESCAFEINADO","GOURMET",B30="147 - CAPSULAS","CAPSULAS",B30="130 - GALLETAS CAFECITAS","DERIVADOS",B30="140 - MERENGUES","DERIVADOS",B30="100 - CAFÉ ESPECIAL","ESPECIALES",B30="141 - AREQUIPE","DERIVADOS",B30="142 - MERMELADA","DERIVADOS",B30="131 - GALLETAS AVENA","DERIVADOS",B30="160 - SOUVENIR","OTROS",B30="148 - CARAMELOS","DERIVADOS",B30="143 - CHOCOFFES","DERIVADOS",B30="162 - CONVENIOS Y DSC POS ","OTROS"),"OTROS")</f>
        <v>GOURMET</v>
      </c>
      <c r="L30" s="27">
        <f t="shared" si="11"/>
        <v>41795122</v>
      </c>
      <c r="M30" s="27">
        <f t="shared" si="12"/>
        <v>41795122</v>
      </c>
    </row>
    <row r="31" spans="1:13" ht="16.5" hidden="1" outlineLevel="1">
      <c r="A31" s="38"/>
      <c r="B31" s="39" t="s">
        <v>38</v>
      </c>
      <c r="C31" s="36">
        <v>0</v>
      </c>
      <c r="D31" s="36">
        <v>0</v>
      </c>
      <c r="E31" s="48">
        <v>0</v>
      </c>
      <c r="F31" s="48">
        <v>12078505</v>
      </c>
      <c r="G31" s="49">
        <f t="shared" si="9"/>
        <v>0</v>
      </c>
      <c r="H31" s="23">
        <f t="shared" si="10"/>
        <v>0</v>
      </c>
      <c r="I31" s="24">
        <f t="shared" si="10"/>
        <v>0</v>
      </c>
      <c r="J31" s="32" t="str" cm="1">
        <f t="array" ref="J31">IFERROR(_xlfn.IFS(B31="044 - BLEND TRADICION","BLEND",B31="113 - CAFÉ GOURMET","GOURMET",B31="114 - CAFÉ CONSUMO","CONSUMO",B31="112 - CAFÉ ORGANICO","GOURMET",B31="172 - CAFÉ COSECHA","ESPECIALES",B31="176 - CAFE DESCAFEINADO","GOURMET",B31="147 - CAPSULAS","CAPSULAS",B31="130 - GALLETAS CAFECITAS","DERIVADOS",B31="140 - MERENGUES","DERIVADOS",B31="100 - CAFÉ ESPECIAL","ESPECIALES",B31="141 - AREQUIPE","DERIVADOS",B31="142 - MERMELADA","DERIVADOS",B31="131 - GALLETAS AVENA","DERIVADOS",B31="160 - SOUVENIR","OTROS",B31="148 - CARAMELOS","DERIVADOS",B31="143 - CHOCOFFES","DERIVADOS",B31="162 - CONVENIOS Y DSC POS ","OTROS"),"OTROS")</f>
        <v>CONSUMO</v>
      </c>
      <c r="L31" s="27">
        <f t="shared" si="11"/>
        <v>0</v>
      </c>
      <c r="M31" s="27">
        <f t="shared" si="12"/>
        <v>0</v>
      </c>
    </row>
    <row r="32" spans="1:13" ht="16.5" hidden="1" outlineLevel="1">
      <c r="A32" s="38"/>
      <c r="B32" s="39" t="s">
        <v>22</v>
      </c>
      <c r="C32" s="36">
        <v>1106521</v>
      </c>
      <c r="D32" s="36">
        <v>0</v>
      </c>
      <c r="E32" s="48">
        <v>0</v>
      </c>
      <c r="F32" s="48">
        <v>876245.45</v>
      </c>
      <c r="G32" s="49">
        <f t="shared" si="9"/>
        <v>1.2627979979810453</v>
      </c>
      <c r="H32" s="23">
        <f t="shared" si="10"/>
        <v>0</v>
      </c>
      <c r="I32" s="24">
        <f t="shared" si="10"/>
        <v>0</v>
      </c>
      <c r="J32" s="32" t="str" cm="1">
        <f t="array" ref="J32">IFERROR(_xlfn.IFS(B32="044 - BLEND TRADICION","BLEND",B32="113 - CAFÉ GOURMET","GOURMET",B32="114 - CAFÉ CONSUMO","CONSUMO",B32="112 - CAFÉ ORGANICO","GOURMET",B32="172 - CAFÉ COSECHA","ESPECIALES",B32="176 - CAFE DESCAFEINADO","GOURMET",B32="147 - CAPSULAS","CAPSULAS",B32="130 - GALLETAS CAFECITAS","DERIVADOS",B32="140 - MERENGUES","DERIVADOS",B32="100 - CAFÉ ESPECIAL","ESPECIALES",B32="141 - AREQUIPE","DERIVADOS",B32="142 - MERMELADA","DERIVADOS",B32="131 - GALLETAS AVENA","DERIVADOS",B32="160 - SOUVENIR","OTROS",B32="148 - CARAMELOS","DERIVADOS",B32="143 - CHOCOFFES","DERIVADOS",B32="162 - CONVENIOS Y DSC POS ","OTROS"),"OTROS")</f>
        <v>DERIVADOS</v>
      </c>
      <c r="L32" s="27">
        <f t="shared" si="11"/>
        <v>1106521</v>
      </c>
      <c r="M32" s="27">
        <f t="shared" si="12"/>
        <v>1106521</v>
      </c>
    </row>
    <row r="33" spans="1:13" ht="16.5" hidden="1" outlineLevel="1">
      <c r="A33" s="38"/>
      <c r="B33" s="39" t="s">
        <v>23</v>
      </c>
      <c r="C33" s="36">
        <v>49717</v>
      </c>
      <c r="D33" s="36">
        <v>0</v>
      </c>
      <c r="E33" s="48"/>
      <c r="F33" s="48">
        <v>315313</v>
      </c>
      <c r="G33" s="49">
        <f t="shared" si="9"/>
        <v>0.15767507207124348</v>
      </c>
      <c r="H33" s="23">
        <f t="shared" si="10"/>
        <v>0</v>
      </c>
      <c r="I33" s="24">
        <f t="shared" si="10"/>
        <v>0</v>
      </c>
      <c r="J33" s="32" t="str" cm="1">
        <f t="array" ref="J33">IFERROR(_xlfn.IFS(B33="044 - BLEND TRADICION","BLEND",B33="113 - CAFÉ GOURMET","GOURMET",B33="114 - CAFÉ CONSUMO","CONSUMO",B33="112 - CAFÉ ORGANICO","GOURMET",B33="172 - CAFÉ COSECHA","ESPECIALES",B33="176 - CAFE DESCAFEINADO","GOURMET",B33="147 - CAPSULAS","CAPSULAS",B33="130 - GALLETAS CAFECITAS","DERIVADOS",B33="140 - MERENGUES","DERIVADOS",B33="100 - CAFÉ ESPECIAL","ESPECIALES",B33="141 - AREQUIPE","DERIVADOS",B33="142 - MERMELADA","DERIVADOS",B33="131 - GALLETAS AVENA","DERIVADOS",B33="160 - SOUVENIR","OTROS",B33="148 - CARAMELOS","DERIVADOS",B33="143 - CHOCOFFES","DERIVADOS",B33="162 - CONVENIOS Y DSC POS ","OTROS"),"OTROS")</f>
        <v>DERIVADOS</v>
      </c>
      <c r="L33" s="27">
        <f t="shared" si="11"/>
        <v>49717</v>
      </c>
      <c r="M33" s="27">
        <f t="shared" si="12"/>
        <v>49717</v>
      </c>
    </row>
    <row r="34" spans="1:13" ht="16.5" hidden="1" outlineLevel="1">
      <c r="A34" s="38"/>
      <c r="B34" s="39" t="s">
        <v>24</v>
      </c>
      <c r="C34" s="36">
        <v>212576</v>
      </c>
      <c r="D34" s="36">
        <v>0</v>
      </c>
      <c r="E34" s="48"/>
      <c r="F34" s="48">
        <v>443819.64</v>
      </c>
      <c r="G34" s="49">
        <f t="shared" si="9"/>
        <v>0.47896933988770751</v>
      </c>
      <c r="H34" s="23">
        <f t="shared" si="10"/>
        <v>0</v>
      </c>
      <c r="I34" s="24">
        <f t="shared" si="10"/>
        <v>0</v>
      </c>
      <c r="J34" s="32" t="str" cm="1">
        <f t="array" ref="J34">IFERROR(_xlfn.IFS(B34="044 - BLEND TRADICION","BLEND",B34="113 - CAFÉ GOURMET","GOURMET",B34="114 - CAFÉ CONSUMO","CONSUMO",B34="112 - CAFÉ ORGANICO","GOURMET",B34="172 - CAFÉ COSECHA","ESPECIALES",B34="176 - CAFE DESCAFEINADO","GOURMET",B34="147 - CAPSULAS","CAPSULAS",B34="130 - GALLETAS CAFECITAS","DERIVADOS",B34="140 - MERENGUES","DERIVADOS",B34="100 - CAFÉ ESPECIAL","ESPECIALES",B34="141 - AREQUIPE","DERIVADOS",B34="142 - MERMELADA","DERIVADOS",B34="131 - GALLETAS AVENA","DERIVADOS",B34="160 - SOUVENIR","OTROS",B34="148 - CARAMELOS","DERIVADOS",B34="143 - CHOCOFFES","DERIVADOS",B34="162 - CONVENIOS Y DSC POS ","OTROS"),"OTROS")</f>
        <v>DERIVADOS</v>
      </c>
      <c r="L34" s="27">
        <f t="shared" si="11"/>
        <v>212576</v>
      </c>
      <c r="M34" s="27">
        <f t="shared" si="12"/>
        <v>212576</v>
      </c>
    </row>
    <row r="35" spans="1:13" ht="16.5" hidden="1" outlineLevel="1">
      <c r="A35" s="38"/>
      <c r="B35" s="39" t="s">
        <v>25</v>
      </c>
      <c r="C35" s="36">
        <v>116572</v>
      </c>
      <c r="D35" s="36">
        <v>0</v>
      </c>
      <c r="E35" s="48"/>
      <c r="F35" s="48">
        <v>253263.49</v>
      </c>
      <c r="G35" s="49">
        <f t="shared" si="9"/>
        <v>0.4602795294339504</v>
      </c>
      <c r="H35" s="23">
        <f t="shared" si="10"/>
        <v>0</v>
      </c>
      <c r="I35" s="24">
        <f t="shared" si="10"/>
        <v>0</v>
      </c>
      <c r="J35" s="32" t="str" cm="1">
        <f t="array" ref="J35">IFERROR(_xlfn.IFS(B35="044 - BLEND TRADICION","BLEND",B35="113 - CAFÉ GOURMET","GOURMET",B35="114 - CAFÉ CONSUMO","CONSUMO",B35="112 - CAFÉ ORGANICO","GOURMET",B35="172 - CAFÉ COSECHA","ESPECIALES",B35="176 - CAFE DESCAFEINADO","GOURMET",B35="147 - CAPSULAS","CAPSULAS",B35="130 - GALLETAS CAFECITAS","DERIVADOS",B35="140 - MERENGUES","DERIVADOS",B35="100 - CAFÉ ESPECIAL","ESPECIALES",B35="141 - AREQUIPE","DERIVADOS",B35="142 - MERMELADA","DERIVADOS",B35="131 - GALLETAS AVENA","DERIVADOS",B35="160 - SOUVENIR","OTROS",B35="148 - CARAMELOS","DERIVADOS",B35="143 - CHOCOFFES","DERIVADOS",B35="162 - CONVENIOS Y DSC POS ","OTROS"),"OTROS")</f>
        <v>DERIVADOS</v>
      </c>
      <c r="L35" s="27">
        <f t="shared" si="11"/>
        <v>116572</v>
      </c>
      <c r="M35" s="27">
        <f t="shared" si="12"/>
        <v>116572</v>
      </c>
    </row>
    <row r="36" spans="1:13" ht="16.5" hidden="1" outlineLevel="1">
      <c r="A36" s="38"/>
      <c r="B36" s="39" t="s">
        <v>26</v>
      </c>
      <c r="C36" s="36">
        <v>6026675</v>
      </c>
      <c r="D36" s="36">
        <v>0</v>
      </c>
      <c r="E36" s="48"/>
      <c r="F36" s="48">
        <v>19346780.550000001</v>
      </c>
      <c r="G36" s="49">
        <f t="shared" si="9"/>
        <v>0.31150790098769171</v>
      </c>
      <c r="H36" s="23">
        <f t="shared" ref="H36:I87" si="14">IFERROR(+D36/L36*100%,0)</f>
        <v>0</v>
      </c>
      <c r="I36" s="24">
        <f t="shared" si="14"/>
        <v>0</v>
      </c>
      <c r="J36" s="32" t="str" cm="1">
        <f t="array" ref="J36">IFERROR(_xlfn.IFS(B36="044 - BLEND TRADICION","BLEND",B36="113 - CAFÉ GOURMET","GOURMET",B36="114 - CAFÉ CONSUMO","CONSUMO",B36="112 - CAFÉ ORGANICO","GOURMET",B36="172 - CAFÉ COSECHA","ESPECIALES",B36="176 - CAFE DESCAFEINADO","GOURMET",B36="147 - CAPSULAS","CAPSULAS",B36="130 - GALLETAS CAFECITAS","DERIVADOS",B36="140 - MERENGUES","DERIVADOS",B36="100 - CAFÉ ESPECIAL","ESPECIALES",B36="141 - AREQUIPE","DERIVADOS",B36="142 - MERMELADA","DERIVADOS",B36="131 - GALLETAS AVENA","DERIVADOS",B36="160 - SOUVENIR","OTROS",B36="148 - CARAMELOS","DERIVADOS",B36="143 - CHOCOFFES","DERIVADOS",B36="162 - CONVENIOS Y DSC POS ","OTROS"),"OTROS")</f>
        <v>CAPSULAS</v>
      </c>
      <c r="L36" s="27">
        <f t="shared" si="11"/>
        <v>6026675</v>
      </c>
      <c r="M36" s="27">
        <f t="shared" si="12"/>
        <v>6026675</v>
      </c>
    </row>
    <row r="37" spans="1:13" ht="16.5" hidden="1" outlineLevel="1">
      <c r="A37" s="38"/>
      <c r="B37" s="39" t="s">
        <v>27</v>
      </c>
      <c r="C37" s="36">
        <v>145715</v>
      </c>
      <c r="D37" s="36">
        <v>0</v>
      </c>
      <c r="E37" s="48"/>
      <c r="F37" s="48">
        <v>709870.17</v>
      </c>
      <c r="G37" s="49">
        <f t="shared" si="9"/>
        <v>0.20526992985210238</v>
      </c>
      <c r="H37" s="23">
        <f t="shared" si="14"/>
        <v>0</v>
      </c>
      <c r="I37" s="24">
        <f t="shared" si="14"/>
        <v>0</v>
      </c>
      <c r="J37" s="32" t="str" cm="1">
        <f t="array" ref="J37">IFERROR(_xlfn.IFS(B37="044 - BLEND TRADICION","BLEND",B37="113 - CAFÉ GOURMET","GOURMET",B37="114 - CAFÉ CONSUMO","CONSUMO",B37="112 - CAFÉ ORGANICO","GOURMET",B37="172 - CAFÉ COSECHA","ESPECIALES",B37="176 - CAFE DESCAFEINADO","GOURMET",B37="147 - CAPSULAS","CAPSULAS",B37="130 - GALLETAS CAFECITAS","DERIVADOS",B37="140 - MERENGUES","DERIVADOS",B37="100 - CAFÉ ESPECIAL","ESPECIALES",B37="141 - AREQUIPE","DERIVADOS",B37="142 - MERMELADA","DERIVADOS",B37="131 - GALLETAS AVENA","DERIVADOS",B37="160 - SOUVENIR","OTROS",B37="148 - CARAMELOS","DERIVADOS",B37="143 - CHOCOFFES","DERIVADOS",B37="162 - CONVENIOS Y DSC POS ","OTROS"),"OTROS")</f>
        <v>DERIVADOS</v>
      </c>
      <c r="L37" s="27">
        <f t="shared" si="11"/>
        <v>145715</v>
      </c>
      <c r="M37" s="27">
        <f t="shared" si="12"/>
        <v>145715</v>
      </c>
    </row>
    <row r="38" spans="1:13" ht="16.5" hidden="1" outlineLevel="1">
      <c r="A38" s="38"/>
      <c r="B38" s="39" t="s">
        <v>28</v>
      </c>
      <c r="C38" s="36">
        <v>137810</v>
      </c>
      <c r="D38" s="36">
        <v>0</v>
      </c>
      <c r="E38" s="48"/>
      <c r="F38" s="48">
        <v>926563.16</v>
      </c>
      <c r="G38" s="49">
        <f t="shared" si="9"/>
        <v>0.14873244043072034</v>
      </c>
      <c r="H38" s="23">
        <f t="shared" si="14"/>
        <v>0</v>
      </c>
      <c r="I38" s="24">
        <f t="shared" si="14"/>
        <v>0</v>
      </c>
      <c r="J38" s="32" t="str" cm="1">
        <f t="array" ref="J38">IFERROR(_xlfn.IFS(B38="044 - BLEND TRADICION","BLEND",B38="113 - CAFÉ GOURMET","GOURMET",B38="114 - CAFÉ CONSUMO","CONSUMO",B38="112 - CAFÉ ORGANICO","GOURMET",B38="172 - CAFÉ COSECHA","ESPECIALES",B38="176 - CAFE DESCAFEINADO","GOURMET",B38="147 - CAPSULAS","CAPSULAS",B38="130 - GALLETAS CAFECITAS","DERIVADOS",B38="140 - MERENGUES","DERIVADOS",B38="100 - CAFÉ ESPECIAL","ESPECIALES",B38="141 - AREQUIPE","DERIVADOS",B38="142 - MERMELADA","DERIVADOS",B38="131 - GALLETAS AVENA","DERIVADOS",B38="160 - SOUVENIR","OTROS",B38="148 - CARAMELOS","DERIVADOS",B38="143 - CHOCOFFES","DERIVADOS",B38="162 - CONVENIOS Y DSC POS ","OTROS"),"OTROS")</f>
        <v>OTROS</v>
      </c>
      <c r="L38" s="27">
        <f t="shared" si="11"/>
        <v>137810</v>
      </c>
      <c r="M38" s="27">
        <f t="shared" si="12"/>
        <v>137810</v>
      </c>
    </row>
    <row r="39" spans="1:13" ht="16.5" hidden="1" outlineLevel="1">
      <c r="A39" s="38"/>
      <c r="B39" s="39" t="s">
        <v>29</v>
      </c>
      <c r="C39" s="36">
        <v>0</v>
      </c>
      <c r="D39" s="36">
        <v>0</v>
      </c>
      <c r="E39" s="48"/>
      <c r="F39" s="48">
        <v>1035996.29</v>
      </c>
      <c r="G39" s="49">
        <f t="shared" si="9"/>
        <v>0</v>
      </c>
      <c r="H39" s="23">
        <f t="shared" si="14"/>
        <v>0</v>
      </c>
      <c r="I39" s="24">
        <f t="shared" si="14"/>
        <v>0</v>
      </c>
      <c r="J39" s="32" t="str" cm="1">
        <f t="array" ref="J39">IFERROR(_xlfn.IFS(B39="044 - BLEND TRADICION","BLEND",B39="113 - CAFÉ GOURMET","GOURMET",B39="114 - CAFÉ CONSUMO","CONSUMO",B39="112 - CAFÉ ORGANICO","GOURMET",B39="172 - CAFÉ COSECHA","ESPECIALES",B39="176 - CAFE DESCAFEINADO","GOURMET",B39="147 - CAPSULAS","CAPSULAS",B39="130 - GALLETAS CAFECITAS","DERIVADOS",B39="140 - MERENGUES","DERIVADOS",B39="100 - CAFÉ ESPECIAL","ESPECIALES",B39="141 - AREQUIPE","DERIVADOS",B39="142 - MERMELADA","DERIVADOS",B39="131 - GALLETAS AVENA","DERIVADOS",B39="160 - SOUVENIR","OTROS",B39="148 - CARAMELOS","DERIVADOS",B39="143 - CHOCOFFES","DERIVADOS",B39="162 - CONVENIOS Y DSC POS ","OTROS"),"OTROS")</f>
        <v>ESPECIALES</v>
      </c>
      <c r="L39" s="27">
        <f t="shared" si="11"/>
        <v>0</v>
      </c>
      <c r="M39" s="27">
        <f t="shared" si="12"/>
        <v>0</v>
      </c>
    </row>
    <row r="40" spans="1:13" ht="16.5" hidden="1" outlineLevel="1">
      <c r="A40" s="38"/>
      <c r="B40" s="39" t="s">
        <v>30</v>
      </c>
      <c r="C40" s="36">
        <v>63262</v>
      </c>
      <c r="D40" s="36">
        <v>0</v>
      </c>
      <c r="E40" s="48"/>
      <c r="F40" s="48">
        <v>573972.9</v>
      </c>
      <c r="G40" s="49">
        <f t="shared" si="9"/>
        <v>0.11021774721419773</v>
      </c>
      <c r="H40" s="23">
        <f t="shared" si="14"/>
        <v>0</v>
      </c>
      <c r="I40" s="24">
        <f t="shared" si="14"/>
        <v>0</v>
      </c>
      <c r="J40" s="32" t="str" cm="1">
        <f t="array" ref="J40">IFERROR(_xlfn.IFS(B40="044 - BLEND TRADICION","BLEND",B40="113 - CAFÉ GOURMET","GOURMET",B40="114 - CAFÉ CONSUMO","CONSUMO",B40="112 - CAFÉ ORGANICO","GOURMET",B40="172 - CAFÉ COSECHA","ESPECIALES",B40="176 - CAFE DESCAFEINADO","GOURMET",B40="147 - CAPSULAS","CAPSULAS",B40="130 - GALLETAS CAFECITAS","DERIVADOS",B40="140 - MERENGUES","DERIVADOS",B40="100 - CAFÉ ESPECIAL","ESPECIALES",B40="141 - AREQUIPE","DERIVADOS",B40="142 - MERMELADA","DERIVADOS",B40="131 - GALLETAS AVENA","DERIVADOS",B40="160 - SOUVENIR","OTROS",B40="148 - CARAMELOS","DERIVADOS",B40="143 - CHOCOFFES","DERIVADOS",B40="162 - CONVENIOS Y DSC POS ","OTROS"),"OTROS")</f>
        <v>GOURMET</v>
      </c>
      <c r="L40" s="27">
        <f t="shared" si="11"/>
        <v>63262</v>
      </c>
      <c r="M40" s="27">
        <f t="shared" si="12"/>
        <v>63262</v>
      </c>
    </row>
    <row r="41" spans="1:13" ht="16.5" hidden="1" outlineLevel="1">
      <c r="A41" s="19" t="s">
        <v>37</v>
      </c>
      <c r="B41" s="56" t="s">
        <v>32</v>
      </c>
      <c r="C41" s="54">
        <f>SUM(C27:C40)</f>
        <v>52589453</v>
      </c>
      <c r="D41" s="54">
        <f>SUM(D27:D40)</f>
        <v>0</v>
      </c>
      <c r="E41" s="54">
        <f>SUM(E27:E40)</f>
        <v>0</v>
      </c>
      <c r="F41" s="54">
        <f>SUM(F27:F40)</f>
        <v>271870321.94</v>
      </c>
      <c r="G41" s="55">
        <f t="shared" si="9"/>
        <v>0.19343579918813703</v>
      </c>
      <c r="H41" s="23">
        <f t="shared" si="14"/>
        <v>0</v>
      </c>
      <c r="I41" s="24">
        <f t="shared" si="14"/>
        <v>0</v>
      </c>
      <c r="J41" s="32" t="str" cm="1">
        <f t="array" ref="J41">IFERROR(_xlfn.IFS(B41="044 - BLEND TRADICION","BLEND",B41="113 - CAFÉ GOURMET","GOURMET",B41="114 - CAFÉ CONSUMO","CONSUMO",B41="112 - CAFÉ ORGANICO","GOURMET",B41="172 - CAFÉ COSECHA","ESPECIALES",B41="176 - CAFE DESCAFEINADO","GOURMET",B41="147 - CAPSULAS","CAPSULAS",B41="130 - GALLETAS CAFECITAS","DERIVADOS",B41="140 - MERENGUES","DERIVADOS",B41="100 - CAFÉ ESPECIAL","ESPECIALES",B41="141 - AREQUIPE","DERIVADOS",B41="142 - MERMELADA","DERIVADOS",B41="131 - GALLETAS AVENA","DERIVADOS",B41="160 - SOUVENIR","OTROS",B41="148 - CARAMELOS","DERIVADOS",B41="143 - CHOCOFFES","DERIVADOS",B41="162 - CONVENIOS Y DSC POS ","OTROS"),"OTROS")</f>
        <v>OTROS</v>
      </c>
      <c r="L41" s="27">
        <f t="shared" si="11"/>
        <v>52589453</v>
      </c>
      <c r="M41" s="27">
        <f t="shared" si="12"/>
        <v>52589453</v>
      </c>
    </row>
    <row r="42" spans="1:13" ht="16.5" hidden="1" outlineLevel="1">
      <c r="A42" s="38"/>
      <c r="B42" s="39" t="s">
        <v>34</v>
      </c>
      <c r="C42" s="36">
        <v>0</v>
      </c>
      <c r="D42" s="36">
        <v>0</v>
      </c>
      <c r="E42" s="48">
        <v>0</v>
      </c>
      <c r="F42" s="48">
        <v>16995.71</v>
      </c>
      <c r="G42" s="49">
        <f t="shared" si="9"/>
        <v>0</v>
      </c>
      <c r="H42" s="23">
        <f t="shared" si="14"/>
        <v>0</v>
      </c>
      <c r="I42" s="24">
        <f t="shared" si="14"/>
        <v>0</v>
      </c>
      <c r="J42" s="32" t="str" cm="1">
        <f t="array" ref="J42">IFERROR(_xlfn.IFS(B42="044 - BLEND TRADICION","BLEND",B42="113 - CAFÉ GOURMET","GOURMET",B42="114 - CAFÉ CONSUMO","CONSUMO",B42="112 - CAFÉ ORGANICO","GOURMET",B42="172 - CAFÉ COSECHA","ESPECIALES",B42="176 - CAFE DESCAFEINADO","GOURMET",B42="147 - CAPSULAS","CAPSULAS",B42="130 - GALLETAS CAFECITAS","DERIVADOS",B42="140 - MERENGUES","DERIVADOS",B42="100 - CAFÉ ESPECIAL","ESPECIALES",B42="141 - AREQUIPE","DERIVADOS",B42="142 - MERMELADA","DERIVADOS",B42="131 - GALLETAS AVENA","DERIVADOS",B42="160 - SOUVENIR","OTROS",B42="148 - CARAMELOS","DERIVADOS",B42="143 - CHOCOFFES","DERIVADOS",B42="162 - CONVENIOS Y DSC POS ","OTROS"),"OTROS")</f>
        <v>OTROS</v>
      </c>
      <c r="L42" s="27">
        <f t="shared" si="11"/>
        <v>0</v>
      </c>
      <c r="M42" s="27">
        <f t="shared" si="12"/>
        <v>0</v>
      </c>
    </row>
    <row r="43" spans="1:13" ht="16.5" hidden="1" outlineLevel="1">
      <c r="A43" s="38"/>
      <c r="B43" s="39" t="s">
        <v>42</v>
      </c>
      <c r="C43" s="36">
        <v>348131</v>
      </c>
      <c r="D43" s="36">
        <v>0</v>
      </c>
      <c r="E43" s="48">
        <v>0</v>
      </c>
      <c r="F43" s="48">
        <v>0</v>
      </c>
      <c r="G43" s="49" t="str">
        <f t="shared" si="9"/>
        <v>-</v>
      </c>
      <c r="H43" s="23">
        <f t="shared" si="14"/>
        <v>0</v>
      </c>
      <c r="I43" s="24">
        <f t="shared" si="14"/>
        <v>0</v>
      </c>
      <c r="J43" s="32" t="str" cm="1">
        <f t="array" ref="J43">IFERROR(_xlfn.IFS(B43="044 - BLEND TRADICION","BLEND",B43="113 - CAFÉ GOURMET","GOURMET",B43="114 - CAFÉ CONSUMO","CONSUMO",B43="112 - CAFÉ ORGANICO","GOURMET",B43="172 - CAFÉ COSECHA","ESPECIALES",B43="176 - CAFE DESCAFEINADO","GOURMET",B43="147 - CAPSULAS","CAPSULAS",B43="130 - GALLETAS CAFECITAS","DERIVADOS",B43="140 - MERENGUES","DERIVADOS",B43="100 - CAFÉ ESPECIAL","ESPECIALES",B43="141 - AREQUIPE","DERIVADOS",B43="142 - MERMELADA","DERIVADOS",B43="131 - GALLETAS AVENA","DERIVADOS",B43="160 - SOUVENIR","OTROS",B43="148 - CARAMELOS","DERIVADOS",B43="143 - CHOCOFFES","DERIVADOS",B43="162 - CONVENIOS Y DSC POS ","OTROS"),"OTROS")</f>
        <v>OTROS</v>
      </c>
      <c r="L43" s="27">
        <f t="shared" si="11"/>
        <v>348131</v>
      </c>
      <c r="M43" s="27">
        <f t="shared" si="12"/>
        <v>348131</v>
      </c>
    </row>
    <row r="44" spans="1:13" ht="16.5" hidden="1" outlineLevel="1">
      <c r="A44" s="38"/>
      <c r="B44" s="39" t="s">
        <v>18</v>
      </c>
      <c r="C44" s="36">
        <v>0</v>
      </c>
      <c r="D44" s="36">
        <v>0</v>
      </c>
      <c r="E44" s="48">
        <v>0</v>
      </c>
      <c r="F44" s="48">
        <v>89635.4</v>
      </c>
      <c r="G44" s="49">
        <f t="shared" si="9"/>
        <v>0</v>
      </c>
      <c r="H44" s="23">
        <f t="shared" si="14"/>
        <v>0</v>
      </c>
      <c r="I44" s="24">
        <f t="shared" si="14"/>
        <v>0</v>
      </c>
      <c r="J44" s="32" t="str" cm="1">
        <f t="array" ref="J44">IFERROR(_xlfn.IFS(B44="044 - BLEND TRADICION","BLEND",B44="113 - CAFÉ GOURMET","GOURMET",B44="114 - CAFÉ CONSUMO","CONSUMO",B44="112 - CAFÉ ORGANICO","GOURMET",B44="172 - CAFÉ COSECHA","ESPECIALES",B44="176 - CAFE DESCAFEINADO","GOURMET",B44="147 - CAPSULAS","CAPSULAS",B44="130 - GALLETAS CAFECITAS","DERIVADOS",B44="140 - MERENGUES","DERIVADOS",B44="100 - CAFÉ ESPECIAL","ESPECIALES",B44="141 - AREQUIPE","DERIVADOS",B44="142 - MERMELADA","DERIVADOS",B44="131 - GALLETAS AVENA","DERIVADOS",B44="160 - SOUVENIR","OTROS",B44="148 - CARAMELOS","DERIVADOS",B44="143 - CHOCOFFES","DERIVADOS",B44="162 - CONVENIOS Y DSC POS ","OTROS"),"OTROS")</f>
        <v>BLEND</v>
      </c>
      <c r="L44" s="27">
        <f t="shared" si="11"/>
        <v>0</v>
      </c>
      <c r="M44" s="27">
        <f t="shared" si="12"/>
        <v>0</v>
      </c>
    </row>
    <row r="45" spans="1:13" ht="16.5" hidden="1" outlineLevel="1">
      <c r="A45" s="38"/>
      <c r="B45" s="39" t="s">
        <v>36</v>
      </c>
      <c r="C45" s="36">
        <v>15646</v>
      </c>
      <c r="D45" s="36">
        <v>0</v>
      </c>
      <c r="E45" s="48">
        <v>0</v>
      </c>
      <c r="F45" s="48">
        <v>0</v>
      </c>
      <c r="G45" s="49" t="str">
        <f t="shared" ref="G45:G51" si="15">IFERROR(C45/F45*100%,"-")</f>
        <v>-</v>
      </c>
      <c r="H45" s="23">
        <f t="shared" ref="H45:H51" si="16">IFERROR(+D45/L45*100%,0)</f>
        <v>0</v>
      </c>
      <c r="I45" s="24">
        <f t="shared" ref="I45:I51" si="17">IFERROR(+E45/M45*100%,0)</f>
        <v>0</v>
      </c>
      <c r="J45" s="32" t="str" cm="1">
        <f t="array" ref="J45">IFERROR(_xlfn.IFS(B45="044 - BLEND TRADICION","BLEND",B45="113 - CAFÉ GOURMET","GOURMET",B45="114 - CAFÉ CONSUMO","CONSUMO",B45="112 - CAFÉ ORGANICO","GOURMET",B45="172 - CAFÉ COSECHA","ESPECIALES",B45="176 - CAFE DESCAFEINADO","GOURMET",B45="147 - CAPSULAS","CAPSULAS",B45="130 - GALLETAS CAFECITAS","DERIVADOS",B45="140 - MERENGUES","DERIVADOS",B45="100 - CAFÉ ESPECIAL","ESPECIALES",B45="141 - AREQUIPE","DERIVADOS",B45="142 - MERMELADA","DERIVADOS",B45="131 - GALLETAS AVENA","DERIVADOS",B45="160 - SOUVENIR","OTROS",B45="148 - CARAMELOS","DERIVADOS",B45="143 - CHOCOFFES","DERIVADOS",B45="162 - CONVENIOS Y DSC POS ","OTROS"),"OTROS")</f>
        <v>OTROS</v>
      </c>
      <c r="L45" s="27">
        <f t="shared" ref="L45:L51" si="18">C45-(D45+E45)</f>
        <v>15646</v>
      </c>
      <c r="M45" s="27">
        <f t="shared" ref="M45:M51" si="19">L45</f>
        <v>15646</v>
      </c>
    </row>
    <row r="46" spans="1:13" ht="16.5" hidden="1" outlineLevel="1">
      <c r="A46" s="38"/>
      <c r="B46" s="39" t="s">
        <v>19</v>
      </c>
      <c r="C46" s="36">
        <v>0</v>
      </c>
      <c r="D46" s="36">
        <v>0</v>
      </c>
      <c r="E46" s="48"/>
      <c r="F46" s="48">
        <v>94237.05</v>
      </c>
      <c r="G46" s="49">
        <f t="shared" si="15"/>
        <v>0</v>
      </c>
      <c r="H46" s="23">
        <f t="shared" si="16"/>
        <v>0</v>
      </c>
      <c r="I46" s="24">
        <f t="shared" si="17"/>
        <v>0</v>
      </c>
      <c r="J46" s="32" t="str" cm="1">
        <f t="array" ref="J46">IFERROR(_xlfn.IFS(B46="044 - BLEND TRADICION","BLEND",B46="113 - CAFÉ GOURMET","GOURMET",B46="114 - CAFÉ CONSUMO","CONSUMO",B46="112 - CAFÉ ORGANICO","GOURMET",B46="172 - CAFÉ COSECHA","ESPECIALES",B46="176 - CAFE DESCAFEINADO","GOURMET",B46="147 - CAPSULAS","CAPSULAS",B46="130 - GALLETAS CAFECITAS","DERIVADOS",B46="140 - MERENGUES","DERIVADOS",B46="100 - CAFÉ ESPECIAL","ESPECIALES",B46="141 - AREQUIPE","DERIVADOS",B46="142 - MERMELADA","DERIVADOS",B46="131 - GALLETAS AVENA","DERIVADOS",B46="160 - SOUVENIR","OTROS",B46="148 - CARAMELOS","DERIVADOS",B46="143 - CHOCOFFES","DERIVADOS",B46="162 - CONVENIOS Y DSC POS ","OTROS"),"OTROS")</f>
        <v>ESPECIALES</v>
      </c>
      <c r="L46" s="27">
        <f t="shared" si="18"/>
        <v>0</v>
      </c>
      <c r="M46" s="27">
        <f t="shared" si="19"/>
        <v>0</v>
      </c>
    </row>
    <row r="47" spans="1:13" ht="16.5" hidden="1" outlineLevel="1">
      <c r="A47" s="38"/>
      <c r="B47" s="39" t="s">
        <v>20</v>
      </c>
      <c r="C47" s="36">
        <v>0</v>
      </c>
      <c r="D47" s="36">
        <v>0</v>
      </c>
      <c r="E47" s="48"/>
      <c r="F47" s="48">
        <v>136038.93</v>
      </c>
      <c r="G47" s="49">
        <f t="shared" si="15"/>
        <v>0</v>
      </c>
      <c r="H47" s="23">
        <f t="shared" si="16"/>
        <v>0</v>
      </c>
      <c r="I47" s="24">
        <f t="shared" si="17"/>
        <v>0</v>
      </c>
      <c r="J47" s="32" t="str" cm="1">
        <f t="array" ref="J47">IFERROR(_xlfn.IFS(B47="044 - BLEND TRADICION","BLEND",B47="113 - CAFÉ GOURMET","GOURMET",B47="114 - CAFÉ CONSUMO","CONSUMO",B47="112 - CAFÉ ORGANICO","GOURMET",B47="172 - CAFÉ COSECHA","ESPECIALES",B47="176 - CAFE DESCAFEINADO","GOURMET",B47="147 - CAPSULAS","CAPSULAS",B47="130 - GALLETAS CAFECITAS","DERIVADOS",B47="140 - MERENGUES","DERIVADOS",B47="100 - CAFÉ ESPECIAL","ESPECIALES",B47="141 - AREQUIPE","DERIVADOS",B47="142 - MERMELADA","DERIVADOS",B47="131 - GALLETAS AVENA","DERIVADOS",B47="160 - SOUVENIR","OTROS",B47="148 - CARAMELOS","DERIVADOS",B47="143 - CHOCOFFES","DERIVADOS",B47="162 - CONVENIOS Y DSC POS ","OTROS"),"OTROS")</f>
        <v>GOURMET</v>
      </c>
      <c r="L47" s="27">
        <f t="shared" si="18"/>
        <v>0</v>
      </c>
      <c r="M47" s="27">
        <f t="shared" si="19"/>
        <v>0</v>
      </c>
    </row>
    <row r="48" spans="1:13" ht="16.5" hidden="1" outlineLevel="1">
      <c r="A48" s="38"/>
      <c r="B48" s="39" t="s">
        <v>21</v>
      </c>
      <c r="C48" s="36">
        <v>13589034</v>
      </c>
      <c r="D48" s="36">
        <v>0</v>
      </c>
      <c r="E48" s="48"/>
      <c r="F48" s="48">
        <v>69823497.540000007</v>
      </c>
      <c r="G48" s="49">
        <f t="shared" si="15"/>
        <v>0.19461978386595727</v>
      </c>
      <c r="H48" s="23">
        <f t="shared" si="16"/>
        <v>0</v>
      </c>
      <c r="I48" s="24">
        <f t="shared" si="17"/>
        <v>0</v>
      </c>
      <c r="J48" s="32" t="str" cm="1">
        <f t="array" ref="J48">IFERROR(_xlfn.IFS(B48="044 - BLEND TRADICION","BLEND",B48="113 - CAFÉ GOURMET","GOURMET",B48="114 - CAFÉ CONSUMO","CONSUMO",B48="112 - CAFÉ ORGANICO","GOURMET",B48="172 - CAFÉ COSECHA","ESPECIALES",B48="176 - CAFE DESCAFEINADO","GOURMET",B48="147 - CAPSULAS","CAPSULAS",B48="130 - GALLETAS CAFECITAS","DERIVADOS",B48="140 - MERENGUES","DERIVADOS",B48="100 - CAFÉ ESPECIAL","ESPECIALES",B48="141 - AREQUIPE","DERIVADOS",B48="142 - MERMELADA","DERIVADOS",B48="131 - GALLETAS AVENA","DERIVADOS",B48="160 - SOUVENIR","OTROS",B48="148 - CARAMELOS","DERIVADOS",B48="143 - CHOCOFFES","DERIVADOS",B48="162 - CONVENIOS Y DSC POS ","OTROS"),"OTROS")</f>
        <v>GOURMET</v>
      </c>
      <c r="L48" s="27">
        <f t="shared" si="18"/>
        <v>13589034</v>
      </c>
      <c r="M48" s="27">
        <f t="shared" si="19"/>
        <v>13589034</v>
      </c>
    </row>
    <row r="49" spans="1:13" ht="16.5" hidden="1" outlineLevel="1">
      <c r="A49" s="38"/>
      <c r="B49" s="39" t="s">
        <v>38</v>
      </c>
      <c r="C49" s="36">
        <v>0</v>
      </c>
      <c r="D49" s="36">
        <v>0</v>
      </c>
      <c r="E49" s="48"/>
      <c r="F49" s="48">
        <v>14106647.08</v>
      </c>
      <c r="G49" s="49">
        <f t="shared" si="15"/>
        <v>0</v>
      </c>
      <c r="H49" s="23">
        <f t="shared" si="16"/>
        <v>0</v>
      </c>
      <c r="I49" s="24">
        <f t="shared" si="17"/>
        <v>0</v>
      </c>
      <c r="J49" s="32" t="str" cm="1">
        <f t="array" ref="J49">IFERROR(_xlfn.IFS(B49="044 - BLEND TRADICION","BLEND",B49="113 - CAFÉ GOURMET","GOURMET",B49="114 - CAFÉ CONSUMO","CONSUMO",B49="112 - CAFÉ ORGANICO","GOURMET",B49="172 - CAFÉ COSECHA","ESPECIALES",B49="176 - CAFE DESCAFEINADO","GOURMET",B49="147 - CAPSULAS","CAPSULAS",B49="130 - GALLETAS CAFECITAS","DERIVADOS",B49="140 - MERENGUES","DERIVADOS",B49="100 - CAFÉ ESPECIAL","ESPECIALES",B49="141 - AREQUIPE","DERIVADOS",B49="142 - MERMELADA","DERIVADOS",B49="131 - GALLETAS AVENA","DERIVADOS",B49="160 - SOUVENIR","OTROS",B49="148 - CARAMELOS","DERIVADOS",B49="143 - CHOCOFFES","DERIVADOS",B49="162 - CONVENIOS Y DSC POS ","OTROS"),"OTROS")</f>
        <v>CONSUMO</v>
      </c>
      <c r="L49" s="27">
        <f t="shared" si="18"/>
        <v>0</v>
      </c>
      <c r="M49" s="27">
        <f t="shared" si="19"/>
        <v>0</v>
      </c>
    </row>
    <row r="50" spans="1:13" ht="16.5" hidden="1" outlineLevel="1">
      <c r="A50" s="38"/>
      <c r="B50" s="39" t="s">
        <v>22</v>
      </c>
      <c r="C50" s="36">
        <v>610261</v>
      </c>
      <c r="D50" s="36">
        <v>0</v>
      </c>
      <c r="E50" s="48"/>
      <c r="F50" s="48">
        <v>2927476.03</v>
      </c>
      <c r="G50" s="49">
        <f t="shared" si="15"/>
        <v>0.20845977686792538</v>
      </c>
      <c r="H50" s="23">
        <f t="shared" si="16"/>
        <v>0</v>
      </c>
      <c r="I50" s="24">
        <f t="shared" si="17"/>
        <v>0</v>
      </c>
      <c r="J50" s="32" t="str" cm="1">
        <f t="array" ref="J50">IFERROR(_xlfn.IFS(B50="044 - BLEND TRADICION","BLEND",B50="113 - CAFÉ GOURMET","GOURMET",B50="114 - CAFÉ CONSUMO","CONSUMO",B50="112 - CAFÉ ORGANICO","GOURMET",B50="172 - CAFÉ COSECHA","ESPECIALES",B50="176 - CAFE DESCAFEINADO","GOURMET",B50="147 - CAPSULAS","CAPSULAS",B50="130 - GALLETAS CAFECITAS","DERIVADOS",B50="140 - MERENGUES","DERIVADOS",B50="100 - CAFÉ ESPECIAL","ESPECIALES",B50="141 - AREQUIPE","DERIVADOS",B50="142 - MERMELADA","DERIVADOS",B50="131 - GALLETAS AVENA","DERIVADOS",B50="160 - SOUVENIR","OTROS",B50="148 - CARAMELOS","DERIVADOS",B50="143 - CHOCOFFES","DERIVADOS",B50="162 - CONVENIOS Y DSC POS ","OTROS"),"OTROS")</f>
        <v>DERIVADOS</v>
      </c>
      <c r="L50" s="27">
        <f t="shared" si="18"/>
        <v>610261</v>
      </c>
      <c r="M50" s="27">
        <f t="shared" si="19"/>
        <v>610261</v>
      </c>
    </row>
    <row r="51" spans="1:13" ht="16.5" hidden="1" outlineLevel="1">
      <c r="A51" s="38"/>
      <c r="B51" s="39" t="s">
        <v>23</v>
      </c>
      <c r="C51" s="36">
        <v>0</v>
      </c>
      <c r="D51" s="36">
        <v>0</v>
      </c>
      <c r="E51" s="48"/>
      <c r="F51" s="48">
        <v>256078.41</v>
      </c>
      <c r="G51" s="49">
        <f t="shared" si="15"/>
        <v>0</v>
      </c>
      <c r="H51" s="23">
        <f t="shared" si="16"/>
        <v>0</v>
      </c>
      <c r="I51" s="24">
        <f t="shared" si="17"/>
        <v>0</v>
      </c>
      <c r="J51" s="32" t="str" cm="1">
        <f t="array" ref="J51">IFERROR(_xlfn.IFS(B51="044 - BLEND TRADICION","BLEND",B51="113 - CAFÉ GOURMET","GOURMET",B51="114 - CAFÉ CONSUMO","CONSUMO",B51="112 - CAFÉ ORGANICO","GOURMET",B51="172 - CAFÉ COSECHA","ESPECIALES",B51="176 - CAFE DESCAFEINADO","GOURMET",B51="147 - CAPSULAS","CAPSULAS",B51="130 - GALLETAS CAFECITAS","DERIVADOS",B51="140 - MERENGUES","DERIVADOS",B51="100 - CAFÉ ESPECIAL","ESPECIALES",B51="141 - AREQUIPE","DERIVADOS",B51="142 - MERMELADA","DERIVADOS",B51="131 - GALLETAS AVENA","DERIVADOS",B51="160 - SOUVENIR","OTROS",B51="148 - CARAMELOS","DERIVADOS",B51="143 - CHOCOFFES","DERIVADOS",B51="162 - CONVENIOS Y DSC POS ","OTROS"),"OTROS")</f>
        <v>DERIVADOS</v>
      </c>
      <c r="L51" s="27">
        <f t="shared" si="18"/>
        <v>0</v>
      </c>
      <c r="M51" s="27">
        <f t="shared" si="19"/>
        <v>0</v>
      </c>
    </row>
    <row r="52" spans="1:13" ht="16.5" hidden="1" outlineLevel="1">
      <c r="A52" s="38"/>
      <c r="B52" s="39" t="s">
        <v>24</v>
      </c>
      <c r="C52" s="36">
        <v>15184</v>
      </c>
      <c r="D52" s="36">
        <v>0</v>
      </c>
      <c r="E52" s="48"/>
      <c r="F52" s="48">
        <v>589663.42000000004</v>
      </c>
      <c r="G52" s="49">
        <f t="shared" si="9"/>
        <v>2.5750283102180561E-2</v>
      </c>
      <c r="H52" s="23">
        <f t="shared" si="14"/>
        <v>0</v>
      </c>
      <c r="I52" s="24">
        <f t="shared" si="14"/>
        <v>0</v>
      </c>
      <c r="J52" s="32" t="str" cm="1">
        <f t="array" ref="J52">IFERROR(_xlfn.IFS(B52="044 - BLEND TRADICION","BLEND",B52="113 - CAFÉ GOURMET","GOURMET",B52="114 - CAFÉ CONSUMO","CONSUMO",B52="112 - CAFÉ ORGANICO","GOURMET",B52="172 - CAFÉ COSECHA","ESPECIALES",B52="176 - CAFE DESCAFEINADO","GOURMET",B52="147 - CAPSULAS","CAPSULAS",B52="130 - GALLETAS CAFECITAS","DERIVADOS",B52="140 - MERENGUES","DERIVADOS",B52="100 - CAFÉ ESPECIAL","ESPECIALES",B52="141 - AREQUIPE","DERIVADOS",B52="142 - MERMELADA","DERIVADOS",B52="131 - GALLETAS AVENA","DERIVADOS",B52="160 - SOUVENIR","OTROS",B52="148 - CARAMELOS","DERIVADOS",B52="143 - CHOCOFFES","DERIVADOS",B52="162 - CONVENIOS Y DSC POS ","OTROS"),"OTROS")</f>
        <v>DERIVADOS</v>
      </c>
      <c r="L52" s="27">
        <f t="shared" si="11"/>
        <v>15184</v>
      </c>
      <c r="M52" s="27">
        <f t="shared" si="12"/>
        <v>15184</v>
      </c>
    </row>
    <row r="53" spans="1:13" ht="16.5" hidden="1" outlineLevel="1">
      <c r="A53" s="38"/>
      <c r="B53" s="39" t="s">
        <v>25</v>
      </c>
      <c r="C53" s="36">
        <v>13114</v>
      </c>
      <c r="D53" s="36">
        <v>0</v>
      </c>
      <c r="E53" s="48"/>
      <c r="F53" s="48">
        <v>1309142.77</v>
      </c>
      <c r="G53" s="49">
        <f t="shared" si="9"/>
        <v>1.0017242046106246E-2</v>
      </c>
      <c r="H53" s="23">
        <f t="shared" si="14"/>
        <v>0</v>
      </c>
      <c r="I53" s="24">
        <f t="shared" si="14"/>
        <v>0</v>
      </c>
      <c r="J53" s="32" t="str" cm="1">
        <f t="array" ref="J53">IFERROR(_xlfn.IFS(B53="044 - BLEND TRADICION","BLEND",B53="113 - CAFÉ GOURMET","GOURMET",B53="114 - CAFÉ CONSUMO","CONSUMO",B53="112 - CAFÉ ORGANICO","GOURMET",B53="172 - CAFÉ COSECHA","ESPECIALES",B53="176 - CAFE DESCAFEINADO","GOURMET",B53="147 - CAPSULAS","CAPSULAS",B53="130 - GALLETAS CAFECITAS","DERIVADOS",B53="140 - MERENGUES","DERIVADOS",B53="100 - CAFÉ ESPECIAL","ESPECIALES",B53="141 - AREQUIPE","DERIVADOS",B53="142 - MERMELADA","DERIVADOS",B53="131 - GALLETAS AVENA","DERIVADOS",B53="160 - SOUVENIR","OTROS",B53="148 - CARAMELOS","DERIVADOS",B53="143 - CHOCOFFES","DERIVADOS",B53="162 - CONVENIOS Y DSC POS ","OTROS"),"OTROS")</f>
        <v>DERIVADOS</v>
      </c>
      <c r="L53" s="27">
        <f t="shared" ref="L53:L54" si="20">C53-(D53+E53)</f>
        <v>13114</v>
      </c>
      <c r="M53" s="27">
        <f t="shared" ref="M53:M54" si="21">L53</f>
        <v>13114</v>
      </c>
    </row>
    <row r="54" spans="1:13" ht="16.5" hidden="1" outlineLevel="1">
      <c r="A54" s="38"/>
      <c r="B54" s="39" t="s">
        <v>26</v>
      </c>
      <c r="C54" s="36">
        <v>955010</v>
      </c>
      <c r="D54" s="36">
        <v>0</v>
      </c>
      <c r="E54" s="48" t="s">
        <v>94</v>
      </c>
      <c r="F54" s="48">
        <v>11209211.369999999</v>
      </c>
      <c r="G54" s="49">
        <f t="shared" si="9"/>
        <v>8.5198678879047682E-2</v>
      </c>
      <c r="H54" s="23">
        <f t="shared" si="14"/>
        <v>0</v>
      </c>
      <c r="I54" s="24">
        <f t="shared" si="14"/>
        <v>0</v>
      </c>
      <c r="J54" s="32" t="str" cm="1">
        <f t="array" ref="J54">IFERROR(_xlfn.IFS(B54="044 - BLEND TRADICION","BLEND",B54="113 - CAFÉ GOURMET","GOURMET",B54="114 - CAFÉ CONSUMO","CONSUMO",B54="112 - CAFÉ ORGANICO","GOURMET",B54="172 - CAFÉ COSECHA","ESPECIALES",B54="176 - CAFE DESCAFEINADO","GOURMET",B54="147 - CAPSULAS","CAPSULAS",B54="130 - GALLETAS CAFECITAS","DERIVADOS",B54="140 - MERENGUES","DERIVADOS",B54="100 - CAFÉ ESPECIAL","ESPECIALES",B54="141 - AREQUIPE","DERIVADOS",B54="142 - MERMELADA","DERIVADOS",B54="131 - GALLETAS AVENA","DERIVADOS",B54="160 - SOUVENIR","OTROS",B54="148 - CARAMELOS","DERIVADOS",B54="143 - CHOCOFFES","DERIVADOS",B54="162 - CONVENIOS Y DSC POS ","OTROS"),"OTROS")</f>
        <v>CAPSULAS</v>
      </c>
      <c r="L54" s="27" t="e">
        <f t="shared" si="20"/>
        <v>#VALUE!</v>
      </c>
      <c r="M54" s="27" t="e">
        <f t="shared" si="21"/>
        <v>#VALUE!</v>
      </c>
    </row>
    <row r="55" spans="1:13" ht="16.5" hidden="1" outlineLevel="1">
      <c r="A55" s="38"/>
      <c r="B55" s="39" t="s">
        <v>27</v>
      </c>
      <c r="C55" s="36">
        <v>291431</v>
      </c>
      <c r="D55" s="36">
        <v>0</v>
      </c>
      <c r="E55" s="48"/>
      <c r="F55" s="48">
        <v>1035181.45</v>
      </c>
      <c r="G55" s="49">
        <f t="shared" si="9"/>
        <v>0.28152648987286238</v>
      </c>
      <c r="H55" s="23">
        <f t="shared" si="14"/>
        <v>0</v>
      </c>
      <c r="I55" s="24">
        <f t="shared" si="14"/>
        <v>0</v>
      </c>
      <c r="J55" s="32" t="str" cm="1">
        <f t="array" ref="J55">IFERROR(_xlfn.IFS(B55="044 - BLEND TRADICION","BLEND",B55="113 - CAFÉ GOURMET","GOURMET",B55="114 - CAFÉ CONSUMO","CONSUMO",B55="112 - CAFÉ ORGANICO","GOURMET",B55="172 - CAFÉ COSECHA","ESPECIALES",B55="176 - CAFE DESCAFEINADO","GOURMET",B55="147 - CAPSULAS","CAPSULAS",B55="130 - GALLETAS CAFECITAS","DERIVADOS",B55="140 - MERENGUES","DERIVADOS",B55="100 - CAFÉ ESPECIAL","ESPECIALES",B55="141 - AREQUIPE","DERIVADOS",B55="142 - MERMELADA","DERIVADOS",B55="131 - GALLETAS AVENA","DERIVADOS",B55="160 - SOUVENIR","OTROS",B55="148 - CARAMELOS","DERIVADOS",B55="143 - CHOCOFFES","DERIVADOS",B55="162 - CONVENIOS Y DSC POS ","OTROS"),"OTROS")</f>
        <v>DERIVADOS</v>
      </c>
      <c r="L55" s="27">
        <f t="shared" si="11"/>
        <v>291431</v>
      </c>
      <c r="M55" s="27">
        <f t="shared" si="12"/>
        <v>291431</v>
      </c>
    </row>
    <row r="56" spans="1:13" ht="16.5" hidden="1" outlineLevel="1">
      <c r="A56" s="38"/>
      <c r="B56" s="39" t="s">
        <v>28</v>
      </c>
      <c r="C56" s="36">
        <v>0</v>
      </c>
      <c r="D56" s="36">
        <v>0</v>
      </c>
      <c r="E56" s="48"/>
      <c r="F56" s="48">
        <v>11765277.34</v>
      </c>
      <c r="G56" s="49">
        <f t="shared" si="9"/>
        <v>0</v>
      </c>
      <c r="H56" s="23">
        <f t="shared" si="14"/>
        <v>0</v>
      </c>
      <c r="I56" s="24">
        <f t="shared" si="14"/>
        <v>0</v>
      </c>
      <c r="J56" s="32" t="str" cm="1">
        <f t="array" ref="J56">IFERROR(_xlfn.IFS(B56="044 - BLEND TRADICION","BLEND",B56="113 - CAFÉ GOURMET","GOURMET",B56="114 - CAFÉ CONSUMO","CONSUMO",B56="112 - CAFÉ ORGANICO","GOURMET",B56="172 - CAFÉ COSECHA","ESPECIALES",B56="176 - CAFE DESCAFEINADO","GOURMET",B56="147 - CAPSULAS","CAPSULAS",B56="130 - GALLETAS CAFECITAS","DERIVADOS",B56="140 - MERENGUES","DERIVADOS",B56="100 - CAFÉ ESPECIAL","ESPECIALES",B56="141 - AREQUIPE","DERIVADOS",B56="142 - MERMELADA","DERIVADOS",B56="131 - GALLETAS AVENA","DERIVADOS",B56="160 - SOUVENIR","OTROS",B56="148 - CARAMELOS","DERIVADOS",B56="143 - CHOCOFFES","DERIVADOS",B56="162 - CONVENIOS Y DSC POS ","OTROS"),"OTROS")</f>
        <v>OTROS</v>
      </c>
      <c r="L56" s="27">
        <f t="shared" si="11"/>
        <v>0</v>
      </c>
      <c r="M56" s="27">
        <f t="shared" si="12"/>
        <v>0</v>
      </c>
    </row>
    <row r="57" spans="1:13" ht="16.5" hidden="1" outlineLevel="1">
      <c r="A57" s="38"/>
      <c r="B57" s="39" t="s">
        <v>29</v>
      </c>
      <c r="C57" s="36">
        <v>503370</v>
      </c>
      <c r="D57" s="36">
        <v>0</v>
      </c>
      <c r="E57" s="48"/>
      <c r="F57" s="48">
        <v>4920564.09</v>
      </c>
      <c r="G57" s="49">
        <f t="shared" si="9"/>
        <v>0.10229924675160568</v>
      </c>
      <c r="H57" s="23">
        <f t="shared" si="14"/>
        <v>0</v>
      </c>
      <c r="I57" s="24">
        <f t="shared" si="14"/>
        <v>0</v>
      </c>
      <c r="J57" s="32" t="str" cm="1">
        <f t="array" ref="J57">IFERROR(_xlfn.IFS(B57="044 - BLEND TRADICION","BLEND",B57="113 - CAFÉ GOURMET","GOURMET",B57="114 - CAFÉ CONSUMO","CONSUMO",B57="112 - CAFÉ ORGANICO","GOURMET",B57="172 - CAFÉ COSECHA","ESPECIALES",B57="176 - CAFE DESCAFEINADO","GOURMET",B57="147 - CAPSULAS","CAPSULAS",B57="130 - GALLETAS CAFECITAS","DERIVADOS",B57="140 - MERENGUES","DERIVADOS",B57="100 - CAFÉ ESPECIAL","ESPECIALES",B57="141 - AREQUIPE","DERIVADOS",B57="142 - MERMELADA","DERIVADOS",B57="131 - GALLETAS AVENA","DERIVADOS",B57="160 - SOUVENIR","OTROS",B57="148 - CARAMELOS","DERIVADOS",B57="143 - CHOCOFFES","DERIVADOS",B57="162 - CONVENIOS Y DSC POS ","OTROS"),"OTROS")</f>
        <v>ESPECIALES</v>
      </c>
      <c r="L57" s="27">
        <f t="shared" si="11"/>
        <v>503370</v>
      </c>
      <c r="M57" s="27">
        <f t="shared" si="12"/>
        <v>503370</v>
      </c>
    </row>
    <row r="58" spans="1:13" ht="16.5" hidden="1" outlineLevel="1">
      <c r="A58" s="19" t="s">
        <v>40</v>
      </c>
      <c r="B58" s="56" t="s">
        <v>32</v>
      </c>
      <c r="C58" s="54">
        <f>SUM(C42:C57)</f>
        <v>16341181</v>
      </c>
      <c r="D58" s="54">
        <f>SUM(D42:D57)</f>
        <v>0</v>
      </c>
      <c r="E58" s="54">
        <f>SUM(E42:E57)</f>
        <v>0</v>
      </c>
      <c r="F58" s="54">
        <f>SUM(F42:F57)</f>
        <v>118279646.59000002</v>
      </c>
      <c r="G58" s="55">
        <f t="shared" si="9"/>
        <v>0.13815716795844374</v>
      </c>
      <c r="H58" s="23">
        <f t="shared" si="14"/>
        <v>0</v>
      </c>
      <c r="I58" s="24">
        <f t="shared" si="14"/>
        <v>0</v>
      </c>
      <c r="J58" s="32" t="str" cm="1">
        <f t="array" ref="J58">IFERROR(_xlfn.IFS(B58="044 - BLEND TRADICION","BLEND",B58="113 - CAFÉ GOURMET","GOURMET",B58="114 - CAFÉ CONSUMO","CONSUMO",B58="112 - CAFÉ ORGANICO","GOURMET",B58="172 - CAFÉ COSECHA","ESPECIALES",B58="176 - CAFE DESCAFEINADO","GOURMET",B58="147 - CAPSULAS","CAPSULAS",B58="130 - GALLETAS CAFECITAS","DERIVADOS",B58="140 - MERENGUES","DERIVADOS",B58="100 - CAFÉ ESPECIAL","ESPECIALES",B58="141 - AREQUIPE","DERIVADOS",B58="142 - MERMELADA","DERIVADOS",B58="131 - GALLETAS AVENA","DERIVADOS",B58="160 - SOUVENIR","OTROS",B58="148 - CARAMELOS","DERIVADOS",B58="143 - CHOCOFFES","DERIVADOS",B58="162 - CONVENIOS Y DSC POS ","OTROS"),"OTROS")</f>
        <v>OTROS</v>
      </c>
      <c r="L58" s="27">
        <f t="shared" si="11"/>
        <v>16341181</v>
      </c>
      <c r="M58" s="27">
        <f t="shared" si="12"/>
        <v>16341181</v>
      </c>
    </row>
    <row r="59" spans="1:13" ht="16.5" collapsed="1">
      <c r="A59" s="28" t="s">
        <v>41</v>
      </c>
      <c r="B59" s="29" t="s">
        <v>17</v>
      </c>
      <c r="C59" s="30">
        <f>+C78+C92+C106+C62</f>
        <v>91295294</v>
      </c>
      <c r="D59" s="30">
        <f>+D78+D92+D106+D62</f>
        <v>-3107055</v>
      </c>
      <c r="E59" s="30">
        <f>+E78+E92+E106+E62</f>
        <v>0</v>
      </c>
      <c r="F59" s="30">
        <f>+F78+F92+F106+F62</f>
        <v>488313278.77999997</v>
      </c>
      <c r="G59" s="31">
        <f t="shared" si="9"/>
        <v>0.18696049844905266</v>
      </c>
      <c r="H59" s="23">
        <f t="shared" si="14"/>
        <v>-3.2912899233047688E-2</v>
      </c>
      <c r="I59" s="24">
        <f t="shared" si="14"/>
        <v>0</v>
      </c>
      <c r="J59" s="32" t="str" cm="1">
        <f t="array" ref="J59">IFERROR(_xlfn.IFS(B59="044 - BLEND TRADICION","BLEND",B59="113 - CAFÉ GOURMET","GOURMET",B59="114 - CAFÉ CONSUMO","CONSUMO",B59="112 - CAFÉ ORGANICO","GOURMET",B59="172 - CAFÉ COSECHA","ESPECIALES",B59="176 - CAFE DESCAFEINADO","GOURMET",B59="147 - CAPSULAS","CAPSULAS",B59="130 - GALLETAS CAFECITAS","DERIVADOS",B59="140 - MERENGUES","DERIVADOS",B59="100 - CAFÉ ESPECIAL","ESPECIALES",B59="141 - AREQUIPE","DERIVADOS",B59="142 - MERMELADA","DERIVADOS",B59="131 - GALLETAS AVENA","DERIVADOS",B59="160 - SOUVENIR","OTROS",B59="148 - CARAMELOS","DERIVADOS",B59="143 - CHOCOFFES","DERIVADOS",B59="162 - CONVENIOS Y DSC POS ","OTROS"),"OTROS")</f>
        <v>OTROS</v>
      </c>
      <c r="L59" s="27">
        <f t="shared" si="11"/>
        <v>94402349</v>
      </c>
      <c r="M59" s="27">
        <f t="shared" si="12"/>
        <v>94402349</v>
      </c>
    </row>
    <row r="60" spans="1:13" ht="16.5" hidden="1" outlineLevel="1">
      <c r="A60" s="38"/>
      <c r="B60" s="39" t="s">
        <v>42</v>
      </c>
      <c r="C60" s="36">
        <v>0</v>
      </c>
      <c r="D60" s="36">
        <v>0</v>
      </c>
      <c r="E60" s="48"/>
      <c r="F60" s="48">
        <v>0</v>
      </c>
      <c r="G60" s="49" t="str">
        <f t="shared" si="9"/>
        <v>-</v>
      </c>
      <c r="H60" s="23">
        <f t="shared" si="14"/>
        <v>0</v>
      </c>
      <c r="I60" s="24">
        <f t="shared" si="14"/>
        <v>0</v>
      </c>
      <c r="J60" s="32" t="str" cm="1">
        <f t="array" ref="J60">IFERROR(_xlfn.IFS(B60="044 - BLEND TRADICION","BLEND",B60="113 - CAFÉ GOURMET","GOURMET",B60="114 - CAFÉ CONSUMO","CONSUMO",B60="112 - CAFÉ ORGANICO","GOURMET",B60="172 - CAFÉ COSECHA","ESPECIALES",B60="176 - CAFE DESCAFEINADO","GOURMET",B60="147 - CAPSULAS","CAPSULAS",B60="130 - GALLETAS CAFECITAS","DERIVADOS",B60="140 - MERENGUES","DERIVADOS",B60="100 - CAFÉ ESPECIAL","ESPECIALES",B60="141 - AREQUIPE","DERIVADOS",B60="142 - MERMELADA","DERIVADOS",B60="131 - GALLETAS AVENA","DERIVADOS",B60="160 - SOUVENIR","OTROS",B60="148 - CARAMELOS","DERIVADOS",B60="143 - CHOCOFFES","DERIVADOS",B60="162 - CONVENIOS Y DSC POS ","OTROS"),"OTROS")</f>
        <v>OTROS</v>
      </c>
      <c r="L60" s="27">
        <f t="shared" si="11"/>
        <v>0</v>
      </c>
      <c r="M60" s="27">
        <f t="shared" si="12"/>
        <v>0</v>
      </c>
    </row>
    <row r="61" spans="1:13" ht="16.5" hidden="1" outlineLevel="1">
      <c r="A61" s="38"/>
      <c r="B61" s="39" t="s">
        <v>21</v>
      </c>
      <c r="C61" s="36">
        <v>0</v>
      </c>
      <c r="D61" s="36">
        <v>0</v>
      </c>
      <c r="E61" s="48"/>
      <c r="F61" s="48">
        <v>0</v>
      </c>
      <c r="G61" s="49" t="str">
        <f t="shared" si="9"/>
        <v>-</v>
      </c>
      <c r="H61" s="23">
        <f t="shared" si="14"/>
        <v>0</v>
      </c>
      <c r="I61" s="24">
        <f t="shared" si="14"/>
        <v>0</v>
      </c>
      <c r="J61" s="32" t="str" cm="1">
        <f t="array" ref="J61">IFERROR(_xlfn.IFS(B61="044 - BLEND TRADICION","BLEND",B61="113 - CAFÉ GOURMET","GOURMET",B61="114 - CAFÉ CONSUMO","CONSUMO",B61="112 - CAFÉ ORGANICO","GOURMET",B61="172 - CAFÉ COSECHA","ESPECIALES",B61="176 - CAFE DESCAFEINADO","GOURMET",B61="147 - CAPSULAS","CAPSULAS",B61="130 - GALLETAS CAFECITAS","DERIVADOS",B61="140 - MERENGUES","DERIVADOS",B61="100 - CAFÉ ESPECIAL","ESPECIALES",B61="141 - AREQUIPE","DERIVADOS",B61="142 - MERMELADA","DERIVADOS",B61="131 - GALLETAS AVENA","DERIVADOS",B61="160 - SOUVENIR","OTROS",B61="148 - CARAMELOS","DERIVADOS",B61="143 - CHOCOFFES","DERIVADOS",B61="162 - CONVENIOS Y DSC POS ","OTROS"),"OTROS")</f>
        <v>GOURMET</v>
      </c>
      <c r="L61" s="27">
        <f t="shared" si="11"/>
        <v>0</v>
      </c>
      <c r="M61" s="27">
        <f t="shared" si="12"/>
        <v>0</v>
      </c>
    </row>
    <row r="62" spans="1:13" ht="16.5" hidden="1" outlineLevel="1">
      <c r="A62" s="19" t="s">
        <v>43</v>
      </c>
      <c r="B62" s="56" t="s">
        <v>32</v>
      </c>
      <c r="C62" s="54">
        <f>SUM(C60:C61)</f>
        <v>0</v>
      </c>
      <c r="D62" s="54">
        <f>SUM(D60:D61)</f>
        <v>0</v>
      </c>
      <c r="E62" s="54">
        <f>SUM(E60:E61)</f>
        <v>0</v>
      </c>
      <c r="F62" s="54">
        <f>SUM(F60:F61)</f>
        <v>0</v>
      </c>
      <c r="G62" s="55" t="str">
        <f t="shared" si="9"/>
        <v>-</v>
      </c>
      <c r="H62" s="23">
        <f t="shared" si="14"/>
        <v>0</v>
      </c>
      <c r="I62" s="24">
        <f t="shared" si="14"/>
        <v>0</v>
      </c>
      <c r="J62" s="32" t="str" cm="1">
        <f t="array" ref="J62">IFERROR(_xlfn.IFS(B62="044 - BLEND TRADICION","BLEND",B62="113 - CAFÉ GOURMET","GOURMET",B62="114 - CAFÉ CONSUMO","CONSUMO",B62="112 - CAFÉ ORGANICO","GOURMET",B62="172 - CAFÉ COSECHA","ESPECIALES",B62="176 - CAFE DESCAFEINADO","GOURMET",B62="147 - CAPSULAS","CAPSULAS",B62="130 - GALLETAS CAFECITAS","DERIVADOS",B62="140 - MERENGUES","DERIVADOS",B62="100 - CAFÉ ESPECIAL","ESPECIALES",B62="141 - AREQUIPE","DERIVADOS",B62="142 - MERMELADA","DERIVADOS",B62="131 - GALLETAS AVENA","DERIVADOS",B62="160 - SOUVENIR","OTROS",B62="148 - CARAMELOS","DERIVADOS",B62="143 - CHOCOFFES","DERIVADOS",B62="162 - CONVENIOS Y DSC POS ","OTROS"),"OTROS")</f>
        <v>OTROS</v>
      </c>
      <c r="L62" s="27">
        <f t="shared" si="11"/>
        <v>0</v>
      </c>
      <c r="M62" s="27">
        <f t="shared" si="12"/>
        <v>0</v>
      </c>
    </row>
    <row r="63" spans="1:13" ht="16.5" hidden="1" outlineLevel="1">
      <c r="A63" s="33"/>
      <c r="B63" s="39" t="s">
        <v>34</v>
      </c>
      <c r="C63" s="36">
        <v>0</v>
      </c>
      <c r="D63" s="36">
        <v>0</v>
      </c>
      <c r="E63" s="48">
        <v>0</v>
      </c>
      <c r="F63" s="48">
        <v>142340.04</v>
      </c>
      <c r="G63" s="49">
        <f t="shared" si="9"/>
        <v>0</v>
      </c>
      <c r="H63" s="23">
        <f t="shared" si="14"/>
        <v>0</v>
      </c>
      <c r="I63" s="24">
        <f t="shared" si="14"/>
        <v>0</v>
      </c>
      <c r="J63" s="32" t="str" cm="1">
        <f t="array" ref="J63">IFERROR(_xlfn.IFS(B63="044 - BLEND TRADICION","BLEND",B63="113 - CAFÉ GOURMET","GOURMET",B63="114 - CAFÉ CONSUMO","CONSUMO",B63="112 - CAFÉ ORGANICO","GOURMET",B63="172 - CAFÉ COSECHA","ESPECIALES",B63="176 - CAFE DESCAFEINADO","GOURMET",B63="147 - CAPSULAS","CAPSULAS",B63="130 - GALLETAS CAFECITAS","DERIVADOS",B63="140 - MERENGUES","DERIVADOS",B63="100 - CAFÉ ESPECIAL","ESPECIALES",B63="141 - AREQUIPE","DERIVADOS",B63="142 - MERMELADA","DERIVADOS",B63="131 - GALLETAS AVENA","DERIVADOS",B63="160 - SOUVENIR","OTROS",B63="148 - CARAMELOS","DERIVADOS",B63="143 - CHOCOFFES","DERIVADOS",B63="162 - CONVENIOS Y DSC POS ","OTROS"),"OTROS")</f>
        <v>OTROS</v>
      </c>
      <c r="L63" s="27">
        <f t="shared" si="11"/>
        <v>0</v>
      </c>
      <c r="M63" s="27">
        <f t="shared" si="12"/>
        <v>0</v>
      </c>
    </row>
    <row r="64" spans="1:13" ht="16.5" hidden="1" outlineLevel="1">
      <c r="A64" s="38"/>
      <c r="B64" s="39" t="s">
        <v>18</v>
      </c>
      <c r="C64" s="36">
        <v>0</v>
      </c>
      <c r="D64" s="36">
        <v>0</v>
      </c>
      <c r="E64" s="48">
        <v>0</v>
      </c>
      <c r="F64" s="48">
        <v>1206734.55</v>
      </c>
      <c r="G64" s="49">
        <f t="shared" si="9"/>
        <v>0</v>
      </c>
      <c r="H64" s="23">
        <f t="shared" si="14"/>
        <v>0</v>
      </c>
      <c r="I64" s="24">
        <f t="shared" si="14"/>
        <v>0</v>
      </c>
      <c r="J64" s="32" t="str" cm="1">
        <f t="array" ref="J64">IFERROR(_xlfn.IFS(B64="044 - BLEND TRADICION","BLEND",B64="113 - CAFÉ GOURMET","GOURMET",B64="114 - CAFÉ CONSUMO","CONSUMO",B64="112 - CAFÉ ORGANICO","GOURMET",B64="172 - CAFÉ COSECHA","ESPECIALES",B64="176 - CAFE DESCAFEINADO","GOURMET",B64="147 - CAPSULAS","CAPSULAS",B64="130 - GALLETAS CAFECITAS","DERIVADOS",B64="140 - MERENGUES","DERIVADOS",B64="100 - CAFÉ ESPECIAL","ESPECIALES",B64="141 - AREQUIPE","DERIVADOS",B64="142 - MERMELADA","DERIVADOS",B64="131 - GALLETAS AVENA","DERIVADOS",B64="160 - SOUVENIR","OTROS",B64="148 - CARAMELOS","DERIVADOS",B64="143 - CHOCOFFES","DERIVADOS",B64="162 - CONVENIOS Y DSC POS ","OTROS"),"OTROS")</f>
        <v>BLEND</v>
      </c>
      <c r="L64" s="27">
        <f t="shared" si="11"/>
        <v>0</v>
      </c>
      <c r="M64" s="27">
        <f t="shared" si="12"/>
        <v>0</v>
      </c>
    </row>
    <row r="65" spans="1:13" ht="16.5" hidden="1" outlineLevel="1">
      <c r="A65" s="38"/>
      <c r="B65" s="39" t="s">
        <v>19</v>
      </c>
      <c r="C65" s="36">
        <v>972249</v>
      </c>
      <c r="D65" s="36">
        <v>0</v>
      </c>
      <c r="E65" s="48">
        <v>0</v>
      </c>
      <c r="F65" s="48">
        <v>3072107.02</v>
      </c>
      <c r="G65" s="49">
        <f t="shared" si="9"/>
        <v>0.31647627952752766</v>
      </c>
      <c r="H65" s="23">
        <f t="shared" si="14"/>
        <v>0</v>
      </c>
      <c r="I65" s="24">
        <f t="shared" si="14"/>
        <v>0</v>
      </c>
      <c r="J65" s="32" t="str" cm="1">
        <f t="array" ref="J65">IFERROR(_xlfn.IFS(B65="044 - BLEND TRADICION","BLEND",B65="113 - CAFÉ GOURMET","GOURMET",B65="114 - CAFÉ CONSUMO","CONSUMO",B65="112 - CAFÉ ORGANICO","GOURMET",B65="172 - CAFÉ COSECHA","ESPECIALES",B65="176 - CAFE DESCAFEINADO","GOURMET",B65="147 - CAPSULAS","CAPSULAS",B65="130 - GALLETAS CAFECITAS","DERIVADOS",B65="140 - MERENGUES","DERIVADOS",B65="100 - CAFÉ ESPECIAL","ESPECIALES",B65="141 - AREQUIPE","DERIVADOS",B65="142 - MERMELADA","DERIVADOS",B65="131 - GALLETAS AVENA","DERIVADOS",B65="160 - SOUVENIR","OTROS",B65="148 - CARAMELOS","DERIVADOS",B65="143 - CHOCOFFES","DERIVADOS",B65="162 - CONVENIOS Y DSC POS ","OTROS"),"OTROS")</f>
        <v>ESPECIALES</v>
      </c>
      <c r="L65" s="27">
        <f t="shared" si="11"/>
        <v>972249</v>
      </c>
      <c r="M65" s="27">
        <f t="shared" si="12"/>
        <v>972249</v>
      </c>
    </row>
    <row r="66" spans="1:13" ht="16.5" hidden="1" outlineLevel="1">
      <c r="A66" s="38"/>
      <c r="B66" s="39" t="s">
        <v>20</v>
      </c>
      <c r="C66" s="36">
        <v>0</v>
      </c>
      <c r="D66" s="36">
        <v>0</v>
      </c>
      <c r="E66" s="48"/>
      <c r="F66" s="48">
        <v>457781.38</v>
      </c>
      <c r="G66" s="49">
        <f t="shared" si="9"/>
        <v>0</v>
      </c>
      <c r="H66" s="23">
        <f t="shared" si="14"/>
        <v>0</v>
      </c>
      <c r="I66" s="24">
        <f t="shared" si="14"/>
        <v>0</v>
      </c>
      <c r="J66" s="32" t="str" cm="1">
        <f t="array" ref="J66">IFERROR(_xlfn.IFS(B66="044 - BLEND TRADICION","BLEND",B66="113 - CAFÉ GOURMET","GOURMET",B66="114 - CAFÉ CONSUMO","CONSUMO",B66="112 - CAFÉ ORGANICO","GOURMET",B66="172 - CAFÉ COSECHA","ESPECIALES",B66="176 - CAFE DESCAFEINADO","GOURMET",B66="147 - CAPSULAS","CAPSULAS",B66="130 - GALLETAS CAFECITAS","DERIVADOS",B66="140 - MERENGUES","DERIVADOS",B66="100 - CAFÉ ESPECIAL","ESPECIALES",B66="141 - AREQUIPE","DERIVADOS",B66="142 - MERMELADA","DERIVADOS",B66="131 - GALLETAS AVENA","DERIVADOS",B66="160 - SOUVENIR","OTROS",B66="148 - CARAMELOS","DERIVADOS",B66="143 - CHOCOFFES","DERIVADOS",B66="162 - CONVENIOS Y DSC POS ","OTROS"),"OTROS")</f>
        <v>GOURMET</v>
      </c>
      <c r="L66" s="27">
        <f t="shared" si="11"/>
        <v>0</v>
      </c>
      <c r="M66" s="27">
        <f t="shared" si="12"/>
        <v>0</v>
      </c>
    </row>
    <row r="67" spans="1:13" ht="16.5" hidden="1" outlineLevel="1">
      <c r="A67" s="38"/>
      <c r="B67" s="39" t="s">
        <v>21</v>
      </c>
      <c r="C67" s="36">
        <v>32246877</v>
      </c>
      <c r="D67" s="36">
        <v>0</v>
      </c>
      <c r="E67" s="48"/>
      <c r="F67" s="48">
        <v>106018093.81999999</v>
      </c>
      <c r="G67" s="49">
        <f t="shared" ref="G67:G72" si="22">IFERROR(C67/F67*100%,"-")</f>
        <v>0.3041639010672037</v>
      </c>
      <c r="H67" s="23">
        <f t="shared" ref="H67:H72" si="23">IFERROR(+D67/L67*100%,0)</f>
        <v>0</v>
      </c>
      <c r="I67" s="24">
        <f t="shared" ref="I67:I72" si="24">IFERROR(+E67/M67*100%,0)</f>
        <v>0</v>
      </c>
      <c r="J67" s="32" t="str" cm="1">
        <f t="array" ref="J67">IFERROR(_xlfn.IFS(B67="044 - BLEND TRADICION","BLEND",B67="113 - CAFÉ GOURMET","GOURMET",B67="114 - CAFÉ CONSUMO","CONSUMO",B67="112 - CAFÉ ORGANICO","GOURMET",B67="172 - CAFÉ COSECHA","ESPECIALES",B67="176 - CAFE DESCAFEINADO","GOURMET",B67="147 - CAPSULAS","CAPSULAS",B67="130 - GALLETAS CAFECITAS","DERIVADOS",B67="140 - MERENGUES","DERIVADOS",B67="100 - CAFÉ ESPECIAL","ESPECIALES",B67="141 - AREQUIPE","DERIVADOS",B67="142 - MERMELADA","DERIVADOS",B67="131 - GALLETAS AVENA","DERIVADOS",B67="160 - SOUVENIR","OTROS",B67="148 - CARAMELOS","DERIVADOS",B67="143 - CHOCOFFES","DERIVADOS",B67="162 - CONVENIOS Y DSC POS ","OTROS"),"OTROS")</f>
        <v>GOURMET</v>
      </c>
      <c r="L67" s="27">
        <f t="shared" ref="L67:L72" si="25">C67-(D67+E67)</f>
        <v>32246877</v>
      </c>
      <c r="M67" s="27">
        <f t="shared" ref="M67:M72" si="26">L67</f>
        <v>32246877</v>
      </c>
    </row>
    <row r="68" spans="1:13" ht="16.5" hidden="1" outlineLevel="1">
      <c r="A68" s="38"/>
      <c r="B68" s="39" t="s">
        <v>22</v>
      </c>
      <c r="C68" s="36">
        <v>2330812</v>
      </c>
      <c r="D68" s="36">
        <v>0</v>
      </c>
      <c r="E68" s="48"/>
      <c r="F68" s="48">
        <v>5082259.87</v>
      </c>
      <c r="G68" s="49">
        <f t="shared" si="22"/>
        <v>0.45861724107390045</v>
      </c>
      <c r="H68" s="23">
        <f t="shared" si="23"/>
        <v>0</v>
      </c>
      <c r="I68" s="24">
        <f t="shared" si="24"/>
        <v>0</v>
      </c>
      <c r="J68" s="32" t="str" cm="1">
        <f t="array" ref="J68">IFERROR(_xlfn.IFS(B68="044 - BLEND TRADICION","BLEND",B68="113 - CAFÉ GOURMET","GOURMET",B68="114 - CAFÉ CONSUMO","CONSUMO",B68="112 - CAFÉ ORGANICO","GOURMET",B68="172 - CAFÉ COSECHA","ESPECIALES",B68="176 - CAFE DESCAFEINADO","GOURMET",B68="147 - CAPSULAS","CAPSULAS",B68="130 - GALLETAS CAFECITAS","DERIVADOS",B68="140 - MERENGUES","DERIVADOS",B68="100 - CAFÉ ESPECIAL","ESPECIALES",B68="141 - AREQUIPE","DERIVADOS",B68="142 - MERMELADA","DERIVADOS",B68="131 - GALLETAS AVENA","DERIVADOS",B68="160 - SOUVENIR","OTROS",B68="148 - CARAMELOS","DERIVADOS",B68="143 - CHOCOFFES","DERIVADOS",B68="162 - CONVENIOS Y DSC POS ","OTROS"),"OTROS")</f>
        <v>DERIVADOS</v>
      </c>
      <c r="L68" s="27">
        <f t="shared" si="25"/>
        <v>2330812</v>
      </c>
      <c r="M68" s="27">
        <f t="shared" si="26"/>
        <v>2330812</v>
      </c>
    </row>
    <row r="69" spans="1:13" ht="16.5" hidden="1" outlineLevel="1">
      <c r="A69" s="38"/>
      <c r="B69" s="39" t="s">
        <v>23</v>
      </c>
      <c r="C69" s="36">
        <v>0</v>
      </c>
      <c r="D69" s="36">
        <v>0</v>
      </c>
      <c r="E69" s="48"/>
      <c r="F69" s="48">
        <v>42776.35</v>
      </c>
      <c r="G69" s="49">
        <f t="shared" si="22"/>
        <v>0</v>
      </c>
      <c r="H69" s="23">
        <f t="shared" si="23"/>
        <v>0</v>
      </c>
      <c r="I69" s="24">
        <f t="shared" si="24"/>
        <v>0</v>
      </c>
      <c r="J69" s="32" t="str" cm="1">
        <f t="array" ref="J69">IFERROR(_xlfn.IFS(B69="044 - BLEND TRADICION","BLEND",B69="113 - CAFÉ GOURMET","GOURMET",B69="114 - CAFÉ CONSUMO","CONSUMO",B69="112 - CAFÉ ORGANICO","GOURMET",B69="172 - CAFÉ COSECHA","ESPECIALES",B69="176 - CAFE DESCAFEINADO","GOURMET",B69="147 - CAPSULAS","CAPSULAS",B69="130 - GALLETAS CAFECITAS","DERIVADOS",B69="140 - MERENGUES","DERIVADOS",B69="100 - CAFÉ ESPECIAL","ESPECIALES",B69="141 - AREQUIPE","DERIVADOS",B69="142 - MERMELADA","DERIVADOS",B69="131 - GALLETAS AVENA","DERIVADOS",B69="160 - SOUVENIR","OTROS",B69="148 - CARAMELOS","DERIVADOS",B69="143 - CHOCOFFES","DERIVADOS",B69="162 - CONVENIOS Y DSC POS ","OTROS"),"OTROS")</f>
        <v>DERIVADOS</v>
      </c>
      <c r="L69" s="27">
        <f t="shared" si="25"/>
        <v>0</v>
      </c>
      <c r="M69" s="27">
        <f t="shared" si="26"/>
        <v>0</v>
      </c>
    </row>
    <row r="70" spans="1:13" ht="16.5" hidden="1" outlineLevel="1">
      <c r="A70" s="38"/>
      <c r="B70" s="39" t="s">
        <v>24</v>
      </c>
      <c r="C70" s="36">
        <v>151840</v>
      </c>
      <c r="D70" s="36">
        <v>0</v>
      </c>
      <c r="E70" s="48"/>
      <c r="F70" s="48">
        <v>253296.1</v>
      </c>
      <c r="G70" s="49">
        <f t="shared" si="22"/>
        <v>0.5994565253866917</v>
      </c>
      <c r="H70" s="23">
        <f t="shared" si="23"/>
        <v>0</v>
      </c>
      <c r="I70" s="24">
        <f t="shared" si="24"/>
        <v>0</v>
      </c>
      <c r="J70" s="32" t="str" cm="1">
        <f t="array" ref="J70">IFERROR(_xlfn.IFS(B70="044 - BLEND TRADICION","BLEND",B70="113 - CAFÉ GOURMET","GOURMET",B70="114 - CAFÉ CONSUMO","CONSUMO",B70="112 - CAFÉ ORGANICO","GOURMET",B70="172 - CAFÉ COSECHA","ESPECIALES",B70="176 - CAFE DESCAFEINADO","GOURMET",B70="147 - CAPSULAS","CAPSULAS",B70="130 - GALLETAS CAFECITAS","DERIVADOS",B70="140 - MERENGUES","DERIVADOS",B70="100 - CAFÉ ESPECIAL","ESPECIALES",B70="141 - AREQUIPE","DERIVADOS",B70="142 - MERMELADA","DERIVADOS",B70="131 - GALLETAS AVENA","DERIVADOS",B70="160 - SOUVENIR","OTROS",B70="148 - CARAMELOS","DERIVADOS",B70="143 - CHOCOFFES","DERIVADOS",B70="162 - CONVENIOS Y DSC POS ","OTROS"),"OTROS")</f>
        <v>DERIVADOS</v>
      </c>
      <c r="L70" s="27">
        <f t="shared" si="25"/>
        <v>151840</v>
      </c>
      <c r="M70" s="27">
        <f t="shared" si="26"/>
        <v>151840</v>
      </c>
    </row>
    <row r="71" spans="1:13" ht="16.5" hidden="1" outlineLevel="1">
      <c r="A71" s="38"/>
      <c r="B71" s="39" t="s">
        <v>25</v>
      </c>
      <c r="C71" s="36">
        <v>4588617</v>
      </c>
      <c r="D71" s="36">
        <v>0</v>
      </c>
      <c r="E71" s="48">
        <v>0</v>
      </c>
      <c r="F71" s="48">
        <v>6237513.8499999996</v>
      </c>
      <c r="G71" s="49">
        <f t="shared" si="22"/>
        <v>0.73564838657632803</v>
      </c>
      <c r="H71" s="23">
        <f t="shared" si="23"/>
        <v>0</v>
      </c>
      <c r="I71" s="24">
        <f t="shared" si="24"/>
        <v>0</v>
      </c>
      <c r="J71" s="32" t="str" cm="1">
        <f t="array" ref="J71">IFERROR(_xlfn.IFS(B71="044 - BLEND TRADICION","BLEND",B71="113 - CAFÉ GOURMET","GOURMET",B71="114 - CAFÉ CONSUMO","CONSUMO",B71="112 - CAFÉ ORGANICO","GOURMET",B71="172 - CAFÉ COSECHA","ESPECIALES",B71="176 - CAFE DESCAFEINADO","GOURMET",B71="147 - CAPSULAS","CAPSULAS",B71="130 - GALLETAS CAFECITAS","DERIVADOS",B71="140 - MERENGUES","DERIVADOS",B71="100 - CAFÉ ESPECIAL","ESPECIALES",B71="141 - AREQUIPE","DERIVADOS",B71="142 - MERMELADA","DERIVADOS",B71="131 - GALLETAS AVENA","DERIVADOS",B71="160 - SOUVENIR","OTROS",B71="148 - CARAMELOS","DERIVADOS",B71="143 - CHOCOFFES","DERIVADOS",B71="162 - CONVENIOS Y DSC POS ","OTROS"),"OTROS")</f>
        <v>DERIVADOS</v>
      </c>
      <c r="L71" s="27">
        <f t="shared" si="25"/>
        <v>4588617</v>
      </c>
      <c r="M71" s="27">
        <f t="shared" si="26"/>
        <v>4588617</v>
      </c>
    </row>
    <row r="72" spans="1:13" ht="16.5" hidden="1" outlineLevel="1">
      <c r="A72" s="38"/>
      <c r="B72" s="39" t="s">
        <v>26</v>
      </c>
      <c r="C72" s="36">
        <v>0</v>
      </c>
      <c r="D72" s="36">
        <v>0</v>
      </c>
      <c r="E72" s="48"/>
      <c r="F72" s="48">
        <v>834555.96</v>
      </c>
      <c r="G72" s="49">
        <f t="shared" si="22"/>
        <v>0</v>
      </c>
      <c r="H72" s="23">
        <f t="shared" si="23"/>
        <v>0</v>
      </c>
      <c r="I72" s="24">
        <f t="shared" si="24"/>
        <v>0</v>
      </c>
      <c r="J72" s="32" t="str" cm="1">
        <f t="array" ref="J72">IFERROR(_xlfn.IFS(B72="044 - BLEND TRADICION","BLEND",B72="113 - CAFÉ GOURMET","GOURMET",B72="114 - CAFÉ CONSUMO","CONSUMO",B72="112 - CAFÉ ORGANICO","GOURMET",B72="172 - CAFÉ COSECHA","ESPECIALES",B72="176 - CAFE DESCAFEINADO","GOURMET",B72="147 - CAPSULAS","CAPSULAS",B72="130 - GALLETAS CAFECITAS","DERIVADOS",B72="140 - MERENGUES","DERIVADOS",B72="100 - CAFÉ ESPECIAL","ESPECIALES",B72="141 - AREQUIPE","DERIVADOS",B72="142 - MERMELADA","DERIVADOS",B72="131 - GALLETAS AVENA","DERIVADOS",B72="160 - SOUVENIR","OTROS",B72="148 - CARAMELOS","DERIVADOS",B72="143 - CHOCOFFES","DERIVADOS",B72="162 - CONVENIOS Y DSC POS ","OTROS"),"OTROS")</f>
        <v>CAPSULAS</v>
      </c>
      <c r="L72" s="27">
        <f t="shared" si="25"/>
        <v>0</v>
      </c>
      <c r="M72" s="27">
        <f t="shared" si="26"/>
        <v>0</v>
      </c>
    </row>
    <row r="73" spans="1:13" ht="16.5" hidden="1" outlineLevel="1">
      <c r="A73" s="38"/>
      <c r="B73" s="39" t="s">
        <v>27</v>
      </c>
      <c r="C73" s="36">
        <v>4754720</v>
      </c>
      <c r="D73" s="36">
        <v>0</v>
      </c>
      <c r="E73" s="48">
        <v>0</v>
      </c>
      <c r="F73" s="48">
        <v>6191934.2800000003</v>
      </c>
      <c r="G73" s="49">
        <f t="shared" si="9"/>
        <v>0.76788928709366078</v>
      </c>
      <c r="H73" s="23">
        <f t="shared" si="14"/>
        <v>0</v>
      </c>
      <c r="I73" s="24">
        <f t="shared" si="14"/>
        <v>0</v>
      </c>
      <c r="J73" s="32" t="str" cm="1">
        <f t="array" ref="J73">IFERROR(_xlfn.IFS(B73="044 - BLEND TRADICION","BLEND",B73="113 - CAFÉ GOURMET","GOURMET",B73="114 - CAFÉ CONSUMO","CONSUMO",B73="112 - CAFÉ ORGANICO","GOURMET",B73="172 - CAFÉ COSECHA","ESPECIALES",B73="176 - CAFE DESCAFEINADO","GOURMET",B73="147 - CAPSULAS","CAPSULAS",B73="130 - GALLETAS CAFECITAS","DERIVADOS",B73="140 - MERENGUES","DERIVADOS",B73="100 - CAFÉ ESPECIAL","ESPECIALES",B73="141 - AREQUIPE","DERIVADOS",B73="142 - MERMELADA","DERIVADOS",B73="131 - GALLETAS AVENA","DERIVADOS",B73="160 - SOUVENIR","OTROS",B73="148 - CARAMELOS","DERIVADOS",B73="143 - CHOCOFFES","DERIVADOS",B73="162 - CONVENIOS Y DSC POS ","OTROS"),"OTROS")</f>
        <v>DERIVADOS</v>
      </c>
      <c r="L73" s="27">
        <f t="shared" si="11"/>
        <v>4754720</v>
      </c>
      <c r="M73" s="27">
        <f t="shared" si="12"/>
        <v>4754720</v>
      </c>
    </row>
    <row r="74" spans="1:13" ht="16.5" hidden="1" outlineLevel="1">
      <c r="A74" s="38"/>
      <c r="B74" s="39" t="s">
        <v>28</v>
      </c>
      <c r="C74" s="36">
        <v>2623039</v>
      </c>
      <c r="D74" s="36">
        <v>0</v>
      </c>
      <c r="E74" s="48">
        <v>0</v>
      </c>
      <c r="F74" s="48">
        <v>6313546.5</v>
      </c>
      <c r="G74" s="49">
        <f t="shared" si="9"/>
        <v>0.41546205448870932</v>
      </c>
      <c r="H74" s="23">
        <f t="shared" si="14"/>
        <v>0</v>
      </c>
      <c r="I74" s="24">
        <f t="shared" si="14"/>
        <v>0</v>
      </c>
      <c r="J74" s="32" t="str" cm="1">
        <f t="array" ref="J74">IFERROR(_xlfn.IFS(B74="044 - BLEND TRADICION","BLEND",B74="113 - CAFÉ GOURMET","GOURMET",B74="114 - CAFÉ CONSUMO","CONSUMO",B74="112 - CAFÉ ORGANICO","GOURMET",B74="172 - CAFÉ COSECHA","ESPECIALES",B74="176 - CAFE DESCAFEINADO","GOURMET",B74="147 - CAPSULAS","CAPSULAS",B74="130 - GALLETAS CAFECITAS","DERIVADOS",B74="140 - MERENGUES","DERIVADOS",B74="100 - CAFÉ ESPECIAL","ESPECIALES",B74="141 - AREQUIPE","DERIVADOS",B74="142 - MERMELADA","DERIVADOS",B74="131 - GALLETAS AVENA","DERIVADOS",B74="160 - SOUVENIR","OTROS",B74="148 - CARAMELOS","DERIVADOS",B74="143 - CHOCOFFES","DERIVADOS",B74="162 - CONVENIOS Y DSC POS ","OTROS"),"OTROS")</f>
        <v>OTROS</v>
      </c>
      <c r="L74" s="27">
        <f t="shared" si="11"/>
        <v>2623039</v>
      </c>
      <c r="M74" s="27">
        <f t="shared" si="12"/>
        <v>2623039</v>
      </c>
    </row>
    <row r="75" spans="1:13" ht="16.5" hidden="1" outlineLevel="1">
      <c r="A75" s="38"/>
      <c r="B75" s="39" t="s">
        <v>29</v>
      </c>
      <c r="C75" s="36">
        <v>315849</v>
      </c>
      <c r="D75" s="36">
        <v>0</v>
      </c>
      <c r="E75" s="48"/>
      <c r="F75" s="48">
        <v>10016848.720000001</v>
      </c>
      <c r="G75" s="49">
        <f t="shared" si="9"/>
        <v>3.1531772998564363E-2</v>
      </c>
      <c r="H75" s="23">
        <f t="shared" si="14"/>
        <v>0</v>
      </c>
      <c r="I75" s="24">
        <f t="shared" si="14"/>
        <v>0</v>
      </c>
      <c r="J75" s="32" t="str" cm="1">
        <f t="array" ref="J75">IFERROR(_xlfn.IFS(B75="044 - BLEND TRADICION","BLEND",B75="113 - CAFÉ GOURMET","GOURMET",B75="114 - CAFÉ CONSUMO","CONSUMO",B75="112 - CAFÉ ORGANICO","GOURMET",B75="172 - CAFÉ COSECHA","ESPECIALES",B75="176 - CAFE DESCAFEINADO","GOURMET",B75="147 - CAPSULAS","CAPSULAS",B75="130 - GALLETAS CAFECITAS","DERIVADOS",B75="140 - MERENGUES","DERIVADOS",B75="100 - CAFÉ ESPECIAL","ESPECIALES",B75="141 - AREQUIPE","DERIVADOS",B75="142 - MERMELADA","DERIVADOS",B75="131 - GALLETAS AVENA","DERIVADOS",B75="160 - SOUVENIR","OTROS",B75="148 - CARAMELOS","DERIVADOS",B75="143 - CHOCOFFES","DERIVADOS",B75="162 - CONVENIOS Y DSC POS ","OTROS"),"OTROS")</f>
        <v>ESPECIALES</v>
      </c>
      <c r="L75" s="27">
        <f t="shared" si="11"/>
        <v>315849</v>
      </c>
      <c r="M75" s="27">
        <f t="shared" si="12"/>
        <v>315849</v>
      </c>
    </row>
    <row r="76" spans="1:13" ht="16.5" hidden="1" outlineLevel="1">
      <c r="A76" s="38"/>
      <c r="B76" s="39" t="s">
        <v>30</v>
      </c>
      <c r="C76" s="36">
        <v>158155</v>
      </c>
      <c r="D76" s="36">
        <v>0</v>
      </c>
      <c r="E76" s="48">
        <v>0</v>
      </c>
      <c r="F76" s="48">
        <v>1809439.28</v>
      </c>
      <c r="G76" s="49">
        <f t="shared" si="9"/>
        <v>8.7405530402766538E-2</v>
      </c>
      <c r="H76" s="23">
        <f t="shared" si="14"/>
        <v>0</v>
      </c>
      <c r="I76" s="24">
        <f t="shared" si="14"/>
        <v>0</v>
      </c>
      <c r="J76" s="32" t="str" cm="1">
        <f t="array" ref="J76">IFERROR(_xlfn.IFS(B76="044 - BLEND TRADICION","BLEND",B76="113 - CAFÉ GOURMET","GOURMET",B76="114 - CAFÉ CONSUMO","CONSUMO",B76="112 - CAFÉ ORGANICO","GOURMET",B76="172 - CAFÉ COSECHA","ESPECIALES",B76="176 - CAFE DESCAFEINADO","GOURMET",B76="147 - CAPSULAS","CAPSULAS",B76="130 - GALLETAS CAFECITAS","DERIVADOS",B76="140 - MERENGUES","DERIVADOS",B76="100 - CAFÉ ESPECIAL","ESPECIALES",B76="141 - AREQUIPE","DERIVADOS",B76="142 - MERMELADA","DERIVADOS",B76="131 - GALLETAS AVENA","DERIVADOS",B76="160 - SOUVENIR","OTROS",B76="148 - CARAMELOS","DERIVADOS",B76="143 - CHOCOFFES","DERIVADOS",B76="162 - CONVENIOS Y DSC POS ","OTROS"),"OTROS")</f>
        <v>GOURMET</v>
      </c>
      <c r="L76" s="27">
        <f t="shared" si="11"/>
        <v>158155</v>
      </c>
      <c r="M76" s="27">
        <f t="shared" si="12"/>
        <v>158155</v>
      </c>
    </row>
    <row r="77" spans="1:13" ht="16.5" hidden="1" outlineLevel="1">
      <c r="A77" s="38"/>
      <c r="B77" s="39" t="s">
        <v>31</v>
      </c>
      <c r="C77" s="36">
        <v>12000</v>
      </c>
      <c r="D77" s="36">
        <v>0</v>
      </c>
      <c r="E77" s="48">
        <v>0</v>
      </c>
      <c r="F77" s="48">
        <v>0</v>
      </c>
      <c r="G77" s="49" t="str">
        <f t="shared" si="9"/>
        <v>-</v>
      </c>
      <c r="H77" s="23">
        <f t="shared" si="14"/>
        <v>0</v>
      </c>
      <c r="I77" s="24">
        <f t="shared" si="14"/>
        <v>0</v>
      </c>
      <c r="J77" s="32" t="str" cm="1">
        <f t="array" ref="J77">IFERROR(_xlfn.IFS(B77="044 - BLEND TRADICION","BLEND",B77="113 - CAFÉ GOURMET","GOURMET",B77="114 - CAFÉ CONSUMO","CONSUMO",B77="112 - CAFÉ ORGANICO","GOURMET",B77="172 - CAFÉ COSECHA","ESPECIALES",B77="176 - CAFE DESCAFEINADO","GOURMET",B77="147 - CAPSULAS","CAPSULAS",B77="130 - GALLETAS CAFECITAS","DERIVADOS",B77="140 - MERENGUES","DERIVADOS",B77="100 - CAFÉ ESPECIAL","ESPECIALES",B77="141 - AREQUIPE","DERIVADOS",B77="142 - MERMELADA","DERIVADOS",B77="131 - GALLETAS AVENA","DERIVADOS",B77="160 - SOUVENIR","OTROS",B77="148 - CARAMELOS","DERIVADOS",B77="143 - CHOCOFFES","DERIVADOS",B77="162 - CONVENIOS Y DSC POS ","OTROS"),"OTROS")</f>
        <v>OTROS</v>
      </c>
      <c r="L77" s="27">
        <f t="shared" si="11"/>
        <v>12000</v>
      </c>
      <c r="M77" s="27">
        <f t="shared" si="12"/>
        <v>12000</v>
      </c>
    </row>
    <row r="78" spans="1:13" ht="16.5" hidden="1" outlineLevel="1">
      <c r="A78" s="19" t="s">
        <v>44</v>
      </c>
      <c r="B78" s="56" t="s">
        <v>32</v>
      </c>
      <c r="C78" s="54">
        <f>SUM(C63:C77)</f>
        <v>48154158</v>
      </c>
      <c r="D78" s="54">
        <f>SUM(D63:D77)</f>
        <v>0</v>
      </c>
      <c r="E78" s="57">
        <v>0</v>
      </c>
      <c r="F78" s="58">
        <f>SUM(F63:F77)</f>
        <v>147679227.71999997</v>
      </c>
      <c r="G78" s="55">
        <f t="shared" si="9"/>
        <v>0.32607265587344725</v>
      </c>
      <c r="H78" s="23">
        <f t="shared" si="14"/>
        <v>0</v>
      </c>
      <c r="I78" s="24">
        <f t="shared" si="14"/>
        <v>0</v>
      </c>
      <c r="J78" s="32" t="str" cm="1">
        <f t="array" ref="J78">IFERROR(_xlfn.IFS(B78="044 - BLEND TRADICION","BLEND",B78="113 - CAFÉ GOURMET","GOURMET",B78="114 - CAFÉ CONSUMO","CONSUMO",B78="112 - CAFÉ ORGANICO","GOURMET",B78="172 - CAFÉ COSECHA","ESPECIALES",B78="176 - CAFE DESCAFEINADO","GOURMET",B78="147 - CAPSULAS","CAPSULAS",B78="130 - GALLETAS CAFECITAS","DERIVADOS",B78="140 - MERENGUES","DERIVADOS",B78="100 - CAFÉ ESPECIAL","ESPECIALES",B78="141 - AREQUIPE","DERIVADOS",B78="142 - MERMELADA","DERIVADOS",B78="131 - GALLETAS AVENA","DERIVADOS",B78="160 - SOUVENIR","OTROS",B78="148 - CARAMELOS","DERIVADOS",B78="143 - CHOCOFFES","DERIVADOS",B78="162 - CONVENIOS Y DSC POS ","OTROS"),"OTROS")</f>
        <v>OTROS</v>
      </c>
      <c r="L78" s="27">
        <f t="shared" si="11"/>
        <v>48154158</v>
      </c>
      <c r="M78" s="27">
        <f t="shared" si="12"/>
        <v>48154158</v>
      </c>
    </row>
    <row r="79" spans="1:13" ht="16.5" hidden="1" outlineLevel="1">
      <c r="A79" s="59"/>
      <c r="B79" s="39" t="s">
        <v>19</v>
      </c>
      <c r="C79" s="36">
        <v>1906617</v>
      </c>
      <c r="D79" s="36">
        <v>0</v>
      </c>
      <c r="E79" s="36">
        <v>0</v>
      </c>
      <c r="F79" s="48">
        <v>2429943.91</v>
      </c>
      <c r="G79" s="49">
        <f t="shared" si="9"/>
        <v>0.7846341605473518</v>
      </c>
      <c r="H79" s="23">
        <f t="shared" si="14"/>
        <v>0</v>
      </c>
      <c r="I79" s="24">
        <f t="shared" si="14"/>
        <v>0</v>
      </c>
      <c r="J79" s="32" t="str" cm="1">
        <f t="array" ref="J79">IFERROR(_xlfn.IFS(B79="044 - BLEND TRADICION","BLEND",B79="113 - CAFÉ GOURMET","GOURMET",B79="114 - CAFÉ CONSUMO","CONSUMO",B79="112 - CAFÉ ORGANICO","GOURMET",B79="172 - CAFÉ COSECHA","ESPECIALES",B79="176 - CAFE DESCAFEINADO","GOURMET",B79="147 - CAPSULAS","CAPSULAS",B79="130 - GALLETAS CAFECITAS","DERIVADOS",B79="140 - MERENGUES","DERIVADOS",B79="100 - CAFÉ ESPECIAL","ESPECIALES",B79="141 - AREQUIPE","DERIVADOS",B79="142 - MERMELADA","DERIVADOS",B79="131 - GALLETAS AVENA","DERIVADOS",B79="160 - SOUVENIR","OTROS",B79="148 - CARAMELOS","DERIVADOS",B79="143 - CHOCOFFES","DERIVADOS",B79="162 - CONVENIOS Y DSC POS ","OTROS"),"OTROS")</f>
        <v>ESPECIALES</v>
      </c>
      <c r="L79" s="27">
        <f t="shared" si="11"/>
        <v>1906617</v>
      </c>
      <c r="M79" s="27">
        <f t="shared" si="12"/>
        <v>1906617</v>
      </c>
    </row>
    <row r="80" spans="1:13" ht="16.5" hidden="1" outlineLevel="1">
      <c r="A80" s="59"/>
      <c r="B80" s="39" t="s">
        <v>20</v>
      </c>
      <c r="C80" s="36">
        <v>0</v>
      </c>
      <c r="D80" s="36">
        <v>0</v>
      </c>
      <c r="E80" s="36">
        <v>0</v>
      </c>
      <c r="F80" s="48">
        <v>2531872.7599999998</v>
      </c>
      <c r="G80" s="49">
        <f t="shared" si="9"/>
        <v>0</v>
      </c>
      <c r="H80" s="23">
        <f t="shared" si="14"/>
        <v>0</v>
      </c>
      <c r="I80" s="24">
        <f t="shared" si="14"/>
        <v>0</v>
      </c>
      <c r="J80" s="32" t="str" cm="1">
        <f t="array" ref="J80">IFERROR(_xlfn.IFS(B80="044 - BLEND TRADICION","BLEND",B80="113 - CAFÉ GOURMET","GOURMET",B80="114 - CAFÉ CONSUMO","CONSUMO",B80="112 - CAFÉ ORGANICO","GOURMET",B80="172 - CAFÉ COSECHA","ESPECIALES",B80="176 - CAFE DESCAFEINADO","GOURMET",B80="147 - CAPSULAS","CAPSULAS",B80="130 - GALLETAS CAFECITAS","DERIVADOS",B80="140 - MERENGUES","DERIVADOS",B80="100 - CAFÉ ESPECIAL","ESPECIALES",B80="141 - AREQUIPE","DERIVADOS",B80="142 - MERMELADA","DERIVADOS",B80="131 - GALLETAS AVENA","DERIVADOS",B80="160 - SOUVENIR","OTROS",B80="148 - CARAMELOS","DERIVADOS",B80="143 - CHOCOFFES","DERIVADOS",B80="162 - CONVENIOS Y DSC POS ","OTROS"),"OTROS")</f>
        <v>GOURMET</v>
      </c>
      <c r="L80" s="27">
        <f t="shared" si="11"/>
        <v>0</v>
      </c>
      <c r="M80" s="27">
        <f t="shared" si="12"/>
        <v>0</v>
      </c>
    </row>
    <row r="81" spans="1:13" ht="16.5" hidden="1" outlineLevel="1">
      <c r="A81" s="59"/>
      <c r="B81" s="39" t="s">
        <v>21</v>
      </c>
      <c r="C81" s="36">
        <v>2255513</v>
      </c>
      <c r="D81" s="36">
        <v>-3107055</v>
      </c>
      <c r="E81" s="36">
        <v>0</v>
      </c>
      <c r="F81" s="48">
        <v>112116243.56</v>
      </c>
      <c r="G81" s="49">
        <f t="shared" si="9"/>
        <v>2.0117629064096695E-2</v>
      </c>
      <c r="H81" s="23">
        <f t="shared" si="14"/>
        <v>-0.57939684867399355</v>
      </c>
      <c r="I81" s="24">
        <f t="shared" si="14"/>
        <v>0</v>
      </c>
      <c r="J81" s="32" t="str" cm="1">
        <f t="array" ref="J81">IFERROR(_xlfn.IFS(B81="044 - BLEND TRADICION","BLEND",B81="113 - CAFÉ GOURMET","GOURMET",B81="114 - CAFÉ CONSUMO","CONSUMO",B81="112 - CAFÉ ORGANICO","GOURMET",B81="172 - CAFÉ COSECHA","ESPECIALES",B81="176 - CAFE DESCAFEINADO","GOURMET",B81="147 - CAPSULAS","CAPSULAS",B81="130 - GALLETAS CAFECITAS","DERIVADOS",B81="140 - MERENGUES","DERIVADOS",B81="100 - CAFÉ ESPECIAL","ESPECIALES",B81="141 - AREQUIPE","DERIVADOS",B81="142 - MERMELADA","DERIVADOS",B81="131 - GALLETAS AVENA","DERIVADOS",B81="160 - SOUVENIR","OTROS",B81="148 - CARAMELOS","DERIVADOS",B81="143 - CHOCOFFES","DERIVADOS",B81="162 - CONVENIOS Y DSC POS ","OTROS"),"OTROS")</f>
        <v>GOURMET</v>
      </c>
      <c r="L81" s="27">
        <f t="shared" si="11"/>
        <v>5362568</v>
      </c>
      <c r="M81" s="27">
        <f t="shared" si="12"/>
        <v>5362568</v>
      </c>
    </row>
    <row r="82" spans="1:13" ht="16.5" hidden="1" outlineLevel="1">
      <c r="A82" s="59"/>
      <c r="B82" s="39" t="s">
        <v>22</v>
      </c>
      <c r="C82" s="36">
        <v>446864</v>
      </c>
      <c r="D82" s="36">
        <v>0</v>
      </c>
      <c r="E82" s="36">
        <v>0</v>
      </c>
      <c r="F82" s="48">
        <v>3725758.66</v>
      </c>
      <c r="G82" s="49">
        <f t="shared" si="9"/>
        <v>0.11993906229020213</v>
      </c>
      <c r="H82" s="23">
        <f t="shared" si="14"/>
        <v>0</v>
      </c>
      <c r="I82" s="24">
        <f t="shared" si="14"/>
        <v>0</v>
      </c>
      <c r="J82" s="32" t="str" cm="1">
        <f t="array" ref="J82">IFERROR(_xlfn.IFS(B82="044 - BLEND TRADICION","BLEND",B82="113 - CAFÉ GOURMET","GOURMET",B82="114 - CAFÉ CONSUMO","CONSUMO",B82="112 - CAFÉ ORGANICO","GOURMET",B82="172 - CAFÉ COSECHA","ESPECIALES",B82="176 - CAFE DESCAFEINADO","GOURMET",B82="147 - CAPSULAS","CAPSULAS",B82="130 - GALLETAS CAFECITAS","DERIVADOS",B82="140 - MERENGUES","DERIVADOS",B82="100 - CAFÉ ESPECIAL","ESPECIALES",B82="141 - AREQUIPE","DERIVADOS",B82="142 - MERMELADA","DERIVADOS",B82="131 - GALLETAS AVENA","DERIVADOS",B82="160 - SOUVENIR","OTROS",B82="148 - CARAMELOS","DERIVADOS",B82="143 - CHOCOFFES","DERIVADOS",B82="162 - CONVENIOS Y DSC POS ","OTROS"),"OTROS")</f>
        <v>DERIVADOS</v>
      </c>
      <c r="L82" s="27">
        <f t="shared" si="11"/>
        <v>446864</v>
      </c>
      <c r="M82" s="27">
        <f t="shared" si="12"/>
        <v>446864</v>
      </c>
    </row>
    <row r="83" spans="1:13" ht="16.5" hidden="1" outlineLevel="1">
      <c r="A83" s="59"/>
      <c r="B83" s="39" t="s">
        <v>23</v>
      </c>
      <c r="C83" s="36">
        <v>0</v>
      </c>
      <c r="D83" s="36">
        <v>0</v>
      </c>
      <c r="E83" s="36"/>
      <c r="F83" s="48">
        <v>530387.72</v>
      </c>
      <c r="G83" s="49">
        <f t="shared" si="9"/>
        <v>0</v>
      </c>
      <c r="H83" s="23">
        <f t="shared" si="14"/>
        <v>0</v>
      </c>
      <c r="I83" s="24">
        <f t="shared" si="14"/>
        <v>0</v>
      </c>
      <c r="J83" s="32" t="str" cm="1">
        <f t="array" ref="J83">IFERROR(_xlfn.IFS(B83="044 - BLEND TRADICION","BLEND",B83="113 - CAFÉ GOURMET","GOURMET",B83="114 - CAFÉ CONSUMO","CONSUMO",B83="112 - CAFÉ ORGANICO","GOURMET",B83="172 - CAFÉ COSECHA","ESPECIALES",B83="176 - CAFE DESCAFEINADO","GOURMET",B83="147 - CAPSULAS","CAPSULAS",B83="130 - GALLETAS CAFECITAS","DERIVADOS",B83="140 - MERENGUES","DERIVADOS",B83="100 - CAFÉ ESPECIAL","ESPECIALES",B83="141 - AREQUIPE","DERIVADOS",B83="142 - MERMELADA","DERIVADOS",B83="131 - GALLETAS AVENA","DERIVADOS",B83="160 - SOUVENIR","OTROS",B83="148 - CARAMELOS","DERIVADOS",B83="143 - CHOCOFFES","DERIVADOS",B83="162 - CONVENIOS Y DSC POS ","OTROS"),"OTROS")</f>
        <v>DERIVADOS</v>
      </c>
      <c r="L83" s="27">
        <f t="shared" si="11"/>
        <v>0</v>
      </c>
      <c r="M83" s="27">
        <f t="shared" si="12"/>
        <v>0</v>
      </c>
    </row>
    <row r="84" spans="1:13" ht="16.5" hidden="1" outlineLevel="1">
      <c r="A84" s="59"/>
      <c r="B84" s="39" t="s">
        <v>24</v>
      </c>
      <c r="C84" s="36">
        <v>637730</v>
      </c>
      <c r="D84" s="36">
        <v>0</v>
      </c>
      <c r="E84" s="36"/>
      <c r="F84" s="48">
        <v>1022579.12</v>
      </c>
      <c r="G84" s="49">
        <f t="shared" si="9"/>
        <v>0.62364856423041382</v>
      </c>
      <c r="H84" s="23">
        <f t="shared" si="14"/>
        <v>0</v>
      </c>
      <c r="I84" s="24">
        <f t="shared" si="14"/>
        <v>0</v>
      </c>
      <c r="J84" s="32" t="str" cm="1">
        <f t="array" ref="J84">IFERROR(_xlfn.IFS(B84="044 - BLEND TRADICION","BLEND",B84="113 - CAFÉ GOURMET","GOURMET",B84="114 - CAFÉ CONSUMO","CONSUMO",B84="112 - CAFÉ ORGANICO","GOURMET",B84="172 - CAFÉ COSECHA","ESPECIALES",B84="176 - CAFE DESCAFEINADO","GOURMET",B84="147 - CAPSULAS","CAPSULAS",B84="130 - GALLETAS CAFECITAS","DERIVADOS",B84="140 - MERENGUES","DERIVADOS",B84="100 - CAFÉ ESPECIAL","ESPECIALES",B84="141 - AREQUIPE","DERIVADOS",B84="142 - MERMELADA","DERIVADOS",B84="131 - GALLETAS AVENA","DERIVADOS",B84="160 - SOUVENIR","OTROS",B84="148 - CARAMELOS","DERIVADOS",B84="143 - CHOCOFFES","DERIVADOS",B84="162 - CONVENIOS Y DSC POS ","OTROS"),"OTROS")</f>
        <v>DERIVADOS</v>
      </c>
      <c r="L84" s="27">
        <f t="shared" si="11"/>
        <v>637730</v>
      </c>
      <c r="M84" s="27">
        <f t="shared" si="12"/>
        <v>637730</v>
      </c>
    </row>
    <row r="85" spans="1:13" ht="16.5" hidden="1" outlineLevel="1">
      <c r="A85" s="59"/>
      <c r="B85" s="39" t="s">
        <v>25</v>
      </c>
      <c r="C85" s="36">
        <v>65570</v>
      </c>
      <c r="D85" s="36">
        <v>0</v>
      </c>
      <c r="E85" s="36"/>
      <c r="F85" s="48">
        <v>1766197.25</v>
      </c>
      <c r="G85" s="49">
        <f t="shared" si="9"/>
        <v>3.7124958721343269E-2</v>
      </c>
      <c r="H85" s="23">
        <f t="shared" si="14"/>
        <v>0</v>
      </c>
      <c r="I85" s="24">
        <f t="shared" si="14"/>
        <v>0</v>
      </c>
      <c r="J85" s="32" t="str" cm="1">
        <f t="array" ref="J85">IFERROR(_xlfn.IFS(B85="044 - BLEND TRADICION","BLEND",B85="113 - CAFÉ GOURMET","GOURMET",B85="114 - CAFÉ CONSUMO","CONSUMO",B85="112 - CAFÉ ORGANICO","GOURMET",B85="172 - CAFÉ COSECHA","ESPECIALES",B85="176 - CAFE DESCAFEINADO","GOURMET",B85="147 - CAPSULAS","CAPSULAS",B85="130 - GALLETAS CAFECITAS","DERIVADOS",B85="140 - MERENGUES","DERIVADOS",B85="100 - CAFÉ ESPECIAL","ESPECIALES",B85="141 - AREQUIPE","DERIVADOS",B85="142 - MERMELADA","DERIVADOS",B85="131 - GALLETAS AVENA","DERIVADOS",B85="160 - SOUVENIR","OTROS",B85="148 - CARAMELOS","DERIVADOS",B85="143 - CHOCOFFES","DERIVADOS",B85="162 - CONVENIOS Y DSC POS ","OTROS"),"OTROS")</f>
        <v>DERIVADOS</v>
      </c>
      <c r="L85" s="27">
        <f t="shared" si="11"/>
        <v>65570</v>
      </c>
      <c r="M85" s="27">
        <f t="shared" si="12"/>
        <v>65570</v>
      </c>
    </row>
    <row r="86" spans="1:13" ht="16.5" hidden="1" outlineLevel="1">
      <c r="A86" s="59"/>
      <c r="B86" s="39" t="s">
        <v>26</v>
      </c>
      <c r="C86" s="36">
        <v>1173705</v>
      </c>
      <c r="D86" s="36">
        <v>0</v>
      </c>
      <c r="E86" s="36"/>
      <c r="F86" s="48">
        <v>2921002.36</v>
      </c>
      <c r="G86" s="49">
        <f t="shared" si="9"/>
        <v>0.40181583420562522</v>
      </c>
      <c r="H86" s="23">
        <f t="shared" si="14"/>
        <v>0</v>
      </c>
      <c r="I86" s="24">
        <f t="shared" si="14"/>
        <v>0</v>
      </c>
      <c r="J86" s="32" t="str" cm="1">
        <f t="array" ref="J86">IFERROR(_xlfn.IFS(B86="044 - BLEND TRADICION","BLEND",B86="113 - CAFÉ GOURMET","GOURMET",B86="114 - CAFÉ CONSUMO","CONSUMO",B86="112 - CAFÉ ORGANICO","GOURMET",B86="172 - CAFÉ COSECHA","ESPECIALES",B86="176 - CAFE DESCAFEINADO","GOURMET",B86="147 - CAPSULAS","CAPSULAS",B86="130 - GALLETAS CAFECITAS","DERIVADOS",B86="140 - MERENGUES","DERIVADOS",B86="100 - CAFÉ ESPECIAL","ESPECIALES",B86="141 - AREQUIPE","DERIVADOS",B86="142 - MERMELADA","DERIVADOS",B86="131 - GALLETAS AVENA","DERIVADOS",B86="160 - SOUVENIR","OTROS",B86="148 - CARAMELOS","DERIVADOS",B86="143 - CHOCOFFES","DERIVADOS",B86="162 - CONVENIOS Y DSC POS ","OTROS"),"OTROS")</f>
        <v>CAPSULAS</v>
      </c>
      <c r="L86" s="27">
        <f t="shared" si="11"/>
        <v>1173705</v>
      </c>
      <c r="M86" s="27">
        <f t="shared" si="12"/>
        <v>1173705</v>
      </c>
    </row>
    <row r="87" spans="1:13" ht="16.5" hidden="1" outlineLevel="1">
      <c r="A87" s="59"/>
      <c r="B87" s="39" t="s">
        <v>27</v>
      </c>
      <c r="C87" s="36">
        <v>178594</v>
      </c>
      <c r="D87" s="36">
        <v>0</v>
      </c>
      <c r="E87" s="36"/>
      <c r="F87" s="48">
        <v>1719908.5</v>
      </c>
      <c r="G87" s="49">
        <f t="shared" ref="G87:G130" si="27">IFERROR(C87/F87*100%,"-")</f>
        <v>0.10383924493657656</v>
      </c>
      <c r="H87" s="23">
        <f t="shared" si="14"/>
        <v>0</v>
      </c>
      <c r="I87" s="24">
        <f t="shared" si="14"/>
        <v>0</v>
      </c>
      <c r="J87" s="32" t="str" cm="1">
        <f t="array" ref="J87">IFERROR(_xlfn.IFS(B87="044 - BLEND TRADICION","BLEND",B87="113 - CAFÉ GOURMET","GOURMET",B87="114 - CAFÉ CONSUMO","CONSUMO",B87="112 - CAFÉ ORGANICO","GOURMET",B87="172 - CAFÉ COSECHA","ESPECIALES",B87="176 - CAFE DESCAFEINADO","GOURMET",B87="147 - CAPSULAS","CAPSULAS",B87="130 - GALLETAS CAFECITAS","DERIVADOS",B87="140 - MERENGUES","DERIVADOS",B87="100 - CAFÉ ESPECIAL","ESPECIALES",B87="141 - AREQUIPE","DERIVADOS",B87="142 - MERMELADA","DERIVADOS",B87="131 - GALLETAS AVENA","DERIVADOS",B87="160 - SOUVENIR","OTROS",B87="148 - CARAMELOS","DERIVADOS",B87="143 - CHOCOFFES","DERIVADOS",B87="162 - CONVENIOS Y DSC POS ","OTROS"),"OTROS")</f>
        <v>DERIVADOS</v>
      </c>
      <c r="L87" s="27">
        <f t="shared" ref="L87:L151" si="28">C87-(D87+E87)</f>
        <v>178594</v>
      </c>
      <c r="M87" s="27">
        <f t="shared" ref="M87:M151" si="29">L87</f>
        <v>178594</v>
      </c>
    </row>
    <row r="88" spans="1:13" ht="16.5" hidden="1" outlineLevel="1">
      <c r="A88" s="59"/>
      <c r="B88" s="39" t="s">
        <v>28</v>
      </c>
      <c r="C88" s="36">
        <v>0</v>
      </c>
      <c r="D88" s="36">
        <v>0</v>
      </c>
      <c r="E88" s="36"/>
      <c r="F88" s="48">
        <v>6824547.4699999997</v>
      </c>
      <c r="G88" s="49">
        <f t="shared" si="27"/>
        <v>0</v>
      </c>
      <c r="H88" s="23">
        <f t="shared" ref="H88:I104" si="30">IFERROR(+D88/L88*100%,0)</f>
        <v>0</v>
      </c>
      <c r="I88" s="24">
        <f t="shared" si="30"/>
        <v>0</v>
      </c>
      <c r="J88" s="32" t="str" cm="1">
        <f t="array" ref="J88">IFERROR(_xlfn.IFS(B88="044 - BLEND TRADICION","BLEND",B88="113 - CAFÉ GOURMET","GOURMET",B88="114 - CAFÉ CONSUMO","CONSUMO",B88="112 - CAFÉ ORGANICO","GOURMET",B88="172 - CAFÉ COSECHA","ESPECIALES",B88="176 - CAFE DESCAFEINADO","GOURMET",B88="147 - CAPSULAS","CAPSULAS",B88="130 - GALLETAS CAFECITAS","DERIVADOS",B88="140 - MERENGUES","DERIVADOS",B88="100 - CAFÉ ESPECIAL","ESPECIALES",B88="141 - AREQUIPE","DERIVADOS",B88="142 - MERMELADA","DERIVADOS",B88="131 - GALLETAS AVENA","DERIVADOS",B88="160 - SOUVENIR","OTROS",B88="148 - CARAMELOS","DERIVADOS",B88="143 - CHOCOFFES","DERIVADOS",B88="162 - CONVENIOS Y DSC POS ","OTROS"),"OTROS")</f>
        <v>OTROS</v>
      </c>
      <c r="L88" s="27">
        <f t="shared" si="28"/>
        <v>0</v>
      </c>
      <c r="M88" s="27">
        <f t="shared" si="29"/>
        <v>0</v>
      </c>
    </row>
    <row r="89" spans="1:13" ht="16.5" hidden="1" outlineLevel="1">
      <c r="A89" s="59"/>
      <c r="B89" s="39" t="s">
        <v>29</v>
      </c>
      <c r="C89" s="36">
        <v>152822</v>
      </c>
      <c r="D89" s="36">
        <v>0</v>
      </c>
      <c r="E89" s="36"/>
      <c r="F89" s="48">
        <v>1667302.64</v>
      </c>
      <c r="G89" s="49">
        <f t="shared" si="27"/>
        <v>9.1658224687990661E-2</v>
      </c>
      <c r="H89" s="23">
        <f t="shared" si="30"/>
        <v>0</v>
      </c>
      <c r="I89" s="24">
        <f t="shared" si="30"/>
        <v>0</v>
      </c>
      <c r="J89" s="32" t="str" cm="1">
        <f t="array" ref="J89">IFERROR(_xlfn.IFS(B89="044 - BLEND TRADICION","BLEND",B89="113 - CAFÉ GOURMET","GOURMET",B89="114 - CAFÉ CONSUMO","CONSUMO",B89="112 - CAFÉ ORGANICO","GOURMET",B89="172 - CAFÉ COSECHA","ESPECIALES",B89="176 - CAFE DESCAFEINADO","GOURMET",B89="147 - CAPSULAS","CAPSULAS",B89="130 - GALLETAS CAFECITAS","DERIVADOS",B89="140 - MERENGUES","DERIVADOS",B89="100 - CAFÉ ESPECIAL","ESPECIALES",B89="141 - AREQUIPE","DERIVADOS",B89="142 - MERMELADA","DERIVADOS",B89="131 - GALLETAS AVENA","DERIVADOS",B89="160 - SOUVENIR","OTROS",B89="148 - CARAMELOS","DERIVADOS",B89="143 - CHOCOFFES","DERIVADOS",B89="162 - CONVENIOS Y DSC POS ","OTROS"),"OTROS")</f>
        <v>ESPECIALES</v>
      </c>
      <c r="L89" s="27">
        <f t="shared" si="28"/>
        <v>152822</v>
      </c>
      <c r="M89" s="27">
        <f t="shared" si="29"/>
        <v>152822</v>
      </c>
    </row>
    <row r="90" spans="1:13" ht="16.5" hidden="1" outlineLevel="1">
      <c r="A90" s="59"/>
      <c r="B90" s="39" t="s">
        <v>30</v>
      </c>
      <c r="C90" s="36">
        <v>0</v>
      </c>
      <c r="D90" s="36">
        <v>0</v>
      </c>
      <c r="E90" s="36"/>
      <c r="F90" s="48">
        <v>382592.22</v>
      </c>
      <c r="G90" s="49">
        <f t="shared" si="27"/>
        <v>0</v>
      </c>
      <c r="H90" s="23">
        <f t="shared" si="30"/>
        <v>0</v>
      </c>
      <c r="I90" s="24">
        <f t="shared" si="30"/>
        <v>0</v>
      </c>
      <c r="J90" s="32" t="str" cm="1">
        <f t="array" ref="J90">IFERROR(_xlfn.IFS(B90="044 - BLEND TRADICION","BLEND",B90="113 - CAFÉ GOURMET","GOURMET",B90="114 - CAFÉ CONSUMO","CONSUMO",B90="112 - CAFÉ ORGANICO","GOURMET",B90="172 - CAFÉ COSECHA","ESPECIALES",B90="176 - CAFE DESCAFEINADO","GOURMET",B90="147 - CAPSULAS","CAPSULAS",B90="130 - GALLETAS CAFECITAS","DERIVADOS",B90="140 - MERENGUES","DERIVADOS",B90="100 - CAFÉ ESPECIAL","ESPECIALES",B90="141 - AREQUIPE","DERIVADOS",B90="142 - MERMELADA","DERIVADOS",B90="131 - GALLETAS AVENA","DERIVADOS",B90="160 - SOUVENIR","OTROS",B90="148 - CARAMELOS","DERIVADOS",B90="143 - CHOCOFFES","DERIVADOS",B90="162 - CONVENIOS Y DSC POS ","OTROS"),"OTROS")</f>
        <v>GOURMET</v>
      </c>
      <c r="L90" s="27">
        <f t="shared" si="28"/>
        <v>0</v>
      </c>
      <c r="M90" s="27">
        <f t="shared" si="29"/>
        <v>0</v>
      </c>
    </row>
    <row r="91" spans="1:13" ht="16.5" hidden="1" outlineLevel="1">
      <c r="A91" s="59"/>
      <c r="B91" s="39" t="s">
        <v>31</v>
      </c>
      <c r="C91" s="36">
        <v>24000</v>
      </c>
      <c r="D91" s="36">
        <v>0</v>
      </c>
      <c r="E91" s="36"/>
      <c r="F91" s="48">
        <v>0</v>
      </c>
      <c r="G91" s="49" t="str">
        <f t="shared" si="27"/>
        <v>-</v>
      </c>
      <c r="H91" s="23">
        <f t="shared" si="30"/>
        <v>0</v>
      </c>
      <c r="I91" s="24">
        <f t="shared" si="30"/>
        <v>0</v>
      </c>
      <c r="J91" s="32" t="str" cm="1">
        <f t="array" ref="J91">IFERROR(_xlfn.IFS(B91="044 - BLEND TRADICION","BLEND",B91="113 - CAFÉ GOURMET","GOURMET",B91="114 - CAFÉ CONSUMO","CONSUMO",B91="112 - CAFÉ ORGANICO","GOURMET",B91="172 - CAFÉ COSECHA","ESPECIALES",B91="176 - CAFE DESCAFEINADO","GOURMET",B91="147 - CAPSULAS","CAPSULAS",B91="130 - GALLETAS CAFECITAS","DERIVADOS",B91="140 - MERENGUES","DERIVADOS",B91="100 - CAFÉ ESPECIAL","ESPECIALES",B91="141 - AREQUIPE","DERIVADOS",B91="142 - MERMELADA","DERIVADOS",B91="131 - GALLETAS AVENA","DERIVADOS",B91="160 - SOUVENIR","OTROS",B91="148 - CARAMELOS","DERIVADOS",B91="143 - CHOCOFFES","DERIVADOS",B91="162 - CONVENIOS Y DSC POS ","OTROS"),"OTROS")</f>
        <v>OTROS</v>
      </c>
      <c r="L91" s="27">
        <f t="shared" si="28"/>
        <v>24000</v>
      </c>
      <c r="M91" s="27">
        <f t="shared" si="29"/>
        <v>24000</v>
      </c>
    </row>
    <row r="92" spans="1:13" ht="16.5" hidden="1" outlineLevel="1">
      <c r="A92" s="19" t="s">
        <v>45</v>
      </c>
      <c r="B92" s="56" t="s">
        <v>32</v>
      </c>
      <c r="C92" s="54">
        <f>SUM(C79:C91)</f>
        <v>6841415</v>
      </c>
      <c r="D92" s="54">
        <f>SUM(D79:D91)</f>
        <v>-3107055</v>
      </c>
      <c r="E92" s="57">
        <v>0</v>
      </c>
      <c r="F92" s="58">
        <f>SUM(F79:F91)</f>
        <v>137638336.16999999</v>
      </c>
      <c r="G92" s="55">
        <f t="shared" si="27"/>
        <v>4.9705737444762664E-2</v>
      </c>
      <c r="H92" s="23">
        <f t="shared" si="30"/>
        <v>-0.31231485846567364</v>
      </c>
      <c r="I92" s="24">
        <f t="shared" si="30"/>
        <v>0</v>
      </c>
      <c r="J92" s="32" t="str" cm="1">
        <f t="array" ref="J92">IFERROR(_xlfn.IFS(B92="044 - BLEND TRADICION","BLEND",B92="113 - CAFÉ GOURMET","GOURMET",B92="114 - CAFÉ CONSUMO","CONSUMO",B92="112 - CAFÉ ORGANICO","GOURMET",B92="172 - CAFÉ COSECHA","ESPECIALES",B92="176 - CAFE DESCAFEINADO","GOURMET",B92="147 - CAPSULAS","CAPSULAS",B92="130 - GALLETAS CAFECITAS","DERIVADOS",B92="140 - MERENGUES","DERIVADOS",B92="100 - CAFÉ ESPECIAL","ESPECIALES",B92="141 - AREQUIPE","DERIVADOS",B92="142 - MERMELADA","DERIVADOS",B92="131 - GALLETAS AVENA","DERIVADOS",B92="160 - SOUVENIR","OTROS",B92="148 - CARAMELOS","DERIVADOS",B92="143 - CHOCOFFES","DERIVADOS",B92="162 - CONVENIOS Y DSC POS ","OTROS"),"OTROS")</f>
        <v>OTROS</v>
      </c>
      <c r="L92" s="27">
        <f t="shared" si="28"/>
        <v>9948470</v>
      </c>
      <c r="M92" s="27">
        <f t="shared" si="29"/>
        <v>9948470</v>
      </c>
    </row>
    <row r="93" spans="1:13" ht="16.5" hidden="1" outlineLevel="1">
      <c r="A93" s="59"/>
      <c r="B93" s="39" t="s">
        <v>18</v>
      </c>
      <c r="C93" s="60">
        <v>521600</v>
      </c>
      <c r="D93" s="60">
        <v>0</v>
      </c>
      <c r="E93" s="36">
        <v>0</v>
      </c>
      <c r="F93" s="48">
        <v>4980625.03</v>
      </c>
      <c r="G93" s="49">
        <f t="shared" si="27"/>
        <v>0.10472581189272945</v>
      </c>
      <c r="H93" s="23">
        <f t="shared" si="30"/>
        <v>0</v>
      </c>
      <c r="I93" s="24">
        <f t="shared" si="30"/>
        <v>0</v>
      </c>
      <c r="J93" s="32" t="str" cm="1">
        <f t="array" ref="J93">IFERROR(_xlfn.IFS(B93="044 - BLEND TRADICION","BLEND",B93="113 - CAFÉ GOURMET","GOURMET",B93="114 - CAFÉ CONSUMO","CONSUMO",B93="112 - CAFÉ ORGANICO","GOURMET",B93="172 - CAFÉ COSECHA","ESPECIALES",B93="176 - CAFE DESCAFEINADO","GOURMET",B93="147 - CAPSULAS","CAPSULAS",B93="130 - GALLETAS CAFECITAS","DERIVADOS",B93="140 - MERENGUES","DERIVADOS",B93="100 - CAFÉ ESPECIAL","ESPECIALES",B93="141 - AREQUIPE","DERIVADOS",B93="142 - MERMELADA","DERIVADOS",B93="131 - GALLETAS AVENA","DERIVADOS",B93="160 - SOUVENIR","OTROS",B93="148 - CARAMELOS","DERIVADOS",B93="143 - CHOCOFFES","DERIVADOS",B93="162 - CONVENIOS Y DSC POS ","OTROS"),"OTROS")</f>
        <v>BLEND</v>
      </c>
      <c r="L93" s="27">
        <f t="shared" si="28"/>
        <v>521600</v>
      </c>
      <c r="M93" s="27">
        <f t="shared" si="29"/>
        <v>521600</v>
      </c>
    </row>
    <row r="94" spans="1:13" ht="16.5" hidden="1" outlineLevel="1">
      <c r="A94" s="59"/>
      <c r="B94" s="39" t="s">
        <v>19</v>
      </c>
      <c r="C94" s="60">
        <v>1697123</v>
      </c>
      <c r="D94" s="60">
        <v>0</v>
      </c>
      <c r="E94" s="36">
        <v>0</v>
      </c>
      <c r="F94" s="48">
        <v>4364104.07</v>
      </c>
      <c r="G94" s="49">
        <f t="shared" si="27"/>
        <v>0.38888233937097655</v>
      </c>
      <c r="H94" s="23">
        <f t="shared" si="30"/>
        <v>0</v>
      </c>
      <c r="I94" s="24">
        <f t="shared" si="30"/>
        <v>0</v>
      </c>
      <c r="J94" s="32" t="str" cm="1">
        <f t="array" ref="J94">IFERROR(_xlfn.IFS(B94="044 - BLEND TRADICION","BLEND",B94="113 - CAFÉ GOURMET","GOURMET",B94="114 - CAFÉ CONSUMO","CONSUMO",B94="112 - CAFÉ ORGANICO","GOURMET",B94="172 - CAFÉ COSECHA","ESPECIALES",B94="176 - CAFE DESCAFEINADO","GOURMET",B94="147 - CAPSULAS","CAPSULAS",B94="130 - GALLETAS CAFECITAS","DERIVADOS",B94="140 - MERENGUES","DERIVADOS",B94="100 - CAFÉ ESPECIAL","ESPECIALES",B94="141 - AREQUIPE","DERIVADOS",B94="142 - MERMELADA","DERIVADOS",B94="131 - GALLETAS AVENA","DERIVADOS",B94="160 - SOUVENIR","OTROS",B94="148 - CARAMELOS","DERIVADOS",B94="143 - CHOCOFFES","DERIVADOS",B94="162 - CONVENIOS Y DSC POS ","OTROS"),"OTROS")</f>
        <v>ESPECIALES</v>
      </c>
      <c r="L94" s="27">
        <f t="shared" si="28"/>
        <v>1697123</v>
      </c>
      <c r="M94" s="27">
        <f t="shared" si="29"/>
        <v>1697123</v>
      </c>
    </row>
    <row r="95" spans="1:13" ht="16.5" hidden="1" outlineLevel="1">
      <c r="A95" s="59"/>
      <c r="B95" s="39" t="s">
        <v>20</v>
      </c>
      <c r="C95" s="60">
        <v>2216564</v>
      </c>
      <c r="D95" s="60">
        <v>0</v>
      </c>
      <c r="E95" s="36">
        <v>0</v>
      </c>
      <c r="F95" s="48">
        <v>6833481.9699999997</v>
      </c>
      <c r="G95" s="49">
        <f t="shared" si="27"/>
        <v>0.3243681639508299</v>
      </c>
      <c r="H95" s="23">
        <f t="shared" si="30"/>
        <v>0</v>
      </c>
      <c r="I95" s="24">
        <f t="shared" si="30"/>
        <v>0</v>
      </c>
      <c r="J95" s="32" t="str" cm="1">
        <f t="array" ref="J95">IFERROR(_xlfn.IFS(B95="044 - BLEND TRADICION","BLEND",B95="113 - CAFÉ GOURMET","GOURMET",B95="114 - CAFÉ CONSUMO","CONSUMO",B95="112 - CAFÉ ORGANICO","GOURMET",B95="172 - CAFÉ COSECHA","ESPECIALES",B95="176 - CAFE DESCAFEINADO","GOURMET",B95="147 - CAPSULAS","CAPSULAS",B95="130 - GALLETAS CAFECITAS","DERIVADOS",B95="140 - MERENGUES","DERIVADOS",B95="100 - CAFÉ ESPECIAL","ESPECIALES",B95="141 - AREQUIPE","DERIVADOS",B95="142 - MERMELADA","DERIVADOS",B95="131 - GALLETAS AVENA","DERIVADOS",B95="160 - SOUVENIR","OTROS",B95="148 - CARAMELOS","DERIVADOS",B95="143 - CHOCOFFES","DERIVADOS",B95="162 - CONVENIOS Y DSC POS ","OTROS"),"OTROS")</f>
        <v>GOURMET</v>
      </c>
      <c r="L95" s="27">
        <f t="shared" si="28"/>
        <v>2216564</v>
      </c>
      <c r="M95" s="27">
        <f t="shared" si="29"/>
        <v>2216564</v>
      </c>
    </row>
    <row r="96" spans="1:13" ht="16.5" hidden="1" outlineLevel="1">
      <c r="A96" s="59"/>
      <c r="B96" s="39" t="s">
        <v>21</v>
      </c>
      <c r="C96" s="60">
        <v>20682874</v>
      </c>
      <c r="D96" s="60">
        <v>0</v>
      </c>
      <c r="E96" s="36"/>
      <c r="F96" s="48">
        <v>128071723.90000001</v>
      </c>
      <c r="G96" s="49">
        <f t="shared" ref="G96:G100" si="31">IFERROR(C96/F96*100%,"-")</f>
        <v>0.16149446083937657</v>
      </c>
      <c r="H96" s="23">
        <f t="shared" ref="H96:H100" si="32">IFERROR(+D96/L96*100%,0)</f>
        <v>0</v>
      </c>
      <c r="I96" s="24">
        <f t="shared" ref="I96:I100" si="33">IFERROR(+E96/M96*100%,0)</f>
        <v>0</v>
      </c>
      <c r="J96" s="32" t="str" cm="1">
        <f t="array" ref="J96">IFERROR(_xlfn.IFS(B96="044 - BLEND TRADICION","BLEND",B96="113 - CAFÉ GOURMET","GOURMET",B96="114 - CAFÉ CONSUMO","CONSUMO",B96="112 - CAFÉ ORGANICO","GOURMET",B96="172 - CAFÉ COSECHA","ESPECIALES",B96="176 - CAFE DESCAFEINADO","GOURMET",B96="147 - CAPSULAS","CAPSULAS",B96="130 - GALLETAS CAFECITAS","DERIVADOS",B96="140 - MERENGUES","DERIVADOS",B96="100 - CAFÉ ESPECIAL","ESPECIALES",B96="141 - AREQUIPE","DERIVADOS",B96="142 - MERMELADA","DERIVADOS",B96="131 - GALLETAS AVENA","DERIVADOS",B96="160 - SOUVENIR","OTROS",B96="148 - CARAMELOS","DERIVADOS",B96="143 - CHOCOFFES","DERIVADOS",B96="162 - CONVENIOS Y DSC POS ","OTROS"),"OTROS")</f>
        <v>GOURMET</v>
      </c>
      <c r="L96" s="27">
        <f t="shared" ref="L96:L100" si="34">C96-(D96+E96)</f>
        <v>20682874</v>
      </c>
      <c r="M96" s="27">
        <f t="shared" ref="M96:M100" si="35">L96</f>
        <v>20682874</v>
      </c>
    </row>
    <row r="97" spans="1:13" ht="16.5" hidden="1" outlineLevel="1">
      <c r="A97" s="59"/>
      <c r="B97" s="39" t="s">
        <v>22</v>
      </c>
      <c r="C97" s="60">
        <v>1238665</v>
      </c>
      <c r="D97" s="60">
        <v>0</v>
      </c>
      <c r="E97" s="36">
        <v>0</v>
      </c>
      <c r="F97" s="48">
        <v>5287340.72</v>
      </c>
      <c r="G97" s="49">
        <f t="shared" si="31"/>
        <v>0.23426994127966849</v>
      </c>
      <c r="H97" s="23">
        <f t="shared" si="32"/>
        <v>0</v>
      </c>
      <c r="I97" s="24">
        <f t="shared" si="33"/>
        <v>0</v>
      </c>
      <c r="J97" s="32" t="str" cm="1">
        <f t="array" ref="J97">IFERROR(_xlfn.IFS(B97="044 - BLEND TRADICION","BLEND",B97="113 - CAFÉ GOURMET","GOURMET",B97="114 - CAFÉ CONSUMO","CONSUMO",B97="112 - CAFÉ ORGANICO","GOURMET",B97="172 - CAFÉ COSECHA","ESPECIALES",B97="176 - CAFE DESCAFEINADO","GOURMET",B97="147 - CAPSULAS","CAPSULAS",B97="130 - GALLETAS CAFECITAS","DERIVADOS",B97="140 - MERENGUES","DERIVADOS",B97="100 - CAFÉ ESPECIAL","ESPECIALES",B97="141 - AREQUIPE","DERIVADOS",B97="142 - MERMELADA","DERIVADOS",B97="131 - GALLETAS AVENA","DERIVADOS",B97="160 - SOUVENIR","OTROS",B97="148 - CARAMELOS","DERIVADOS",B97="143 - CHOCOFFES","DERIVADOS",B97="162 - CONVENIOS Y DSC POS ","OTROS"),"OTROS")</f>
        <v>DERIVADOS</v>
      </c>
      <c r="L97" s="27">
        <f t="shared" si="34"/>
        <v>1238665</v>
      </c>
      <c r="M97" s="27">
        <f t="shared" si="35"/>
        <v>1238665</v>
      </c>
    </row>
    <row r="98" spans="1:13" ht="16.5" hidden="1" outlineLevel="1">
      <c r="A98" s="59"/>
      <c r="B98" s="39" t="s">
        <v>23</v>
      </c>
      <c r="C98" s="60">
        <v>59660</v>
      </c>
      <c r="D98" s="60">
        <v>0</v>
      </c>
      <c r="E98" s="36">
        <v>0</v>
      </c>
      <c r="F98" s="48">
        <v>0</v>
      </c>
      <c r="G98" s="49" t="str">
        <f t="shared" si="31"/>
        <v>-</v>
      </c>
      <c r="H98" s="23">
        <f t="shared" si="32"/>
        <v>0</v>
      </c>
      <c r="I98" s="24">
        <f t="shared" si="33"/>
        <v>0</v>
      </c>
      <c r="J98" s="32" t="str" cm="1">
        <f t="array" ref="J98">IFERROR(_xlfn.IFS(B98="044 - BLEND TRADICION","BLEND",B98="113 - CAFÉ GOURMET","GOURMET",B98="114 - CAFÉ CONSUMO","CONSUMO",B98="112 - CAFÉ ORGANICO","GOURMET",B98="172 - CAFÉ COSECHA","ESPECIALES",B98="176 - CAFE DESCAFEINADO","GOURMET",B98="147 - CAPSULAS","CAPSULAS",B98="130 - GALLETAS CAFECITAS","DERIVADOS",B98="140 - MERENGUES","DERIVADOS",B98="100 - CAFÉ ESPECIAL","ESPECIALES",B98="141 - AREQUIPE","DERIVADOS",B98="142 - MERMELADA","DERIVADOS",B98="131 - GALLETAS AVENA","DERIVADOS",B98="160 - SOUVENIR","OTROS",B98="148 - CARAMELOS","DERIVADOS",B98="143 - CHOCOFFES","DERIVADOS",B98="162 - CONVENIOS Y DSC POS ","OTROS"),"OTROS")</f>
        <v>DERIVADOS</v>
      </c>
      <c r="L98" s="27">
        <f t="shared" si="34"/>
        <v>59660</v>
      </c>
      <c r="M98" s="27">
        <f t="shared" si="35"/>
        <v>59660</v>
      </c>
    </row>
    <row r="99" spans="1:13" ht="16.5" hidden="1" outlineLevel="1">
      <c r="A99" s="59"/>
      <c r="B99" s="39" t="s">
        <v>24</v>
      </c>
      <c r="C99" s="60">
        <v>898833</v>
      </c>
      <c r="D99" s="60">
        <v>0</v>
      </c>
      <c r="E99" s="36"/>
      <c r="F99" s="48">
        <v>843982.64</v>
      </c>
      <c r="G99" s="49">
        <f t="shared" si="31"/>
        <v>1.0649899149584403</v>
      </c>
      <c r="H99" s="23">
        <f t="shared" si="32"/>
        <v>0</v>
      </c>
      <c r="I99" s="24">
        <f t="shared" si="33"/>
        <v>0</v>
      </c>
      <c r="J99" s="32" t="str" cm="1">
        <f t="array" ref="J99">IFERROR(_xlfn.IFS(B99="044 - BLEND TRADICION","BLEND",B99="113 - CAFÉ GOURMET","GOURMET",B99="114 - CAFÉ CONSUMO","CONSUMO",B99="112 - CAFÉ ORGANICO","GOURMET",B99="172 - CAFÉ COSECHA","ESPECIALES",B99="176 - CAFE DESCAFEINADO","GOURMET",B99="147 - CAPSULAS","CAPSULAS",B99="130 - GALLETAS CAFECITAS","DERIVADOS",B99="140 - MERENGUES","DERIVADOS",B99="100 - CAFÉ ESPECIAL","ESPECIALES",B99="141 - AREQUIPE","DERIVADOS",B99="142 - MERMELADA","DERIVADOS",B99="131 - GALLETAS AVENA","DERIVADOS",B99="160 - SOUVENIR","OTROS",B99="148 - CARAMELOS","DERIVADOS",B99="143 - CHOCOFFES","DERIVADOS",B99="162 - CONVENIOS Y DSC POS ","OTROS"),"OTROS")</f>
        <v>DERIVADOS</v>
      </c>
      <c r="L99" s="27">
        <f t="shared" si="34"/>
        <v>898833</v>
      </c>
      <c r="M99" s="27">
        <f t="shared" si="35"/>
        <v>898833</v>
      </c>
    </row>
    <row r="100" spans="1:13" ht="16.5" hidden="1" outlineLevel="1">
      <c r="A100" s="59"/>
      <c r="B100" s="39" t="s">
        <v>25</v>
      </c>
      <c r="C100" s="60">
        <v>921458</v>
      </c>
      <c r="D100" s="60">
        <v>0</v>
      </c>
      <c r="E100" s="36"/>
      <c r="F100" s="48">
        <v>5547744.04</v>
      </c>
      <c r="G100" s="49">
        <f t="shared" si="31"/>
        <v>0.16609598304394735</v>
      </c>
      <c r="H100" s="23">
        <f t="shared" si="32"/>
        <v>0</v>
      </c>
      <c r="I100" s="24">
        <f t="shared" si="33"/>
        <v>0</v>
      </c>
      <c r="J100" s="32" t="str" cm="1">
        <f t="array" ref="J100">IFERROR(_xlfn.IFS(B100="044 - BLEND TRADICION","BLEND",B100="113 - CAFÉ GOURMET","GOURMET",B100="114 - CAFÉ CONSUMO","CONSUMO",B100="112 - CAFÉ ORGANICO","GOURMET",B100="172 - CAFÉ COSECHA","ESPECIALES",B100="176 - CAFE DESCAFEINADO","GOURMET",B100="147 - CAPSULAS","CAPSULAS",B100="130 - GALLETAS CAFECITAS","DERIVADOS",B100="140 - MERENGUES","DERIVADOS",B100="100 - CAFÉ ESPECIAL","ESPECIALES",B100="141 - AREQUIPE","DERIVADOS",B100="142 - MERMELADA","DERIVADOS",B100="131 - GALLETAS AVENA","DERIVADOS",B100="160 - SOUVENIR","OTROS",B100="148 - CARAMELOS","DERIVADOS",B100="143 - CHOCOFFES","DERIVADOS",B100="162 - CONVENIOS Y DSC POS ","OTROS"),"OTROS")</f>
        <v>DERIVADOS</v>
      </c>
      <c r="L100" s="27">
        <f t="shared" si="34"/>
        <v>921458</v>
      </c>
      <c r="M100" s="27">
        <f t="shared" si="35"/>
        <v>921458</v>
      </c>
    </row>
    <row r="101" spans="1:13" ht="16.5" hidden="1" outlineLevel="1">
      <c r="A101" s="59"/>
      <c r="B101" s="39" t="s">
        <v>26</v>
      </c>
      <c r="C101" s="60">
        <v>0</v>
      </c>
      <c r="D101" s="60">
        <v>0</v>
      </c>
      <c r="E101" s="36"/>
      <c r="F101" s="48">
        <v>1612858.44</v>
      </c>
      <c r="G101" s="49">
        <f t="shared" si="27"/>
        <v>0</v>
      </c>
      <c r="H101" s="23">
        <f t="shared" si="30"/>
        <v>0</v>
      </c>
      <c r="I101" s="24">
        <f t="shared" si="30"/>
        <v>0</v>
      </c>
      <c r="J101" s="32" t="str" cm="1">
        <f t="array" ref="J101">IFERROR(_xlfn.IFS(B101="044 - BLEND TRADICION","BLEND",B101="113 - CAFÉ GOURMET","GOURMET",B101="114 - CAFÉ CONSUMO","CONSUMO",B101="112 - CAFÉ ORGANICO","GOURMET",B101="172 - CAFÉ COSECHA","ESPECIALES",B101="176 - CAFE DESCAFEINADO","GOURMET",B101="147 - CAPSULAS","CAPSULAS",B101="130 - GALLETAS CAFECITAS","DERIVADOS",B101="140 - MERENGUES","DERIVADOS",B101="100 - CAFÉ ESPECIAL","ESPECIALES",B101="141 - AREQUIPE","DERIVADOS",B101="142 - MERMELADA","DERIVADOS",B101="131 - GALLETAS AVENA","DERIVADOS",B101="160 - SOUVENIR","OTROS",B101="148 - CARAMELOS","DERIVADOS",B101="143 - CHOCOFFES","DERIVADOS",B101="162 - CONVENIOS Y DSC POS ","OTROS"),"OTROS")</f>
        <v>CAPSULAS</v>
      </c>
      <c r="L101" s="27">
        <f t="shared" si="28"/>
        <v>0</v>
      </c>
      <c r="M101" s="27">
        <f t="shared" si="29"/>
        <v>0</v>
      </c>
    </row>
    <row r="102" spans="1:13" ht="16.5" hidden="1" outlineLevel="1">
      <c r="A102" s="59"/>
      <c r="B102" s="39" t="s">
        <v>27</v>
      </c>
      <c r="C102" s="60">
        <v>1071567</v>
      </c>
      <c r="D102" s="60">
        <v>0</v>
      </c>
      <c r="E102" s="36"/>
      <c r="F102" s="48">
        <v>6748851.9699999997</v>
      </c>
      <c r="G102" s="49">
        <f t="shared" si="27"/>
        <v>0.15877767133778162</v>
      </c>
      <c r="H102" s="23">
        <f t="shared" si="30"/>
        <v>0</v>
      </c>
      <c r="I102" s="24">
        <f t="shared" si="30"/>
        <v>0</v>
      </c>
      <c r="J102" s="32" t="str" cm="1">
        <f t="array" ref="J102">IFERROR(_xlfn.IFS(B102="044 - BLEND TRADICION","BLEND",B102="113 - CAFÉ GOURMET","GOURMET",B102="114 - CAFÉ CONSUMO","CONSUMO",B102="112 - CAFÉ ORGANICO","GOURMET",B102="172 - CAFÉ COSECHA","ESPECIALES",B102="176 - CAFE DESCAFEINADO","GOURMET",B102="147 - CAPSULAS","CAPSULAS",B102="130 - GALLETAS CAFECITAS","DERIVADOS",B102="140 - MERENGUES","DERIVADOS",B102="100 - CAFÉ ESPECIAL","ESPECIALES",B102="141 - AREQUIPE","DERIVADOS",B102="142 - MERMELADA","DERIVADOS",B102="131 - GALLETAS AVENA","DERIVADOS",B102="160 - SOUVENIR","OTROS",B102="148 - CARAMELOS","DERIVADOS",B102="143 - CHOCOFFES","DERIVADOS",B102="162 - CONVENIOS Y DSC POS ","OTROS"),"OTROS")</f>
        <v>DERIVADOS</v>
      </c>
      <c r="L102" s="27">
        <f t="shared" si="28"/>
        <v>1071567</v>
      </c>
      <c r="M102" s="27">
        <f t="shared" si="29"/>
        <v>1071567</v>
      </c>
    </row>
    <row r="103" spans="1:13" ht="16.5" hidden="1" outlineLevel="1">
      <c r="A103" s="59"/>
      <c r="B103" s="39" t="s">
        <v>28</v>
      </c>
      <c r="C103" s="60">
        <v>2161040</v>
      </c>
      <c r="D103" s="60">
        <v>0</v>
      </c>
      <c r="E103" s="36"/>
      <c r="F103" s="48">
        <v>13175768.16</v>
      </c>
      <c r="G103" s="49">
        <f t="shared" si="27"/>
        <v>0.16401624358879124</v>
      </c>
      <c r="H103" s="23">
        <f t="shared" si="30"/>
        <v>0</v>
      </c>
      <c r="I103" s="24">
        <f t="shared" si="30"/>
        <v>0</v>
      </c>
      <c r="J103" s="32" t="str" cm="1">
        <f t="array" ref="J103">IFERROR(_xlfn.IFS(B103="044 - BLEND TRADICION","BLEND",B103="113 - CAFÉ GOURMET","GOURMET",B103="114 - CAFÉ CONSUMO","CONSUMO",B103="112 - CAFÉ ORGANICO","GOURMET",B103="172 - CAFÉ COSECHA","ESPECIALES",B103="176 - CAFE DESCAFEINADO","GOURMET",B103="147 - CAPSULAS","CAPSULAS",B103="130 - GALLETAS CAFECITAS","DERIVADOS",B103="140 - MERENGUES","DERIVADOS",B103="100 - CAFÉ ESPECIAL","ESPECIALES",B103="141 - AREQUIPE","DERIVADOS",B103="142 - MERMELADA","DERIVADOS",B103="131 - GALLETAS AVENA","DERIVADOS",B103="160 - SOUVENIR","OTROS",B103="148 - CARAMELOS","DERIVADOS",B103="143 - CHOCOFFES","DERIVADOS",B103="162 - CONVENIOS Y DSC POS ","OTROS"),"OTROS")</f>
        <v>OTROS</v>
      </c>
      <c r="L103" s="27">
        <f t="shared" si="28"/>
        <v>2161040</v>
      </c>
      <c r="M103" s="27">
        <f t="shared" si="29"/>
        <v>2161040</v>
      </c>
    </row>
    <row r="104" spans="1:13" ht="16.5" hidden="1" outlineLevel="1">
      <c r="A104" s="59"/>
      <c r="B104" s="39" t="s">
        <v>29</v>
      </c>
      <c r="C104" s="60">
        <v>3438570</v>
      </c>
      <c r="D104" s="60">
        <v>0</v>
      </c>
      <c r="E104" s="36"/>
      <c r="F104" s="48">
        <v>23863639.710000001</v>
      </c>
      <c r="G104" s="49">
        <f t="shared" si="27"/>
        <v>0.14409243693698054</v>
      </c>
      <c r="H104" s="23">
        <f t="shared" si="30"/>
        <v>0</v>
      </c>
      <c r="I104" s="24">
        <f t="shared" si="30"/>
        <v>0</v>
      </c>
      <c r="J104" s="32" t="str" cm="1">
        <f t="array" ref="J104">IFERROR(_xlfn.IFS(B104="044 - BLEND TRADICION","BLEND",B104="113 - CAFÉ GOURMET","GOURMET",B104="114 - CAFÉ CONSUMO","CONSUMO",B104="112 - CAFÉ ORGANICO","GOURMET",B104="172 - CAFÉ COSECHA","ESPECIALES",B104="176 - CAFE DESCAFEINADO","GOURMET",B104="147 - CAPSULAS","CAPSULAS",B104="130 - GALLETAS CAFECITAS","DERIVADOS",B104="140 - MERENGUES","DERIVADOS",B104="100 - CAFÉ ESPECIAL","ESPECIALES",B104="141 - AREQUIPE","DERIVADOS",B104="142 - MERMELADA","DERIVADOS",B104="131 - GALLETAS AVENA","DERIVADOS",B104="160 - SOUVENIR","OTROS",B104="148 - CARAMELOS","DERIVADOS",B104="143 - CHOCOFFES","DERIVADOS",B104="162 - CONVENIOS Y DSC POS ","OTROS"),"OTROS")</f>
        <v>ESPECIALES</v>
      </c>
      <c r="L104" s="27">
        <f t="shared" si="28"/>
        <v>3438570</v>
      </c>
      <c r="M104" s="27">
        <f t="shared" si="29"/>
        <v>3438570</v>
      </c>
    </row>
    <row r="105" spans="1:13" ht="16.5" hidden="1" outlineLevel="1">
      <c r="A105" s="59"/>
      <c r="B105" s="39" t="s">
        <v>30</v>
      </c>
      <c r="C105" s="60">
        <v>1391767</v>
      </c>
      <c r="D105" s="60">
        <v>0</v>
      </c>
      <c r="E105" s="36">
        <v>0</v>
      </c>
      <c r="F105" s="48">
        <v>1665594.24</v>
      </c>
      <c r="G105" s="49">
        <f t="shared" si="27"/>
        <v>0.83559787046333689</v>
      </c>
      <c r="H105" s="23">
        <f t="shared" ref="H105:I123" si="36">IFERROR(+D105/L105*100%,0)</f>
        <v>0</v>
      </c>
      <c r="I105" s="24">
        <f t="shared" si="36"/>
        <v>0</v>
      </c>
      <c r="J105" s="32" t="str" cm="1">
        <f t="array" ref="J105">IFERROR(_xlfn.IFS(B105="044 - BLEND TRADICION","BLEND",B105="113 - CAFÉ GOURMET","GOURMET",B105="114 - CAFÉ CONSUMO","CONSUMO",B105="112 - CAFÉ ORGANICO","GOURMET",B105="172 - CAFÉ COSECHA","ESPECIALES",B105="176 - CAFE DESCAFEINADO","GOURMET",B105="147 - CAPSULAS","CAPSULAS",B105="130 - GALLETAS CAFECITAS","DERIVADOS",B105="140 - MERENGUES","DERIVADOS",B105="100 - CAFÉ ESPECIAL","ESPECIALES",B105="141 - AREQUIPE","DERIVADOS",B105="142 - MERMELADA","DERIVADOS",B105="131 - GALLETAS AVENA","DERIVADOS",B105="160 - SOUVENIR","OTROS",B105="148 - CARAMELOS","DERIVADOS",B105="143 - CHOCOFFES","DERIVADOS",B105="162 - CONVENIOS Y DSC POS ","OTROS"),"OTROS")</f>
        <v>GOURMET</v>
      </c>
      <c r="L105" s="27">
        <f t="shared" si="28"/>
        <v>1391767</v>
      </c>
      <c r="M105" s="27">
        <f t="shared" si="29"/>
        <v>1391767</v>
      </c>
    </row>
    <row r="106" spans="1:13" ht="16.5" hidden="1" outlineLevel="1">
      <c r="A106" s="19" t="s">
        <v>46</v>
      </c>
      <c r="B106" s="56" t="s">
        <v>32</v>
      </c>
      <c r="C106" s="54">
        <f>SUM(C93:C105)</f>
        <v>36299721</v>
      </c>
      <c r="D106" s="54">
        <f>SUM(D93:D105)</f>
        <v>0</v>
      </c>
      <c r="E106" s="54">
        <f>SUM(E93:E105)</f>
        <v>0</v>
      </c>
      <c r="F106" s="54">
        <f>SUM(F93:F105)</f>
        <v>202995714.88999999</v>
      </c>
      <c r="G106" s="55">
        <f t="shared" si="27"/>
        <v>0.17882013430515131</v>
      </c>
      <c r="H106" s="23">
        <f t="shared" si="36"/>
        <v>0</v>
      </c>
      <c r="I106" s="24">
        <f t="shared" si="36"/>
        <v>0</v>
      </c>
      <c r="J106" s="32" t="str" cm="1">
        <f t="array" ref="J106">IFERROR(_xlfn.IFS(B106="044 - BLEND TRADICION","BLEND",B106="113 - CAFÉ GOURMET","GOURMET",B106="114 - CAFÉ CONSUMO","CONSUMO",B106="112 - CAFÉ ORGANICO","GOURMET",B106="172 - CAFÉ COSECHA","ESPECIALES",B106="176 - CAFE DESCAFEINADO","GOURMET",B106="147 - CAPSULAS","CAPSULAS",B106="130 - GALLETAS CAFECITAS","DERIVADOS",B106="140 - MERENGUES","DERIVADOS",B106="100 - CAFÉ ESPECIAL","ESPECIALES",B106="141 - AREQUIPE","DERIVADOS",B106="142 - MERMELADA","DERIVADOS",B106="131 - GALLETAS AVENA","DERIVADOS",B106="160 - SOUVENIR","OTROS",B106="148 - CARAMELOS","DERIVADOS",B106="143 - CHOCOFFES","DERIVADOS",B106="162 - CONVENIOS Y DSC POS ","OTROS"),"OTROS")</f>
        <v>OTROS</v>
      </c>
      <c r="L106" s="27">
        <f t="shared" si="28"/>
        <v>36299721</v>
      </c>
      <c r="M106" s="27">
        <f t="shared" si="29"/>
        <v>36299721</v>
      </c>
    </row>
    <row r="107" spans="1:13" ht="16.5" collapsed="1">
      <c r="A107" s="28" t="s">
        <v>47</v>
      </c>
      <c r="B107" s="29" t="s">
        <v>17</v>
      </c>
      <c r="C107" s="30">
        <f>+C128+C142+C158+C174+C189+C114</f>
        <v>98192603</v>
      </c>
      <c r="D107" s="30">
        <f>+D128+D142+D158+D174+D189+D114</f>
        <v>0</v>
      </c>
      <c r="E107" s="30">
        <f>+E128+E142+E158+E174+E189+E114</f>
        <v>0</v>
      </c>
      <c r="F107" s="30">
        <f>+F128+F142+F158+F174+F189+F114</f>
        <v>664228042.13999987</v>
      </c>
      <c r="G107" s="31">
        <f t="shared" si="27"/>
        <v>0.14782965603747256</v>
      </c>
      <c r="H107" s="23">
        <f t="shared" si="36"/>
        <v>0</v>
      </c>
      <c r="I107" s="24">
        <f t="shared" si="36"/>
        <v>0</v>
      </c>
      <c r="J107" s="32" t="str" cm="1">
        <f t="array" ref="J107">IFERROR(_xlfn.IFS(B107="044 - BLEND TRADICION","BLEND",B107="113 - CAFÉ GOURMET","GOURMET",B107="114 - CAFÉ CONSUMO","CONSUMO",B107="112 - CAFÉ ORGANICO","GOURMET",B107="172 - CAFÉ COSECHA","ESPECIALES",B107="176 - CAFE DESCAFEINADO","GOURMET",B107="147 - CAPSULAS","CAPSULAS",B107="130 - GALLETAS CAFECITAS","DERIVADOS",B107="140 - MERENGUES","DERIVADOS",B107="100 - CAFÉ ESPECIAL","ESPECIALES",B107="141 - AREQUIPE","DERIVADOS",B107="142 - MERMELADA","DERIVADOS",B107="131 - GALLETAS AVENA","DERIVADOS",B107="160 - SOUVENIR","OTROS",B107="148 - CARAMELOS","DERIVADOS",B107="143 - CHOCOFFES","DERIVADOS",B107="162 - CONVENIOS Y DSC POS ","OTROS"),"OTROS")</f>
        <v>OTROS</v>
      </c>
      <c r="L107" s="27">
        <f t="shared" si="28"/>
        <v>98192603</v>
      </c>
      <c r="M107" s="27">
        <f t="shared" si="29"/>
        <v>98192603</v>
      </c>
    </row>
    <row r="108" spans="1:13" ht="16.5" hidden="1" outlineLevel="1">
      <c r="A108" s="38"/>
      <c r="B108" s="39" t="s">
        <v>19</v>
      </c>
      <c r="C108" s="36">
        <v>0</v>
      </c>
      <c r="D108" s="36">
        <v>0</v>
      </c>
      <c r="E108" s="36">
        <v>0</v>
      </c>
      <c r="F108" s="36">
        <v>397872.45</v>
      </c>
      <c r="G108" s="37">
        <f t="shared" si="27"/>
        <v>0</v>
      </c>
      <c r="H108" s="23">
        <f t="shared" si="36"/>
        <v>0</v>
      </c>
      <c r="I108" s="24">
        <f t="shared" si="36"/>
        <v>0</v>
      </c>
      <c r="J108" s="32" t="str" cm="1">
        <f t="array" ref="J108">IFERROR(_xlfn.IFS(B108="044 - BLEND TRADICION","BLEND",B108="113 - CAFÉ GOURMET","GOURMET",B108="114 - CAFÉ CONSUMO","CONSUMO",B108="112 - CAFÉ ORGANICO","GOURMET",B108="172 - CAFÉ COSECHA","ESPECIALES",B108="176 - CAFE DESCAFEINADO","GOURMET",B108="147 - CAPSULAS","CAPSULAS",B108="130 - GALLETAS CAFECITAS","DERIVADOS",B108="140 - MERENGUES","DERIVADOS",B108="100 - CAFÉ ESPECIAL","ESPECIALES",B108="141 - AREQUIPE","DERIVADOS",B108="142 - MERMELADA","DERIVADOS",B108="131 - GALLETAS AVENA","DERIVADOS",B108="160 - SOUVENIR","OTROS",B108="148 - CARAMELOS","DERIVADOS",B108="143 - CHOCOFFES","DERIVADOS",B108="162 - CONVENIOS Y DSC POS ","OTROS"),"OTROS")</f>
        <v>ESPECIALES</v>
      </c>
      <c r="L108" s="27">
        <f t="shared" si="28"/>
        <v>0</v>
      </c>
      <c r="M108" s="27">
        <f t="shared" si="29"/>
        <v>0</v>
      </c>
    </row>
    <row r="109" spans="1:13" ht="16.5" hidden="1" outlineLevel="1">
      <c r="A109" s="38"/>
      <c r="B109" s="39" t="s">
        <v>20</v>
      </c>
      <c r="C109" s="36">
        <v>0</v>
      </c>
      <c r="D109" s="36">
        <v>0</v>
      </c>
      <c r="E109" s="36"/>
      <c r="F109" s="36">
        <v>550199.43000000005</v>
      </c>
      <c r="G109" s="37">
        <f t="shared" si="27"/>
        <v>0</v>
      </c>
      <c r="H109" s="23">
        <f t="shared" si="36"/>
        <v>0</v>
      </c>
      <c r="I109" s="24">
        <f t="shared" si="36"/>
        <v>0</v>
      </c>
      <c r="J109" s="32" t="str" cm="1">
        <f t="array" ref="J109">IFERROR(_xlfn.IFS(B109="044 - BLEND TRADICION","BLEND",B109="113 - CAFÉ GOURMET","GOURMET",B109="114 - CAFÉ CONSUMO","CONSUMO",B109="112 - CAFÉ ORGANICO","GOURMET",B109="172 - CAFÉ COSECHA","ESPECIALES",B109="176 - CAFE DESCAFEINADO","GOURMET",B109="147 - CAPSULAS","CAPSULAS",B109="130 - GALLETAS CAFECITAS","DERIVADOS",B109="140 - MERENGUES","DERIVADOS",B109="100 - CAFÉ ESPECIAL","ESPECIALES",B109="141 - AREQUIPE","DERIVADOS",B109="142 - MERMELADA","DERIVADOS",B109="131 - GALLETAS AVENA","DERIVADOS",B109="160 - SOUVENIR","OTROS",B109="148 - CARAMELOS","DERIVADOS",B109="143 - CHOCOFFES","DERIVADOS",B109="162 - CONVENIOS Y DSC POS ","OTROS"),"OTROS")</f>
        <v>GOURMET</v>
      </c>
      <c r="L109" s="27">
        <f t="shared" si="28"/>
        <v>0</v>
      </c>
      <c r="M109" s="27">
        <f t="shared" si="29"/>
        <v>0</v>
      </c>
    </row>
    <row r="110" spans="1:13" ht="16.5" hidden="1" outlineLevel="1">
      <c r="A110" s="38"/>
      <c r="B110" s="39" t="s">
        <v>21</v>
      </c>
      <c r="C110" s="36">
        <v>0</v>
      </c>
      <c r="D110" s="36">
        <v>0</v>
      </c>
      <c r="E110" s="36"/>
      <c r="F110" s="36">
        <v>1226924.78</v>
      </c>
      <c r="G110" s="37">
        <f t="shared" si="27"/>
        <v>0</v>
      </c>
      <c r="H110" s="23">
        <f t="shared" si="36"/>
        <v>0</v>
      </c>
      <c r="I110" s="24">
        <f t="shared" si="36"/>
        <v>0</v>
      </c>
      <c r="J110" s="32" t="str" cm="1">
        <f t="array" ref="J110">IFERROR(_xlfn.IFS(B110="044 - BLEND TRADICION","BLEND",B110="113 - CAFÉ GOURMET","GOURMET",B110="114 - CAFÉ CONSUMO","CONSUMO",B110="112 - CAFÉ ORGANICO","GOURMET",B110="172 - CAFÉ COSECHA","ESPECIALES",B110="176 - CAFE DESCAFEINADO","GOURMET",B110="147 - CAPSULAS","CAPSULAS",B110="130 - GALLETAS CAFECITAS","DERIVADOS",B110="140 - MERENGUES","DERIVADOS",B110="100 - CAFÉ ESPECIAL","ESPECIALES",B110="141 - AREQUIPE","DERIVADOS",B110="142 - MERMELADA","DERIVADOS",B110="131 - GALLETAS AVENA","DERIVADOS",B110="160 - SOUVENIR","OTROS",B110="148 - CARAMELOS","DERIVADOS",B110="143 - CHOCOFFES","DERIVADOS",B110="162 - CONVENIOS Y DSC POS ","OTROS"),"OTROS")</f>
        <v>GOURMET</v>
      </c>
      <c r="L110" s="27">
        <f t="shared" si="28"/>
        <v>0</v>
      </c>
      <c r="M110" s="27">
        <f t="shared" si="29"/>
        <v>0</v>
      </c>
    </row>
    <row r="111" spans="1:13" ht="16.5" hidden="1" outlineLevel="1">
      <c r="A111" s="38"/>
      <c r="B111" s="39" t="s">
        <v>22</v>
      </c>
      <c r="C111" s="36">
        <v>0</v>
      </c>
      <c r="D111" s="36">
        <v>0</v>
      </c>
      <c r="E111" s="36"/>
      <c r="F111" s="36">
        <v>231859.77</v>
      </c>
      <c r="G111" s="37">
        <f t="shared" si="27"/>
        <v>0</v>
      </c>
      <c r="H111" s="23">
        <f t="shared" si="36"/>
        <v>0</v>
      </c>
      <c r="I111" s="24">
        <f t="shared" si="36"/>
        <v>0</v>
      </c>
      <c r="J111" s="32" t="str" cm="1">
        <f t="array" ref="J111">IFERROR(_xlfn.IFS(B111="044 - BLEND TRADICION","BLEND",B111="113 - CAFÉ GOURMET","GOURMET",B111="114 - CAFÉ CONSUMO","CONSUMO",B111="112 - CAFÉ ORGANICO","GOURMET",B111="172 - CAFÉ COSECHA","ESPECIALES",B111="176 - CAFE DESCAFEINADO","GOURMET",B111="147 - CAPSULAS","CAPSULAS",B111="130 - GALLETAS CAFECITAS","DERIVADOS",B111="140 - MERENGUES","DERIVADOS",B111="100 - CAFÉ ESPECIAL","ESPECIALES",B111="141 - AREQUIPE","DERIVADOS",B111="142 - MERMELADA","DERIVADOS",B111="131 - GALLETAS AVENA","DERIVADOS",B111="160 - SOUVENIR","OTROS",B111="148 - CARAMELOS","DERIVADOS",B111="143 - CHOCOFFES","DERIVADOS",B111="162 - CONVENIOS Y DSC POS ","OTROS"),"OTROS")</f>
        <v>DERIVADOS</v>
      </c>
      <c r="L111" s="27">
        <f t="shared" si="28"/>
        <v>0</v>
      </c>
      <c r="M111" s="27">
        <f t="shared" si="29"/>
        <v>0</v>
      </c>
    </row>
    <row r="112" spans="1:13" ht="16.5" hidden="1" outlineLevel="1">
      <c r="A112" s="38"/>
      <c r="B112" s="39" t="s">
        <v>28</v>
      </c>
      <c r="C112" s="36">
        <v>0</v>
      </c>
      <c r="D112" s="36">
        <v>0</v>
      </c>
      <c r="E112" s="36"/>
      <c r="F112" s="36">
        <v>197515.99</v>
      </c>
      <c r="G112" s="37">
        <f t="shared" si="27"/>
        <v>0</v>
      </c>
      <c r="H112" s="23">
        <f t="shared" si="36"/>
        <v>0</v>
      </c>
      <c r="I112" s="24">
        <f t="shared" si="36"/>
        <v>0</v>
      </c>
      <c r="J112" s="32" t="str" cm="1">
        <f t="array" ref="J112">IFERROR(_xlfn.IFS(B112="044 - BLEND TRADICION","BLEND",B112="113 - CAFÉ GOURMET","GOURMET",B112="114 - CAFÉ CONSUMO","CONSUMO",B112="112 - CAFÉ ORGANICO","GOURMET",B112="172 - CAFÉ COSECHA","ESPECIALES",B112="176 - CAFE DESCAFEINADO","GOURMET",B112="147 - CAPSULAS","CAPSULAS",B112="130 - GALLETAS CAFECITAS","DERIVADOS",B112="140 - MERENGUES","DERIVADOS",B112="100 - CAFÉ ESPECIAL","ESPECIALES",B112="141 - AREQUIPE","DERIVADOS",B112="142 - MERMELADA","DERIVADOS",B112="131 - GALLETAS AVENA","DERIVADOS",B112="160 - SOUVENIR","OTROS",B112="148 - CARAMELOS","DERIVADOS",B112="143 - CHOCOFFES","DERIVADOS",B112="162 - CONVENIOS Y DSC POS ","OTROS"),"OTROS")</f>
        <v>OTROS</v>
      </c>
      <c r="L112" s="27">
        <f t="shared" si="28"/>
        <v>0</v>
      </c>
      <c r="M112" s="27">
        <f t="shared" si="29"/>
        <v>0</v>
      </c>
    </row>
    <row r="113" spans="1:13" ht="16.5" hidden="1" outlineLevel="1">
      <c r="A113" s="38"/>
      <c r="B113" s="39" t="s">
        <v>29</v>
      </c>
      <c r="C113" s="36">
        <v>0</v>
      </c>
      <c r="D113" s="36">
        <v>0</v>
      </c>
      <c r="E113" s="36"/>
      <c r="F113" s="36">
        <v>934062.72</v>
      </c>
      <c r="G113" s="37">
        <f t="shared" si="27"/>
        <v>0</v>
      </c>
      <c r="H113" s="23">
        <f t="shared" si="36"/>
        <v>0</v>
      </c>
      <c r="I113" s="24">
        <f t="shared" si="36"/>
        <v>0</v>
      </c>
      <c r="J113" s="32" t="str" cm="1">
        <f t="array" ref="J113">IFERROR(_xlfn.IFS(B113="044 - BLEND TRADICION","BLEND",B113="113 - CAFÉ GOURMET","GOURMET",B113="114 - CAFÉ CONSUMO","CONSUMO",B113="112 - CAFÉ ORGANICO","GOURMET",B113="172 - CAFÉ COSECHA","ESPECIALES",B113="176 - CAFE DESCAFEINADO","GOURMET",B113="147 - CAPSULAS","CAPSULAS",B113="130 - GALLETAS CAFECITAS","DERIVADOS",B113="140 - MERENGUES","DERIVADOS",B113="100 - CAFÉ ESPECIAL","ESPECIALES",B113="141 - AREQUIPE","DERIVADOS",B113="142 - MERMELADA","DERIVADOS",B113="131 - GALLETAS AVENA","DERIVADOS",B113="160 - SOUVENIR","OTROS",B113="148 - CARAMELOS","DERIVADOS",B113="143 - CHOCOFFES","DERIVADOS",B113="162 - CONVENIOS Y DSC POS ","OTROS"),"OTROS")</f>
        <v>ESPECIALES</v>
      </c>
      <c r="L113" s="27">
        <f t="shared" si="28"/>
        <v>0</v>
      </c>
      <c r="M113" s="27">
        <f t="shared" si="29"/>
        <v>0</v>
      </c>
    </row>
    <row r="114" spans="1:13" ht="16.5" hidden="1" outlineLevel="1">
      <c r="A114" s="19" t="s">
        <v>48</v>
      </c>
      <c r="B114" s="56" t="s">
        <v>32</v>
      </c>
      <c r="C114" s="54">
        <f>SUM(C108:C113)</f>
        <v>0</v>
      </c>
      <c r="D114" s="54">
        <f>SUM(D108:D113)</f>
        <v>0</v>
      </c>
      <c r="E114" s="54">
        <f>SUM(E108:E113)</f>
        <v>0</v>
      </c>
      <c r="F114" s="54">
        <f>SUM(F108:F113)</f>
        <v>3538435.1399999997</v>
      </c>
      <c r="G114" s="55">
        <f t="shared" si="27"/>
        <v>0</v>
      </c>
      <c r="H114" s="23">
        <f t="shared" si="36"/>
        <v>0</v>
      </c>
      <c r="I114" s="24">
        <f t="shared" si="36"/>
        <v>0</v>
      </c>
      <c r="J114" s="32" t="str" cm="1">
        <f t="array" ref="J114">IFERROR(_xlfn.IFS(B114="044 - BLEND TRADICION","BLEND",B114="113 - CAFÉ GOURMET","GOURMET",B114="114 - CAFÉ CONSUMO","CONSUMO",B114="112 - CAFÉ ORGANICO","GOURMET",B114="172 - CAFÉ COSECHA","ESPECIALES",B114="176 - CAFE DESCAFEINADO","GOURMET",B114="147 - CAPSULAS","CAPSULAS",B114="130 - GALLETAS CAFECITAS","DERIVADOS",B114="140 - MERENGUES","DERIVADOS",B114="100 - CAFÉ ESPECIAL","ESPECIALES",B114="141 - AREQUIPE","DERIVADOS",B114="142 - MERMELADA","DERIVADOS",B114="131 - GALLETAS AVENA","DERIVADOS",B114="160 - SOUVENIR","OTROS",B114="148 - CARAMELOS","DERIVADOS",B114="143 - CHOCOFFES","DERIVADOS",B114="162 - CONVENIOS Y DSC POS ","OTROS"),"OTROS")</f>
        <v>OTROS</v>
      </c>
      <c r="L114" s="27">
        <f t="shared" si="28"/>
        <v>0</v>
      </c>
      <c r="M114" s="27">
        <f t="shared" si="29"/>
        <v>0</v>
      </c>
    </row>
    <row r="115" spans="1:13" ht="16.5" hidden="1" outlineLevel="1">
      <c r="A115" s="33"/>
      <c r="B115" s="39" t="s">
        <v>18</v>
      </c>
      <c r="C115" s="36">
        <v>1065368</v>
      </c>
      <c r="D115" s="36">
        <v>0</v>
      </c>
      <c r="E115" s="36">
        <v>0</v>
      </c>
      <c r="F115" s="36">
        <v>4604527.18</v>
      </c>
      <c r="G115" s="37">
        <f t="shared" si="27"/>
        <v>0.2313740278540391</v>
      </c>
      <c r="H115" s="23">
        <f t="shared" si="36"/>
        <v>0</v>
      </c>
      <c r="I115" s="24">
        <f t="shared" si="36"/>
        <v>0</v>
      </c>
      <c r="J115" s="32" t="str" cm="1">
        <f t="array" ref="J115">IFERROR(_xlfn.IFS(B115="044 - BLEND TRADICION","BLEND",B115="113 - CAFÉ GOURMET","GOURMET",B115="114 - CAFÉ CONSUMO","CONSUMO",B115="112 - CAFÉ ORGANICO","GOURMET",B115="172 - CAFÉ COSECHA","ESPECIALES",B115="176 - CAFE DESCAFEINADO","GOURMET",B115="147 - CAPSULAS","CAPSULAS",B115="130 - GALLETAS CAFECITAS","DERIVADOS",B115="140 - MERENGUES","DERIVADOS",B115="100 - CAFÉ ESPECIAL","ESPECIALES",B115="141 - AREQUIPE","DERIVADOS",B115="142 - MERMELADA","DERIVADOS",B115="131 - GALLETAS AVENA","DERIVADOS",B115="160 - SOUVENIR","OTROS",B115="148 - CARAMELOS","DERIVADOS",B115="143 - CHOCOFFES","DERIVADOS",B115="162 - CONVENIOS Y DSC POS ","OTROS"),"OTROS")</f>
        <v>BLEND</v>
      </c>
      <c r="L115" s="27">
        <f t="shared" si="28"/>
        <v>1065368</v>
      </c>
      <c r="M115" s="27">
        <f t="shared" si="29"/>
        <v>1065368</v>
      </c>
    </row>
    <row r="116" spans="1:13" ht="16.5" hidden="1" outlineLevel="1">
      <c r="A116" s="38"/>
      <c r="B116" s="39" t="s">
        <v>19</v>
      </c>
      <c r="C116" s="36">
        <v>41151</v>
      </c>
      <c r="D116" s="36">
        <v>0</v>
      </c>
      <c r="E116" s="36">
        <v>0</v>
      </c>
      <c r="F116" s="36">
        <v>904271.48</v>
      </c>
      <c r="G116" s="37">
        <f t="shared" si="27"/>
        <v>4.550735139849816E-2</v>
      </c>
      <c r="H116" s="23">
        <f t="shared" si="36"/>
        <v>0</v>
      </c>
      <c r="I116" s="24">
        <f t="shared" si="36"/>
        <v>0</v>
      </c>
      <c r="J116" s="32" t="str" cm="1">
        <f t="array" ref="J116">IFERROR(_xlfn.IFS(B116="044 - BLEND TRADICION","BLEND",B116="113 - CAFÉ GOURMET","GOURMET",B116="114 - CAFÉ CONSUMO","CONSUMO",B116="112 - CAFÉ ORGANICO","GOURMET",B116="172 - CAFÉ COSECHA","ESPECIALES",B116="176 - CAFE DESCAFEINADO","GOURMET",B116="147 - CAPSULAS","CAPSULAS",B116="130 - GALLETAS CAFECITAS","DERIVADOS",B116="140 - MERENGUES","DERIVADOS",B116="100 - CAFÉ ESPECIAL","ESPECIALES",B116="141 - AREQUIPE","DERIVADOS",B116="142 - MERMELADA","DERIVADOS",B116="131 - GALLETAS AVENA","DERIVADOS",B116="160 - SOUVENIR","OTROS",B116="148 - CARAMELOS","DERIVADOS",B116="143 - CHOCOFFES","DERIVADOS",B116="162 - CONVENIOS Y DSC POS ","OTROS"),"OTROS")</f>
        <v>ESPECIALES</v>
      </c>
      <c r="L116" s="27">
        <f t="shared" si="28"/>
        <v>41151</v>
      </c>
      <c r="M116" s="27">
        <f t="shared" si="29"/>
        <v>41151</v>
      </c>
    </row>
    <row r="117" spans="1:13" ht="16.5" hidden="1" outlineLevel="1">
      <c r="A117" s="38"/>
      <c r="B117" s="39" t="s">
        <v>20</v>
      </c>
      <c r="C117" s="36">
        <v>191941</v>
      </c>
      <c r="D117" s="36">
        <v>0</v>
      </c>
      <c r="E117" s="36">
        <v>0</v>
      </c>
      <c r="F117" s="36">
        <v>1000950.28</v>
      </c>
      <c r="G117" s="37">
        <f t="shared" si="27"/>
        <v>0.19175877547084555</v>
      </c>
      <c r="H117" s="23">
        <f t="shared" si="36"/>
        <v>0</v>
      </c>
      <c r="I117" s="24">
        <f t="shared" si="36"/>
        <v>0</v>
      </c>
      <c r="J117" s="32" t="str" cm="1">
        <f t="array" ref="J117">IFERROR(_xlfn.IFS(B117="044 - BLEND TRADICION","BLEND",B117="113 - CAFÉ GOURMET","GOURMET",B117="114 - CAFÉ CONSUMO","CONSUMO",B117="112 - CAFÉ ORGANICO","GOURMET",B117="172 - CAFÉ COSECHA","ESPECIALES",B117="176 - CAFE DESCAFEINADO","GOURMET",B117="147 - CAPSULAS","CAPSULAS",B117="130 - GALLETAS CAFECITAS","DERIVADOS",B117="140 - MERENGUES","DERIVADOS",B117="100 - CAFÉ ESPECIAL","ESPECIALES",B117="141 - AREQUIPE","DERIVADOS",B117="142 - MERMELADA","DERIVADOS",B117="131 - GALLETAS AVENA","DERIVADOS",B117="160 - SOUVENIR","OTROS",B117="148 - CARAMELOS","DERIVADOS",B117="143 - CHOCOFFES","DERIVADOS",B117="162 - CONVENIOS Y DSC POS ","OTROS"),"OTROS")</f>
        <v>GOURMET</v>
      </c>
      <c r="L117" s="27">
        <f t="shared" si="28"/>
        <v>191941</v>
      </c>
      <c r="M117" s="27">
        <f t="shared" si="29"/>
        <v>191941</v>
      </c>
    </row>
    <row r="118" spans="1:13" ht="16.5" hidden="1" outlineLevel="1">
      <c r="A118" s="38"/>
      <c r="B118" s="39" t="s">
        <v>21</v>
      </c>
      <c r="C118" s="36">
        <v>3821056</v>
      </c>
      <c r="D118" s="36">
        <v>0</v>
      </c>
      <c r="E118" s="36">
        <v>0</v>
      </c>
      <c r="F118" s="36">
        <v>29634733.52</v>
      </c>
      <c r="G118" s="37">
        <f t="shared" si="27"/>
        <v>0.12893842954319909</v>
      </c>
      <c r="H118" s="23">
        <f t="shared" si="36"/>
        <v>0</v>
      </c>
      <c r="I118" s="24">
        <f t="shared" si="36"/>
        <v>0</v>
      </c>
      <c r="J118" s="32" t="str" cm="1">
        <f t="array" ref="J118">IFERROR(_xlfn.IFS(B118="044 - BLEND TRADICION","BLEND",B118="113 - CAFÉ GOURMET","GOURMET",B118="114 - CAFÉ CONSUMO","CONSUMO",B118="112 - CAFÉ ORGANICO","GOURMET",B118="172 - CAFÉ COSECHA","ESPECIALES",B118="176 - CAFE DESCAFEINADO","GOURMET",B118="147 - CAPSULAS","CAPSULAS",B118="130 - GALLETAS CAFECITAS","DERIVADOS",B118="140 - MERENGUES","DERIVADOS",B118="100 - CAFÉ ESPECIAL","ESPECIALES",B118="141 - AREQUIPE","DERIVADOS",B118="142 - MERMELADA","DERIVADOS",B118="131 - GALLETAS AVENA","DERIVADOS",B118="160 - SOUVENIR","OTROS",B118="148 - CARAMELOS","DERIVADOS",B118="143 - CHOCOFFES","DERIVADOS",B118="162 - CONVENIOS Y DSC POS ","OTROS"),"OTROS")</f>
        <v>GOURMET</v>
      </c>
      <c r="L118" s="27">
        <f t="shared" si="28"/>
        <v>3821056</v>
      </c>
      <c r="M118" s="27">
        <f t="shared" si="29"/>
        <v>3821056</v>
      </c>
    </row>
    <row r="119" spans="1:13" ht="16.5" hidden="1" outlineLevel="1">
      <c r="A119" s="38"/>
      <c r="B119" s="39" t="s">
        <v>22</v>
      </c>
      <c r="C119" s="36">
        <v>1652957</v>
      </c>
      <c r="D119" s="36">
        <v>0</v>
      </c>
      <c r="E119" s="36"/>
      <c r="F119" s="36">
        <v>7797334.1100000003</v>
      </c>
      <c r="G119" s="37">
        <f t="shared" si="27"/>
        <v>0.21199001821405855</v>
      </c>
      <c r="H119" s="23">
        <f t="shared" si="36"/>
        <v>0</v>
      </c>
      <c r="I119" s="24">
        <f t="shared" si="36"/>
        <v>0</v>
      </c>
      <c r="J119" s="32" t="str" cm="1">
        <f t="array" ref="J119">IFERROR(_xlfn.IFS(B119="044 - BLEND TRADICION","BLEND",B119="113 - CAFÉ GOURMET","GOURMET",B119="114 - CAFÉ CONSUMO","CONSUMO",B119="112 - CAFÉ ORGANICO","GOURMET",B119="172 - CAFÉ COSECHA","ESPECIALES",B119="176 - CAFE DESCAFEINADO","GOURMET",B119="147 - CAPSULAS","CAPSULAS",B119="130 - GALLETAS CAFECITAS","DERIVADOS",B119="140 - MERENGUES","DERIVADOS",B119="100 - CAFÉ ESPECIAL","ESPECIALES",B119="141 - AREQUIPE","DERIVADOS",B119="142 - MERMELADA","DERIVADOS",B119="131 - GALLETAS AVENA","DERIVADOS",B119="160 - SOUVENIR","OTROS",B119="148 - CARAMELOS","DERIVADOS",B119="143 - CHOCOFFES","DERIVADOS",B119="162 - CONVENIOS Y DSC POS ","OTROS"),"OTROS")</f>
        <v>DERIVADOS</v>
      </c>
      <c r="L119" s="27">
        <f t="shared" si="28"/>
        <v>1652957</v>
      </c>
      <c r="M119" s="27">
        <f t="shared" si="29"/>
        <v>1652957</v>
      </c>
    </row>
    <row r="120" spans="1:13" ht="16.5" hidden="1" outlineLevel="1">
      <c r="A120" s="38"/>
      <c r="B120" s="39" t="s">
        <v>23</v>
      </c>
      <c r="C120" s="36">
        <v>0</v>
      </c>
      <c r="D120" s="36">
        <v>0</v>
      </c>
      <c r="E120" s="36">
        <v>0</v>
      </c>
      <c r="F120" s="36">
        <v>251654.35</v>
      </c>
      <c r="G120" s="37">
        <f t="shared" si="27"/>
        <v>0</v>
      </c>
      <c r="H120" s="23">
        <f t="shared" si="36"/>
        <v>0</v>
      </c>
      <c r="I120" s="24">
        <f t="shared" si="36"/>
        <v>0</v>
      </c>
      <c r="J120" s="32" t="str" cm="1">
        <f t="array" ref="J120">IFERROR(_xlfn.IFS(B120="044 - BLEND TRADICION","BLEND",B120="113 - CAFÉ GOURMET","GOURMET",B120="114 - CAFÉ CONSUMO","CONSUMO",B120="112 - CAFÉ ORGANICO","GOURMET",B120="172 - CAFÉ COSECHA","ESPECIALES",B120="176 - CAFE DESCAFEINADO","GOURMET",B120="147 - CAPSULAS","CAPSULAS",B120="130 - GALLETAS CAFECITAS","DERIVADOS",B120="140 - MERENGUES","DERIVADOS",B120="100 - CAFÉ ESPECIAL","ESPECIALES",B120="141 - AREQUIPE","DERIVADOS",B120="142 - MERMELADA","DERIVADOS",B120="131 - GALLETAS AVENA","DERIVADOS",B120="160 - SOUVENIR","OTROS",B120="148 - CARAMELOS","DERIVADOS",B120="143 - CHOCOFFES","DERIVADOS",B120="162 - CONVENIOS Y DSC POS ","OTROS"),"OTROS")</f>
        <v>DERIVADOS</v>
      </c>
      <c r="L120" s="27">
        <f t="shared" si="28"/>
        <v>0</v>
      </c>
      <c r="M120" s="27">
        <f t="shared" si="29"/>
        <v>0</v>
      </c>
    </row>
    <row r="121" spans="1:13" ht="16.5" hidden="1" outlineLevel="1">
      <c r="A121" s="38"/>
      <c r="B121" s="39" t="s">
        <v>24</v>
      </c>
      <c r="C121" s="36">
        <v>117076</v>
      </c>
      <c r="D121" s="36">
        <v>0</v>
      </c>
      <c r="E121" s="36">
        <v>0</v>
      </c>
      <c r="F121" s="36">
        <v>965398.25</v>
      </c>
      <c r="G121" s="37">
        <f t="shared" si="27"/>
        <v>0.12127223143402217</v>
      </c>
      <c r="H121" s="23">
        <f t="shared" si="36"/>
        <v>0</v>
      </c>
      <c r="I121" s="24">
        <f t="shared" si="36"/>
        <v>0</v>
      </c>
      <c r="J121" s="32" t="str" cm="1">
        <f t="array" ref="J121">IFERROR(_xlfn.IFS(B121="044 - BLEND TRADICION","BLEND",B121="113 - CAFÉ GOURMET","GOURMET",B121="114 - CAFÉ CONSUMO","CONSUMO",B121="112 - CAFÉ ORGANICO","GOURMET",B121="172 - CAFÉ COSECHA","ESPECIALES",B121="176 - CAFE DESCAFEINADO","GOURMET",B121="147 - CAPSULAS","CAPSULAS",B121="130 - GALLETAS CAFECITAS","DERIVADOS",B121="140 - MERENGUES","DERIVADOS",B121="100 - CAFÉ ESPECIAL","ESPECIALES",B121="141 - AREQUIPE","DERIVADOS",B121="142 - MERMELADA","DERIVADOS",B121="131 - GALLETAS AVENA","DERIVADOS",B121="160 - SOUVENIR","OTROS",B121="148 - CARAMELOS","DERIVADOS",B121="143 - CHOCOFFES","DERIVADOS",B121="162 - CONVENIOS Y DSC POS ","OTROS"),"OTROS")</f>
        <v>DERIVADOS</v>
      </c>
      <c r="L121" s="27">
        <f t="shared" si="28"/>
        <v>117076</v>
      </c>
      <c r="M121" s="27">
        <f t="shared" si="29"/>
        <v>117076</v>
      </c>
    </row>
    <row r="122" spans="1:13" ht="16.5" hidden="1" outlineLevel="1">
      <c r="A122" s="38"/>
      <c r="B122" s="39" t="s">
        <v>25</v>
      </c>
      <c r="C122" s="36">
        <v>749506</v>
      </c>
      <c r="D122" s="36">
        <v>0</v>
      </c>
      <c r="E122" s="36"/>
      <c r="F122" s="36">
        <v>4939039.0999999996</v>
      </c>
      <c r="G122" s="37">
        <f t="shared" si="27"/>
        <v>0.15175138014193895</v>
      </c>
      <c r="H122" s="23">
        <f t="shared" si="36"/>
        <v>0</v>
      </c>
      <c r="I122" s="24">
        <f t="shared" si="36"/>
        <v>0</v>
      </c>
      <c r="J122" s="32" t="str" cm="1">
        <f t="array" ref="J122">IFERROR(_xlfn.IFS(B122="044 - BLEND TRADICION","BLEND",B122="113 - CAFÉ GOURMET","GOURMET",B122="114 - CAFÉ CONSUMO","CONSUMO",B122="112 - CAFÉ ORGANICO","GOURMET",B122="172 - CAFÉ COSECHA","ESPECIALES",B122="176 - CAFE DESCAFEINADO","GOURMET",B122="147 - CAPSULAS","CAPSULAS",B122="130 - GALLETAS CAFECITAS","DERIVADOS",B122="140 - MERENGUES","DERIVADOS",B122="100 - CAFÉ ESPECIAL","ESPECIALES",B122="141 - AREQUIPE","DERIVADOS",B122="142 - MERMELADA","DERIVADOS",B122="131 - GALLETAS AVENA","DERIVADOS",B122="160 - SOUVENIR","OTROS",B122="148 - CARAMELOS","DERIVADOS",B122="143 - CHOCOFFES","DERIVADOS",B122="162 - CONVENIOS Y DSC POS ","OTROS"),"OTROS")</f>
        <v>DERIVADOS</v>
      </c>
      <c r="L122" s="27">
        <f t="shared" si="28"/>
        <v>749506</v>
      </c>
      <c r="M122" s="27">
        <f t="shared" si="29"/>
        <v>749506</v>
      </c>
    </row>
    <row r="123" spans="1:13" ht="16.5" hidden="1" outlineLevel="1">
      <c r="A123" s="38"/>
      <c r="B123" s="39" t="s">
        <v>26</v>
      </c>
      <c r="C123" s="36">
        <v>228552</v>
      </c>
      <c r="D123" s="36">
        <v>0</v>
      </c>
      <c r="E123" s="36"/>
      <c r="F123" s="36">
        <v>1642173.15</v>
      </c>
      <c r="G123" s="37">
        <f t="shared" si="27"/>
        <v>0.1391765539462145</v>
      </c>
      <c r="H123" s="23">
        <f t="shared" si="36"/>
        <v>0</v>
      </c>
      <c r="I123" s="24">
        <f t="shared" si="36"/>
        <v>0</v>
      </c>
      <c r="J123" s="32" t="str" cm="1">
        <f t="array" ref="J123">IFERROR(_xlfn.IFS(B123="044 - BLEND TRADICION","BLEND",B123="113 - CAFÉ GOURMET","GOURMET",B123="114 - CAFÉ CONSUMO","CONSUMO",B123="112 - CAFÉ ORGANICO","GOURMET",B123="172 - CAFÉ COSECHA","ESPECIALES",B123="176 - CAFE DESCAFEINADO","GOURMET",B123="147 - CAPSULAS","CAPSULAS",B123="130 - GALLETAS CAFECITAS","DERIVADOS",B123="140 - MERENGUES","DERIVADOS",B123="100 - CAFÉ ESPECIAL","ESPECIALES",B123="141 - AREQUIPE","DERIVADOS",B123="142 - MERMELADA","DERIVADOS",B123="131 - GALLETAS AVENA","DERIVADOS",B123="160 - SOUVENIR","OTROS",B123="148 - CARAMELOS","DERIVADOS",B123="143 - CHOCOFFES","DERIVADOS",B123="162 - CONVENIOS Y DSC POS ","OTROS"),"OTROS")</f>
        <v>CAPSULAS</v>
      </c>
      <c r="L123" s="27">
        <f t="shared" si="28"/>
        <v>228552</v>
      </c>
      <c r="M123" s="27">
        <f t="shared" si="29"/>
        <v>228552</v>
      </c>
    </row>
    <row r="124" spans="1:13" ht="16.5" hidden="1" outlineLevel="1">
      <c r="A124" s="38"/>
      <c r="B124" s="39" t="s">
        <v>27</v>
      </c>
      <c r="C124" s="36">
        <v>1356709</v>
      </c>
      <c r="D124" s="36">
        <v>0</v>
      </c>
      <c r="E124" s="36"/>
      <c r="F124" s="36">
        <v>3108561.46</v>
      </c>
      <c r="G124" s="37">
        <f t="shared" si="27"/>
        <v>0.43644271392337214</v>
      </c>
      <c r="H124" s="23">
        <f t="shared" ref="H124:I139" si="37">IFERROR(+D124/L124*100%,0)</f>
        <v>0</v>
      </c>
      <c r="I124" s="24">
        <f t="shared" si="37"/>
        <v>0</v>
      </c>
      <c r="J124" s="32" t="str" cm="1">
        <f t="array" ref="J124">IFERROR(_xlfn.IFS(B124="044 - BLEND TRADICION","BLEND",B124="113 - CAFÉ GOURMET","GOURMET",B124="114 - CAFÉ CONSUMO","CONSUMO",B124="112 - CAFÉ ORGANICO","GOURMET",B124="172 - CAFÉ COSECHA","ESPECIALES",B124="176 - CAFE DESCAFEINADO","GOURMET",B124="147 - CAPSULAS","CAPSULAS",B124="130 - GALLETAS CAFECITAS","DERIVADOS",B124="140 - MERENGUES","DERIVADOS",B124="100 - CAFÉ ESPECIAL","ESPECIALES",B124="141 - AREQUIPE","DERIVADOS",B124="142 - MERMELADA","DERIVADOS",B124="131 - GALLETAS AVENA","DERIVADOS",B124="160 - SOUVENIR","OTROS",B124="148 - CARAMELOS","DERIVADOS",B124="143 - CHOCOFFES","DERIVADOS",B124="162 - CONVENIOS Y DSC POS ","OTROS"),"OTROS")</f>
        <v>DERIVADOS</v>
      </c>
      <c r="L124" s="27">
        <f t="shared" si="28"/>
        <v>1356709</v>
      </c>
      <c r="M124" s="27">
        <f t="shared" si="29"/>
        <v>1356709</v>
      </c>
    </row>
    <row r="125" spans="1:13" ht="16.5" hidden="1" outlineLevel="1">
      <c r="A125" s="38"/>
      <c r="B125" s="39" t="s">
        <v>28</v>
      </c>
      <c r="C125" s="36">
        <v>79379</v>
      </c>
      <c r="D125" s="36">
        <v>0</v>
      </c>
      <c r="E125" s="36">
        <v>0</v>
      </c>
      <c r="F125" s="36">
        <v>1929397.03</v>
      </c>
      <c r="G125" s="37">
        <f t="shared" si="27"/>
        <v>4.1141869073987328E-2</v>
      </c>
      <c r="H125" s="23">
        <f t="shared" si="37"/>
        <v>0</v>
      </c>
      <c r="I125" s="24">
        <f t="shared" si="37"/>
        <v>0</v>
      </c>
      <c r="J125" s="32" t="str" cm="1">
        <f t="array" ref="J125">IFERROR(_xlfn.IFS(B125="044 - BLEND TRADICION","BLEND",B125="113 - CAFÉ GOURMET","GOURMET",B125="114 - CAFÉ CONSUMO","CONSUMO",B125="112 - CAFÉ ORGANICO","GOURMET",B125="172 - CAFÉ COSECHA","ESPECIALES",B125="176 - CAFE DESCAFEINADO","GOURMET",B125="147 - CAPSULAS","CAPSULAS",B125="130 - GALLETAS CAFECITAS","DERIVADOS",B125="140 - MERENGUES","DERIVADOS",B125="100 - CAFÉ ESPECIAL","ESPECIALES",B125="141 - AREQUIPE","DERIVADOS",B125="142 - MERMELADA","DERIVADOS",B125="131 - GALLETAS AVENA","DERIVADOS",B125="160 - SOUVENIR","OTROS",B125="148 - CARAMELOS","DERIVADOS",B125="143 - CHOCOFFES","DERIVADOS",B125="162 - CONVENIOS Y DSC POS ","OTROS"),"OTROS")</f>
        <v>OTROS</v>
      </c>
      <c r="L125" s="27">
        <f t="shared" si="28"/>
        <v>79379</v>
      </c>
      <c r="M125" s="27">
        <f t="shared" si="29"/>
        <v>79379</v>
      </c>
    </row>
    <row r="126" spans="1:13" ht="16.5" hidden="1" outlineLevel="1">
      <c r="A126" s="38"/>
      <c r="B126" s="39" t="s">
        <v>29</v>
      </c>
      <c r="C126" s="36">
        <v>25470</v>
      </c>
      <c r="D126" s="36">
        <v>0</v>
      </c>
      <c r="E126" s="36"/>
      <c r="F126" s="36">
        <v>2019776.56</v>
      </c>
      <c r="G126" s="37">
        <f t="shared" si="27"/>
        <v>1.2610305765703112E-2</v>
      </c>
      <c r="H126" s="23">
        <f t="shared" si="37"/>
        <v>0</v>
      </c>
      <c r="I126" s="24">
        <f t="shared" si="37"/>
        <v>0</v>
      </c>
      <c r="J126" s="32" t="str" cm="1">
        <f t="array" ref="J126">IFERROR(_xlfn.IFS(B126="044 - BLEND TRADICION","BLEND",B126="113 - CAFÉ GOURMET","GOURMET",B126="114 - CAFÉ CONSUMO","CONSUMO",B126="112 - CAFÉ ORGANICO","GOURMET",B126="172 - CAFÉ COSECHA","ESPECIALES",B126="176 - CAFE DESCAFEINADO","GOURMET",B126="147 - CAPSULAS","CAPSULAS",B126="130 - GALLETAS CAFECITAS","DERIVADOS",B126="140 - MERENGUES","DERIVADOS",B126="100 - CAFÉ ESPECIAL","ESPECIALES",B126="141 - AREQUIPE","DERIVADOS",B126="142 - MERMELADA","DERIVADOS",B126="131 - GALLETAS AVENA","DERIVADOS",B126="160 - SOUVENIR","OTROS",B126="148 - CARAMELOS","DERIVADOS",B126="143 - CHOCOFFES","DERIVADOS",B126="162 - CONVENIOS Y DSC POS ","OTROS"),"OTROS")</f>
        <v>ESPECIALES</v>
      </c>
      <c r="L126" s="27">
        <f t="shared" si="28"/>
        <v>25470</v>
      </c>
      <c r="M126" s="27">
        <f t="shared" si="29"/>
        <v>25470</v>
      </c>
    </row>
    <row r="127" spans="1:13" ht="16.5" hidden="1" outlineLevel="1">
      <c r="A127" s="38"/>
      <c r="B127" s="39" t="s">
        <v>30</v>
      </c>
      <c r="C127" s="36">
        <v>0</v>
      </c>
      <c r="D127" s="36">
        <v>0</v>
      </c>
      <c r="E127" s="36">
        <v>0</v>
      </c>
      <c r="F127" s="36">
        <v>75457.58</v>
      </c>
      <c r="G127" s="37">
        <f t="shared" si="27"/>
        <v>0</v>
      </c>
      <c r="H127" s="23">
        <f t="shared" si="37"/>
        <v>0</v>
      </c>
      <c r="I127" s="24">
        <f t="shared" si="37"/>
        <v>0</v>
      </c>
      <c r="J127" s="32" t="str" cm="1">
        <f t="array" ref="J127">IFERROR(_xlfn.IFS(B127="044 - BLEND TRADICION","BLEND",B127="113 - CAFÉ GOURMET","GOURMET",B127="114 - CAFÉ CONSUMO","CONSUMO",B127="112 - CAFÉ ORGANICO","GOURMET",B127="172 - CAFÉ COSECHA","ESPECIALES",B127="176 - CAFE DESCAFEINADO","GOURMET",B127="147 - CAPSULAS","CAPSULAS",B127="130 - GALLETAS CAFECITAS","DERIVADOS",B127="140 - MERENGUES","DERIVADOS",B127="100 - CAFÉ ESPECIAL","ESPECIALES",B127="141 - AREQUIPE","DERIVADOS",B127="142 - MERMELADA","DERIVADOS",B127="131 - GALLETAS AVENA","DERIVADOS",B127="160 - SOUVENIR","OTROS",B127="148 - CARAMELOS","DERIVADOS",B127="143 - CHOCOFFES","DERIVADOS",B127="162 - CONVENIOS Y DSC POS ","OTROS"),"OTROS")</f>
        <v>GOURMET</v>
      </c>
      <c r="L127" s="27">
        <f t="shared" si="28"/>
        <v>0</v>
      </c>
      <c r="M127" s="27">
        <f t="shared" si="29"/>
        <v>0</v>
      </c>
    </row>
    <row r="128" spans="1:13" ht="16.5" hidden="1" outlineLevel="1">
      <c r="A128" s="19" t="s">
        <v>49</v>
      </c>
      <c r="B128" s="56" t="s">
        <v>32</v>
      </c>
      <c r="C128" s="54">
        <f>SUM(C115:C127)</f>
        <v>9329165</v>
      </c>
      <c r="D128" s="54">
        <f>SUM(D115:D127)</f>
        <v>0</v>
      </c>
      <c r="E128" s="54">
        <f>SUM(E115:E127)</f>
        <v>0</v>
      </c>
      <c r="F128" s="58">
        <f>SUM(F115:F127)</f>
        <v>58873274.050000004</v>
      </c>
      <c r="G128" s="55">
        <f t="shared" si="27"/>
        <v>0.15846180037612498</v>
      </c>
      <c r="H128" s="23">
        <f t="shared" si="37"/>
        <v>0</v>
      </c>
      <c r="I128" s="24">
        <f t="shared" si="37"/>
        <v>0</v>
      </c>
      <c r="J128" s="32" t="str" cm="1">
        <f t="array" ref="J128">IFERROR(_xlfn.IFS(B128="044 - BLEND TRADICION","BLEND",B128="113 - CAFÉ GOURMET","GOURMET",B128="114 - CAFÉ CONSUMO","CONSUMO",B128="112 - CAFÉ ORGANICO","GOURMET",B128="172 - CAFÉ COSECHA","ESPECIALES",B128="176 - CAFE DESCAFEINADO","GOURMET",B128="147 - CAPSULAS","CAPSULAS",B128="130 - GALLETAS CAFECITAS","DERIVADOS",B128="140 - MERENGUES","DERIVADOS",B128="100 - CAFÉ ESPECIAL","ESPECIALES",B128="141 - AREQUIPE","DERIVADOS",B128="142 - MERMELADA","DERIVADOS",B128="131 - GALLETAS AVENA","DERIVADOS",B128="160 - SOUVENIR","OTROS",B128="148 - CARAMELOS","DERIVADOS",B128="143 - CHOCOFFES","DERIVADOS",B128="162 - CONVENIOS Y DSC POS ","OTROS"),"OTROS")</f>
        <v>OTROS</v>
      </c>
      <c r="L128" s="27">
        <f t="shared" si="28"/>
        <v>9329165</v>
      </c>
      <c r="M128" s="27">
        <f t="shared" si="29"/>
        <v>9329165</v>
      </c>
    </row>
    <row r="129" spans="1:13" ht="16.5" hidden="1" outlineLevel="1">
      <c r="A129" s="33"/>
      <c r="B129" s="39" t="s">
        <v>18</v>
      </c>
      <c r="C129" s="36">
        <v>323392</v>
      </c>
      <c r="D129" s="36">
        <v>0</v>
      </c>
      <c r="E129" s="36"/>
      <c r="F129" s="36">
        <v>5334403.3099999996</v>
      </c>
      <c r="G129" s="37">
        <f t="shared" si="27"/>
        <v>6.0623837607809226E-2</v>
      </c>
      <c r="H129" s="23">
        <f t="shared" si="37"/>
        <v>0</v>
      </c>
      <c r="I129" s="24">
        <f t="shared" si="37"/>
        <v>0</v>
      </c>
      <c r="J129" s="32" t="str" cm="1">
        <f t="array" ref="J129">IFERROR(_xlfn.IFS(B129="044 - BLEND TRADICION","BLEND",B129="113 - CAFÉ GOURMET","GOURMET",B129="114 - CAFÉ CONSUMO","CONSUMO",B129="112 - CAFÉ ORGANICO","GOURMET",B129="172 - CAFÉ COSECHA","ESPECIALES",B129="176 - CAFE DESCAFEINADO","GOURMET",B129="147 - CAPSULAS","CAPSULAS",B129="130 - GALLETAS CAFECITAS","DERIVADOS",B129="140 - MERENGUES","DERIVADOS",B129="100 - CAFÉ ESPECIAL","ESPECIALES",B129="141 - AREQUIPE","DERIVADOS",B129="142 - MERMELADA","DERIVADOS",B129="131 - GALLETAS AVENA","DERIVADOS",B129="160 - SOUVENIR","OTROS",B129="148 - CARAMELOS","DERIVADOS",B129="143 - CHOCOFFES","DERIVADOS",B129="162 - CONVENIOS Y DSC POS ","OTROS"),"OTROS")</f>
        <v>BLEND</v>
      </c>
      <c r="L129" s="27">
        <f t="shared" si="28"/>
        <v>323392</v>
      </c>
      <c r="M129" s="27">
        <f t="shared" si="29"/>
        <v>323392</v>
      </c>
    </row>
    <row r="130" spans="1:13" ht="16.5" hidden="1" outlineLevel="1">
      <c r="A130" s="38"/>
      <c r="B130" s="39" t="s">
        <v>19</v>
      </c>
      <c r="C130" s="36">
        <v>0</v>
      </c>
      <c r="D130" s="36">
        <v>0</v>
      </c>
      <c r="E130" s="36"/>
      <c r="F130" s="36">
        <v>1332928.3500000001</v>
      </c>
      <c r="G130" s="37">
        <f t="shared" si="27"/>
        <v>0</v>
      </c>
      <c r="H130" s="23">
        <f t="shared" si="37"/>
        <v>0</v>
      </c>
      <c r="I130" s="24">
        <f t="shared" si="37"/>
        <v>0</v>
      </c>
      <c r="J130" s="32" t="str" cm="1">
        <f t="array" ref="J130">IFERROR(_xlfn.IFS(B130="044 - BLEND TRADICION","BLEND",B130="113 - CAFÉ GOURMET","GOURMET",B130="114 - CAFÉ CONSUMO","CONSUMO",B130="112 - CAFÉ ORGANICO","GOURMET",B130="172 - CAFÉ COSECHA","ESPECIALES",B130="176 - CAFE DESCAFEINADO","GOURMET",B130="147 - CAPSULAS","CAPSULAS",B130="130 - GALLETAS CAFECITAS","DERIVADOS",B130="140 - MERENGUES","DERIVADOS",B130="100 - CAFÉ ESPECIAL","ESPECIALES",B130="141 - AREQUIPE","DERIVADOS",B130="142 - MERMELADA","DERIVADOS",B130="131 - GALLETAS AVENA","DERIVADOS",B130="160 - SOUVENIR","OTROS",B130="148 - CARAMELOS","DERIVADOS",B130="143 - CHOCOFFES","DERIVADOS",B130="162 - CONVENIOS Y DSC POS ","OTROS"),"OTROS")</f>
        <v>ESPECIALES</v>
      </c>
      <c r="L130" s="27">
        <f t="shared" si="28"/>
        <v>0</v>
      </c>
      <c r="M130" s="27">
        <f t="shared" si="29"/>
        <v>0</v>
      </c>
    </row>
    <row r="131" spans="1:13" ht="16.5" hidden="1" outlineLevel="1">
      <c r="A131" s="38"/>
      <c r="B131" s="39" t="s">
        <v>20</v>
      </c>
      <c r="C131" s="36">
        <v>0</v>
      </c>
      <c r="D131" s="36">
        <v>0</v>
      </c>
      <c r="E131" s="36"/>
      <c r="F131" s="36">
        <v>1484611.46</v>
      </c>
      <c r="G131" s="37">
        <f>IFERROR(C131/F131*100%,"-")</f>
        <v>0</v>
      </c>
      <c r="H131" s="23">
        <f t="shared" si="37"/>
        <v>0</v>
      </c>
      <c r="I131" s="24">
        <f t="shared" si="37"/>
        <v>0</v>
      </c>
      <c r="J131" s="32" t="str" cm="1">
        <f t="array" ref="J131">IFERROR(_xlfn.IFS(B131="044 - BLEND TRADICION","BLEND",B131="113 - CAFÉ GOURMET","GOURMET",B131="114 - CAFÉ CONSUMO","CONSUMO",B131="112 - CAFÉ ORGANICO","GOURMET",B131="172 - CAFÉ COSECHA","ESPECIALES",B131="176 - CAFE DESCAFEINADO","GOURMET",B131="147 - CAPSULAS","CAPSULAS",B131="130 - GALLETAS CAFECITAS","DERIVADOS",B131="140 - MERENGUES","DERIVADOS",B131="100 - CAFÉ ESPECIAL","ESPECIALES",B131="141 - AREQUIPE","DERIVADOS",B131="142 - MERMELADA","DERIVADOS",B131="131 - GALLETAS AVENA","DERIVADOS",B131="160 - SOUVENIR","OTROS",B131="148 - CARAMELOS","DERIVADOS",B131="143 - CHOCOFFES","DERIVADOS",B131="162 - CONVENIOS Y DSC POS ","OTROS"),"OTROS")</f>
        <v>GOURMET</v>
      </c>
      <c r="L131" s="27">
        <f t="shared" si="28"/>
        <v>0</v>
      </c>
      <c r="M131" s="27">
        <f t="shared" si="29"/>
        <v>0</v>
      </c>
    </row>
    <row r="132" spans="1:13" ht="16.5" hidden="1" outlineLevel="1">
      <c r="A132" s="38"/>
      <c r="B132" s="39" t="s">
        <v>21</v>
      </c>
      <c r="C132" s="36">
        <v>2424319</v>
      </c>
      <c r="D132" s="36">
        <v>0</v>
      </c>
      <c r="E132" s="36"/>
      <c r="F132" s="36">
        <v>49968995.509999998</v>
      </c>
      <c r="G132" s="37">
        <f t="shared" ref="G132:G141" si="38">IFERROR(C132/F132*100%,"-")</f>
        <v>4.8516464564808702E-2</v>
      </c>
      <c r="H132" s="23">
        <f t="shared" si="37"/>
        <v>0</v>
      </c>
      <c r="I132" s="24">
        <f t="shared" si="37"/>
        <v>0</v>
      </c>
      <c r="J132" s="32" t="str" cm="1">
        <f t="array" ref="J132">IFERROR(_xlfn.IFS(B132="044 - BLEND TRADICION","BLEND",B132="113 - CAFÉ GOURMET","GOURMET",B132="114 - CAFÉ CONSUMO","CONSUMO",B132="112 - CAFÉ ORGANICO","GOURMET",B132="172 - CAFÉ COSECHA","ESPECIALES",B132="176 - CAFE DESCAFEINADO","GOURMET",B132="147 - CAPSULAS","CAPSULAS",B132="130 - GALLETAS CAFECITAS","DERIVADOS",B132="140 - MERENGUES","DERIVADOS",B132="100 - CAFÉ ESPECIAL","ESPECIALES",B132="141 - AREQUIPE","DERIVADOS",B132="142 - MERMELADA","DERIVADOS",B132="131 - GALLETAS AVENA","DERIVADOS",B132="160 - SOUVENIR","OTROS",B132="148 - CARAMELOS","DERIVADOS",B132="143 - CHOCOFFES","DERIVADOS",B132="162 - CONVENIOS Y DSC POS ","OTROS"),"OTROS")</f>
        <v>GOURMET</v>
      </c>
      <c r="L132" s="27">
        <f t="shared" si="28"/>
        <v>2424319</v>
      </c>
      <c r="M132" s="27">
        <f t="shared" si="29"/>
        <v>2424319</v>
      </c>
    </row>
    <row r="133" spans="1:13" ht="16.5" hidden="1" outlineLevel="1">
      <c r="A133" s="38"/>
      <c r="B133" s="39" t="s">
        <v>22</v>
      </c>
      <c r="C133" s="36">
        <v>214500</v>
      </c>
      <c r="D133" s="36">
        <v>0</v>
      </c>
      <c r="E133" s="36"/>
      <c r="F133" s="36">
        <v>9961569.3200000003</v>
      </c>
      <c r="G133" s="37">
        <f t="shared" si="38"/>
        <v>2.1532751829507923E-2</v>
      </c>
      <c r="H133" s="23">
        <f t="shared" si="37"/>
        <v>0</v>
      </c>
      <c r="I133" s="24">
        <f t="shared" si="37"/>
        <v>0</v>
      </c>
      <c r="J133" s="32" t="str" cm="1">
        <f t="array" ref="J133">IFERROR(_xlfn.IFS(B133="044 - BLEND TRADICION","BLEND",B133="113 - CAFÉ GOURMET","GOURMET",B133="114 - CAFÉ CONSUMO","CONSUMO",B133="112 - CAFÉ ORGANICO","GOURMET",B133="172 - CAFÉ COSECHA","ESPECIALES",B133="176 - CAFE DESCAFEINADO","GOURMET",B133="147 - CAPSULAS","CAPSULAS",B133="130 - GALLETAS CAFECITAS","DERIVADOS",B133="140 - MERENGUES","DERIVADOS",B133="100 - CAFÉ ESPECIAL","ESPECIALES",B133="141 - AREQUIPE","DERIVADOS",B133="142 - MERMELADA","DERIVADOS",B133="131 - GALLETAS AVENA","DERIVADOS",B133="160 - SOUVENIR","OTROS",B133="148 - CARAMELOS","DERIVADOS",B133="143 - CHOCOFFES","DERIVADOS",B133="162 - CONVENIOS Y DSC POS ","OTROS"),"OTROS")</f>
        <v>DERIVADOS</v>
      </c>
      <c r="L133" s="27">
        <f t="shared" si="28"/>
        <v>214500</v>
      </c>
      <c r="M133" s="27">
        <f t="shared" si="29"/>
        <v>214500</v>
      </c>
    </row>
    <row r="134" spans="1:13" ht="16.5" hidden="1" outlineLevel="1">
      <c r="A134" s="38"/>
      <c r="B134" s="39" t="s">
        <v>23</v>
      </c>
      <c r="C134" s="36">
        <v>0</v>
      </c>
      <c r="D134" s="36">
        <v>0</v>
      </c>
      <c r="E134" s="36"/>
      <c r="F134" s="36">
        <v>11794.96</v>
      </c>
      <c r="G134" s="37">
        <f t="shared" si="38"/>
        <v>0</v>
      </c>
      <c r="H134" s="23">
        <f t="shared" si="37"/>
        <v>0</v>
      </c>
      <c r="I134" s="24">
        <f t="shared" si="37"/>
        <v>0</v>
      </c>
      <c r="J134" s="32" t="str" cm="1">
        <f t="array" ref="J134">IFERROR(_xlfn.IFS(B134="044 - BLEND TRADICION","BLEND",B134="113 - CAFÉ GOURMET","GOURMET",B134="114 - CAFÉ CONSUMO","CONSUMO",B134="112 - CAFÉ ORGANICO","GOURMET",B134="172 - CAFÉ COSECHA","ESPECIALES",B134="176 - CAFE DESCAFEINADO","GOURMET",B134="147 - CAPSULAS","CAPSULAS",B134="130 - GALLETAS CAFECITAS","DERIVADOS",B134="140 - MERENGUES","DERIVADOS",B134="100 - CAFÉ ESPECIAL","ESPECIALES",B134="141 - AREQUIPE","DERIVADOS",B134="142 - MERMELADA","DERIVADOS",B134="131 - GALLETAS AVENA","DERIVADOS",B134="160 - SOUVENIR","OTROS",B134="148 - CARAMELOS","DERIVADOS",B134="143 - CHOCOFFES","DERIVADOS",B134="162 - CONVENIOS Y DSC POS ","OTROS"),"OTROS")</f>
        <v>DERIVADOS</v>
      </c>
      <c r="L134" s="27">
        <f t="shared" si="28"/>
        <v>0</v>
      </c>
      <c r="M134" s="27">
        <f t="shared" si="29"/>
        <v>0</v>
      </c>
    </row>
    <row r="135" spans="1:13" ht="16.5" hidden="1" outlineLevel="1">
      <c r="A135" s="38"/>
      <c r="B135" s="39" t="s">
        <v>24</v>
      </c>
      <c r="C135" s="36">
        <v>0</v>
      </c>
      <c r="D135" s="36">
        <v>0</v>
      </c>
      <c r="E135" s="36"/>
      <c r="F135" s="36">
        <v>854376.78</v>
      </c>
      <c r="G135" s="37">
        <f t="shared" si="38"/>
        <v>0</v>
      </c>
      <c r="H135" s="23">
        <f t="shared" si="37"/>
        <v>0</v>
      </c>
      <c r="I135" s="24">
        <f t="shared" si="37"/>
        <v>0</v>
      </c>
      <c r="J135" s="32" t="str" cm="1">
        <f t="array" ref="J135">IFERROR(_xlfn.IFS(B135="044 - BLEND TRADICION","BLEND",B135="113 - CAFÉ GOURMET","GOURMET",B135="114 - CAFÉ CONSUMO","CONSUMO",B135="112 - CAFÉ ORGANICO","GOURMET",B135="172 - CAFÉ COSECHA","ESPECIALES",B135="176 - CAFE DESCAFEINADO","GOURMET",B135="147 - CAPSULAS","CAPSULAS",B135="130 - GALLETAS CAFECITAS","DERIVADOS",B135="140 - MERENGUES","DERIVADOS",B135="100 - CAFÉ ESPECIAL","ESPECIALES",B135="141 - AREQUIPE","DERIVADOS",B135="142 - MERMELADA","DERIVADOS",B135="131 - GALLETAS AVENA","DERIVADOS",B135="160 - SOUVENIR","OTROS",B135="148 - CARAMELOS","DERIVADOS",B135="143 - CHOCOFFES","DERIVADOS",B135="162 - CONVENIOS Y DSC POS ","OTROS"),"OTROS")</f>
        <v>DERIVADOS</v>
      </c>
      <c r="L135" s="27">
        <f t="shared" si="28"/>
        <v>0</v>
      </c>
      <c r="M135" s="27">
        <f t="shared" si="29"/>
        <v>0</v>
      </c>
    </row>
    <row r="136" spans="1:13" ht="16.5" hidden="1" outlineLevel="1">
      <c r="A136" s="38"/>
      <c r="B136" s="39" t="s">
        <v>25</v>
      </c>
      <c r="C136" s="36">
        <v>212024</v>
      </c>
      <c r="D136" s="36">
        <v>0</v>
      </c>
      <c r="E136" s="36"/>
      <c r="F136" s="36">
        <v>3865702.13</v>
      </c>
      <c r="G136" s="37">
        <f t="shared" si="38"/>
        <v>5.484747475874454E-2</v>
      </c>
      <c r="H136" s="23">
        <f t="shared" si="37"/>
        <v>0</v>
      </c>
      <c r="I136" s="24">
        <f t="shared" si="37"/>
        <v>0</v>
      </c>
      <c r="J136" s="32" t="str" cm="1">
        <f t="array" ref="J136">IFERROR(_xlfn.IFS(B136="044 - BLEND TRADICION","BLEND",B136="113 - CAFÉ GOURMET","GOURMET",B136="114 - CAFÉ CONSUMO","CONSUMO",B136="112 - CAFÉ ORGANICO","GOURMET",B136="172 - CAFÉ COSECHA","ESPECIALES",B136="176 - CAFE DESCAFEINADO","GOURMET",B136="147 - CAPSULAS","CAPSULAS",B136="130 - GALLETAS CAFECITAS","DERIVADOS",B136="140 - MERENGUES","DERIVADOS",B136="100 - CAFÉ ESPECIAL","ESPECIALES",B136="141 - AREQUIPE","DERIVADOS",B136="142 - MERMELADA","DERIVADOS",B136="131 - GALLETAS AVENA","DERIVADOS",B136="160 - SOUVENIR","OTROS",B136="148 - CARAMELOS","DERIVADOS",B136="143 - CHOCOFFES","DERIVADOS",B136="162 - CONVENIOS Y DSC POS ","OTROS"),"OTROS")</f>
        <v>DERIVADOS</v>
      </c>
      <c r="L136" s="27">
        <f t="shared" si="28"/>
        <v>212024</v>
      </c>
      <c r="M136" s="27">
        <f t="shared" si="29"/>
        <v>212024</v>
      </c>
    </row>
    <row r="137" spans="1:13" ht="16.5" hidden="1" outlineLevel="1">
      <c r="A137" s="38"/>
      <c r="B137" s="39" t="s">
        <v>26</v>
      </c>
      <c r="C137" s="36">
        <v>0</v>
      </c>
      <c r="D137" s="36">
        <v>0</v>
      </c>
      <c r="E137" s="36"/>
      <c r="F137" s="36">
        <v>866649.1</v>
      </c>
      <c r="G137" s="37">
        <f t="shared" si="38"/>
        <v>0</v>
      </c>
      <c r="H137" s="23">
        <f t="shared" si="37"/>
        <v>0</v>
      </c>
      <c r="I137" s="24">
        <f t="shared" si="37"/>
        <v>0</v>
      </c>
      <c r="J137" s="32" t="str" cm="1">
        <f t="array" ref="J137">IFERROR(_xlfn.IFS(B137="044 - BLEND TRADICION","BLEND",B137="113 - CAFÉ GOURMET","GOURMET",B137="114 - CAFÉ CONSUMO","CONSUMO",B137="112 - CAFÉ ORGANICO","GOURMET",B137="172 - CAFÉ COSECHA","ESPECIALES",B137="176 - CAFE DESCAFEINADO","GOURMET",B137="147 - CAPSULAS","CAPSULAS",B137="130 - GALLETAS CAFECITAS","DERIVADOS",B137="140 - MERENGUES","DERIVADOS",B137="100 - CAFÉ ESPECIAL","ESPECIALES",B137="141 - AREQUIPE","DERIVADOS",B137="142 - MERMELADA","DERIVADOS",B137="131 - GALLETAS AVENA","DERIVADOS",B137="160 - SOUVENIR","OTROS",B137="148 - CARAMELOS","DERIVADOS",B137="143 - CHOCOFFES","DERIVADOS",B137="162 - CONVENIOS Y DSC POS ","OTROS"),"OTROS")</f>
        <v>CAPSULAS</v>
      </c>
      <c r="L137" s="27">
        <f t="shared" si="28"/>
        <v>0</v>
      </c>
      <c r="M137" s="27">
        <f t="shared" si="29"/>
        <v>0</v>
      </c>
    </row>
    <row r="138" spans="1:13" ht="16.5" hidden="1" outlineLevel="1">
      <c r="A138" s="38"/>
      <c r="B138" s="39" t="s">
        <v>27</v>
      </c>
      <c r="C138" s="36">
        <v>1985833</v>
      </c>
      <c r="D138" s="36">
        <v>0</v>
      </c>
      <c r="E138" s="36"/>
      <c r="F138" s="36">
        <v>6049716.3799999999</v>
      </c>
      <c r="G138" s="37">
        <f t="shared" si="38"/>
        <v>0.32825224775248057</v>
      </c>
      <c r="H138" s="23">
        <f t="shared" si="37"/>
        <v>0</v>
      </c>
      <c r="I138" s="24">
        <f t="shared" si="37"/>
        <v>0</v>
      </c>
      <c r="J138" s="32" t="str" cm="1">
        <f t="array" ref="J138">IFERROR(_xlfn.IFS(B138="044 - BLEND TRADICION","BLEND",B138="113 - CAFÉ GOURMET","GOURMET",B138="114 - CAFÉ CONSUMO","CONSUMO",B138="112 - CAFÉ ORGANICO","GOURMET",B138="172 - CAFÉ COSECHA","ESPECIALES",B138="176 - CAFE DESCAFEINADO","GOURMET",B138="147 - CAPSULAS","CAPSULAS",B138="130 - GALLETAS CAFECITAS","DERIVADOS",B138="140 - MERENGUES","DERIVADOS",B138="100 - CAFÉ ESPECIAL","ESPECIALES",B138="141 - AREQUIPE","DERIVADOS",B138="142 - MERMELADA","DERIVADOS",B138="131 - GALLETAS AVENA","DERIVADOS",B138="160 - SOUVENIR","OTROS",B138="148 - CARAMELOS","DERIVADOS",B138="143 - CHOCOFFES","DERIVADOS",B138="162 - CONVENIOS Y DSC POS ","OTROS"),"OTROS")</f>
        <v>DERIVADOS</v>
      </c>
      <c r="L138" s="27">
        <f t="shared" si="28"/>
        <v>1985833</v>
      </c>
      <c r="M138" s="27">
        <f t="shared" si="29"/>
        <v>1985833</v>
      </c>
    </row>
    <row r="139" spans="1:13" ht="16.5" hidden="1" outlineLevel="1">
      <c r="A139" s="38"/>
      <c r="B139" s="39" t="s">
        <v>28</v>
      </c>
      <c r="C139" s="36">
        <v>0</v>
      </c>
      <c r="D139" s="36">
        <v>0</v>
      </c>
      <c r="E139" s="36"/>
      <c r="F139" s="36">
        <v>2122980.0499999998</v>
      </c>
      <c r="G139" s="37">
        <f t="shared" si="38"/>
        <v>0</v>
      </c>
      <c r="H139" s="23">
        <f t="shared" si="37"/>
        <v>0</v>
      </c>
      <c r="I139" s="24">
        <f t="shared" si="37"/>
        <v>0</v>
      </c>
      <c r="J139" s="32" t="str" cm="1">
        <f t="array" ref="J139">IFERROR(_xlfn.IFS(B139="044 - BLEND TRADICION","BLEND",B139="113 - CAFÉ GOURMET","GOURMET",B139="114 - CAFÉ CONSUMO","CONSUMO",B139="112 - CAFÉ ORGANICO","GOURMET",B139="172 - CAFÉ COSECHA","ESPECIALES",B139="176 - CAFE DESCAFEINADO","GOURMET",B139="147 - CAPSULAS","CAPSULAS",B139="130 - GALLETAS CAFECITAS","DERIVADOS",B139="140 - MERENGUES","DERIVADOS",B139="100 - CAFÉ ESPECIAL","ESPECIALES",B139="141 - AREQUIPE","DERIVADOS",B139="142 - MERMELADA","DERIVADOS",B139="131 - GALLETAS AVENA","DERIVADOS",B139="160 - SOUVENIR","OTROS",B139="148 - CARAMELOS","DERIVADOS",B139="143 - CHOCOFFES","DERIVADOS",B139="162 - CONVENIOS Y DSC POS ","OTROS"),"OTROS")</f>
        <v>OTROS</v>
      </c>
      <c r="L139" s="27">
        <f t="shared" si="28"/>
        <v>0</v>
      </c>
      <c r="M139" s="27">
        <f t="shared" si="29"/>
        <v>0</v>
      </c>
    </row>
    <row r="140" spans="1:13" ht="16.5" hidden="1" outlineLevel="1">
      <c r="A140" s="38"/>
      <c r="B140" s="39" t="s">
        <v>29</v>
      </c>
      <c r="C140" s="36">
        <v>0</v>
      </c>
      <c r="D140" s="36">
        <v>0</v>
      </c>
      <c r="E140" s="36"/>
      <c r="F140" s="36">
        <v>6357550.9400000004</v>
      </c>
      <c r="G140" s="37">
        <f t="shared" si="38"/>
        <v>0</v>
      </c>
      <c r="H140" s="23">
        <f t="shared" ref="H140:I171" si="39">IFERROR(+D140/L140*100%,0)</f>
        <v>0</v>
      </c>
      <c r="I140" s="24">
        <f t="shared" si="39"/>
        <v>0</v>
      </c>
      <c r="J140" s="32" t="str" cm="1">
        <f t="array" ref="J140">IFERROR(_xlfn.IFS(B140="044 - BLEND TRADICION","BLEND",B140="113 - CAFÉ GOURMET","GOURMET",B140="114 - CAFÉ CONSUMO","CONSUMO",B140="112 - CAFÉ ORGANICO","GOURMET",B140="172 - CAFÉ COSECHA","ESPECIALES",B140="176 - CAFE DESCAFEINADO","GOURMET",B140="147 - CAPSULAS","CAPSULAS",B140="130 - GALLETAS CAFECITAS","DERIVADOS",B140="140 - MERENGUES","DERIVADOS",B140="100 - CAFÉ ESPECIAL","ESPECIALES",B140="141 - AREQUIPE","DERIVADOS",B140="142 - MERMELADA","DERIVADOS",B140="131 - GALLETAS AVENA","DERIVADOS",B140="160 - SOUVENIR","OTROS",B140="148 - CARAMELOS","DERIVADOS",B140="143 - CHOCOFFES","DERIVADOS",B140="162 - CONVENIOS Y DSC POS ","OTROS"),"OTROS")</f>
        <v>ESPECIALES</v>
      </c>
      <c r="L140" s="27">
        <f t="shared" si="28"/>
        <v>0</v>
      </c>
      <c r="M140" s="27">
        <f t="shared" si="29"/>
        <v>0</v>
      </c>
    </row>
    <row r="141" spans="1:13" ht="16.5" hidden="1" outlineLevel="1">
      <c r="A141" s="38"/>
      <c r="B141" s="61" t="s">
        <v>30</v>
      </c>
      <c r="C141" s="100">
        <v>0</v>
      </c>
      <c r="D141" s="36">
        <v>0</v>
      </c>
      <c r="E141" s="36"/>
      <c r="F141" s="36">
        <v>974571.04</v>
      </c>
      <c r="G141" s="37">
        <f t="shared" si="38"/>
        <v>0</v>
      </c>
      <c r="H141" s="23">
        <f t="shared" si="39"/>
        <v>0</v>
      </c>
      <c r="I141" s="24">
        <f t="shared" si="39"/>
        <v>0</v>
      </c>
      <c r="J141" s="32" t="str" cm="1">
        <f t="array" ref="J141">IFERROR(_xlfn.IFS(B141="044 - BLEND TRADICION","BLEND",B141="113 - CAFÉ GOURMET","GOURMET",B141="114 - CAFÉ CONSUMO","CONSUMO",B141="112 - CAFÉ ORGANICO","GOURMET",B141="172 - CAFÉ COSECHA","ESPECIALES",B141="176 - CAFE DESCAFEINADO","GOURMET",B141="147 - CAPSULAS","CAPSULAS",B141="130 - GALLETAS CAFECITAS","DERIVADOS",B141="140 - MERENGUES","DERIVADOS",B141="100 - CAFÉ ESPECIAL","ESPECIALES",B141="141 - AREQUIPE","DERIVADOS",B141="142 - MERMELADA","DERIVADOS",B141="131 - GALLETAS AVENA","DERIVADOS",B141="160 - SOUVENIR","OTROS",B141="148 - CARAMELOS","DERIVADOS",B141="143 - CHOCOFFES","DERIVADOS",B141="162 - CONVENIOS Y DSC POS ","OTROS"),"OTROS")</f>
        <v>GOURMET</v>
      </c>
      <c r="L141" s="27">
        <f t="shared" si="28"/>
        <v>0</v>
      </c>
      <c r="M141" s="27">
        <f t="shared" si="29"/>
        <v>0</v>
      </c>
    </row>
    <row r="142" spans="1:13" ht="16.5" hidden="1" outlineLevel="1">
      <c r="A142" s="52" t="s">
        <v>51</v>
      </c>
      <c r="B142" s="20" t="s">
        <v>32</v>
      </c>
      <c r="C142" s="21">
        <f>SUM(C129:C141)</f>
        <v>5160068</v>
      </c>
      <c r="D142" s="53">
        <f>SUM(D129:D141)</f>
        <v>0</v>
      </c>
      <c r="E142" s="54">
        <f>SUM(E129:E141)</f>
        <v>0</v>
      </c>
      <c r="F142" s="58">
        <f>SUM(F129:F141)</f>
        <v>89185849.329999968</v>
      </c>
      <c r="G142" s="55">
        <f>IFERROR(C142/F142*100%,"-")</f>
        <v>5.7857474462198986E-2</v>
      </c>
      <c r="H142" s="23">
        <f t="shared" si="39"/>
        <v>0</v>
      </c>
      <c r="I142" s="24">
        <f t="shared" si="39"/>
        <v>0</v>
      </c>
      <c r="J142" s="32" t="str" cm="1">
        <f t="array" ref="J142">IFERROR(_xlfn.IFS(B142="044 - BLEND TRADICION","BLEND",B142="113 - CAFÉ GOURMET","GOURMET",B142="114 - CAFÉ CONSUMO","CONSUMO",B142="112 - CAFÉ ORGANICO","GOURMET",B142="172 - CAFÉ COSECHA","ESPECIALES",B142="176 - CAFE DESCAFEINADO","GOURMET",B142="147 - CAPSULAS","CAPSULAS",B142="130 - GALLETAS CAFECITAS","DERIVADOS",B142="140 - MERENGUES","DERIVADOS",B142="100 - CAFÉ ESPECIAL","ESPECIALES",B142="141 - AREQUIPE","DERIVADOS",B142="142 - MERMELADA","DERIVADOS",B142="131 - GALLETAS AVENA","DERIVADOS",B142="160 - SOUVENIR","OTROS",B142="148 - CARAMELOS","DERIVADOS",B142="143 - CHOCOFFES","DERIVADOS",B142="162 - CONVENIOS Y DSC POS ","OTROS"),"OTROS")</f>
        <v>OTROS</v>
      </c>
      <c r="L142" s="27">
        <f t="shared" si="28"/>
        <v>5160068</v>
      </c>
      <c r="M142" s="27">
        <f t="shared" si="29"/>
        <v>5160068</v>
      </c>
    </row>
    <row r="143" spans="1:13" ht="16.5" hidden="1" outlineLevel="1">
      <c r="A143" s="33"/>
      <c r="B143" s="45" t="s">
        <v>42</v>
      </c>
      <c r="C143" s="46">
        <v>40584</v>
      </c>
      <c r="D143" s="47">
        <v>0</v>
      </c>
      <c r="E143" s="36">
        <v>0</v>
      </c>
      <c r="F143" s="36">
        <v>0</v>
      </c>
      <c r="G143" s="37" t="str">
        <f t="shared" ref="G143:G210" si="40">IFERROR(C143/F143*100%,"-")</f>
        <v>-</v>
      </c>
      <c r="H143" s="23">
        <f t="shared" si="39"/>
        <v>0</v>
      </c>
      <c r="I143" s="24">
        <f t="shared" si="39"/>
        <v>0</v>
      </c>
      <c r="J143" s="32" t="str" cm="1">
        <f t="array" ref="J143">IFERROR(_xlfn.IFS(B143="044 - BLEND TRADICION","BLEND",B143="113 - CAFÉ GOURMET","GOURMET",B143="114 - CAFÉ CONSUMO","CONSUMO",B143="112 - CAFÉ ORGANICO","GOURMET",B143="172 - CAFÉ COSECHA","ESPECIALES",B143="176 - CAFE DESCAFEINADO","GOURMET",B143="147 - CAPSULAS","CAPSULAS",B143="130 - GALLETAS CAFECITAS","DERIVADOS",B143="140 - MERENGUES","DERIVADOS",B143="100 - CAFÉ ESPECIAL","ESPECIALES",B143="141 - AREQUIPE","DERIVADOS",B143="142 - MERMELADA","DERIVADOS",B143="131 - GALLETAS AVENA","DERIVADOS",B143="160 - SOUVENIR","OTROS",B143="148 - CARAMELOS","DERIVADOS",B143="143 - CHOCOFFES","DERIVADOS",B143="162 - CONVENIOS Y DSC POS ","OTROS"),"OTROS")</f>
        <v>OTROS</v>
      </c>
      <c r="L143" s="27">
        <f t="shared" si="28"/>
        <v>40584</v>
      </c>
      <c r="M143" s="27">
        <f t="shared" si="29"/>
        <v>40584</v>
      </c>
    </row>
    <row r="144" spans="1:13" ht="16.5" hidden="1" outlineLevel="1">
      <c r="A144" s="44"/>
      <c r="B144" s="45" t="s">
        <v>18</v>
      </c>
      <c r="C144" s="46">
        <v>2347200</v>
      </c>
      <c r="D144" s="47">
        <v>0</v>
      </c>
      <c r="E144" s="36">
        <v>0</v>
      </c>
      <c r="F144" s="36">
        <v>14379067.41</v>
      </c>
      <c r="G144" s="37">
        <f t="shared" si="40"/>
        <v>0.16323729022701619</v>
      </c>
      <c r="H144" s="23">
        <f t="shared" si="39"/>
        <v>0</v>
      </c>
      <c r="I144" s="24">
        <f t="shared" si="39"/>
        <v>0</v>
      </c>
      <c r="J144" s="32" t="str" cm="1">
        <f t="array" ref="J144">IFERROR(_xlfn.IFS(B144="044 - BLEND TRADICION","BLEND",B144="113 - CAFÉ GOURMET","GOURMET",B144="114 - CAFÉ CONSUMO","CONSUMO",B144="112 - CAFÉ ORGANICO","GOURMET",B144="172 - CAFÉ COSECHA","ESPECIALES",B144="176 - CAFE DESCAFEINADO","GOURMET",B144="147 - CAPSULAS","CAPSULAS",B144="130 - GALLETAS CAFECITAS","DERIVADOS",B144="140 - MERENGUES","DERIVADOS",B144="100 - CAFÉ ESPECIAL","ESPECIALES",B144="141 - AREQUIPE","DERIVADOS",B144="142 - MERMELADA","DERIVADOS",B144="131 - GALLETAS AVENA","DERIVADOS",B144="160 - SOUVENIR","OTROS",B144="148 - CARAMELOS","DERIVADOS",B144="143 - CHOCOFFES","DERIVADOS",B144="162 - CONVENIOS Y DSC POS ","OTROS"),"OTROS")</f>
        <v>BLEND</v>
      </c>
      <c r="L144" s="27">
        <f t="shared" si="28"/>
        <v>2347200</v>
      </c>
      <c r="M144" s="27">
        <f t="shared" si="29"/>
        <v>2347200</v>
      </c>
    </row>
    <row r="145" spans="1:13" ht="16.5" hidden="1" outlineLevel="1">
      <c r="A145" s="44"/>
      <c r="B145" s="45" t="s">
        <v>19</v>
      </c>
      <c r="C145" s="46">
        <v>1026864</v>
      </c>
      <c r="D145" s="47">
        <v>0</v>
      </c>
      <c r="E145" s="36">
        <v>0</v>
      </c>
      <c r="F145" s="36">
        <v>3909295.37</v>
      </c>
      <c r="G145" s="37">
        <f t="shared" si="40"/>
        <v>0.26267240072985326</v>
      </c>
      <c r="H145" s="23">
        <f t="shared" si="39"/>
        <v>0</v>
      </c>
      <c r="I145" s="24">
        <f t="shared" si="39"/>
        <v>0</v>
      </c>
      <c r="J145" s="32" t="str" cm="1">
        <f t="array" ref="J145">IFERROR(_xlfn.IFS(B145="044 - BLEND TRADICION","BLEND",B145="113 - CAFÉ GOURMET","GOURMET",B145="114 - CAFÉ CONSUMO","CONSUMO",B145="112 - CAFÉ ORGANICO","GOURMET",B145="172 - CAFÉ COSECHA","ESPECIALES",B145="176 - CAFE DESCAFEINADO","GOURMET",B145="147 - CAPSULAS","CAPSULAS",B145="130 - GALLETAS CAFECITAS","DERIVADOS",B145="140 - MERENGUES","DERIVADOS",B145="100 - CAFÉ ESPECIAL","ESPECIALES",B145="141 - AREQUIPE","DERIVADOS",B145="142 - MERMELADA","DERIVADOS",B145="131 - GALLETAS AVENA","DERIVADOS",B145="160 - SOUVENIR","OTROS",B145="148 - CARAMELOS","DERIVADOS",B145="143 - CHOCOFFES","DERIVADOS",B145="162 - CONVENIOS Y DSC POS ","OTROS"),"OTROS")</f>
        <v>ESPECIALES</v>
      </c>
      <c r="L145" s="27">
        <f t="shared" si="28"/>
        <v>1026864</v>
      </c>
      <c r="M145" s="27">
        <f t="shared" si="29"/>
        <v>1026864</v>
      </c>
    </row>
    <row r="146" spans="1:13" ht="16.5" hidden="1" outlineLevel="1">
      <c r="A146" s="44"/>
      <c r="B146" s="45" t="s">
        <v>20</v>
      </c>
      <c r="C146" s="46">
        <v>767760</v>
      </c>
      <c r="D146" s="47">
        <v>0</v>
      </c>
      <c r="E146" s="36">
        <v>0</v>
      </c>
      <c r="F146" s="36">
        <v>4626025.21</v>
      </c>
      <c r="G146" s="37">
        <f t="shared" si="40"/>
        <v>0.16596537311131515</v>
      </c>
      <c r="H146" s="23">
        <f t="shared" si="39"/>
        <v>0</v>
      </c>
      <c r="I146" s="24">
        <f t="shared" si="39"/>
        <v>0</v>
      </c>
      <c r="J146" s="32" t="str" cm="1">
        <f t="array" ref="J146">IFERROR(_xlfn.IFS(B146="044 - BLEND TRADICION","BLEND",B146="113 - CAFÉ GOURMET","GOURMET",B146="114 - CAFÉ CONSUMO","CONSUMO",B146="112 - CAFÉ ORGANICO","GOURMET",B146="172 - CAFÉ COSECHA","ESPECIALES",B146="176 - CAFE DESCAFEINADO","GOURMET",B146="147 - CAPSULAS","CAPSULAS",B146="130 - GALLETAS CAFECITAS","DERIVADOS",B146="140 - MERENGUES","DERIVADOS",B146="100 - CAFÉ ESPECIAL","ESPECIALES",B146="141 - AREQUIPE","DERIVADOS",B146="142 - MERMELADA","DERIVADOS",B146="131 - GALLETAS AVENA","DERIVADOS",B146="160 - SOUVENIR","OTROS",B146="148 - CARAMELOS","DERIVADOS",B146="143 - CHOCOFFES","DERIVADOS",B146="162 - CONVENIOS Y DSC POS ","OTROS"),"OTROS")</f>
        <v>GOURMET</v>
      </c>
      <c r="L146" s="27">
        <f t="shared" si="28"/>
        <v>767760</v>
      </c>
      <c r="M146" s="27">
        <f t="shared" si="29"/>
        <v>767760</v>
      </c>
    </row>
    <row r="147" spans="1:13" ht="16.5" hidden="1" outlineLevel="1">
      <c r="A147" s="44"/>
      <c r="B147" s="45" t="s">
        <v>21</v>
      </c>
      <c r="C147" s="46">
        <v>13529160</v>
      </c>
      <c r="D147" s="47">
        <v>0</v>
      </c>
      <c r="E147" s="36"/>
      <c r="F147" s="36">
        <v>114747780.18000001</v>
      </c>
      <c r="G147" s="37">
        <f t="shared" si="40"/>
        <v>0.1179034572937043</v>
      </c>
      <c r="H147" s="23">
        <f t="shared" si="39"/>
        <v>0</v>
      </c>
      <c r="I147" s="24">
        <f t="shared" si="39"/>
        <v>0</v>
      </c>
      <c r="J147" s="32" t="str" cm="1">
        <f t="array" ref="J147">IFERROR(_xlfn.IFS(B147="044 - BLEND TRADICION","BLEND",B147="113 - CAFÉ GOURMET","GOURMET",B147="114 - CAFÉ CONSUMO","CONSUMO",B147="112 - CAFÉ ORGANICO","GOURMET",B147="172 - CAFÉ COSECHA","ESPECIALES",B147="176 - CAFE DESCAFEINADO","GOURMET",B147="147 - CAPSULAS","CAPSULAS",B147="130 - GALLETAS CAFECITAS","DERIVADOS",B147="140 - MERENGUES","DERIVADOS",B147="100 - CAFÉ ESPECIAL","ESPECIALES",B147="141 - AREQUIPE","DERIVADOS",B147="142 - MERMELADA","DERIVADOS",B147="131 - GALLETAS AVENA","DERIVADOS",B147="160 - SOUVENIR","OTROS",B147="148 - CARAMELOS","DERIVADOS",B147="143 - CHOCOFFES","DERIVADOS",B147="162 - CONVENIOS Y DSC POS ","OTROS"),"OTROS")</f>
        <v>GOURMET</v>
      </c>
      <c r="L147" s="27">
        <f t="shared" si="28"/>
        <v>13529160</v>
      </c>
      <c r="M147" s="27">
        <f t="shared" si="29"/>
        <v>13529160</v>
      </c>
    </row>
    <row r="148" spans="1:13" ht="16.5" hidden="1" outlineLevel="1">
      <c r="A148" s="38"/>
      <c r="B148" s="34" t="s">
        <v>38</v>
      </c>
      <c r="C148" s="35">
        <v>0</v>
      </c>
      <c r="D148" s="36">
        <v>0</v>
      </c>
      <c r="E148" s="36"/>
      <c r="F148" s="36">
        <v>353869.81</v>
      </c>
      <c r="G148" s="37">
        <f t="shared" si="40"/>
        <v>0</v>
      </c>
      <c r="H148" s="23">
        <f t="shared" si="39"/>
        <v>0</v>
      </c>
      <c r="I148" s="24">
        <f t="shared" si="39"/>
        <v>0</v>
      </c>
      <c r="J148" s="32" t="str" cm="1">
        <f t="array" ref="J148">IFERROR(_xlfn.IFS(B148="044 - BLEND TRADICION","BLEND",B148="113 - CAFÉ GOURMET","GOURMET",B148="114 - CAFÉ CONSUMO","CONSUMO",B148="112 - CAFÉ ORGANICO","GOURMET",B148="172 - CAFÉ COSECHA","ESPECIALES",B148="176 - CAFE DESCAFEINADO","GOURMET",B148="147 - CAPSULAS","CAPSULAS",B148="130 - GALLETAS CAFECITAS","DERIVADOS",B148="140 - MERENGUES","DERIVADOS",B148="100 - CAFÉ ESPECIAL","ESPECIALES",B148="141 - AREQUIPE","DERIVADOS",B148="142 - MERMELADA","DERIVADOS",B148="131 - GALLETAS AVENA","DERIVADOS",B148="160 - SOUVENIR","OTROS",B148="148 - CARAMELOS","DERIVADOS",B148="143 - CHOCOFFES","DERIVADOS",B148="162 - CONVENIOS Y DSC POS ","OTROS"),"OTROS")</f>
        <v>CONSUMO</v>
      </c>
      <c r="L148" s="27">
        <f t="shared" si="28"/>
        <v>0</v>
      </c>
      <c r="M148" s="27">
        <f t="shared" si="29"/>
        <v>0</v>
      </c>
    </row>
    <row r="149" spans="1:13" ht="16.5" hidden="1" outlineLevel="1">
      <c r="A149" s="38"/>
      <c r="B149" s="39" t="s">
        <v>22</v>
      </c>
      <c r="C149" s="36">
        <v>2876212</v>
      </c>
      <c r="D149" s="36">
        <v>0</v>
      </c>
      <c r="E149" s="36"/>
      <c r="F149" s="36">
        <v>21366443.850000001</v>
      </c>
      <c r="G149" s="37">
        <f t="shared" si="40"/>
        <v>0.13461350986584508</v>
      </c>
      <c r="H149" s="23">
        <f t="shared" si="39"/>
        <v>0</v>
      </c>
      <c r="I149" s="24">
        <f t="shared" si="39"/>
        <v>0</v>
      </c>
      <c r="J149" s="32" t="str" cm="1">
        <f t="array" ref="J149">IFERROR(_xlfn.IFS(B149="044 - BLEND TRADICION","BLEND",B149="113 - CAFÉ GOURMET","GOURMET",B149="114 - CAFÉ CONSUMO","CONSUMO",B149="112 - CAFÉ ORGANICO","GOURMET",B149="172 - CAFÉ COSECHA","ESPECIALES",B149="176 - CAFE DESCAFEINADO","GOURMET",B149="147 - CAPSULAS","CAPSULAS",B149="130 - GALLETAS CAFECITAS","DERIVADOS",B149="140 - MERENGUES","DERIVADOS",B149="100 - CAFÉ ESPECIAL","ESPECIALES",B149="141 - AREQUIPE","DERIVADOS",B149="142 - MERMELADA","DERIVADOS",B149="131 - GALLETAS AVENA","DERIVADOS",B149="160 - SOUVENIR","OTROS",B149="148 - CARAMELOS","DERIVADOS",B149="143 - CHOCOFFES","DERIVADOS",B149="162 - CONVENIOS Y DSC POS ","OTROS"),"OTROS")</f>
        <v>DERIVADOS</v>
      </c>
      <c r="L149" s="27">
        <f t="shared" si="28"/>
        <v>2876212</v>
      </c>
      <c r="M149" s="27">
        <f t="shared" si="29"/>
        <v>2876212</v>
      </c>
    </row>
    <row r="150" spans="1:13" ht="16.5" hidden="1" outlineLevel="1">
      <c r="A150" s="38"/>
      <c r="B150" s="39" t="s">
        <v>23</v>
      </c>
      <c r="C150" s="36">
        <v>59664</v>
      </c>
      <c r="D150" s="36">
        <v>0</v>
      </c>
      <c r="E150" s="36"/>
      <c r="F150" s="36">
        <v>227657.98</v>
      </c>
      <c r="G150" s="37">
        <f t="shared" si="40"/>
        <v>0.26207734953986678</v>
      </c>
      <c r="H150" s="23">
        <f t="shared" si="39"/>
        <v>0</v>
      </c>
      <c r="I150" s="24">
        <f t="shared" si="39"/>
        <v>0</v>
      </c>
      <c r="J150" s="32" t="str" cm="1">
        <f t="array" ref="J150">IFERROR(_xlfn.IFS(B150="044 - BLEND TRADICION","BLEND",B150="113 - CAFÉ GOURMET","GOURMET",B150="114 - CAFÉ CONSUMO","CONSUMO",B150="112 - CAFÉ ORGANICO","GOURMET",B150="172 - CAFÉ COSECHA","ESPECIALES",B150="176 - CAFE DESCAFEINADO","GOURMET",B150="147 - CAPSULAS","CAPSULAS",B150="130 - GALLETAS CAFECITAS","DERIVADOS",B150="140 - MERENGUES","DERIVADOS",B150="100 - CAFÉ ESPECIAL","ESPECIALES",B150="141 - AREQUIPE","DERIVADOS",B150="142 - MERMELADA","DERIVADOS",B150="131 - GALLETAS AVENA","DERIVADOS",B150="160 - SOUVENIR","OTROS",B150="148 - CARAMELOS","DERIVADOS",B150="143 - CHOCOFFES","DERIVADOS",B150="162 - CONVENIOS Y DSC POS ","OTROS"),"OTROS")</f>
        <v>DERIVADOS</v>
      </c>
      <c r="L150" s="27">
        <f t="shared" si="28"/>
        <v>59664</v>
      </c>
      <c r="M150" s="27">
        <f t="shared" si="29"/>
        <v>59664</v>
      </c>
    </row>
    <row r="151" spans="1:13" ht="16.5" hidden="1" outlineLevel="1">
      <c r="A151" s="38"/>
      <c r="B151" s="39" t="s">
        <v>24</v>
      </c>
      <c r="C151" s="36">
        <v>296014</v>
      </c>
      <c r="D151" s="36">
        <v>0</v>
      </c>
      <c r="E151" s="36"/>
      <c r="F151" s="36">
        <v>2117327.71</v>
      </c>
      <c r="G151" s="37">
        <f t="shared" si="40"/>
        <v>0.13980547205892846</v>
      </c>
      <c r="H151" s="23">
        <f t="shared" si="39"/>
        <v>0</v>
      </c>
      <c r="I151" s="24">
        <f t="shared" si="39"/>
        <v>0</v>
      </c>
      <c r="J151" s="32" t="str" cm="1">
        <f t="array" ref="J151">IFERROR(_xlfn.IFS(B151="044 - BLEND TRADICION","BLEND",B151="113 - CAFÉ GOURMET","GOURMET",B151="114 - CAFÉ CONSUMO","CONSUMO",B151="112 - CAFÉ ORGANICO","GOURMET",B151="172 - CAFÉ COSECHA","ESPECIALES",B151="176 - CAFE DESCAFEINADO","GOURMET",B151="147 - CAPSULAS","CAPSULAS",B151="130 - GALLETAS CAFECITAS","DERIVADOS",B151="140 - MERENGUES","DERIVADOS",B151="100 - CAFÉ ESPECIAL","ESPECIALES",B151="141 - AREQUIPE","DERIVADOS",B151="142 - MERMELADA","DERIVADOS",B151="131 - GALLETAS AVENA","DERIVADOS",B151="160 - SOUVENIR","OTROS",B151="148 - CARAMELOS","DERIVADOS",B151="143 - CHOCOFFES","DERIVADOS",B151="162 - CONVENIOS Y DSC POS ","OTROS"),"OTROS")</f>
        <v>DERIVADOS</v>
      </c>
      <c r="L151" s="27">
        <f t="shared" si="28"/>
        <v>296014</v>
      </c>
      <c r="M151" s="27">
        <f t="shared" si="29"/>
        <v>296014</v>
      </c>
    </row>
    <row r="152" spans="1:13" ht="16.5" hidden="1" outlineLevel="1">
      <c r="A152" s="38"/>
      <c r="B152" s="39" t="s">
        <v>25</v>
      </c>
      <c r="C152" s="36">
        <v>2009580</v>
      </c>
      <c r="D152" s="36">
        <v>0</v>
      </c>
      <c r="E152" s="36"/>
      <c r="F152" s="36">
        <v>5087944.59</v>
      </c>
      <c r="G152" s="37">
        <f t="shared" si="40"/>
        <v>0.39496892398350592</v>
      </c>
      <c r="H152" s="23">
        <f t="shared" si="39"/>
        <v>0</v>
      </c>
      <c r="I152" s="24">
        <f t="shared" si="39"/>
        <v>0</v>
      </c>
      <c r="J152" s="32" t="str" cm="1">
        <f t="array" ref="J152">IFERROR(_xlfn.IFS(B152="044 - BLEND TRADICION","BLEND",B152="113 - CAFÉ GOURMET","GOURMET",B152="114 - CAFÉ CONSUMO","CONSUMO",B152="112 - CAFÉ ORGANICO","GOURMET",B152="172 - CAFÉ COSECHA","ESPECIALES",B152="176 - CAFE DESCAFEINADO","GOURMET",B152="147 - CAPSULAS","CAPSULAS",B152="130 - GALLETAS CAFECITAS","DERIVADOS",B152="140 - MERENGUES","DERIVADOS",B152="100 - CAFÉ ESPECIAL","ESPECIALES",B152="141 - AREQUIPE","DERIVADOS",B152="142 - MERMELADA","DERIVADOS",B152="131 - GALLETAS AVENA","DERIVADOS",B152="160 - SOUVENIR","OTROS",B152="148 - CARAMELOS","DERIVADOS",B152="143 - CHOCOFFES","DERIVADOS",B152="162 - CONVENIOS Y DSC POS ","OTROS"),"OTROS")</f>
        <v>DERIVADOS</v>
      </c>
      <c r="L152" s="27">
        <f t="shared" ref="L152:L222" si="41">C152-(D152+E152)</f>
        <v>2009580</v>
      </c>
      <c r="M152" s="27">
        <f t="shared" ref="M152:M222" si="42">L152</f>
        <v>2009580</v>
      </c>
    </row>
    <row r="153" spans="1:13" ht="16.5" hidden="1" outlineLevel="1">
      <c r="A153" s="38"/>
      <c r="B153" s="39" t="s">
        <v>26</v>
      </c>
      <c r="C153" s="36">
        <v>660216</v>
      </c>
      <c r="D153" s="36">
        <v>0</v>
      </c>
      <c r="E153" s="36"/>
      <c r="F153" s="36">
        <v>4929036.9800000004</v>
      </c>
      <c r="G153" s="37">
        <f t="shared" si="40"/>
        <v>0.13394421723328193</v>
      </c>
      <c r="H153" s="23">
        <f t="shared" si="39"/>
        <v>0</v>
      </c>
      <c r="I153" s="24">
        <f t="shared" si="39"/>
        <v>0</v>
      </c>
      <c r="J153" s="32" t="str" cm="1">
        <f t="array" ref="J153">IFERROR(_xlfn.IFS(B153="044 - BLEND TRADICION","BLEND",B153="113 - CAFÉ GOURMET","GOURMET",B153="114 - CAFÉ CONSUMO","CONSUMO",B153="112 - CAFÉ ORGANICO","GOURMET",B153="172 - CAFÉ COSECHA","ESPECIALES",B153="176 - CAFE DESCAFEINADO","GOURMET",B153="147 - CAPSULAS","CAPSULAS",B153="130 - GALLETAS CAFECITAS","DERIVADOS",B153="140 - MERENGUES","DERIVADOS",B153="100 - CAFÉ ESPECIAL","ESPECIALES",B153="141 - AREQUIPE","DERIVADOS",B153="142 - MERMELADA","DERIVADOS",B153="131 - GALLETAS AVENA","DERIVADOS",B153="160 - SOUVENIR","OTROS",B153="148 - CARAMELOS","DERIVADOS",B153="143 - CHOCOFFES","DERIVADOS",B153="162 - CONVENIOS Y DSC POS ","OTROS"),"OTROS")</f>
        <v>CAPSULAS</v>
      </c>
      <c r="L153" s="27">
        <f t="shared" si="41"/>
        <v>660216</v>
      </c>
      <c r="M153" s="27">
        <f t="shared" si="42"/>
        <v>660216</v>
      </c>
    </row>
    <row r="154" spans="1:13" ht="16.5" hidden="1" outlineLevel="1">
      <c r="A154" s="38"/>
      <c r="B154" s="39" t="s">
        <v>27</v>
      </c>
      <c r="C154" s="36">
        <v>625086</v>
      </c>
      <c r="D154" s="36">
        <v>0</v>
      </c>
      <c r="E154" s="36"/>
      <c r="F154" s="36">
        <v>3748792.41</v>
      </c>
      <c r="G154" s="37">
        <f t="shared" si="40"/>
        <v>0.1667432953429395</v>
      </c>
      <c r="H154" s="23">
        <f t="shared" si="39"/>
        <v>0</v>
      </c>
      <c r="I154" s="24">
        <f t="shared" si="39"/>
        <v>0</v>
      </c>
      <c r="J154" s="32" t="str" cm="1">
        <f t="array" ref="J154">IFERROR(_xlfn.IFS(B154="044 - BLEND TRADICION","BLEND",B154="113 - CAFÉ GOURMET","GOURMET",B154="114 - CAFÉ CONSUMO","CONSUMO",B154="112 - CAFÉ ORGANICO","GOURMET",B154="172 - CAFÉ COSECHA","ESPECIALES",B154="176 - CAFE DESCAFEINADO","GOURMET",B154="147 - CAPSULAS","CAPSULAS",B154="130 - GALLETAS CAFECITAS","DERIVADOS",B154="140 - MERENGUES","DERIVADOS",B154="100 - CAFÉ ESPECIAL","ESPECIALES",B154="141 - AREQUIPE","DERIVADOS",B154="142 - MERMELADA","DERIVADOS",B154="131 - GALLETAS AVENA","DERIVADOS",B154="160 - SOUVENIR","OTROS",B154="148 - CARAMELOS","DERIVADOS",B154="143 - CHOCOFFES","DERIVADOS",B154="162 - CONVENIOS Y DSC POS ","OTROS"),"OTROS")</f>
        <v>DERIVADOS</v>
      </c>
      <c r="L154" s="27">
        <f t="shared" si="41"/>
        <v>625086</v>
      </c>
      <c r="M154" s="27">
        <f t="shared" si="42"/>
        <v>625086</v>
      </c>
    </row>
    <row r="155" spans="1:13" ht="16.5" hidden="1" outlineLevel="1">
      <c r="A155" s="38"/>
      <c r="B155" s="39" t="s">
        <v>28</v>
      </c>
      <c r="C155" s="36">
        <v>275620</v>
      </c>
      <c r="D155" s="36">
        <v>0</v>
      </c>
      <c r="E155" s="36">
        <v>0</v>
      </c>
      <c r="F155" s="36">
        <v>3497038.66</v>
      </c>
      <c r="G155" s="37">
        <f t="shared" si="40"/>
        <v>7.8815256792156826E-2</v>
      </c>
      <c r="H155" s="23">
        <f t="shared" si="39"/>
        <v>0</v>
      </c>
      <c r="I155" s="24">
        <f t="shared" si="39"/>
        <v>0</v>
      </c>
      <c r="J155" s="32" t="str" cm="1">
        <f t="array" ref="J155">IFERROR(_xlfn.IFS(B155="044 - BLEND TRADICION","BLEND",B155="113 - CAFÉ GOURMET","GOURMET",B155="114 - CAFÉ CONSUMO","CONSUMO",B155="112 - CAFÉ ORGANICO","GOURMET",B155="172 - CAFÉ COSECHA","ESPECIALES",B155="176 - CAFE DESCAFEINADO","GOURMET",B155="147 - CAPSULAS","CAPSULAS",B155="130 - GALLETAS CAFECITAS","DERIVADOS",B155="140 - MERENGUES","DERIVADOS",B155="100 - CAFÉ ESPECIAL","ESPECIALES",B155="141 - AREQUIPE","DERIVADOS",B155="142 - MERMELADA","DERIVADOS",B155="131 - GALLETAS AVENA","DERIVADOS",B155="160 - SOUVENIR","OTROS",B155="148 - CARAMELOS","DERIVADOS",B155="143 - CHOCOFFES","DERIVADOS",B155="162 - CONVENIOS Y DSC POS ","OTROS"),"OTROS")</f>
        <v>OTROS</v>
      </c>
      <c r="L155" s="27">
        <f t="shared" si="41"/>
        <v>275620</v>
      </c>
      <c r="M155" s="27">
        <f t="shared" si="42"/>
        <v>275620</v>
      </c>
    </row>
    <row r="156" spans="1:13" ht="16.5" hidden="1" outlineLevel="1">
      <c r="A156" s="38"/>
      <c r="B156" s="39" t="s">
        <v>29</v>
      </c>
      <c r="C156" s="36">
        <v>421842</v>
      </c>
      <c r="D156" s="36">
        <v>0</v>
      </c>
      <c r="E156" s="36">
        <v>0</v>
      </c>
      <c r="F156" s="36">
        <v>7182790.8499999996</v>
      </c>
      <c r="G156" s="37">
        <f t="shared" si="40"/>
        <v>5.8729539646835187E-2</v>
      </c>
      <c r="H156" s="23">
        <f t="shared" si="39"/>
        <v>0</v>
      </c>
      <c r="I156" s="24">
        <f t="shared" si="39"/>
        <v>0</v>
      </c>
      <c r="J156" s="32" t="str" cm="1">
        <f t="array" ref="J156">IFERROR(_xlfn.IFS(B156="044 - BLEND TRADICION","BLEND",B156="113 - CAFÉ GOURMET","GOURMET",B156="114 - CAFÉ CONSUMO","CONSUMO",B156="112 - CAFÉ ORGANICO","GOURMET",B156="172 - CAFÉ COSECHA","ESPECIALES",B156="176 - CAFE DESCAFEINADO","GOURMET",B156="147 - CAPSULAS","CAPSULAS",B156="130 - GALLETAS CAFECITAS","DERIVADOS",B156="140 - MERENGUES","DERIVADOS",B156="100 - CAFÉ ESPECIAL","ESPECIALES",B156="141 - AREQUIPE","DERIVADOS",B156="142 - MERMELADA","DERIVADOS",B156="131 - GALLETAS AVENA","DERIVADOS",B156="160 - SOUVENIR","OTROS",B156="148 - CARAMELOS","DERIVADOS",B156="143 - CHOCOFFES","DERIVADOS",B156="162 - CONVENIOS Y DSC POS ","OTROS"),"OTROS")</f>
        <v>ESPECIALES</v>
      </c>
      <c r="L156" s="27">
        <f t="shared" si="41"/>
        <v>421842</v>
      </c>
      <c r="M156" s="27">
        <f t="shared" si="42"/>
        <v>421842</v>
      </c>
    </row>
    <row r="157" spans="1:13" ht="16.5" hidden="1" outlineLevel="1">
      <c r="A157" s="38"/>
      <c r="B157" s="39" t="s">
        <v>30</v>
      </c>
      <c r="C157" s="36">
        <v>189786</v>
      </c>
      <c r="D157" s="36">
        <v>0</v>
      </c>
      <c r="E157" s="36"/>
      <c r="F157" s="36">
        <v>1596976.67</v>
      </c>
      <c r="G157" s="37">
        <f t="shared" si="40"/>
        <v>0.11884080936511114</v>
      </c>
      <c r="H157" s="23">
        <f t="shared" si="39"/>
        <v>0</v>
      </c>
      <c r="I157" s="24">
        <f t="shared" si="39"/>
        <v>0</v>
      </c>
      <c r="J157" s="32" t="str" cm="1">
        <f t="array" ref="J157">IFERROR(_xlfn.IFS(B157="044 - BLEND TRADICION","BLEND",B157="113 - CAFÉ GOURMET","GOURMET",B157="114 - CAFÉ CONSUMO","CONSUMO",B157="112 - CAFÉ ORGANICO","GOURMET",B157="172 - CAFÉ COSECHA","ESPECIALES",B157="176 - CAFE DESCAFEINADO","GOURMET",B157="147 - CAPSULAS","CAPSULAS",B157="130 - GALLETAS CAFECITAS","DERIVADOS",B157="140 - MERENGUES","DERIVADOS",B157="100 - CAFÉ ESPECIAL","ESPECIALES",B157="141 - AREQUIPE","DERIVADOS",B157="142 - MERMELADA","DERIVADOS",B157="131 - GALLETAS AVENA","DERIVADOS",B157="160 - SOUVENIR","OTROS",B157="148 - CARAMELOS","DERIVADOS",B157="143 - CHOCOFFES","DERIVADOS",B157="162 - CONVENIOS Y DSC POS ","OTROS"),"OTROS")</f>
        <v>GOURMET</v>
      </c>
      <c r="L157" s="27">
        <f t="shared" si="41"/>
        <v>189786</v>
      </c>
      <c r="M157" s="27">
        <f t="shared" si="42"/>
        <v>189786</v>
      </c>
    </row>
    <row r="158" spans="1:13" ht="16.5" hidden="1" outlineLevel="1">
      <c r="A158" s="19" t="s">
        <v>52</v>
      </c>
      <c r="B158" s="56" t="s">
        <v>32</v>
      </c>
      <c r="C158" s="54">
        <f>SUM(C143:C157)</f>
        <v>25125588</v>
      </c>
      <c r="D158" s="54">
        <f>SUM(D143:D157)</f>
        <v>0</v>
      </c>
      <c r="E158" s="54">
        <f>SUM(E143:E157)</f>
        <v>0</v>
      </c>
      <c r="F158" s="58">
        <f>SUM(F143:F157)</f>
        <v>187770047.67999998</v>
      </c>
      <c r="G158" s="55">
        <f t="shared" si="40"/>
        <v>0.13381041497533908</v>
      </c>
      <c r="H158" s="23">
        <f t="shared" si="39"/>
        <v>0</v>
      </c>
      <c r="I158" s="24">
        <f t="shared" si="39"/>
        <v>0</v>
      </c>
      <c r="J158" s="32" t="str" cm="1">
        <f t="array" ref="J158">IFERROR(_xlfn.IFS(B158="044 - BLEND TRADICION","BLEND",B158="113 - CAFÉ GOURMET","GOURMET",B158="114 - CAFÉ CONSUMO","CONSUMO",B158="112 - CAFÉ ORGANICO","GOURMET",B158="172 - CAFÉ COSECHA","ESPECIALES",B158="176 - CAFE DESCAFEINADO","GOURMET",B158="147 - CAPSULAS","CAPSULAS",B158="130 - GALLETAS CAFECITAS","DERIVADOS",B158="140 - MERENGUES","DERIVADOS",B158="100 - CAFÉ ESPECIAL","ESPECIALES",B158="141 - AREQUIPE","DERIVADOS",B158="142 - MERMELADA","DERIVADOS",B158="131 - GALLETAS AVENA","DERIVADOS",B158="160 - SOUVENIR","OTROS",B158="148 - CARAMELOS","DERIVADOS",B158="143 - CHOCOFFES","DERIVADOS",B158="162 - CONVENIOS Y DSC POS ","OTROS"),"OTROS")</f>
        <v>OTROS</v>
      </c>
      <c r="L158" s="27">
        <f t="shared" si="41"/>
        <v>25125588</v>
      </c>
      <c r="M158" s="27">
        <f t="shared" si="42"/>
        <v>25125588</v>
      </c>
    </row>
    <row r="159" spans="1:13" ht="16.5" hidden="1" outlineLevel="1">
      <c r="A159" s="33"/>
      <c r="B159" s="39" t="s">
        <v>42</v>
      </c>
      <c r="C159" s="36">
        <v>6900</v>
      </c>
      <c r="D159" s="36">
        <v>0</v>
      </c>
      <c r="E159" s="36">
        <v>0</v>
      </c>
      <c r="F159" s="36">
        <v>0</v>
      </c>
      <c r="G159" s="37" t="str">
        <f t="shared" si="40"/>
        <v>-</v>
      </c>
      <c r="H159" s="23">
        <f t="shared" si="39"/>
        <v>0</v>
      </c>
      <c r="I159" s="24">
        <f t="shared" si="39"/>
        <v>0</v>
      </c>
      <c r="J159" s="32" t="str" cm="1">
        <f t="array" ref="J159">IFERROR(_xlfn.IFS(B159="044 - BLEND TRADICION","BLEND",B159="113 - CAFÉ GOURMET","GOURMET",B159="114 - CAFÉ CONSUMO","CONSUMO",B159="112 - CAFÉ ORGANICO","GOURMET",B159="172 - CAFÉ COSECHA","ESPECIALES",B159="176 - CAFE DESCAFEINADO","GOURMET",B159="147 - CAPSULAS","CAPSULAS",B159="130 - GALLETAS CAFECITAS","DERIVADOS",B159="140 - MERENGUES","DERIVADOS",B159="100 - CAFÉ ESPECIAL","ESPECIALES",B159="141 - AREQUIPE","DERIVADOS",B159="142 - MERMELADA","DERIVADOS",B159="131 - GALLETAS AVENA","DERIVADOS",B159="160 - SOUVENIR","OTROS",B159="148 - CARAMELOS","DERIVADOS",B159="143 - CHOCOFFES","DERIVADOS",B159="162 - CONVENIOS Y DSC POS ","OTROS"),"OTROS")</f>
        <v>OTROS</v>
      </c>
      <c r="L159" s="27">
        <f t="shared" si="41"/>
        <v>6900</v>
      </c>
      <c r="M159" s="27">
        <f t="shared" si="42"/>
        <v>6900</v>
      </c>
    </row>
    <row r="160" spans="1:13" ht="16.5" hidden="1" outlineLevel="1">
      <c r="A160" s="38"/>
      <c r="B160" s="39" t="s">
        <v>18</v>
      </c>
      <c r="C160" s="36">
        <v>1101880</v>
      </c>
      <c r="D160" s="36">
        <v>0</v>
      </c>
      <c r="E160" s="36">
        <v>0</v>
      </c>
      <c r="F160" s="36">
        <v>9645193.6699999999</v>
      </c>
      <c r="G160" s="37">
        <f t="shared" si="40"/>
        <v>0.11424135561188789</v>
      </c>
      <c r="H160" s="23">
        <f t="shared" si="39"/>
        <v>0</v>
      </c>
      <c r="I160" s="24">
        <f t="shared" si="39"/>
        <v>0</v>
      </c>
      <c r="J160" s="32" t="str" cm="1">
        <f t="array" ref="J160">IFERROR(_xlfn.IFS(B160="044 - BLEND TRADICION","BLEND",B160="113 - CAFÉ GOURMET","GOURMET",B160="114 - CAFÉ CONSUMO","CONSUMO",B160="112 - CAFÉ ORGANICO","GOURMET",B160="172 - CAFÉ COSECHA","ESPECIALES",B160="176 - CAFE DESCAFEINADO","GOURMET",B160="147 - CAPSULAS","CAPSULAS",B160="130 - GALLETAS CAFECITAS","DERIVADOS",B160="140 - MERENGUES","DERIVADOS",B160="100 - CAFÉ ESPECIAL","ESPECIALES",B160="141 - AREQUIPE","DERIVADOS",B160="142 - MERMELADA","DERIVADOS",B160="131 - GALLETAS AVENA","DERIVADOS",B160="160 - SOUVENIR","OTROS",B160="148 - CARAMELOS","DERIVADOS",B160="143 - CHOCOFFES","DERIVADOS",B160="162 - CONVENIOS Y DSC POS ","OTROS"),"OTROS")</f>
        <v>BLEND</v>
      </c>
      <c r="L160" s="27">
        <f t="shared" si="41"/>
        <v>1101880</v>
      </c>
      <c r="M160" s="27">
        <f t="shared" si="42"/>
        <v>1101880</v>
      </c>
    </row>
    <row r="161" spans="1:13" ht="16.5" hidden="1" outlineLevel="1">
      <c r="A161" s="38"/>
      <c r="B161" s="39" t="s">
        <v>19</v>
      </c>
      <c r="C161" s="36">
        <v>221328</v>
      </c>
      <c r="D161" s="36">
        <v>0</v>
      </c>
      <c r="E161" s="36"/>
      <c r="F161" s="36">
        <v>2739705.11</v>
      </c>
      <c r="G161" s="37">
        <f t="shared" si="40"/>
        <v>8.0785336783928546E-2</v>
      </c>
      <c r="H161" s="23">
        <f t="shared" si="39"/>
        <v>0</v>
      </c>
      <c r="I161" s="24">
        <f t="shared" si="39"/>
        <v>0</v>
      </c>
      <c r="J161" s="32" t="str" cm="1">
        <f t="array" ref="J161">IFERROR(_xlfn.IFS(B161="044 - BLEND TRADICION","BLEND",B161="113 - CAFÉ GOURMET","GOURMET",B161="114 - CAFÉ CONSUMO","CONSUMO",B161="112 - CAFÉ ORGANICO","GOURMET",B161="172 - CAFÉ COSECHA","ESPECIALES",B161="176 - CAFE DESCAFEINADO","GOURMET",B161="147 - CAPSULAS","CAPSULAS",B161="130 - GALLETAS CAFECITAS","DERIVADOS",B161="140 - MERENGUES","DERIVADOS",B161="100 - CAFÉ ESPECIAL","ESPECIALES",B161="141 - AREQUIPE","DERIVADOS",B161="142 - MERMELADA","DERIVADOS",B161="131 - GALLETAS AVENA","DERIVADOS",B161="160 - SOUVENIR","OTROS",B161="148 - CARAMELOS","DERIVADOS",B161="143 - CHOCOFFES","DERIVADOS",B161="162 - CONVENIOS Y DSC POS ","OTROS"),"OTROS")</f>
        <v>ESPECIALES</v>
      </c>
      <c r="L161" s="27">
        <f t="shared" si="41"/>
        <v>221328</v>
      </c>
      <c r="M161" s="27">
        <f t="shared" si="42"/>
        <v>221328</v>
      </c>
    </row>
    <row r="162" spans="1:13" ht="16.5" hidden="1" outlineLevel="1">
      <c r="A162" s="38"/>
      <c r="B162" s="39" t="s">
        <v>20</v>
      </c>
      <c r="C162" s="36">
        <v>30710</v>
      </c>
      <c r="D162" s="36">
        <v>0</v>
      </c>
      <c r="E162" s="36">
        <v>0</v>
      </c>
      <c r="F162" s="36">
        <v>825254.9</v>
      </c>
      <c r="G162" s="37">
        <f t="shared" si="40"/>
        <v>3.7212744813753904E-2</v>
      </c>
      <c r="H162" s="23">
        <f t="shared" si="39"/>
        <v>0</v>
      </c>
      <c r="I162" s="24">
        <f t="shared" si="39"/>
        <v>0</v>
      </c>
      <c r="J162" s="32" t="str" cm="1">
        <f t="array" ref="J162">IFERROR(_xlfn.IFS(B162="044 - BLEND TRADICION","BLEND",B162="113 - CAFÉ GOURMET","GOURMET",B162="114 - CAFÉ CONSUMO","CONSUMO",B162="112 - CAFÉ ORGANICO","GOURMET",B162="172 - CAFÉ COSECHA","ESPECIALES",B162="176 - CAFE DESCAFEINADO","GOURMET",B162="147 - CAPSULAS","CAPSULAS",B162="130 - GALLETAS CAFECITAS","DERIVADOS",B162="140 - MERENGUES","DERIVADOS",B162="100 - CAFÉ ESPECIAL","ESPECIALES",B162="141 - AREQUIPE","DERIVADOS",B162="142 - MERMELADA","DERIVADOS",B162="131 - GALLETAS AVENA","DERIVADOS",B162="160 - SOUVENIR","OTROS",B162="148 - CARAMELOS","DERIVADOS",B162="143 - CHOCOFFES","DERIVADOS",B162="162 - CONVENIOS Y DSC POS ","OTROS"),"OTROS")</f>
        <v>GOURMET</v>
      </c>
      <c r="L162" s="27">
        <f t="shared" si="41"/>
        <v>30710</v>
      </c>
      <c r="M162" s="27">
        <f t="shared" si="42"/>
        <v>30710</v>
      </c>
    </row>
    <row r="163" spans="1:13" ht="16.5" hidden="1" outlineLevel="1">
      <c r="A163" s="38"/>
      <c r="B163" s="39" t="s">
        <v>21</v>
      </c>
      <c r="C163" s="36">
        <v>8207465</v>
      </c>
      <c r="D163" s="36">
        <v>0</v>
      </c>
      <c r="E163" s="36">
        <v>0</v>
      </c>
      <c r="F163" s="36">
        <v>43096072.049999997</v>
      </c>
      <c r="G163" s="37">
        <f t="shared" si="40"/>
        <v>0.19044577868901164</v>
      </c>
      <c r="H163" s="23">
        <f t="shared" si="39"/>
        <v>0</v>
      </c>
      <c r="I163" s="24">
        <f t="shared" si="39"/>
        <v>0</v>
      </c>
      <c r="J163" s="32" t="str" cm="1">
        <f t="array" ref="J163">IFERROR(_xlfn.IFS(B163="044 - BLEND TRADICION","BLEND",B163="113 - CAFÉ GOURMET","GOURMET",B163="114 - CAFÉ CONSUMO","CONSUMO",B163="112 - CAFÉ ORGANICO","GOURMET",B163="172 - CAFÉ COSECHA","ESPECIALES",B163="176 - CAFE DESCAFEINADO","GOURMET",B163="147 - CAPSULAS","CAPSULAS",B163="130 - GALLETAS CAFECITAS","DERIVADOS",B163="140 - MERENGUES","DERIVADOS",B163="100 - CAFÉ ESPECIAL","ESPECIALES",B163="141 - AREQUIPE","DERIVADOS",B163="142 - MERMELADA","DERIVADOS",B163="131 - GALLETAS AVENA","DERIVADOS",B163="160 - SOUVENIR","OTROS",B163="148 - CARAMELOS","DERIVADOS",B163="143 - CHOCOFFES","DERIVADOS",B163="162 - CONVENIOS Y DSC POS ","OTROS"),"OTROS")</f>
        <v>GOURMET</v>
      </c>
      <c r="L163" s="27">
        <f t="shared" si="41"/>
        <v>8207465</v>
      </c>
      <c r="M163" s="27">
        <f t="shared" si="42"/>
        <v>8207465</v>
      </c>
    </row>
    <row r="164" spans="1:13" ht="16.5" hidden="1" outlineLevel="1">
      <c r="A164" s="38"/>
      <c r="B164" s="39" t="s">
        <v>38</v>
      </c>
      <c r="C164" s="36">
        <v>1302225</v>
      </c>
      <c r="D164" s="36">
        <v>0</v>
      </c>
      <c r="E164" s="36">
        <v>0</v>
      </c>
      <c r="F164" s="36">
        <v>16145456.630000001</v>
      </c>
      <c r="G164" s="37">
        <f t="shared" si="40"/>
        <v>8.0655817289201057E-2</v>
      </c>
      <c r="H164" s="23">
        <f t="shared" si="39"/>
        <v>0</v>
      </c>
      <c r="I164" s="24">
        <f t="shared" si="39"/>
        <v>0</v>
      </c>
      <c r="J164" s="32" t="str" cm="1">
        <f t="array" ref="J164">IFERROR(_xlfn.IFS(B164="044 - BLEND TRADICION","BLEND",B164="113 - CAFÉ GOURMET","GOURMET",B164="114 - CAFÉ CONSUMO","CONSUMO",B164="112 - CAFÉ ORGANICO","GOURMET",B164="172 - CAFÉ COSECHA","ESPECIALES",B164="176 - CAFE DESCAFEINADO","GOURMET",B164="147 - CAPSULAS","CAPSULAS",B164="130 - GALLETAS CAFECITAS","DERIVADOS",B164="140 - MERENGUES","DERIVADOS",B164="100 - CAFÉ ESPECIAL","ESPECIALES",B164="141 - AREQUIPE","DERIVADOS",B164="142 - MERMELADA","DERIVADOS",B164="131 - GALLETAS AVENA","DERIVADOS",B164="160 - SOUVENIR","OTROS",B164="148 - CARAMELOS","DERIVADOS",B164="143 - CHOCOFFES","DERIVADOS",B164="162 - CONVENIOS Y DSC POS ","OTROS"),"OTROS")</f>
        <v>CONSUMO</v>
      </c>
      <c r="L164" s="27">
        <f t="shared" si="41"/>
        <v>1302225</v>
      </c>
      <c r="M164" s="27">
        <f t="shared" si="42"/>
        <v>1302225</v>
      </c>
    </row>
    <row r="165" spans="1:13" ht="16.5" hidden="1" outlineLevel="1">
      <c r="A165" s="38"/>
      <c r="B165" s="39" t="s">
        <v>22</v>
      </c>
      <c r="C165" s="36">
        <v>3802760</v>
      </c>
      <c r="D165" s="36">
        <v>0</v>
      </c>
      <c r="E165" s="36"/>
      <c r="F165" s="36">
        <v>33513805.359999999</v>
      </c>
      <c r="G165" s="37">
        <f t="shared" si="40"/>
        <v>0.1134684634929204</v>
      </c>
      <c r="H165" s="23">
        <f t="shared" si="39"/>
        <v>0</v>
      </c>
      <c r="I165" s="24">
        <f t="shared" si="39"/>
        <v>0</v>
      </c>
      <c r="J165" s="32" t="str" cm="1">
        <f t="array" ref="J165">IFERROR(_xlfn.IFS(B165="044 - BLEND TRADICION","BLEND",B165="113 - CAFÉ GOURMET","GOURMET",B165="114 - CAFÉ CONSUMO","CONSUMO",B165="112 - CAFÉ ORGANICO","GOURMET",B165="172 - CAFÉ COSECHA","ESPECIALES",B165="176 - CAFE DESCAFEINADO","GOURMET",B165="147 - CAPSULAS","CAPSULAS",B165="130 - GALLETAS CAFECITAS","DERIVADOS",B165="140 - MERENGUES","DERIVADOS",B165="100 - CAFÉ ESPECIAL","ESPECIALES",B165="141 - AREQUIPE","DERIVADOS",B165="142 - MERMELADA","DERIVADOS",B165="131 - GALLETAS AVENA","DERIVADOS",B165="160 - SOUVENIR","OTROS",B165="148 - CARAMELOS","DERIVADOS",B165="143 - CHOCOFFES","DERIVADOS",B165="162 - CONVENIOS Y DSC POS ","OTROS"),"OTROS")</f>
        <v>DERIVADOS</v>
      </c>
      <c r="L165" s="27">
        <f t="shared" si="41"/>
        <v>3802760</v>
      </c>
      <c r="M165" s="27">
        <f t="shared" si="42"/>
        <v>3802760</v>
      </c>
    </row>
    <row r="166" spans="1:13" ht="16.5" hidden="1" outlineLevel="1">
      <c r="A166" s="38"/>
      <c r="B166" s="39" t="s">
        <v>23</v>
      </c>
      <c r="C166" s="36">
        <v>0</v>
      </c>
      <c r="D166" s="36">
        <v>0</v>
      </c>
      <c r="E166" s="36"/>
      <c r="F166" s="36">
        <v>174887.86</v>
      </c>
      <c r="G166" s="37">
        <f t="shared" si="40"/>
        <v>0</v>
      </c>
      <c r="H166" s="23">
        <f t="shared" si="39"/>
        <v>0</v>
      </c>
      <c r="I166" s="24">
        <f t="shared" si="39"/>
        <v>0</v>
      </c>
      <c r="J166" s="32" t="str" cm="1">
        <f t="array" ref="J166">IFERROR(_xlfn.IFS(B166="044 - BLEND TRADICION","BLEND",B166="113 - CAFÉ GOURMET","GOURMET",B166="114 - CAFÉ CONSUMO","CONSUMO",B166="112 - CAFÉ ORGANICO","GOURMET",B166="172 - CAFÉ COSECHA","ESPECIALES",B166="176 - CAFE DESCAFEINADO","GOURMET",B166="147 - CAPSULAS","CAPSULAS",B166="130 - GALLETAS CAFECITAS","DERIVADOS",B166="140 - MERENGUES","DERIVADOS",B166="100 - CAFÉ ESPECIAL","ESPECIALES",B166="141 - AREQUIPE","DERIVADOS",B166="142 - MERMELADA","DERIVADOS",B166="131 - GALLETAS AVENA","DERIVADOS",B166="160 - SOUVENIR","OTROS",B166="148 - CARAMELOS","DERIVADOS",B166="143 - CHOCOFFES","DERIVADOS",B166="162 - CONVENIOS Y DSC POS ","OTROS"),"OTROS")</f>
        <v>DERIVADOS</v>
      </c>
      <c r="L166" s="27">
        <f t="shared" si="41"/>
        <v>0</v>
      </c>
      <c r="M166" s="27">
        <f t="shared" si="42"/>
        <v>0</v>
      </c>
    </row>
    <row r="167" spans="1:13" ht="16.5" hidden="1" outlineLevel="1">
      <c r="A167" s="38"/>
      <c r="B167" s="39" t="s">
        <v>24</v>
      </c>
      <c r="C167" s="36">
        <v>180871</v>
      </c>
      <c r="D167" s="36">
        <v>0</v>
      </c>
      <c r="E167" s="36">
        <v>0</v>
      </c>
      <c r="F167" s="36">
        <v>2405932.35</v>
      </c>
      <c r="G167" s="37">
        <f t="shared" si="40"/>
        <v>7.5177092988504016E-2</v>
      </c>
      <c r="H167" s="23">
        <f t="shared" si="39"/>
        <v>0</v>
      </c>
      <c r="I167" s="24">
        <f t="shared" si="39"/>
        <v>0</v>
      </c>
      <c r="J167" s="32" t="str" cm="1">
        <f t="array" ref="J167">IFERROR(_xlfn.IFS(B167="044 - BLEND TRADICION","BLEND",B167="113 - CAFÉ GOURMET","GOURMET",B167="114 - CAFÉ CONSUMO","CONSUMO",B167="112 - CAFÉ ORGANICO","GOURMET",B167="172 - CAFÉ COSECHA","ESPECIALES",B167="176 - CAFE DESCAFEINADO","GOURMET",B167="147 - CAPSULAS","CAPSULAS",B167="130 - GALLETAS CAFECITAS","DERIVADOS",B167="140 - MERENGUES","DERIVADOS",B167="100 - CAFÉ ESPECIAL","ESPECIALES",B167="141 - AREQUIPE","DERIVADOS",B167="142 - MERMELADA","DERIVADOS",B167="131 - GALLETAS AVENA","DERIVADOS",B167="160 - SOUVENIR","OTROS",B167="148 - CARAMELOS","DERIVADOS",B167="143 - CHOCOFFES","DERIVADOS",B167="162 - CONVENIOS Y DSC POS ","OTROS"),"OTROS")</f>
        <v>DERIVADOS</v>
      </c>
      <c r="L167" s="27">
        <f t="shared" si="41"/>
        <v>180871</v>
      </c>
      <c r="M167" s="27">
        <f t="shared" si="42"/>
        <v>180871</v>
      </c>
    </row>
    <row r="168" spans="1:13" ht="16.5" hidden="1" outlineLevel="1">
      <c r="A168" s="38"/>
      <c r="B168" s="39" t="s">
        <v>25</v>
      </c>
      <c r="C168" s="36">
        <v>1820430</v>
      </c>
      <c r="D168" s="36">
        <v>0</v>
      </c>
      <c r="E168" s="36"/>
      <c r="F168" s="36">
        <v>9395897.5299999993</v>
      </c>
      <c r="G168" s="37">
        <f t="shared" si="40"/>
        <v>0.19374732367903974</v>
      </c>
      <c r="H168" s="23">
        <f t="shared" si="39"/>
        <v>0</v>
      </c>
      <c r="I168" s="24">
        <f t="shared" si="39"/>
        <v>0</v>
      </c>
      <c r="J168" s="32" t="str" cm="1">
        <f t="array" ref="J168">IFERROR(_xlfn.IFS(B168="044 - BLEND TRADICION","BLEND",B168="113 - CAFÉ GOURMET","GOURMET",B168="114 - CAFÉ CONSUMO","CONSUMO",B168="112 - CAFÉ ORGANICO","GOURMET",B168="172 - CAFÉ COSECHA","ESPECIALES",B168="176 - CAFE DESCAFEINADO","GOURMET",B168="147 - CAPSULAS","CAPSULAS",B168="130 - GALLETAS CAFECITAS","DERIVADOS",B168="140 - MERENGUES","DERIVADOS",B168="100 - CAFÉ ESPECIAL","ESPECIALES",B168="141 - AREQUIPE","DERIVADOS",B168="142 - MERMELADA","DERIVADOS",B168="131 - GALLETAS AVENA","DERIVADOS",B168="160 - SOUVENIR","OTROS",B168="148 - CARAMELOS","DERIVADOS",B168="143 - CHOCOFFES","DERIVADOS",B168="162 - CONVENIOS Y DSC POS ","OTROS"),"OTROS")</f>
        <v>DERIVADOS</v>
      </c>
      <c r="L168" s="27">
        <f t="shared" si="41"/>
        <v>1820430</v>
      </c>
      <c r="M168" s="27">
        <f t="shared" si="42"/>
        <v>1820430</v>
      </c>
    </row>
    <row r="169" spans="1:13" ht="16.5" hidden="1" outlineLevel="1">
      <c r="A169" s="38"/>
      <c r="B169" s="39" t="s">
        <v>26</v>
      </c>
      <c r="C169" s="36">
        <v>227476</v>
      </c>
      <c r="D169" s="36">
        <v>0</v>
      </c>
      <c r="E169" s="36"/>
      <c r="F169" s="36">
        <v>297105.94</v>
      </c>
      <c r="G169" s="37">
        <f t="shared" si="40"/>
        <v>0.76563935409706041</v>
      </c>
      <c r="H169" s="23">
        <f t="shared" si="39"/>
        <v>0</v>
      </c>
      <c r="I169" s="24">
        <f t="shared" si="39"/>
        <v>0</v>
      </c>
      <c r="J169" s="32" t="str" cm="1">
        <f t="array" ref="J169">IFERROR(_xlfn.IFS(B169="044 - BLEND TRADICION","BLEND",B169="113 - CAFÉ GOURMET","GOURMET",B169="114 - CAFÉ CONSUMO","CONSUMO",B169="112 - CAFÉ ORGANICO","GOURMET",B169="172 - CAFÉ COSECHA","ESPECIALES",B169="176 - CAFE DESCAFEINADO","GOURMET",B169="147 - CAPSULAS","CAPSULAS",B169="130 - GALLETAS CAFECITAS","DERIVADOS",B169="140 - MERENGUES","DERIVADOS",B169="100 - CAFÉ ESPECIAL","ESPECIALES",B169="141 - AREQUIPE","DERIVADOS",B169="142 - MERMELADA","DERIVADOS",B169="131 - GALLETAS AVENA","DERIVADOS",B169="160 - SOUVENIR","OTROS",B169="148 - CARAMELOS","DERIVADOS",B169="143 - CHOCOFFES","DERIVADOS",B169="162 - CONVENIOS Y DSC POS ","OTROS"),"OTROS")</f>
        <v>CAPSULAS</v>
      </c>
      <c r="L169" s="27">
        <f t="shared" si="41"/>
        <v>227476</v>
      </c>
      <c r="M169" s="27">
        <f t="shared" si="42"/>
        <v>227476</v>
      </c>
    </row>
    <row r="170" spans="1:13" ht="16.5" hidden="1" outlineLevel="1">
      <c r="A170" s="38"/>
      <c r="B170" s="39" t="s">
        <v>27</v>
      </c>
      <c r="C170" s="36">
        <v>2157692</v>
      </c>
      <c r="D170" s="36">
        <v>0</v>
      </c>
      <c r="E170" s="36">
        <v>0</v>
      </c>
      <c r="F170" s="36">
        <v>18205206.140000001</v>
      </c>
      <c r="G170" s="37">
        <f t="shared" si="40"/>
        <v>0.11852060248080222</v>
      </c>
      <c r="H170" s="23">
        <f t="shared" si="39"/>
        <v>0</v>
      </c>
      <c r="I170" s="24">
        <f t="shared" si="39"/>
        <v>0</v>
      </c>
      <c r="J170" s="32" t="str" cm="1">
        <f t="array" ref="J170">IFERROR(_xlfn.IFS(B170="044 - BLEND TRADICION","BLEND",B170="113 - CAFÉ GOURMET","GOURMET",B170="114 - CAFÉ CONSUMO","CONSUMO",B170="112 - CAFÉ ORGANICO","GOURMET",B170="172 - CAFÉ COSECHA","ESPECIALES",B170="176 - CAFE DESCAFEINADO","GOURMET",B170="147 - CAPSULAS","CAPSULAS",B170="130 - GALLETAS CAFECITAS","DERIVADOS",B170="140 - MERENGUES","DERIVADOS",B170="100 - CAFÉ ESPECIAL","ESPECIALES",B170="141 - AREQUIPE","DERIVADOS",B170="142 - MERMELADA","DERIVADOS",B170="131 - GALLETAS AVENA","DERIVADOS",B170="160 - SOUVENIR","OTROS",B170="148 - CARAMELOS","DERIVADOS",B170="143 - CHOCOFFES","DERIVADOS",B170="162 - CONVENIOS Y DSC POS ","OTROS"),"OTROS")</f>
        <v>DERIVADOS</v>
      </c>
      <c r="L170" s="27">
        <f t="shared" si="41"/>
        <v>2157692</v>
      </c>
      <c r="M170" s="27">
        <f t="shared" si="42"/>
        <v>2157692</v>
      </c>
    </row>
    <row r="171" spans="1:13" ht="16.5" hidden="1" outlineLevel="1">
      <c r="A171" s="38"/>
      <c r="B171" s="39" t="s">
        <v>28</v>
      </c>
      <c r="C171" s="36">
        <v>600852</v>
      </c>
      <c r="D171" s="36">
        <v>0</v>
      </c>
      <c r="E171" s="36"/>
      <c r="F171" s="36">
        <v>6286220.4699999997</v>
      </c>
      <c r="G171" s="37">
        <f t="shared" si="40"/>
        <v>9.558239372409412E-2</v>
      </c>
      <c r="H171" s="23">
        <f t="shared" si="39"/>
        <v>0</v>
      </c>
      <c r="I171" s="24">
        <f t="shared" si="39"/>
        <v>0</v>
      </c>
      <c r="J171" s="32" t="str" cm="1">
        <f t="array" ref="J171">IFERROR(_xlfn.IFS(B171="044 - BLEND TRADICION","BLEND",B171="113 - CAFÉ GOURMET","GOURMET",B171="114 - CAFÉ CONSUMO","CONSUMO",B171="112 - CAFÉ ORGANICO","GOURMET",B171="172 - CAFÉ COSECHA","ESPECIALES",B171="176 - CAFE DESCAFEINADO","GOURMET",B171="147 - CAPSULAS","CAPSULAS",B171="130 - GALLETAS CAFECITAS","DERIVADOS",B171="140 - MERENGUES","DERIVADOS",B171="100 - CAFÉ ESPECIAL","ESPECIALES",B171="141 - AREQUIPE","DERIVADOS",B171="142 - MERMELADA","DERIVADOS",B171="131 - GALLETAS AVENA","DERIVADOS",B171="160 - SOUVENIR","OTROS",B171="148 - CARAMELOS","DERIVADOS",B171="143 - CHOCOFFES","DERIVADOS",B171="162 - CONVENIOS Y DSC POS ","OTROS"),"OTROS")</f>
        <v>OTROS</v>
      </c>
      <c r="L171" s="27">
        <f t="shared" si="41"/>
        <v>600852</v>
      </c>
      <c r="M171" s="27">
        <f t="shared" si="42"/>
        <v>600852</v>
      </c>
    </row>
    <row r="172" spans="1:13" ht="16.5" hidden="1" outlineLevel="1">
      <c r="A172" s="38"/>
      <c r="B172" s="39" t="s">
        <v>29</v>
      </c>
      <c r="C172" s="36">
        <v>260892</v>
      </c>
      <c r="D172" s="36">
        <v>0</v>
      </c>
      <c r="E172" s="36"/>
      <c r="F172" s="36">
        <v>2023867.68</v>
      </c>
      <c r="G172" s="37">
        <f t="shared" si="40"/>
        <v>0.12890763688661702</v>
      </c>
      <c r="H172" s="23">
        <f t="shared" ref="H172:I187" si="43">IFERROR(+D172/L172*100%,0)</f>
        <v>0</v>
      </c>
      <c r="I172" s="24">
        <f t="shared" si="43"/>
        <v>0</v>
      </c>
      <c r="J172" s="32" t="str" cm="1">
        <f t="array" ref="J172">IFERROR(_xlfn.IFS(B172="044 - BLEND TRADICION","BLEND",B172="113 - CAFÉ GOURMET","GOURMET",B172="114 - CAFÉ CONSUMO","CONSUMO",B172="112 - CAFÉ ORGANICO","GOURMET",B172="172 - CAFÉ COSECHA","ESPECIALES",B172="176 - CAFE DESCAFEINADO","GOURMET",B172="147 - CAPSULAS","CAPSULAS",B172="130 - GALLETAS CAFECITAS","DERIVADOS",B172="140 - MERENGUES","DERIVADOS",B172="100 - CAFÉ ESPECIAL","ESPECIALES",B172="141 - AREQUIPE","DERIVADOS",B172="142 - MERMELADA","DERIVADOS",B172="131 - GALLETAS AVENA","DERIVADOS",B172="160 - SOUVENIR","OTROS",B172="148 - CARAMELOS","DERIVADOS",B172="143 - CHOCOFFES","DERIVADOS",B172="162 - CONVENIOS Y DSC POS ","OTROS"),"OTROS")</f>
        <v>ESPECIALES</v>
      </c>
      <c r="L172" s="27">
        <f t="shared" si="41"/>
        <v>260892</v>
      </c>
      <c r="M172" s="27">
        <f t="shared" si="42"/>
        <v>260892</v>
      </c>
    </row>
    <row r="173" spans="1:13" ht="16.5" hidden="1" outlineLevel="1">
      <c r="A173" s="38"/>
      <c r="B173" s="39" t="s">
        <v>30</v>
      </c>
      <c r="C173" s="36">
        <v>0</v>
      </c>
      <c r="D173" s="36">
        <v>0</v>
      </c>
      <c r="E173" s="36"/>
      <c r="F173" s="36">
        <v>160123.85</v>
      </c>
      <c r="G173" s="37">
        <f t="shared" si="40"/>
        <v>0</v>
      </c>
      <c r="H173" s="23">
        <f t="shared" si="43"/>
        <v>0</v>
      </c>
      <c r="I173" s="24">
        <f t="shared" si="43"/>
        <v>0</v>
      </c>
      <c r="J173" s="32" t="str" cm="1">
        <f t="array" ref="J173">IFERROR(_xlfn.IFS(B173="044 - BLEND TRADICION","BLEND",B173="113 - CAFÉ GOURMET","GOURMET",B173="114 - CAFÉ CONSUMO","CONSUMO",B173="112 - CAFÉ ORGANICO","GOURMET",B173="172 - CAFÉ COSECHA","ESPECIALES",B173="176 - CAFE DESCAFEINADO","GOURMET",B173="147 - CAPSULAS","CAPSULAS",B173="130 - GALLETAS CAFECITAS","DERIVADOS",B173="140 - MERENGUES","DERIVADOS",B173="100 - CAFÉ ESPECIAL","ESPECIALES",B173="141 - AREQUIPE","DERIVADOS",B173="142 - MERMELADA","DERIVADOS",B173="131 - GALLETAS AVENA","DERIVADOS",B173="160 - SOUVENIR","OTROS",B173="148 - CARAMELOS","DERIVADOS",B173="143 - CHOCOFFES","DERIVADOS",B173="162 - CONVENIOS Y DSC POS ","OTROS"),"OTROS")</f>
        <v>GOURMET</v>
      </c>
      <c r="L173" s="27">
        <f t="shared" si="41"/>
        <v>0</v>
      </c>
      <c r="M173" s="27">
        <f t="shared" si="42"/>
        <v>0</v>
      </c>
    </row>
    <row r="174" spans="1:13" ht="16.5" hidden="1" outlineLevel="1">
      <c r="A174" s="19" t="s">
        <v>53</v>
      </c>
      <c r="B174" s="56" t="s">
        <v>32</v>
      </c>
      <c r="C174" s="54">
        <f>SUM(C159:C173)</f>
        <v>19921481</v>
      </c>
      <c r="D174" s="54">
        <f>SUM(D159:D173)</f>
        <v>0</v>
      </c>
      <c r="E174" s="54">
        <f>SUM(E159:E173)</f>
        <v>0</v>
      </c>
      <c r="F174" s="54">
        <f>SUM(F159:F173)</f>
        <v>144914729.53999999</v>
      </c>
      <c r="G174" s="55">
        <f t="shared" si="40"/>
        <v>0.13747036663033751</v>
      </c>
      <c r="H174" s="23">
        <f t="shared" si="43"/>
        <v>0</v>
      </c>
      <c r="I174" s="24">
        <f t="shared" si="43"/>
        <v>0</v>
      </c>
      <c r="J174" s="32" t="str" cm="1">
        <f t="array" ref="J174">IFERROR(_xlfn.IFS(B174="044 - BLEND TRADICION","BLEND",B174="113 - CAFÉ GOURMET","GOURMET",B174="114 - CAFÉ CONSUMO","CONSUMO",B174="112 - CAFÉ ORGANICO","GOURMET",B174="172 - CAFÉ COSECHA","ESPECIALES",B174="176 - CAFE DESCAFEINADO","GOURMET",B174="147 - CAPSULAS","CAPSULAS",B174="130 - GALLETAS CAFECITAS","DERIVADOS",B174="140 - MERENGUES","DERIVADOS",B174="100 - CAFÉ ESPECIAL","ESPECIALES",B174="141 - AREQUIPE","DERIVADOS",B174="142 - MERMELADA","DERIVADOS",B174="131 - GALLETAS AVENA","DERIVADOS",B174="160 - SOUVENIR","OTROS",B174="148 - CARAMELOS","DERIVADOS",B174="143 - CHOCOFFES","DERIVADOS",B174="162 - CONVENIOS Y DSC POS ","OTROS"),"OTROS")</f>
        <v>OTROS</v>
      </c>
      <c r="L174" s="27">
        <f t="shared" si="41"/>
        <v>19921481</v>
      </c>
      <c r="M174" s="27">
        <f t="shared" si="42"/>
        <v>19921481</v>
      </c>
    </row>
    <row r="175" spans="1:13" ht="16.5" hidden="1" outlineLevel="1">
      <c r="A175" s="33"/>
      <c r="B175" s="39" t="s">
        <v>42</v>
      </c>
      <c r="C175" s="36">
        <v>40584</v>
      </c>
      <c r="D175" s="36">
        <v>0</v>
      </c>
      <c r="E175" s="36">
        <v>0</v>
      </c>
      <c r="F175" s="36">
        <v>0</v>
      </c>
      <c r="G175" s="37" t="str">
        <f t="shared" si="40"/>
        <v>-</v>
      </c>
      <c r="H175" s="23">
        <f t="shared" si="43"/>
        <v>0</v>
      </c>
      <c r="I175" s="24">
        <f t="shared" si="43"/>
        <v>0</v>
      </c>
      <c r="J175" s="32" t="str" cm="1">
        <f t="array" ref="J175">IFERROR(_xlfn.IFS(B175="044 - BLEND TRADICION","BLEND",B175="113 - CAFÉ GOURMET","GOURMET",B175="114 - CAFÉ CONSUMO","CONSUMO",B175="112 - CAFÉ ORGANICO","GOURMET",B175="172 - CAFÉ COSECHA","ESPECIALES",B175="176 - CAFE DESCAFEINADO","GOURMET",B175="147 - CAPSULAS","CAPSULAS",B175="130 - GALLETAS CAFECITAS","DERIVADOS",B175="140 - MERENGUES","DERIVADOS",B175="100 - CAFÉ ESPECIAL","ESPECIALES",B175="141 - AREQUIPE","DERIVADOS",B175="142 - MERMELADA","DERIVADOS",B175="131 - GALLETAS AVENA","DERIVADOS",B175="160 - SOUVENIR","OTROS",B175="148 - CARAMELOS","DERIVADOS",B175="143 - CHOCOFFES","DERIVADOS",B175="162 - CONVENIOS Y DSC POS ","OTROS"),"OTROS")</f>
        <v>OTROS</v>
      </c>
      <c r="L175" s="27">
        <f t="shared" si="41"/>
        <v>40584</v>
      </c>
      <c r="M175" s="27">
        <f t="shared" si="42"/>
        <v>40584</v>
      </c>
    </row>
    <row r="176" spans="1:13" ht="16.5" hidden="1" outlineLevel="1">
      <c r="A176" s="33"/>
      <c r="B176" s="39" t="s">
        <v>18</v>
      </c>
      <c r="C176" s="36">
        <v>2017288</v>
      </c>
      <c r="D176" s="36">
        <v>0</v>
      </c>
      <c r="E176" s="36"/>
      <c r="F176" s="36">
        <v>10236889.550000001</v>
      </c>
      <c r="G176" s="37">
        <f t="shared" si="40"/>
        <v>0.19706063938142224</v>
      </c>
      <c r="H176" s="23">
        <f t="shared" si="43"/>
        <v>0</v>
      </c>
      <c r="I176" s="24">
        <f t="shared" si="43"/>
        <v>0</v>
      </c>
      <c r="J176" s="32" t="str" cm="1">
        <f t="array" ref="J176">IFERROR(_xlfn.IFS(B176="044 - BLEND TRADICION","BLEND",B176="113 - CAFÉ GOURMET","GOURMET",B176="114 - CAFÉ CONSUMO","CONSUMO",B176="112 - CAFÉ ORGANICO","GOURMET",B176="172 - CAFÉ COSECHA","ESPECIALES",B176="176 - CAFE DESCAFEINADO","GOURMET",B176="147 - CAPSULAS","CAPSULAS",B176="130 - GALLETAS CAFECITAS","DERIVADOS",B176="140 - MERENGUES","DERIVADOS",B176="100 - CAFÉ ESPECIAL","ESPECIALES",B176="141 - AREQUIPE","DERIVADOS",B176="142 - MERMELADA","DERIVADOS",B176="131 - GALLETAS AVENA","DERIVADOS",B176="160 - SOUVENIR","OTROS",B176="148 - CARAMELOS","DERIVADOS",B176="143 - CHOCOFFES","DERIVADOS",B176="162 - CONVENIOS Y DSC POS ","OTROS"),"OTROS")</f>
        <v>BLEND</v>
      </c>
      <c r="L176" s="27">
        <f t="shared" si="41"/>
        <v>2017288</v>
      </c>
      <c r="M176" s="27">
        <f t="shared" si="42"/>
        <v>2017288</v>
      </c>
    </row>
    <row r="177" spans="1:13" ht="16.5" hidden="1" outlineLevel="1">
      <c r="A177" s="38"/>
      <c r="B177" s="39" t="s">
        <v>19</v>
      </c>
      <c r="C177" s="36">
        <v>2185468</v>
      </c>
      <c r="D177" s="36">
        <v>0</v>
      </c>
      <c r="E177" s="36">
        <v>0</v>
      </c>
      <c r="F177" s="36">
        <v>6016526.7400000002</v>
      </c>
      <c r="G177" s="37">
        <f t="shared" si="40"/>
        <v>0.36324412646090887</v>
      </c>
      <c r="H177" s="23">
        <f t="shared" si="43"/>
        <v>0</v>
      </c>
      <c r="I177" s="24">
        <f t="shared" si="43"/>
        <v>0</v>
      </c>
      <c r="J177" s="32" t="str" cm="1">
        <f t="array" ref="J177">IFERROR(_xlfn.IFS(B177="044 - BLEND TRADICION","BLEND",B177="113 - CAFÉ GOURMET","GOURMET",B177="114 - CAFÉ CONSUMO","CONSUMO",B177="112 - CAFÉ ORGANICO","GOURMET",B177="172 - CAFÉ COSECHA","ESPECIALES",B177="176 - CAFE DESCAFEINADO","GOURMET",B177="147 - CAPSULAS","CAPSULAS",B177="130 - GALLETAS CAFECITAS","DERIVADOS",B177="140 - MERENGUES","DERIVADOS",B177="100 - CAFÉ ESPECIAL","ESPECIALES",B177="141 - AREQUIPE","DERIVADOS",B177="142 - MERMELADA","DERIVADOS",B177="131 - GALLETAS AVENA","DERIVADOS",B177="160 - SOUVENIR","OTROS",B177="148 - CARAMELOS","DERIVADOS",B177="143 - CHOCOFFES","DERIVADOS",B177="162 - CONVENIOS Y DSC POS ","OTROS"),"OTROS")</f>
        <v>ESPECIALES</v>
      </c>
      <c r="L177" s="27">
        <f t="shared" si="41"/>
        <v>2185468</v>
      </c>
      <c r="M177" s="27">
        <f t="shared" si="42"/>
        <v>2185468</v>
      </c>
    </row>
    <row r="178" spans="1:13" ht="16.5" hidden="1" outlineLevel="1">
      <c r="A178" s="38"/>
      <c r="B178" s="39" t="s">
        <v>20</v>
      </c>
      <c r="C178" s="36">
        <v>537434</v>
      </c>
      <c r="D178" s="36">
        <v>0</v>
      </c>
      <c r="E178" s="36">
        <v>0</v>
      </c>
      <c r="F178" s="36">
        <v>1636189.73</v>
      </c>
      <c r="G178" s="37">
        <f t="shared" si="40"/>
        <v>0.32846679706270981</v>
      </c>
      <c r="H178" s="23">
        <f t="shared" si="43"/>
        <v>0</v>
      </c>
      <c r="I178" s="24">
        <f t="shared" si="43"/>
        <v>0</v>
      </c>
      <c r="J178" s="32" t="str" cm="1">
        <f t="array" ref="J178">IFERROR(_xlfn.IFS(B178="044 - BLEND TRADICION","BLEND",B178="113 - CAFÉ GOURMET","GOURMET",B178="114 - CAFÉ CONSUMO","CONSUMO",B178="112 - CAFÉ ORGANICO","GOURMET",B178="172 - CAFÉ COSECHA","ESPECIALES",B178="176 - CAFE DESCAFEINADO","GOURMET",B178="147 - CAPSULAS","CAPSULAS",B178="130 - GALLETAS CAFECITAS","DERIVADOS",B178="140 - MERENGUES","DERIVADOS",B178="100 - CAFÉ ESPECIAL","ESPECIALES",B178="141 - AREQUIPE","DERIVADOS",B178="142 - MERMELADA","DERIVADOS",B178="131 - GALLETAS AVENA","DERIVADOS",B178="160 - SOUVENIR","OTROS",B178="148 - CARAMELOS","DERIVADOS",B178="143 - CHOCOFFES","DERIVADOS",B178="162 - CONVENIOS Y DSC POS ","OTROS"),"OTROS")</f>
        <v>GOURMET</v>
      </c>
      <c r="L178" s="27">
        <f t="shared" si="41"/>
        <v>537434</v>
      </c>
      <c r="M178" s="27">
        <f t="shared" si="42"/>
        <v>537434</v>
      </c>
    </row>
    <row r="179" spans="1:13" ht="16.5" hidden="1" outlineLevel="1">
      <c r="A179" s="38"/>
      <c r="B179" s="39" t="s">
        <v>21</v>
      </c>
      <c r="C179" s="36">
        <v>15867403</v>
      </c>
      <c r="D179" s="36">
        <v>0</v>
      </c>
      <c r="E179" s="36"/>
      <c r="F179" s="36">
        <v>64517931.119999997</v>
      </c>
      <c r="G179" s="37">
        <f t="shared" si="40"/>
        <v>0.24593787687468552</v>
      </c>
      <c r="H179" s="23">
        <f t="shared" si="43"/>
        <v>0</v>
      </c>
      <c r="I179" s="24">
        <f t="shared" si="43"/>
        <v>0</v>
      </c>
      <c r="J179" s="32" t="str" cm="1">
        <f t="array" ref="J179">IFERROR(_xlfn.IFS(B179="044 - BLEND TRADICION","BLEND",B179="113 - CAFÉ GOURMET","GOURMET",B179="114 - CAFÉ CONSUMO","CONSUMO",B179="112 - CAFÉ ORGANICO","GOURMET",B179="172 - CAFÉ COSECHA","ESPECIALES",B179="176 - CAFE DESCAFEINADO","GOURMET",B179="147 - CAPSULAS","CAPSULAS",B179="130 - GALLETAS CAFECITAS","DERIVADOS",B179="140 - MERENGUES","DERIVADOS",B179="100 - CAFÉ ESPECIAL","ESPECIALES",B179="141 - AREQUIPE","DERIVADOS",B179="142 - MERMELADA","DERIVADOS",B179="131 - GALLETAS AVENA","DERIVADOS",B179="160 - SOUVENIR","OTROS",B179="148 - CARAMELOS","DERIVADOS",B179="143 - CHOCOFFES","DERIVADOS",B179="162 - CONVENIOS Y DSC POS ","OTROS"),"OTROS")</f>
        <v>GOURMET</v>
      </c>
      <c r="L179" s="27">
        <f t="shared" si="41"/>
        <v>15867403</v>
      </c>
      <c r="M179" s="27">
        <f t="shared" si="42"/>
        <v>15867403</v>
      </c>
    </row>
    <row r="180" spans="1:13" ht="16.5" hidden="1" outlineLevel="1">
      <c r="A180" s="38"/>
      <c r="B180" s="39" t="s">
        <v>38</v>
      </c>
      <c r="C180" s="36">
        <v>1747112</v>
      </c>
      <c r="D180" s="36">
        <v>0</v>
      </c>
      <c r="E180" s="36"/>
      <c r="F180" s="36">
        <v>9597044.6699999999</v>
      </c>
      <c r="G180" s="37">
        <f t="shared" si="40"/>
        <v>0.18204687589518118</v>
      </c>
      <c r="H180" s="23">
        <f t="shared" si="43"/>
        <v>0</v>
      </c>
      <c r="I180" s="24">
        <f t="shared" si="43"/>
        <v>0</v>
      </c>
      <c r="J180" s="32" t="str" cm="1">
        <f t="array" ref="J180">IFERROR(_xlfn.IFS(B180="044 - BLEND TRADICION","BLEND",B180="113 - CAFÉ GOURMET","GOURMET",B180="114 - CAFÉ CONSUMO","CONSUMO",B180="112 - CAFÉ ORGANICO","GOURMET",B180="172 - CAFÉ COSECHA","ESPECIALES",B180="176 - CAFE DESCAFEINADO","GOURMET",B180="147 - CAPSULAS","CAPSULAS",B180="130 - GALLETAS CAFECITAS","DERIVADOS",B180="140 - MERENGUES","DERIVADOS",B180="100 - CAFÉ ESPECIAL","ESPECIALES",B180="141 - AREQUIPE","DERIVADOS",B180="142 - MERMELADA","DERIVADOS",B180="131 - GALLETAS AVENA","DERIVADOS",B180="160 - SOUVENIR","OTROS",B180="148 - CARAMELOS","DERIVADOS",B180="143 - CHOCOFFES","DERIVADOS",B180="162 - CONVENIOS Y DSC POS ","OTROS"),"OTROS")</f>
        <v>CONSUMO</v>
      </c>
      <c r="L180" s="27">
        <f t="shared" si="41"/>
        <v>1747112</v>
      </c>
      <c r="M180" s="27">
        <f t="shared" si="42"/>
        <v>1747112</v>
      </c>
    </row>
    <row r="181" spans="1:13" ht="16.5" hidden="1" outlineLevel="1">
      <c r="A181" s="38"/>
      <c r="B181" s="39" t="s">
        <v>22</v>
      </c>
      <c r="C181" s="36">
        <v>3989131</v>
      </c>
      <c r="D181" s="36">
        <v>0</v>
      </c>
      <c r="E181" s="36"/>
      <c r="F181" s="36">
        <v>25972256.75</v>
      </c>
      <c r="G181" s="37">
        <f t="shared" si="40"/>
        <v>0.15359200543864945</v>
      </c>
      <c r="H181" s="23">
        <f t="shared" si="43"/>
        <v>0</v>
      </c>
      <c r="I181" s="24">
        <f t="shared" si="43"/>
        <v>0</v>
      </c>
      <c r="J181" s="32" t="str" cm="1">
        <f t="array" ref="J181">IFERROR(_xlfn.IFS(B181="044 - BLEND TRADICION","BLEND",B181="113 - CAFÉ GOURMET","GOURMET",B181="114 - CAFÉ CONSUMO","CONSUMO",B181="112 - CAFÉ ORGANICO","GOURMET",B181="172 - CAFÉ COSECHA","ESPECIALES",B181="176 - CAFE DESCAFEINADO","GOURMET",B181="147 - CAPSULAS","CAPSULAS",B181="130 - GALLETAS CAFECITAS","DERIVADOS",B181="140 - MERENGUES","DERIVADOS",B181="100 - CAFÉ ESPECIAL","ESPECIALES",B181="141 - AREQUIPE","DERIVADOS",B181="142 - MERMELADA","DERIVADOS",B181="131 - GALLETAS AVENA","DERIVADOS",B181="160 - SOUVENIR","OTROS",B181="148 - CARAMELOS","DERIVADOS",B181="143 - CHOCOFFES","DERIVADOS",B181="162 - CONVENIOS Y DSC POS ","OTROS"),"OTROS")</f>
        <v>DERIVADOS</v>
      </c>
      <c r="L181" s="27">
        <f t="shared" si="41"/>
        <v>3989131</v>
      </c>
      <c r="M181" s="27">
        <f t="shared" si="42"/>
        <v>3989131</v>
      </c>
    </row>
    <row r="182" spans="1:13" ht="16.5" hidden="1" outlineLevel="1">
      <c r="A182" s="38"/>
      <c r="B182" s="39" t="s">
        <v>24</v>
      </c>
      <c r="C182" s="36">
        <v>332785</v>
      </c>
      <c r="D182" s="36">
        <v>0</v>
      </c>
      <c r="E182" s="36"/>
      <c r="F182" s="36">
        <v>2464599.98</v>
      </c>
      <c r="G182" s="37">
        <f t="shared" si="40"/>
        <v>0.13502596879839299</v>
      </c>
      <c r="H182" s="23">
        <f t="shared" si="43"/>
        <v>0</v>
      </c>
      <c r="I182" s="24">
        <f t="shared" si="43"/>
        <v>0</v>
      </c>
      <c r="J182" s="32" t="str" cm="1">
        <f t="array" ref="J182">IFERROR(_xlfn.IFS(B182="044 - BLEND TRADICION","BLEND",B182="113 - CAFÉ GOURMET","GOURMET",B182="114 - CAFÉ CONSUMO","CONSUMO",B182="112 - CAFÉ ORGANICO","GOURMET",B182="172 - CAFÉ COSECHA","ESPECIALES",B182="176 - CAFE DESCAFEINADO","GOURMET",B182="147 - CAPSULAS","CAPSULAS",B182="130 - GALLETAS CAFECITAS","DERIVADOS",B182="140 - MERENGUES","DERIVADOS",B182="100 - CAFÉ ESPECIAL","ESPECIALES",B182="141 - AREQUIPE","DERIVADOS",B182="142 - MERMELADA","DERIVADOS",B182="131 - GALLETAS AVENA","DERIVADOS",B182="160 - SOUVENIR","OTROS",B182="148 - CARAMELOS","DERIVADOS",B182="143 - CHOCOFFES","DERIVADOS",B182="162 - CONVENIOS Y DSC POS ","OTROS"),"OTROS")</f>
        <v>DERIVADOS</v>
      </c>
      <c r="L182" s="27">
        <f t="shared" si="41"/>
        <v>332785</v>
      </c>
      <c r="M182" s="27">
        <f t="shared" si="42"/>
        <v>332785</v>
      </c>
    </row>
    <row r="183" spans="1:13" ht="16.5" hidden="1" outlineLevel="1">
      <c r="A183" s="38"/>
      <c r="B183" s="39" t="s">
        <v>25</v>
      </c>
      <c r="C183" s="36">
        <v>2519089</v>
      </c>
      <c r="D183" s="36">
        <v>0</v>
      </c>
      <c r="E183" s="36"/>
      <c r="F183" s="36">
        <v>12421685.26</v>
      </c>
      <c r="G183" s="37">
        <f t="shared" si="40"/>
        <v>0.20279768383054331</v>
      </c>
      <c r="H183" s="23">
        <f t="shared" si="43"/>
        <v>0</v>
      </c>
      <c r="I183" s="24">
        <f t="shared" si="43"/>
        <v>0</v>
      </c>
      <c r="J183" s="32" t="str" cm="1">
        <f t="array" ref="J183">IFERROR(_xlfn.IFS(B183="044 - BLEND TRADICION","BLEND",B183="113 - CAFÉ GOURMET","GOURMET",B183="114 - CAFÉ CONSUMO","CONSUMO",B183="112 - CAFÉ ORGANICO","GOURMET",B183="172 - CAFÉ COSECHA","ESPECIALES",B183="176 - CAFE DESCAFEINADO","GOURMET",B183="147 - CAPSULAS","CAPSULAS",B183="130 - GALLETAS CAFECITAS","DERIVADOS",B183="140 - MERENGUES","DERIVADOS",B183="100 - CAFÉ ESPECIAL","ESPECIALES",B183="141 - AREQUIPE","DERIVADOS",B183="142 - MERMELADA","DERIVADOS",B183="131 - GALLETAS AVENA","DERIVADOS",B183="160 - SOUVENIR","OTROS",B183="148 - CARAMELOS","DERIVADOS",B183="143 - CHOCOFFES","DERIVADOS",B183="162 - CONVENIOS Y DSC POS ","OTROS"),"OTROS")</f>
        <v>DERIVADOS</v>
      </c>
      <c r="L183" s="27">
        <f t="shared" si="41"/>
        <v>2519089</v>
      </c>
      <c r="M183" s="27">
        <f t="shared" si="42"/>
        <v>2519089</v>
      </c>
    </row>
    <row r="184" spans="1:13" ht="16.5" hidden="1" outlineLevel="1">
      <c r="A184" s="38"/>
      <c r="B184" s="39" t="s">
        <v>26</v>
      </c>
      <c r="C184" s="36">
        <v>95442</v>
      </c>
      <c r="D184" s="36">
        <v>0</v>
      </c>
      <c r="E184" s="36"/>
      <c r="F184" s="36">
        <v>2257638.58</v>
      </c>
      <c r="G184" s="37">
        <f t="shared" si="40"/>
        <v>4.2275145740998096E-2</v>
      </c>
      <c r="H184" s="23">
        <f t="shared" si="43"/>
        <v>0</v>
      </c>
      <c r="I184" s="24">
        <f t="shared" si="43"/>
        <v>0</v>
      </c>
      <c r="J184" s="32" t="str" cm="1">
        <f t="array" ref="J184">IFERROR(_xlfn.IFS(B184="044 - BLEND TRADICION","BLEND",B184="113 - CAFÉ GOURMET","GOURMET",B184="114 - CAFÉ CONSUMO","CONSUMO",B184="112 - CAFÉ ORGANICO","GOURMET",B184="172 - CAFÉ COSECHA","ESPECIALES",B184="176 - CAFE DESCAFEINADO","GOURMET",B184="147 - CAPSULAS","CAPSULAS",B184="130 - GALLETAS CAFECITAS","DERIVADOS",B184="140 - MERENGUES","DERIVADOS",B184="100 - CAFÉ ESPECIAL","ESPECIALES",B184="141 - AREQUIPE","DERIVADOS",B184="142 - MERMELADA","DERIVADOS",B184="131 - GALLETAS AVENA","DERIVADOS",B184="160 - SOUVENIR","OTROS",B184="148 - CARAMELOS","DERIVADOS",B184="143 - CHOCOFFES","DERIVADOS",B184="162 - CONVENIOS Y DSC POS ","OTROS"),"OTROS")</f>
        <v>CAPSULAS</v>
      </c>
      <c r="L184" s="27">
        <f t="shared" si="41"/>
        <v>95442</v>
      </c>
      <c r="M184" s="27">
        <f t="shared" si="42"/>
        <v>95442</v>
      </c>
    </row>
    <row r="185" spans="1:13" ht="16.5" hidden="1" outlineLevel="1">
      <c r="A185" s="38"/>
      <c r="B185" s="39" t="s">
        <v>27</v>
      </c>
      <c r="C185" s="36">
        <v>4867703</v>
      </c>
      <c r="D185" s="36">
        <v>0</v>
      </c>
      <c r="E185" s="36"/>
      <c r="F185" s="36">
        <v>20712565.039999999</v>
      </c>
      <c r="G185" s="37">
        <f t="shared" si="40"/>
        <v>0.23501208037727422</v>
      </c>
      <c r="H185" s="23">
        <f t="shared" si="43"/>
        <v>0</v>
      </c>
      <c r="I185" s="24">
        <f t="shared" si="43"/>
        <v>0</v>
      </c>
      <c r="J185" s="32" t="str" cm="1">
        <f t="array" ref="J185">IFERROR(_xlfn.IFS(B185="044 - BLEND TRADICION","BLEND",B185="113 - CAFÉ GOURMET","GOURMET",B185="114 - CAFÉ CONSUMO","CONSUMO",B185="112 - CAFÉ ORGANICO","GOURMET",B185="172 - CAFÉ COSECHA","ESPECIALES",B185="176 - CAFE DESCAFEINADO","GOURMET",B185="147 - CAPSULAS","CAPSULAS",B185="130 - GALLETAS CAFECITAS","DERIVADOS",B185="140 - MERENGUES","DERIVADOS",B185="100 - CAFÉ ESPECIAL","ESPECIALES",B185="141 - AREQUIPE","DERIVADOS",B185="142 - MERMELADA","DERIVADOS",B185="131 - GALLETAS AVENA","DERIVADOS",B185="160 - SOUVENIR","OTROS",B185="148 - CARAMELOS","DERIVADOS",B185="143 - CHOCOFFES","DERIVADOS",B185="162 - CONVENIOS Y DSC POS ","OTROS"),"OTROS")</f>
        <v>DERIVADOS</v>
      </c>
      <c r="L185" s="27">
        <f t="shared" si="41"/>
        <v>4867703</v>
      </c>
      <c r="M185" s="27">
        <f t="shared" si="42"/>
        <v>4867703</v>
      </c>
    </row>
    <row r="186" spans="1:13" ht="16.5" hidden="1" outlineLevel="1">
      <c r="A186" s="38"/>
      <c r="B186" s="39" t="s">
        <v>28</v>
      </c>
      <c r="C186" s="36">
        <v>1901742</v>
      </c>
      <c r="D186" s="36">
        <v>0</v>
      </c>
      <c r="E186" s="36"/>
      <c r="F186" s="36">
        <v>14886549.630000001</v>
      </c>
      <c r="G186" s="37">
        <f t="shared" si="40"/>
        <v>0.12774901150818249</v>
      </c>
      <c r="H186" s="23">
        <f t="shared" si="43"/>
        <v>0</v>
      </c>
      <c r="I186" s="24">
        <f t="shared" si="43"/>
        <v>0</v>
      </c>
      <c r="J186" s="32" t="str" cm="1">
        <f t="array" ref="J186">IFERROR(_xlfn.IFS(B186="044 - BLEND TRADICION","BLEND",B186="113 - CAFÉ GOURMET","GOURMET",B186="114 - CAFÉ CONSUMO","CONSUMO",B186="112 - CAFÉ ORGANICO","GOURMET",B186="172 - CAFÉ COSECHA","ESPECIALES",B186="176 - CAFE DESCAFEINADO","GOURMET",B186="147 - CAPSULAS","CAPSULAS",B186="130 - GALLETAS CAFECITAS","DERIVADOS",B186="140 - MERENGUES","DERIVADOS",B186="100 - CAFÉ ESPECIAL","ESPECIALES",B186="141 - AREQUIPE","DERIVADOS",B186="142 - MERMELADA","DERIVADOS",B186="131 - GALLETAS AVENA","DERIVADOS",B186="160 - SOUVENIR","OTROS",B186="148 - CARAMELOS","DERIVADOS",B186="143 - CHOCOFFES","DERIVADOS",B186="162 - CONVENIOS Y DSC POS ","OTROS"),"OTROS")</f>
        <v>OTROS</v>
      </c>
      <c r="L186" s="27">
        <f t="shared" si="41"/>
        <v>1901742</v>
      </c>
      <c r="M186" s="27">
        <f t="shared" si="42"/>
        <v>1901742</v>
      </c>
    </row>
    <row r="187" spans="1:13" ht="16.5" hidden="1" outlineLevel="1">
      <c r="A187" s="38"/>
      <c r="B187" s="39" t="s">
        <v>29</v>
      </c>
      <c r="C187" s="36">
        <v>2283093</v>
      </c>
      <c r="D187" s="36">
        <v>0</v>
      </c>
      <c r="E187" s="36"/>
      <c r="F187" s="36">
        <v>8209679.5599999996</v>
      </c>
      <c r="G187" s="37">
        <f t="shared" si="40"/>
        <v>0.2780976995891421</v>
      </c>
      <c r="H187" s="23">
        <f t="shared" si="43"/>
        <v>0</v>
      </c>
      <c r="I187" s="24">
        <f t="shared" si="43"/>
        <v>0</v>
      </c>
      <c r="J187" s="32" t="str" cm="1">
        <f t="array" ref="J187">IFERROR(_xlfn.IFS(B187="044 - BLEND TRADICION","BLEND",B187="113 - CAFÉ GOURMET","GOURMET",B187="114 - CAFÉ CONSUMO","CONSUMO",B187="112 - CAFÉ ORGANICO","GOURMET",B187="172 - CAFÉ COSECHA","ESPECIALES",B187="176 - CAFE DESCAFEINADO","GOURMET",B187="147 - CAPSULAS","CAPSULAS",B187="130 - GALLETAS CAFECITAS","DERIVADOS",B187="140 - MERENGUES","DERIVADOS",B187="100 - CAFÉ ESPECIAL","ESPECIALES",B187="141 - AREQUIPE","DERIVADOS",B187="142 - MERMELADA","DERIVADOS",B187="131 - GALLETAS AVENA","DERIVADOS",B187="160 - SOUVENIR","OTROS",B187="148 - CARAMELOS","DERIVADOS",B187="143 - CHOCOFFES","DERIVADOS",B187="162 - CONVENIOS Y DSC POS ","OTROS"),"OTROS")</f>
        <v>ESPECIALES</v>
      </c>
      <c r="L187" s="27">
        <f t="shared" si="41"/>
        <v>2283093</v>
      </c>
      <c r="M187" s="27">
        <f t="shared" si="42"/>
        <v>2283093</v>
      </c>
    </row>
    <row r="188" spans="1:13" ht="16.5" hidden="1" outlineLevel="1">
      <c r="A188" s="38"/>
      <c r="B188" s="39" t="s">
        <v>30</v>
      </c>
      <c r="C188" s="36">
        <v>272027</v>
      </c>
      <c r="D188" s="36">
        <v>0</v>
      </c>
      <c r="E188" s="36"/>
      <c r="F188" s="36">
        <v>1016149.79</v>
      </c>
      <c r="G188" s="37">
        <f t="shared" si="40"/>
        <v>0.26770364239311606</v>
      </c>
      <c r="H188" s="23">
        <f t="shared" ref="H188:I253" si="44">IFERROR(+D188/L188*100%,0)</f>
        <v>0</v>
      </c>
      <c r="I188" s="24">
        <f t="shared" si="44"/>
        <v>0</v>
      </c>
      <c r="J188" s="32" t="str" cm="1">
        <f t="array" ref="J188">IFERROR(_xlfn.IFS(B188="044 - BLEND TRADICION","BLEND",B188="113 - CAFÉ GOURMET","GOURMET",B188="114 - CAFÉ CONSUMO","CONSUMO",B188="112 - CAFÉ ORGANICO","GOURMET",B188="172 - CAFÉ COSECHA","ESPECIALES",B188="176 - CAFE DESCAFEINADO","GOURMET",B188="147 - CAPSULAS","CAPSULAS",B188="130 - GALLETAS CAFECITAS","DERIVADOS",B188="140 - MERENGUES","DERIVADOS",B188="100 - CAFÉ ESPECIAL","ESPECIALES",B188="141 - AREQUIPE","DERIVADOS",B188="142 - MERMELADA","DERIVADOS",B188="131 - GALLETAS AVENA","DERIVADOS",B188="160 - SOUVENIR","OTROS",B188="148 - CARAMELOS","DERIVADOS",B188="143 - CHOCOFFES","DERIVADOS",B188="162 - CONVENIOS Y DSC POS ","OTROS"),"OTROS")</f>
        <v>GOURMET</v>
      </c>
      <c r="L188" s="27">
        <f t="shared" si="41"/>
        <v>272027</v>
      </c>
      <c r="M188" s="27">
        <f t="shared" si="42"/>
        <v>272027</v>
      </c>
    </row>
    <row r="189" spans="1:13" ht="16.5" hidden="1" outlineLevel="1">
      <c r="A189" s="19" t="s">
        <v>54</v>
      </c>
      <c r="B189" s="56" t="s">
        <v>32</v>
      </c>
      <c r="C189" s="54">
        <f>SUM(C175:C188)</f>
        <v>38656301</v>
      </c>
      <c r="D189" s="54">
        <f>SUM(D175:D188)</f>
        <v>0</v>
      </c>
      <c r="E189" s="54">
        <f>SUM(E175:E188)</f>
        <v>0</v>
      </c>
      <c r="F189" s="58">
        <f>SUM(F175:F188)</f>
        <v>179945706.40000001</v>
      </c>
      <c r="G189" s="55">
        <f t="shared" si="40"/>
        <v>0.21482202478380444</v>
      </c>
      <c r="H189" s="23">
        <f t="shared" si="44"/>
        <v>0</v>
      </c>
      <c r="I189" s="24">
        <f t="shared" si="44"/>
        <v>0</v>
      </c>
      <c r="J189" s="32" t="str" cm="1">
        <f t="array" ref="J189">IFERROR(_xlfn.IFS(B189="044 - BLEND TRADICION","BLEND",B189="113 - CAFÉ GOURMET","GOURMET",B189="114 - CAFÉ CONSUMO","CONSUMO",B189="112 - CAFÉ ORGANICO","GOURMET",B189="172 - CAFÉ COSECHA","ESPECIALES",B189="176 - CAFE DESCAFEINADO","GOURMET",B189="147 - CAPSULAS","CAPSULAS",B189="130 - GALLETAS CAFECITAS","DERIVADOS",B189="140 - MERENGUES","DERIVADOS",B189="100 - CAFÉ ESPECIAL","ESPECIALES",B189="141 - AREQUIPE","DERIVADOS",B189="142 - MERMELADA","DERIVADOS",B189="131 - GALLETAS AVENA","DERIVADOS",B189="160 - SOUVENIR","OTROS",B189="148 - CARAMELOS","DERIVADOS",B189="143 - CHOCOFFES","DERIVADOS",B189="162 - CONVENIOS Y DSC POS ","OTROS"),"OTROS")</f>
        <v>OTROS</v>
      </c>
      <c r="L189" s="27">
        <f t="shared" si="41"/>
        <v>38656301</v>
      </c>
      <c r="M189" s="27">
        <f t="shared" si="42"/>
        <v>38656301</v>
      </c>
    </row>
    <row r="190" spans="1:13" ht="16.5" collapsed="1">
      <c r="A190" s="28" t="s">
        <v>55</v>
      </c>
      <c r="B190" s="29" t="s">
        <v>17</v>
      </c>
      <c r="C190" s="30">
        <f>+C205</f>
        <v>52777173</v>
      </c>
      <c r="D190" s="30">
        <f t="shared" ref="D190:E190" si="45">+D205</f>
        <v>0</v>
      </c>
      <c r="E190" s="30">
        <f t="shared" si="45"/>
        <v>0</v>
      </c>
      <c r="F190" s="30">
        <f>+F205</f>
        <v>251466278.25</v>
      </c>
      <c r="G190" s="31">
        <f t="shared" si="40"/>
        <v>0.20987773536589494</v>
      </c>
      <c r="H190" s="23">
        <f t="shared" si="44"/>
        <v>0</v>
      </c>
      <c r="I190" s="24">
        <f t="shared" si="44"/>
        <v>0</v>
      </c>
      <c r="J190" s="32" t="str" cm="1">
        <f t="array" ref="J190">IFERROR(_xlfn.IFS(B190="044 - BLEND TRADICION","BLEND",B190="113 - CAFÉ GOURMET","GOURMET",B190="114 - CAFÉ CONSUMO","CONSUMO",B190="112 - CAFÉ ORGANICO","GOURMET",B190="172 - CAFÉ COSECHA","ESPECIALES",B190="176 - CAFE DESCAFEINADO","GOURMET",B190="147 - CAPSULAS","CAPSULAS",B190="130 - GALLETAS CAFECITAS","DERIVADOS",B190="140 - MERENGUES","DERIVADOS",B190="100 - CAFÉ ESPECIAL","ESPECIALES",B190="141 - AREQUIPE","DERIVADOS",B190="142 - MERMELADA","DERIVADOS",B190="131 - GALLETAS AVENA","DERIVADOS",B190="160 - SOUVENIR","OTROS",B190="148 - CARAMELOS","DERIVADOS",B190="143 - CHOCOFFES","DERIVADOS",B190="162 - CONVENIOS Y DSC POS ","OTROS"),"OTROS")</f>
        <v>OTROS</v>
      </c>
      <c r="L190" s="27">
        <f t="shared" si="41"/>
        <v>52777173</v>
      </c>
      <c r="M190" s="27">
        <f t="shared" si="42"/>
        <v>52777173</v>
      </c>
    </row>
    <row r="191" spans="1:13" ht="16.5" hidden="1" outlineLevel="1">
      <c r="A191" s="38"/>
      <c r="B191" s="39" t="s">
        <v>34</v>
      </c>
      <c r="C191" s="36">
        <v>1313300</v>
      </c>
      <c r="D191" s="36">
        <v>0</v>
      </c>
      <c r="E191" s="36">
        <v>0</v>
      </c>
      <c r="F191" s="36">
        <v>4405498.4400000004</v>
      </c>
      <c r="G191" s="37">
        <f t="shared" si="40"/>
        <v>0.29810474748460014</v>
      </c>
      <c r="H191" s="23">
        <f t="shared" si="44"/>
        <v>0</v>
      </c>
      <c r="I191" s="24">
        <f t="shared" si="44"/>
        <v>0</v>
      </c>
      <c r="J191" s="32" t="str" cm="1">
        <f t="array" ref="J191">IFERROR(_xlfn.IFS(B191="044 - BLEND TRADICION","BLEND",B191="113 - CAFÉ GOURMET","GOURMET",B191="114 - CAFÉ CONSUMO","CONSUMO",B191="112 - CAFÉ ORGANICO","GOURMET",B191="172 - CAFÉ COSECHA","ESPECIALES",B191="176 - CAFE DESCAFEINADO","GOURMET",B191="147 - CAPSULAS","CAPSULAS",B191="130 - GALLETAS CAFECITAS","DERIVADOS",B191="140 - MERENGUES","DERIVADOS",B191="100 - CAFÉ ESPECIAL","ESPECIALES",B191="141 - AREQUIPE","DERIVADOS",B191="142 - MERMELADA","DERIVADOS",B191="131 - GALLETAS AVENA","DERIVADOS",B191="160 - SOUVENIR","OTROS",B191="148 - CARAMELOS","DERIVADOS",B191="143 - CHOCOFFES","DERIVADOS",B191="162 - CONVENIOS Y DSC POS ","OTROS"),"OTROS")</f>
        <v>OTROS</v>
      </c>
      <c r="K191" s="62"/>
      <c r="L191" s="27">
        <f t="shared" si="41"/>
        <v>1313300</v>
      </c>
      <c r="M191" s="27">
        <f t="shared" si="42"/>
        <v>1313300</v>
      </c>
    </row>
    <row r="192" spans="1:13" ht="16.5" hidden="1" outlineLevel="1">
      <c r="A192" s="38"/>
      <c r="B192" s="39" t="s">
        <v>18</v>
      </c>
      <c r="C192" s="36">
        <v>523500</v>
      </c>
      <c r="D192" s="36">
        <v>0</v>
      </c>
      <c r="E192" s="36"/>
      <c r="F192" s="36">
        <v>1752263.11</v>
      </c>
      <c r="G192" s="37">
        <f t="shared" si="40"/>
        <v>0.29875650352531818</v>
      </c>
      <c r="H192" s="23">
        <f t="shared" si="44"/>
        <v>0</v>
      </c>
      <c r="I192" s="24">
        <f t="shared" si="44"/>
        <v>0</v>
      </c>
      <c r="J192" s="32" t="str" cm="1">
        <f t="array" ref="J192">IFERROR(_xlfn.IFS(B192="044 - BLEND TRADICION","BLEND",B192="113 - CAFÉ GOURMET","GOURMET",B192="114 - CAFÉ CONSUMO","CONSUMO",B192="112 - CAFÉ ORGANICO","GOURMET",B192="172 - CAFÉ COSECHA","ESPECIALES",B192="176 - CAFE DESCAFEINADO","GOURMET",B192="147 - CAPSULAS","CAPSULAS",B192="130 - GALLETAS CAFECITAS","DERIVADOS",B192="140 - MERENGUES","DERIVADOS",B192="100 - CAFÉ ESPECIAL","ESPECIALES",B192="141 - AREQUIPE","DERIVADOS",B192="142 - MERMELADA","DERIVADOS",B192="131 - GALLETAS AVENA","DERIVADOS",B192="160 - SOUVENIR","OTROS",B192="148 - CARAMELOS","DERIVADOS",B192="143 - CHOCOFFES","DERIVADOS",B192="162 - CONVENIOS Y DSC POS ","OTROS"),"OTROS")</f>
        <v>BLEND</v>
      </c>
      <c r="K192" s="62"/>
      <c r="L192" s="27">
        <f t="shared" si="41"/>
        <v>523500</v>
      </c>
      <c r="M192" s="27">
        <f t="shared" si="42"/>
        <v>523500</v>
      </c>
    </row>
    <row r="193" spans="1:13" ht="16.5" hidden="1" outlineLevel="1">
      <c r="A193" s="38"/>
      <c r="B193" s="39" t="s">
        <v>19</v>
      </c>
      <c r="C193" s="36">
        <v>878180</v>
      </c>
      <c r="D193" s="36">
        <v>0</v>
      </c>
      <c r="E193" s="36"/>
      <c r="F193" s="36">
        <v>5187386.37</v>
      </c>
      <c r="G193" s="37">
        <f t="shared" si="40"/>
        <v>0.16929141910052095</v>
      </c>
      <c r="H193" s="23">
        <f t="shared" si="44"/>
        <v>0</v>
      </c>
      <c r="I193" s="24">
        <f t="shared" si="44"/>
        <v>0</v>
      </c>
      <c r="J193" s="32" t="str" cm="1">
        <f t="array" ref="J193">IFERROR(_xlfn.IFS(B193="044 - BLEND TRADICION","BLEND",B193="113 - CAFÉ GOURMET","GOURMET",B193="114 - CAFÉ CONSUMO","CONSUMO",B193="112 - CAFÉ ORGANICO","GOURMET",B193="172 - CAFÉ COSECHA","ESPECIALES",B193="176 - CAFE DESCAFEINADO","GOURMET",B193="147 - CAPSULAS","CAPSULAS",B193="130 - GALLETAS CAFECITAS","DERIVADOS",B193="140 - MERENGUES","DERIVADOS",B193="100 - CAFÉ ESPECIAL","ESPECIALES",B193="141 - AREQUIPE","DERIVADOS",B193="142 - MERMELADA","DERIVADOS",B193="131 - GALLETAS AVENA","DERIVADOS",B193="160 - SOUVENIR","OTROS",B193="148 - CARAMELOS","DERIVADOS",B193="143 - CHOCOFFES","DERIVADOS",B193="162 - CONVENIOS Y DSC POS ","OTROS"),"OTROS")</f>
        <v>ESPECIALES</v>
      </c>
      <c r="K193" s="62"/>
      <c r="L193" s="27">
        <f t="shared" si="41"/>
        <v>878180</v>
      </c>
      <c r="M193" s="27">
        <f t="shared" si="42"/>
        <v>878180</v>
      </c>
    </row>
    <row r="194" spans="1:13" ht="16.5" hidden="1" outlineLevel="1">
      <c r="A194" s="38"/>
      <c r="B194" s="39" t="s">
        <v>20</v>
      </c>
      <c r="C194" s="36">
        <v>924209</v>
      </c>
      <c r="D194" s="36">
        <v>0</v>
      </c>
      <c r="E194" s="36"/>
      <c r="F194" s="36">
        <v>7440163.29</v>
      </c>
      <c r="G194" s="37">
        <f t="shared" si="40"/>
        <v>0.12421891348032497</v>
      </c>
      <c r="H194" s="23">
        <f t="shared" si="44"/>
        <v>0</v>
      </c>
      <c r="I194" s="24">
        <f t="shared" si="44"/>
        <v>0</v>
      </c>
      <c r="J194" s="32" t="str" cm="1">
        <f t="array" ref="J194">IFERROR(_xlfn.IFS(B194="044 - BLEND TRADICION","BLEND",B194="113 - CAFÉ GOURMET","GOURMET",B194="114 - CAFÉ CONSUMO","CONSUMO",B194="112 - CAFÉ ORGANICO","GOURMET",B194="172 - CAFÉ COSECHA","ESPECIALES",B194="176 - CAFE DESCAFEINADO","GOURMET",B194="147 - CAPSULAS","CAPSULAS",B194="130 - GALLETAS CAFECITAS","DERIVADOS",B194="140 - MERENGUES","DERIVADOS",B194="100 - CAFÉ ESPECIAL","ESPECIALES",B194="141 - AREQUIPE","DERIVADOS",B194="142 - MERMELADA","DERIVADOS",B194="131 - GALLETAS AVENA","DERIVADOS",B194="160 - SOUVENIR","OTROS",B194="148 - CARAMELOS","DERIVADOS",B194="143 - CHOCOFFES","DERIVADOS",B194="162 - CONVENIOS Y DSC POS ","OTROS"),"OTROS")</f>
        <v>GOURMET</v>
      </c>
      <c r="K194" s="62"/>
      <c r="L194" s="27">
        <f t="shared" si="41"/>
        <v>924209</v>
      </c>
      <c r="M194" s="27">
        <f t="shared" si="42"/>
        <v>924209</v>
      </c>
    </row>
    <row r="195" spans="1:13" ht="16.5" hidden="1" outlineLevel="1">
      <c r="A195" s="38"/>
      <c r="B195" s="39" t="s">
        <v>21</v>
      </c>
      <c r="C195" s="36">
        <v>21778257</v>
      </c>
      <c r="D195" s="36">
        <v>0</v>
      </c>
      <c r="E195" s="36"/>
      <c r="F195" s="36">
        <v>142013899.65000001</v>
      </c>
      <c r="G195" s="37">
        <f t="shared" ref="G195:G199" si="46">IFERROR(C195/F195*100%,"-")</f>
        <v>0.1533529961058287</v>
      </c>
      <c r="H195" s="23">
        <f t="shared" ref="H195:H199" si="47">IFERROR(+D195/L195*100%,0)</f>
        <v>0</v>
      </c>
      <c r="I195" s="24">
        <f t="shared" ref="I195:I199" si="48">IFERROR(+E195/M195*100%,0)</f>
        <v>0</v>
      </c>
      <c r="J195" s="32" t="str" cm="1">
        <f t="array" ref="J195">IFERROR(_xlfn.IFS(B195="044 - BLEND TRADICION","BLEND",B195="113 - CAFÉ GOURMET","GOURMET",B195="114 - CAFÉ CONSUMO","CONSUMO",B195="112 - CAFÉ ORGANICO","GOURMET",B195="172 - CAFÉ COSECHA","ESPECIALES",B195="176 - CAFE DESCAFEINADO","GOURMET",B195="147 - CAPSULAS","CAPSULAS",B195="130 - GALLETAS CAFECITAS","DERIVADOS",B195="140 - MERENGUES","DERIVADOS",B195="100 - CAFÉ ESPECIAL","ESPECIALES",B195="141 - AREQUIPE","DERIVADOS",B195="142 - MERMELADA","DERIVADOS",B195="131 - GALLETAS AVENA","DERIVADOS",B195="160 - SOUVENIR","OTROS",B195="148 - CARAMELOS","DERIVADOS",B195="143 - CHOCOFFES","DERIVADOS",B195="162 - CONVENIOS Y DSC POS ","OTROS"),"OTROS")</f>
        <v>GOURMET</v>
      </c>
      <c r="K195" s="62"/>
      <c r="L195" s="27">
        <f t="shared" ref="L195:L199" si="49">C195-(D195+E195)</f>
        <v>21778257</v>
      </c>
      <c r="M195" s="27">
        <f t="shared" ref="M195:M199" si="50">L195</f>
        <v>21778257</v>
      </c>
    </row>
    <row r="196" spans="1:13" ht="16.5" hidden="1" outlineLevel="1">
      <c r="A196" s="38"/>
      <c r="B196" s="39" t="s">
        <v>22</v>
      </c>
      <c r="C196" s="36">
        <v>269160</v>
      </c>
      <c r="D196" s="36">
        <v>0</v>
      </c>
      <c r="E196" s="36"/>
      <c r="F196" s="36">
        <v>2033308.06</v>
      </c>
      <c r="G196" s="37">
        <f t="shared" si="46"/>
        <v>0.13237541585311965</v>
      </c>
      <c r="H196" s="23">
        <f t="shared" si="47"/>
        <v>0</v>
      </c>
      <c r="I196" s="24">
        <f t="shared" si="48"/>
        <v>0</v>
      </c>
      <c r="J196" s="32" t="str" cm="1">
        <f t="array" ref="J196">IFERROR(_xlfn.IFS(B196="044 - BLEND TRADICION","BLEND",B196="113 - CAFÉ GOURMET","GOURMET",B196="114 - CAFÉ CONSUMO","CONSUMO",B196="112 - CAFÉ ORGANICO","GOURMET",B196="172 - CAFÉ COSECHA","ESPECIALES",B196="176 - CAFE DESCAFEINADO","GOURMET",B196="147 - CAPSULAS","CAPSULAS",B196="130 - GALLETAS CAFECITAS","DERIVADOS",B196="140 - MERENGUES","DERIVADOS",B196="100 - CAFÉ ESPECIAL","ESPECIALES",B196="141 - AREQUIPE","DERIVADOS",B196="142 - MERMELADA","DERIVADOS",B196="131 - GALLETAS AVENA","DERIVADOS",B196="160 - SOUVENIR","OTROS",B196="148 - CARAMELOS","DERIVADOS",B196="143 - CHOCOFFES","DERIVADOS",B196="162 - CONVENIOS Y DSC POS ","OTROS"),"OTROS")</f>
        <v>DERIVADOS</v>
      </c>
      <c r="K196" s="62"/>
      <c r="L196" s="27">
        <f t="shared" si="49"/>
        <v>269160</v>
      </c>
      <c r="M196" s="27">
        <f t="shared" si="50"/>
        <v>269160</v>
      </c>
    </row>
    <row r="197" spans="1:13" ht="16.5" hidden="1" outlineLevel="1">
      <c r="A197" s="38"/>
      <c r="B197" s="39" t="s">
        <v>24</v>
      </c>
      <c r="C197" s="36">
        <v>0</v>
      </c>
      <c r="D197" s="36">
        <v>0</v>
      </c>
      <c r="E197" s="36"/>
      <c r="F197" s="36">
        <v>5794.52</v>
      </c>
      <c r="G197" s="37">
        <f t="shared" si="46"/>
        <v>0</v>
      </c>
      <c r="H197" s="23">
        <f t="shared" si="47"/>
        <v>0</v>
      </c>
      <c r="I197" s="24">
        <f t="shared" si="48"/>
        <v>0</v>
      </c>
      <c r="J197" s="32" t="str" cm="1">
        <f t="array" ref="J197">IFERROR(_xlfn.IFS(B197="044 - BLEND TRADICION","BLEND",B197="113 - CAFÉ GOURMET","GOURMET",B197="114 - CAFÉ CONSUMO","CONSUMO",B197="112 - CAFÉ ORGANICO","GOURMET",B197="172 - CAFÉ COSECHA","ESPECIALES",B197="176 - CAFE DESCAFEINADO","GOURMET",B197="147 - CAPSULAS","CAPSULAS",B197="130 - GALLETAS CAFECITAS","DERIVADOS",B197="140 - MERENGUES","DERIVADOS",B197="100 - CAFÉ ESPECIAL","ESPECIALES",B197="141 - AREQUIPE","DERIVADOS",B197="142 - MERMELADA","DERIVADOS",B197="131 - GALLETAS AVENA","DERIVADOS",B197="160 - SOUVENIR","OTROS",B197="148 - CARAMELOS","DERIVADOS",B197="143 - CHOCOFFES","DERIVADOS",B197="162 - CONVENIOS Y DSC POS ","OTROS"),"OTROS")</f>
        <v>DERIVADOS</v>
      </c>
      <c r="K197" s="62"/>
      <c r="L197" s="27">
        <f t="shared" si="49"/>
        <v>0</v>
      </c>
      <c r="M197" s="27">
        <f t="shared" si="50"/>
        <v>0</v>
      </c>
    </row>
    <row r="198" spans="1:13" ht="16.5" hidden="1" outlineLevel="1">
      <c r="A198" s="38"/>
      <c r="B198" s="39" t="s">
        <v>25</v>
      </c>
      <c r="C198" s="36">
        <v>870428</v>
      </c>
      <c r="D198" s="36">
        <v>0</v>
      </c>
      <c r="E198" s="36"/>
      <c r="F198" s="36">
        <v>3644356.83</v>
      </c>
      <c r="G198" s="37">
        <f t="shared" si="46"/>
        <v>0.23884269312892722</v>
      </c>
      <c r="H198" s="23">
        <f t="shared" si="47"/>
        <v>0</v>
      </c>
      <c r="I198" s="24">
        <f t="shared" si="48"/>
        <v>0</v>
      </c>
      <c r="J198" s="32" t="str" cm="1">
        <f t="array" ref="J198">IFERROR(_xlfn.IFS(B198="044 - BLEND TRADICION","BLEND",B198="113 - CAFÉ GOURMET","GOURMET",B198="114 - CAFÉ CONSUMO","CONSUMO",B198="112 - CAFÉ ORGANICO","GOURMET",B198="172 - CAFÉ COSECHA","ESPECIALES",B198="176 - CAFE DESCAFEINADO","GOURMET",B198="147 - CAPSULAS","CAPSULAS",B198="130 - GALLETAS CAFECITAS","DERIVADOS",B198="140 - MERENGUES","DERIVADOS",B198="100 - CAFÉ ESPECIAL","ESPECIALES",B198="141 - AREQUIPE","DERIVADOS",B198="142 - MERMELADA","DERIVADOS",B198="131 - GALLETAS AVENA","DERIVADOS",B198="160 - SOUVENIR","OTROS",B198="148 - CARAMELOS","DERIVADOS",B198="143 - CHOCOFFES","DERIVADOS",B198="162 - CONVENIOS Y DSC POS ","OTROS"),"OTROS")</f>
        <v>DERIVADOS</v>
      </c>
      <c r="K198" s="62"/>
      <c r="L198" s="27">
        <f t="shared" si="49"/>
        <v>870428</v>
      </c>
      <c r="M198" s="27">
        <f t="shared" si="50"/>
        <v>870428</v>
      </c>
    </row>
    <row r="199" spans="1:13" ht="16.5" hidden="1" outlineLevel="1">
      <c r="A199" s="38"/>
      <c r="B199" s="39" t="s">
        <v>26</v>
      </c>
      <c r="C199" s="36">
        <v>21710437</v>
      </c>
      <c r="D199" s="36">
        <v>0</v>
      </c>
      <c r="E199" s="36"/>
      <c r="F199" s="36">
        <v>59490908.259999998</v>
      </c>
      <c r="G199" s="37">
        <f t="shared" si="46"/>
        <v>0.36493705735868692</v>
      </c>
      <c r="H199" s="23">
        <f t="shared" si="47"/>
        <v>0</v>
      </c>
      <c r="I199" s="24">
        <f t="shared" si="48"/>
        <v>0</v>
      </c>
      <c r="J199" s="32" t="str" cm="1">
        <f t="array" ref="J199">IFERROR(_xlfn.IFS(B199="044 - BLEND TRADICION","BLEND",B199="113 - CAFÉ GOURMET","GOURMET",B199="114 - CAFÉ CONSUMO","CONSUMO",B199="112 - CAFÉ ORGANICO","GOURMET",B199="172 - CAFÉ COSECHA","ESPECIALES",B199="176 - CAFE DESCAFEINADO","GOURMET",B199="147 - CAPSULAS","CAPSULAS",B199="130 - GALLETAS CAFECITAS","DERIVADOS",B199="140 - MERENGUES","DERIVADOS",B199="100 - CAFÉ ESPECIAL","ESPECIALES",B199="141 - AREQUIPE","DERIVADOS",B199="142 - MERMELADA","DERIVADOS",B199="131 - GALLETAS AVENA","DERIVADOS",B199="160 - SOUVENIR","OTROS",B199="148 - CARAMELOS","DERIVADOS",B199="143 - CHOCOFFES","DERIVADOS",B199="162 - CONVENIOS Y DSC POS ","OTROS"),"OTROS")</f>
        <v>CAPSULAS</v>
      </c>
      <c r="K199" s="62"/>
      <c r="L199" s="27">
        <f t="shared" si="49"/>
        <v>21710437</v>
      </c>
      <c r="M199" s="27">
        <f t="shared" si="50"/>
        <v>21710437</v>
      </c>
    </row>
    <row r="200" spans="1:13" ht="16.5" hidden="1" outlineLevel="1">
      <c r="A200" s="38"/>
      <c r="B200" s="39" t="s">
        <v>27</v>
      </c>
      <c r="C200" s="36">
        <v>95547</v>
      </c>
      <c r="D200" s="36">
        <v>0</v>
      </c>
      <c r="E200" s="36"/>
      <c r="F200" s="36">
        <v>3108564.42</v>
      </c>
      <c r="G200" s="37">
        <f t="shared" si="40"/>
        <v>3.0736696137054802E-2</v>
      </c>
      <c r="H200" s="23">
        <f t="shared" si="44"/>
        <v>0</v>
      </c>
      <c r="I200" s="24">
        <f t="shared" si="44"/>
        <v>0</v>
      </c>
      <c r="J200" s="32" t="str" cm="1">
        <f t="array" ref="J200">IFERROR(_xlfn.IFS(B200="044 - BLEND TRADICION","BLEND",B200="113 - CAFÉ GOURMET","GOURMET",B200="114 - CAFÉ CONSUMO","CONSUMO",B200="112 - CAFÉ ORGANICO","GOURMET",B200="172 - CAFÉ COSECHA","ESPECIALES",B200="176 - CAFE DESCAFEINADO","GOURMET",B200="147 - CAPSULAS","CAPSULAS",B200="130 - GALLETAS CAFECITAS","DERIVADOS",B200="140 - MERENGUES","DERIVADOS",B200="100 - CAFÉ ESPECIAL","ESPECIALES",B200="141 - AREQUIPE","DERIVADOS",B200="142 - MERMELADA","DERIVADOS",B200="131 - GALLETAS AVENA","DERIVADOS",B200="160 - SOUVENIR","OTROS",B200="148 - CARAMELOS","DERIVADOS",B200="143 - CHOCOFFES","DERIVADOS",B200="162 - CONVENIOS Y DSC POS ","OTROS"),"OTROS")</f>
        <v>DERIVADOS</v>
      </c>
      <c r="K200" s="62"/>
      <c r="L200" s="27">
        <f t="shared" si="41"/>
        <v>95547</v>
      </c>
      <c r="M200" s="27">
        <f t="shared" si="42"/>
        <v>95547</v>
      </c>
    </row>
    <row r="201" spans="1:13" ht="16.5" hidden="1" outlineLevel="1">
      <c r="A201" s="38"/>
      <c r="B201" s="39" t="s">
        <v>28</v>
      </c>
      <c r="C201" s="36">
        <v>768844</v>
      </c>
      <c r="D201" s="36">
        <v>0</v>
      </c>
      <c r="E201" s="36"/>
      <c r="F201" s="36">
        <v>7821246.9800000004</v>
      </c>
      <c r="G201" s="37">
        <f t="shared" si="40"/>
        <v>9.8301971791204062E-2</v>
      </c>
      <c r="H201" s="23">
        <f t="shared" si="44"/>
        <v>0</v>
      </c>
      <c r="I201" s="24">
        <f t="shared" si="44"/>
        <v>0</v>
      </c>
      <c r="J201" s="32" t="str" cm="1">
        <f t="array" ref="J201">IFERROR(_xlfn.IFS(B201="044 - BLEND TRADICION","BLEND",B201="113 - CAFÉ GOURMET","GOURMET",B201="114 - CAFÉ CONSUMO","CONSUMO",B201="112 - CAFÉ ORGANICO","GOURMET",B201="172 - CAFÉ COSECHA","ESPECIALES",B201="176 - CAFE DESCAFEINADO","GOURMET",B201="147 - CAPSULAS","CAPSULAS",B201="130 - GALLETAS CAFECITAS","DERIVADOS",B201="140 - MERENGUES","DERIVADOS",B201="100 - CAFÉ ESPECIAL","ESPECIALES",B201="141 - AREQUIPE","DERIVADOS",B201="142 - MERMELADA","DERIVADOS",B201="131 - GALLETAS AVENA","DERIVADOS",B201="160 - SOUVENIR","OTROS",B201="148 - CARAMELOS","DERIVADOS",B201="143 - CHOCOFFES","DERIVADOS",B201="162 - CONVENIOS Y DSC POS ","OTROS"),"OTROS")</f>
        <v>OTROS</v>
      </c>
      <c r="K201" s="62"/>
      <c r="L201" s="27">
        <f t="shared" si="41"/>
        <v>768844</v>
      </c>
      <c r="M201" s="27">
        <f t="shared" si="42"/>
        <v>768844</v>
      </c>
    </row>
    <row r="202" spans="1:13" ht="16.5" hidden="1" outlineLevel="1">
      <c r="A202" s="38"/>
      <c r="B202" s="39" t="s">
        <v>29</v>
      </c>
      <c r="C202" s="36">
        <v>1798709</v>
      </c>
      <c r="D202" s="36">
        <v>0</v>
      </c>
      <c r="E202" s="36"/>
      <c r="F202" s="36">
        <v>12404965.970000001</v>
      </c>
      <c r="G202" s="37">
        <f t="shared" si="40"/>
        <v>0.14499910796611398</v>
      </c>
      <c r="H202" s="23">
        <f t="shared" si="44"/>
        <v>0</v>
      </c>
      <c r="I202" s="24">
        <f t="shared" si="44"/>
        <v>0</v>
      </c>
      <c r="J202" s="32" t="str" cm="1">
        <f t="array" ref="J202">IFERROR(_xlfn.IFS(B202="044 - BLEND TRADICION","BLEND",B202="113 - CAFÉ GOURMET","GOURMET",B202="114 - CAFÉ CONSUMO","CONSUMO",B202="112 - CAFÉ ORGANICO","GOURMET",B202="172 - CAFÉ COSECHA","ESPECIALES",B202="176 - CAFE DESCAFEINADO","GOURMET",B202="147 - CAPSULAS","CAPSULAS",B202="130 - GALLETAS CAFECITAS","DERIVADOS",B202="140 - MERENGUES","DERIVADOS",B202="100 - CAFÉ ESPECIAL","ESPECIALES",B202="141 - AREQUIPE","DERIVADOS",B202="142 - MERMELADA","DERIVADOS",B202="131 - GALLETAS AVENA","DERIVADOS",B202="160 - SOUVENIR","OTROS",B202="148 - CARAMELOS","DERIVADOS",B202="143 - CHOCOFFES","DERIVADOS",B202="162 - CONVENIOS Y DSC POS ","OTROS"),"OTROS")</f>
        <v>ESPECIALES</v>
      </c>
      <c r="K202" s="62"/>
      <c r="L202" s="27">
        <f t="shared" si="41"/>
        <v>1798709</v>
      </c>
      <c r="M202" s="27">
        <f t="shared" si="42"/>
        <v>1798709</v>
      </c>
    </row>
    <row r="203" spans="1:13" ht="16.5" hidden="1" outlineLevel="1">
      <c r="A203" s="38"/>
      <c r="B203" s="39" t="s">
        <v>30</v>
      </c>
      <c r="C203" s="36">
        <v>1834602</v>
      </c>
      <c r="D203" s="36">
        <v>0</v>
      </c>
      <c r="E203" s="36"/>
      <c r="F203" s="36">
        <v>2157922.35</v>
      </c>
      <c r="G203" s="37">
        <f t="shared" si="40"/>
        <v>0.8501705355616711</v>
      </c>
      <c r="H203" s="23">
        <f t="shared" si="44"/>
        <v>0</v>
      </c>
      <c r="I203" s="24">
        <f t="shared" si="44"/>
        <v>0</v>
      </c>
      <c r="J203" s="32" t="str" cm="1">
        <f t="array" ref="J203">IFERROR(_xlfn.IFS(B203="044 - BLEND TRADICION","BLEND",B203="113 - CAFÉ GOURMET","GOURMET",B203="114 - CAFÉ CONSUMO","CONSUMO",B203="112 - CAFÉ ORGANICO","GOURMET",B203="172 - CAFÉ COSECHA","ESPECIALES",B203="176 - CAFE DESCAFEINADO","GOURMET",B203="147 - CAPSULAS","CAPSULAS",B203="130 - GALLETAS CAFECITAS","DERIVADOS",B203="140 - MERENGUES","DERIVADOS",B203="100 - CAFÉ ESPECIAL","ESPECIALES",B203="141 - AREQUIPE","DERIVADOS",B203="142 - MERMELADA","DERIVADOS",B203="131 - GALLETAS AVENA","DERIVADOS",B203="160 - SOUVENIR","OTROS",B203="148 - CARAMELOS","DERIVADOS",B203="143 - CHOCOFFES","DERIVADOS",B203="162 - CONVENIOS Y DSC POS ","OTROS"),"OTROS")</f>
        <v>GOURMET</v>
      </c>
      <c r="K203" s="62"/>
      <c r="L203" s="27">
        <f t="shared" si="41"/>
        <v>1834602</v>
      </c>
      <c r="M203" s="27">
        <f t="shared" si="42"/>
        <v>1834602</v>
      </c>
    </row>
    <row r="204" spans="1:13" ht="16.5" hidden="1" outlineLevel="1">
      <c r="A204" s="38"/>
      <c r="B204" s="39" t="s">
        <v>31</v>
      </c>
      <c r="C204" s="36">
        <v>12000</v>
      </c>
      <c r="D204" s="36">
        <v>0</v>
      </c>
      <c r="E204" s="36"/>
      <c r="F204" s="36">
        <v>0</v>
      </c>
      <c r="G204" s="37" t="str">
        <f t="shared" si="40"/>
        <v>-</v>
      </c>
      <c r="H204" s="23">
        <f t="shared" si="44"/>
        <v>0</v>
      </c>
      <c r="I204" s="24">
        <f t="shared" si="44"/>
        <v>0</v>
      </c>
      <c r="J204" s="32" t="str" cm="1">
        <f t="array" ref="J204">IFERROR(_xlfn.IFS(B204="044 - BLEND TRADICION","BLEND",B204="113 - CAFÉ GOURMET","GOURMET",B204="114 - CAFÉ CONSUMO","CONSUMO",B204="112 - CAFÉ ORGANICO","GOURMET",B204="172 - CAFÉ COSECHA","ESPECIALES",B204="176 - CAFE DESCAFEINADO","GOURMET",B204="147 - CAPSULAS","CAPSULAS",B204="130 - GALLETAS CAFECITAS","DERIVADOS",B204="140 - MERENGUES","DERIVADOS",B204="100 - CAFÉ ESPECIAL","ESPECIALES",B204="141 - AREQUIPE","DERIVADOS",B204="142 - MERMELADA","DERIVADOS",B204="131 - GALLETAS AVENA","DERIVADOS",B204="160 - SOUVENIR","OTROS",B204="148 - CARAMELOS","DERIVADOS",B204="143 - CHOCOFFES","DERIVADOS",B204="162 - CONVENIOS Y DSC POS ","OTROS"),"OTROS")</f>
        <v>OTROS</v>
      </c>
      <c r="K204" s="62"/>
      <c r="L204" s="27">
        <f t="shared" si="41"/>
        <v>12000</v>
      </c>
      <c r="M204" s="27">
        <f t="shared" si="42"/>
        <v>12000</v>
      </c>
    </row>
    <row r="205" spans="1:13" ht="16.5" hidden="1" outlineLevel="1">
      <c r="A205" s="19" t="s">
        <v>56</v>
      </c>
      <c r="B205" s="56" t="s">
        <v>32</v>
      </c>
      <c r="C205" s="54">
        <f>SUM(C191:C204)</f>
        <v>52777173</v>
      </c>
      <c r="D205" s="54">
        <f>SUM(D191:D204)</f>
        <v>0</v>
      </c>
      <c r="E205" s="54">
        <f>SUM(E191:E204)</f>
        <v>0</v>
      </c>
      <c r="F205" s="58">
        <f>SUM(F191:F204)</f>
        <v>251466278.25</v>
      </c>
      <c r="G205" s="55">
        <f t="shared" si="40"/>
        <v>0.20987773536589494</v>
      </c>
      <c r="H205" s="23">
        <f t="shared" si="44"/>
        <v>0</v>
      </c>
      <c r="I205" s="24">
        <f t="shared" si="44"/>
        <v>0</v>
      </c>
      <c r="J205" s="32" t="str" cm="1">
        <f t="array" ref="J205">IFERROR(_xlfn.IFS(B205="044 - BLEND TRADICION","BLEND",B205="113 - CAFÉ GOURMET","GOURMET",B205="114 - CAFÉ CONSUMO","CONSUMO",B205="112 - CAFÉ ORGANICO","GOURMET",B205="172 - CAFÉ COSECHA","ESPECIALES",B205="176 - CAFE DESCAFEINADO","GOURMET",B205="147 - CAPSULAS","CAPSULAS",B205="130 - GALLETAS CAFECITAS","DERIVADOS",B205="140 - MERENGUES","DERIVADOS",B205="100 - CAFÉ ESPECIAL","ESPECIALES",B205="141 - AREQUIPE","DERIVADOS",B205="142 - MERMELADA","DERIVADOS",B205="131 - GALLETAS AVENA","DERIVADOS",B205="160 - SOUVENIR","OTROS",B205="148 - CARAMELOS","DERIVADOS",B205="143 - CHOCOFFES","DERIVADOS",B205="162 - CONVENIOS Y DSC POS ","OTROS"),"OTROS")</f>
        <v>OTROS</v>
      </c>
      <c r="K205" s="62">
        <f>C205-E205</f>
        <v>52777173</v>
      </c>
      <c r="L205" s="27">
        <f t="shared" si="41"/>
        <v>52777173</v>
      </c>
      <c r="M205" s="27">
        <f t="shared" si="42"/>
        <v>52777173</v>
      </c>
    </row>
    <row r="206" spans="1:13" ht="16.5" collapsed="1">
      <c r="A206" s="28" t="s">
        <v>57</v>
      </c>
      <c r="B206" s="29" t="s">
        <v>17</v>
      </c>
      <c r="C206" s="30">
        <f>+C221</f>
        <v>67652561</v>
      </c>
      <c r="D206" s="30">
        <f>+D221</f>
        <v>0</v>
      </c>
      <c r="E206" s="30">
        <f>+E221</f>
        <v>0</v>
      </c>
      <c r="F206" s="30">
        <f>+F221</f>
        <v>242185563.47000003</v>
      </c>
      <c r="G206" s="31">
        <f t="shared" si="40"/>
        <v>0.27934184032559084</v>
      </c>
      <c r="H206" s="23">
        <f t="shared" si="44"/>
        <v>0</v>
      </c>
      <c r="I206" s="24">
        <f t="shared" si="44"/>
        <v>0</v>
      </c>
      <c r="J206" s="32" t="str" cm="1">
        <f t="array" ref="J206">IFERROR(_xlfn.IFS(B206="044 - BLEND TRADICION","BLEND",B206="113 - CAFÉ GOURMET","GOURMET",B206="114 - CAFÉ CONSUMO","CONSUMO",B206="112 - CAFÉ ORGANICO","GOURMET",B206="172 - CAFÉ COSECHA","ESPECIALES",B206="176 - CAFE DESCAFEINADO","GOURMET",B206="147 - CAPSULAS","CAPSULAS",B206="130 - GALLETAS CAFECITAS","DERIVADOS",B206="140 - MERENGUES","DERIVADOS",B206="100 - CAFÉ ESPECIAL","ESPECIALES",B206="141 - AREQUIPE","DERIVADOS",B206="142 - MERMELADA","DERIVADOS",B206="131 - GALLETAS AVENA","DERIVADOS",B206="160 - SOUVENIR","OTROS",B206="148 - CARAMELOS","DERIVADOS",B206="143 - CHOCOFFES","DERIVADOS",B206="162 - CONVENIOS Y DSC POS ","OTROS"),"OTROS")</f>
        <v>OTROS</v>
      </c>
      <c r="K206" s="62">
        <f>C206-E206</f>
        <v>67652561</v>
      </c>
      <c r="L206" s="27">
        <f t="shared" si="41"/>
        <v>67652561</v>
      </c>
      <c r="M206" s="27">
        <f t="shared" si="42"/>
        <v>67652561</v>
      </c>
    </row>
    <row r="207" spans="1:13" ht="15.75" hidden="1" customHeight="1" outlineLevel="1">
      <c r="A207" s="44"/>
      <c r="B207" s="45" t="s">
        <v>34</v>
      </c>
      <c r="C207" s="46">
        <v>71575</v>
      </c>
      <c r="D207" s="46">
        <v>0</v>
      </c>
      <c r="E207" s="46"/>
      <c r="F207" s="46">
        <v>183711.31</v>
      </c>
      <c r="G207" s="37">
        <f t="shared" si="40"/>
        <v>0.38960584408221793</v>
      </c>
      <c r="H207" s="23">
        <f t="shared" si="44"/>
        <v>0</v>
      </c>
      <c r="I207" s="24">
        <f t="shared" si="44"/>
        <v>0</v>
      </c>
      <c r="J207" s="32" t="str" cm="1">
        <f t="array" ref="J207">IFERROR(_xlfn.IFS(B207="044 - BLEND TRADICION","BLEND",B207="113 - CAFÉ GOURMET","GOURMET",B207="114 - CAFÉ CONSUMO","CONSUMO",B207="112 - CAFÉ ORGANICO","GOURMET",B207="172 - CAFÉ COSECHA","ESPECIALES",B207="176 - CAFE DESCAFEINADO","GOURMET",B207="147 - CAPSULAS","CAPSULAS",B207="130 - GALLETAS CAFECITAS","DERIVADOS",B207="140 - MERENGUES","DERIVADOS",B207="100 - CAFÉ ESPECIAL","ESPECIALES",B207="141 - AREQUIPE","DERIVADOS",B207="142 - MERMELADA","DERIVADOS",B207="131 - GALLETAS AVENA","DERIVADOS",B207="160 - SOUVENIR","OTROS",B207="148 - CARAMELOS","DERIVADOS",B207="143 - CHOCOFFES","DERIVADOS",B207="162 - CONVENIOS Y DSC POS ","OTROS"),"OTROS")</f>
        <v>OTROS</v>
      </c>
      <c r="K207" s="62">
        <f>C207-E207</f>
        <v>71575</v>
      </c>
      <c r="L207" s="27">
        <f t="shared" si="41"/>
        <v>71575</v>
      </c>
      <c r="M207" s="27">
        <f t="shared" si="42"/>
        <v>71575</v>
      </c>
    </row>
    <row r="208" spans="1:13" ht="15.75" hidden="1" customHeight="1" outlineLevel="1">
      <c r="A208" s="44"/>
      <c r="B208" s="45" t="s">
        <v>18</v>
      </c>
      <c r="C208" s="46">
        <v>1954400</v>
      </c>
      <c r="D208" s="46">
        <v>0</v>
      </c>
      <c r="E208" s="46"/>
      <c r="F208" s="46">
        <v>22057449.760000002</v>
      </c>
      <c r="G208" s="37">
        <f t="shared" si="40"/>
        <v>8.8604984767740438E-2</v>
      </c>
      <c r="H208" s="23">
        <f t="shared" si="44"/>
        <v>0</v>
      </c>
      <c r="I208" s="24">
        <f t="shared" si="44"/>
        <v>0</v>
      </c>
      <c r="J208" s="32" t="str" cm="1">
        <f t="array" ref="J208">IFERROR(_xlfn.IFS(B208="044 - BLEND TRADICION","BLEND",B208="113 - CAFÉ GOURMET","GOURMET",B208="114 - CAFÉ CONSUMO","CONSUMO",B208="112 - CAFÉ ORGANICO","GOURMET",B208="172 - CAFÉ COSECHA","ESPECIALES",B208="176 - CAFE DESCAFEINADO","GOURMET",B208="147 - CAPSULAS","CAPSULAS",B208="130 - GALLETAS CAFECITAS","DERIVADOS",B208="140 - MERENGUES","DERIVADOS",B208="100 - CAFÉ ESPECIAL","ESPECIALES",B208="141 - AREQUIPE","DERIVADOS",B208="142 - MERMELADA","DERIVADOS",B208="131 - GALLETAS AVENA","DERIVADOS",B208="160 - SOUVENIR","OTROS",B208="148 - CARAMELOS","DERIVADOS",B208="143 - CHOCOFFES","DERIVADOS",B208="162 - CONVENIOS Y DSC POS ","OTROS"),"OTROS")</f>
        <v>BLEND</v>
      </c>
      <c r="K208" s="62">
        <f>C208-E208</f>
        <v>1954400</v>
      </c>
      <c r="L208" s="27">
        <f t="shared" si="41"/>
        <v>1954400</v>
      </c>
      <c r="M208" s="27">
        <f t="shared" si="42"/>
        <v>1954400</v>
      </c>
    </row>
    <row r="209" spans="1:13" ht="15.75" hidden="1" customHeight="1" outlineLevel="1">
      <c r="A209" s="44"/>
      <c r="B209" s="45" t="s">
        <v>19</v>
      </c>
      <c r="C209" s="46">
        <v>1913749</v>
      </c>
      <c r="D209" s="46">
        <v>0</v>
      </c>
      <c r="E209" s="46"/>
      <c r="F209" s="46">
        <v>4724786.33</v>
      </c>
      <c r="G209" s="37">
        <f t="shared" si="40"/>
        <v>0.40504455997272576</v>
      </c>
      <c r="H209" s="23">
        <f t="shared" si="44"/>
        <v>0</v>
      </c>
      <c r="I209" s="24">
        <f t="shared" si="44"/>
        <v>0</v>
      </c>
      <c r="J209" s="32" t="str" cm="1">
        <f t="array" ref="J209">IFERROR(_xlfn.IFS(B209="044 - BLEND TRADICION","BLEND",B209="113 - CAFÉ GOURMET","GOURMET",B209="114 - CAFÉ CONSUMO","CONSUMO",B209="112 - CAFÉ ORGANICO","GOURMET",B209="172 - CAFÉ COSECHA","ESPECIALES",B209="176 - CAFE DESCAFEINADO","GOURMET",B209="147 - CAPSULAS","CAPSULAS",B209="130 - GALLETAS CAFECITAS","DERIVADOS",B209="140 - MERENGUES","DERIVADOS",B209="100 - CAFÉ ESPECIAL","ESPECIALES",B209="141 - AREQUIPE","DERIVADOS",B209="142 - MERMELADA","DERIVADOS",B209="131 - GALLETAS AVENA","DERIVADOS",B209="160 - SOUVENIR","OTROS",B209="148 - CARAMELOS","DERIVADOS",B209="143 - CHOCOFFES","DERIVADOS",B209="162 - CONVENIOS Y DSC POS ","OTROS"),"OTROS")</f>
        <v>ESPECIALES</v>
      </c>
      <c r="K209" s="62"/>
      <c r="L209" s="27">
        <f t="shared" si="41"/>
        <v>1913749</v>
      </c>
      <c r="M209" s="27">
        <f t="shared" si="42"/>
        <v>1913749</v>
      </c>
    </row>
    <row r="210" spans="1:13" ht="15.75" hidden="1" customHeight="1" outlineLevel="1">
      <c r="A210" s="44"/>
      <c r="B210" s="45" t="s">
        <v>20</v>
      </c>
      <c r="C210" s="46">
        <v>2464560</v>
      </c>
      <c r="D210" s="46">
        <v>0</v>
      </c>
      <c r="E210" s="46"/>
      <c r="F210" s="46">
        <v>4267385.9800000004</v>
      </c>
      <c r="G210" s="37">
        <f t="shared" si="40"/>
        <v>0.57753388410391693</v>
      </c>
      <c r="H210" s="23">
        <f t="shared" si="44"/>
        <v>0</v>
      </c>
      <c r="I210" s="24">
        <f t="shared" si="44"/>
        <v>0</v>
      </c>
      <c r="J210" s="32" t="str" cm="1">
        <f t="array" ref="J210">IFERROR(_xlfn.IFS(B210="044 - BLEND TRADICION","BLEND",B210="113 - CAFÉ GOURMET","GOURMET",B210="114 - CAFÉ CONSUMO","CONSUMO",B210="112 - CAFÉ ORGANICO","GOURMET",B210="172 - CAFÉ COSECHA","ESPECIALES",B210="176 - CAFE DESCAFEINADO","GOURMET",B210="147 - CAPSULAS","CAPSULAS",B210="130 - GALLETAS CAFECITAS","DERIVADOS",B210="140 - MERENGUES","DERIVADOS",B210="100 - CAFÉ ESPECIAL","ESPECIALES",B210="141 - AREQUIPE","DERIVADOS",B210="142 - MERMELADA","DERIVADOS",B210="131 - GALLETAS AVENA","DERIVADOS",B210="160 - SOUVENIR","OTROS",B210="148 - CARAMELOS","DERIVADOS",B210="143 - CHOCOFFES","DERIVADOS",B210="162 - CONVENIOS Y DSC POS ","OTROS"),"OTROS")</f>
        <v>GOURMET</v>
      </c>
      <c r="K210" s="62"/>
      <c r="L210" s="27">
        <f t="shared" si="41"/>
        <v>2464560</v>
      </c>
      <c r="M210" s="27">
        <f t="shared" si="42"/>
        <v>2464560</v>
      </c>
    </row>
    <row r="211" spans="1:13" ht="15.75" hidden="1" customHeight="1" outlineLevel="1">
      <c r="A211" s="44"/>
      <c r="B211" s="45" t="s">
        <v>21</v>
      </c>
      <c r="C211" s="46">
        <v>39993948</v>
      </c>
      <c r="D211" s="46">
        <v>0</v>
      </c>
      <c r="E211" s="46"/>
      <c r="F211" s="46">
        <v>156321504.86000001</v>
      </c>
      <c r="G211" s="37">
        <f t="shared" ref="G211:G265" si="51">IFERROR(C211/F211*100%,"-")</f>
        <v>0.25584418494319244</v>
      </c>
      <c r="H211" s="23">
        <f t="shared" si="44"/>
        <v>0</v>
      </c>
      <c r="I211" s="24">
        <f t="shared" si="44"/>
        <v>0</v>
      </c>
      <c r="J211" s="32" t="str" cm="1">
        <f t="array" ref="J211">IFERROR(_xlfn.IFS(B211="044 - BLEND TRADICION","BLEND",B211="113 - CAFÉ GOURMET","GOURMET",B211="114 - CAFÉ CONSUMO","CONSUMO",B211="112 - CAFÉ ORGANICO","GOURMET",B211="172 - CAFÉ COSECHA","ESPECIALES",B211="176 - CAFE DESCAFEINADO","GOURMET",B211="147 - CAPSULAS","CAPSULAS",B211="130 - GALLETAS CAFECITAS","DERIVADOS",B211="140 - MERENGUES","DERIVADOS",B211="100 - CAFÉ ESPECIAL","ESPECIALES",B211="141 - AREQUIPE","DERIVADOS",B211="142 - MERMELADA","DERIVADOS",B211="131 - GALLETAS AVENA","DERIVADOS",B211="160 - SOUVENIR","OTROS",B211="148 - CARAMELOS","DERIVADOS",B211="143 - CHOCOFFES","DERIVADOS",B211="162 - CONVENIOS Y DSC POS ","OTROS"),"OTROS")</f>
        <v>GOURMET</v>
      </c>
      <c r="K211" s="62">
        <f t="shared" ref="K211" si="52">C211-E211</f>
        <v>39993948</v>
      </c>
      <c r="L211" s="27">
        <f t="shared" si="41"/>
        <v>39993948</v>
      </c>
      <c r="M211" s="27">
        <f t="shared" si="42"/>
        <v>39993948</v>
      </c>
    </row>
    <row r="212" spans="1:13" ht="15.75" hidden="1" customHeight="1" outlineLevel="1">
      <c r="A212" s="44"/>
      <c r="B212" s="45" t="s">
        <v>22</v>
      </c>
      <c r="C212" s="46">
        <v>953165</v>
      </c>
      <c r="D212" s="46">
        <v>0</v>
      </c>
      <c r="E212" s="46"/>
      <c r="F212" s="46">
        <v>7161969.0599999996</v>
      </c>
      <c r="G212" s="37">
        <f t="shared" si="51"/>
        <v>0.13308700331079062</v>
      </c>
      <c r="H212" s="23">
        <f t="shared" si="44"/>
        <v>0</v>
      </c>
      <c r="I212" s="24">
        <f t="shared" si="44"/>
        <v>0</v>
      </c>
      <c r="J212" s="32" t="str" cm="1">
        <f t="array" ref="J212">IFERROR(_xlfn.IFS(B212="044 - BLEND TRADICION","BLEND",B212="113 - CAFÉ GOURMET","GOURMET",B212="114 - CAFÉ CONSUMO","CONSUMO",B212="112 - CAFÉ ORGANICO","GOURMET",B212="172 - CAFÉ COSECHA","ESPECIALES",B212="176 - CAFE DESCAFEINADO","GOURMET",B212="147 - CAPSULAS","CAPSULAS",B212="130 - GALLETAS CAFECITAS","DERIVADOS",B212="140 - MERENGUES","DERIVADOS",B212="100 - CAFÉ ESPECIAL","ESPECIALES",B212="141 - AREQUIPE","DERIVADOS",B212="142 - MERMELADA","DERIVADOS",B212="131 - GALLETAS AVENA","DERIVADOS",B212="160 - SOUVENIR","OTROS",B212="148 - CARAMELOS","DERIVADOS",B212="143 - CHOCOFFES","DERIVADOS",B212="162 - CONVENIOS Y DSC POS ","OTROS"),"OTROS")</f>
        <v>DERIVADOS</v>
      </c>
      <c r="K212" s="62"/>
      <c r="L212" s="27">
        <f t="shared" si="41"/>
        <v>953165</v>
      </c>
      <c r="M212" s="27">
        <f t="shared" si="42"/>
        <v>953165</v>
      </c>
    </row>
    <row r="213" spans="1:13" ht="15.75" hidden="1" customHeight="1" outlineLevel="1">
      <c r="A213" s="44"/>
      <c r="B213" s="45" t="s">
        <v>23</v>
      </c>
      <c r="C213" s="46">
        <v>0</v>
      </c>
      <c r="D213" s="46">
        <v>0</v>
      </c>
      <c r="E213" s="46"/>
      <c r="F213" s="46">
        <v>19945.96</v>
      </c>
      <c r="G213" s="37">
        <f t="shared" si="51"/>
        <v>0</v>
      </c>
      <c r="H213" s="23">
        <f t="shared" si="44"/>
        <v>0</v>
      </c>
      <c r="I213" s="24">
        <f t="shared" si="44"/>
        <v>0</v>
      </c>
      <c r="J213" s="32" t="str" cm="1">
        <f t="array" ref="J213">IFERROR(_xlfn.IFS(B213="044 - BLEND TRADICION","BLEND",B213="113 - CAFÉ GOURMET","GOURMET",B213="114 - CAFÉ CONSUMO","CONSUMO",B213="112 - CAFÉ ORGANICO","GOURMET",B213="172 - CAFÉ COSECHA","ESPECIALES",B213="176 - CAFE DESCAFEINADO","GOURMET",B213="147 - CAPSULAS","CAPSULAS",B213="130 - GALLETAS CAFECITAS","DERIVADOS",B213="140 - MERENGUES","DERIVADOS",B213="100 - CAFÉ ESPECIAL","ESPECIALES",B213="141 - AREQUIPE","DERIVADOS",B213="142 - MERMELADA","DERIVADOS",B213="131 - GALLETAS AVENA","DERIVADOS",B213="160 - SOUVENIR","OTROS",B213="148 - CARAMELOS","DERIVADOS",B213="143 - CHOCOFFES","DERIVADOS",B213="162 - CONVENIOS Y DSC POS ","OTROS"),"OTROS")</f>
        <v>DERIVADOS</v>
      </c>
      <c r="K213" s="62"/>
      <c r="L213" s="27">
        <f t="shared" si="41"/>
        <v>0</v>
      </c>
      <c r="M213" s="27">
        <f t="shared" si="42"/>
        <v>0</v>
      </c>
    </row>
    <row r="214" spans="1:13" ht="15.75" hidden="1" customHeight="1" outlineLevel="1">
      <c r="A214" s="44"/>
      <c r="B214" s="45" t="s">
        <v>24</v>
      </c>
      <c r="C214" s="46">
        <v>91104</v>
      </c>
      <c r="D214" s="46">
        <v>0</v>
      </c>
      <c r="E214" s="46"/>
      <c r="F214" s="46">
        <v>1393477.12</v>
      </c>
      <c r="G214" s="37">
        <f t="shared" si="51"/>
        <v>6.537889908088336E-2</v>
      </c>
      <c r="H214" s="23">
        <f t="shared" si="44"/>
        <v>0</v>
      </c>
      <c r="I214" s="24">
        <f t="shared" si="44"/>
        <v>0</v>
      </c>
      <c r="J214" s="32" t="str" cm="1">
        <f t="array" ref="J214">IFERROR(_xlfn.IFS(B214="044 - BLEND TRADICION","BLEND",B214="113 - CAFÉ GOURMET","GOURMET",B214="114 - CAFÉ CONSUMO","CONSUMO",B214="112 - CAFÉ ORGANICO","GOURMET",B214="172 - CAFÉ COSECHA","ESPECIALES",B214="176 - CAFE DESCAFEINADO","GOURMET",B214="147 - CAPSULAS","CAPSULAS",B214="130 - GALLETAS CAFECITAS","DERIVADOS",B214="140 - MERENGUES","DERIVADOS",B214="100 - CAFÉ ESPECIAL","ESPECIALES",B214="141 - AREQUIPE","DERIVADOS",B214="142 - MERMELADA","DERIVADOS",B214="131 - GALLETAS AVENA","DERIVADOS",B214="160 - SOUVENIR","OTROS",B214="148 - CARAMELOS","DERIVADOS",B214="143 - CHOCOFFES","DERIVADOS",B214="162 - CONVENIOS Y DSC POS ","OTROS"),"OTROS")</f>
        <v>DERIVADOS</v>
      </c>
      <c r="K214" s="62">
        <f t="shared" ref="K214" si="53">C214-E214</f>
        <v>91104</v>
      </c>
      <c r="L214" s="27">
        <f t="shared" si="41"/>
        <v>91104</v>
      </c>
      <c r="M214" s="27">
        <f t="shared" si="42"/>
        <v>91104</v>
      </c>
    </row>
    <row r="215" spans="1:13" ht="15.75" hidden="1" customHeight="1" outlineLevel="1">
      <c r="A215" s="44"/>
      <c r="B215" s="45" t="s">
        <v>25</v>
      </c>
      <c r="C215" s="46">
        <v>707573</v>
      </c>
      <c r="D215" s="46">
        <v>0</v>
      </c>
      <c r="E215" s="46"/>
      <c r="F215" s="46">
        <v>2683173.4900000002</v>
      </c>
      <c r="G215" s="37">
        <f t="shared" si="51"/>
        <v>0.26370751002015896</v>
      </c>
      <c r="H215" s="23">
        <f t="shared" si="44"/>
        <v>0</v>
      </c>
      <c r="I215" s="24">
        <f t="shared" si="44"/>
        <v>0</v>
      </c>
      <c r="J215" s="32" t="str" cm="1">
        <f t="array" ref="J215">IFERROR(_xlfn.IFS(B215="044 - BLEND TRADICION","BLEND",B215="113 - CAFÉ GOURMET","GOURMET",B215="114 - CAFÉ CONSUMO","CONSUMO",B215="112 - CAFÉ ORGANICO","GOURMET",B215="172 - CAFÉ COSECHA","ESPECIALES",B215="176 - CAFE DESCAFEINADO","GOURMET",B215="147 - CAPSULAS","CAPSULAS",B215="130 - GALLETAS CAFECITAS","DERIVADOS",B215="140 - MERENGUES","DERIVADOS",B215="100 - CAFÉ ESPECIAL","ESPECIALES",B215="141 - AREQUIPE","DERIVADOS",B215="142 - MERMELADA","DERIVADOS",B215="131 - GALLETAS AVENA","DERIVADOS",B215="160 - SOUVENIR","OTROS",B215="148 - CARAMELOS","DERIVADOS",B215="143 - CHOCOFFES","DERIVADOS",B215="162 - CONVENIOS Y DSC POS ","OTROS"),"OTROS")</f>
        <v>DERIVADOS</v>
      </c>
      <c r="K215" s="62"/>
      <c r="L215" s="27">
        <f t="shared" si="41"/>
        <v>707573</v>
      </c>
      <c r="M215" s="27">
        <f t="shared" si="42"/>
        <v>707573</v>
      </c>
    </row>
    <row r="216" spans="1:13" ht="15.75" hidden="1" customHeight="1" outlineLevel="1">
      <c r="A216" s="44"/>
      <c r="B216" s="45" t="s">
        <v>26</v>
      </c>
      <c r="C216" s="46">
        <v>7625161</v>
      </c>
      <c r="D216" s="46">
        <v>0</v>
      </c>
      <c r="E216" s="46"/>
      <c r="F216" s="46">
        <v>14923818.029999999</v>
      </c>
      <c r="G216" s="37">
        <f t="shared" si="51"/>
        <v>0.51093902275354941</v>
      </c>
      <c r="H216" s="23">
        <f t="shared" si="44"/>
        <v>0</v>
      </c>
      <c r="I216" s="24">
        <f t="shared" si="44"/>
        <v>0</v>
      </c>
      <c r="J216" s="32" t="str" cm="1">
        <f t="array" ref="J216">IFERROR(_xlfn.IFS(B216="044 - BLEND TRADICION","BLEND",B216="113 - CAFÉ GOURMET","GOURMET",B216="114 - CAFÉ CONSUMO","CONSUMO",B216="112 - CAFÉ ORGANICO","GOURMET",B216="172 - CAFÉ COSECHA","ESPECIALES",B216="176 - CAFE DESCAFEINADO","GOURMET",B216="147 - CAPSULAS","CAPSULAS",B216="130 - GALLETAS CAFECITAS","DERIVADOS",B216="140 - MERENGUES","DERIVADOS",B216="100 - CAFÉ ESPECIAL","ESPECIALES",B216="141 - AREQUIPE","DERIVADOS",B216="142 - MERMELADA","DERIVADOS",B216="131 - GALLETAS AVENA","DERIVADOS",B216="160 - SOUVENIR","OTROS",B216="148 - CARAMELOS","DERIVADOS",B216="143 - CHOCOFFES","DERIVADOS",B216="162 - CONVENIOS Y DSC POS ","OTROS"),"OTROS")</f>
        <v>CAPSULAS</v>
      </c>
      <c r="K216" s="62"/>
      <c r="L216" s="27">
        <f t="shared" si="41"/>
        <v>7625161</v>
      </c>
      <c r="M216" s="27">
        <f t="shared" si="42"/>
        <v>7625161</v>
      </c>
    </row>
    <row r="217" spans="1:13" ht="15.75" hidden="1" customHeight="1" outlineLevel="1">
      <c r="A217" s="44"/>
      <c r="B217" s="45" t="s">
        <v>27</v>
      </c>
      <c r="C217" s="46">
        <v>1019132</v>
      </c>
      <c r="D217" s="46">
        <v>0</v>
      </c>
      <c r="E217" s="46"/>
      <c r="F217" s="46">
        <v>3692134.82</v>
      </c>
      <c r="G217" s="37">
        <f t="shared" si="51"/>
        <v>0.2760278401751321</v>
      </c>
      <c r="H217" s="23">
        <f t="shared" si="44"/>
        <v>0</v>
      </c>
      <c r="I217" s="24">
        <f t="shared" si="44"/>
        <v>0</v>
      </c>
      <c r="J217" s="32" t="str" cm="1">
        <f t="array" ref="J217">IFERROR(_xlfn.IFS(B217="044 - BLEND TRADICION","BLEND",B217="113 - CAFÉ GOURMET","GOURMET",B217="114 - CAFÉ CONSUMO","CONSUMO",B217="112 - CAFÉ ORGANICO","GOURMET",B217="172 - CAFÉ COSECHA","ESPECIALES",B217="176 - CAFE DESCAFEINADO","GOURMET",B217="147 - CAPSULAS","CAPSULAS",B217="130 - GALLETAS CAFECITAS","DERIVADOS",B217="140 - MERENGUES","DERIVADOS",B217="100 - CAFÉ ESPECIAL","ESPECIALES",B217="141 - AREQUIPE","DERIVADOS",B217="142 - MERMELADA","DERIVADOS",B217="131 - GALLETAS AVENA","DERIVADOS",B217="160 - SOUVENIR","OTROS",B217="148 - CARAMELOS","DERIVADOS",B217="143 - CHOCOFFES","DERIVADOS",B217="162 - CONVENIOS Y DSC POS ","OTROS"),"OTROS")</f>
        <v>DERIVADOS</v>
      </c>
      <c r="K217" s="62">
        <f t="shared" ref="K217" si="54">C217-E217</f>
        <v>1019132</v>
      </c>
      <c r="L217" s="27">
        <f t="shared" si="41"/>
        <v>1019132</v>
      </c>
      <c r="M217" s="27">
        <f t="shared" si="42"/>
        <v>1019132</v>
      </c>
    </row>
    <row r="218" spans="1:13" ht="15.75" hidden="1" customHeight="1" outlineLevel="1">
      <c r="A218" s="44"/>
      <c r="B218" s="45" t="s">
        <v>28</v>
      </c>
      <c r="C218" s="46">
        <v>4721336</v>
      </c>
      <c r="D218" s="46">
        <v>0</v>
      </c>
      <c r="E218" s="46"/>
      <c r="F218" s="46">
        <v>11283255.869999999</v>
      </c>
      <c r="G218" s="37">
        <f t="shared" si="51"/>
        <v>0.4184373778629909</v>
      </c>
      <c r="H218" s="23">
        <f t="shared" si="44"/>
        <v>0</v>
      </c>
      <c r="I218" s="24">
        <f t="shared" si="44"/>
        <v>0</v>
      </c>
      <c r="J218" s="32" t="str" cm="1">
        <f t="array" ref="J218">IFERROR(_xlfn.IFS(B218="044 - BLEND TRADICION","BLEND",B218="113 - CAFÉ GOURMET","GOURMET",B218="114 - CAFÉ CONSUMO","CONSUMO",B218="112 - CAFÉ ORGANICO","GOURMET",B218="172 - CAFÉ COSECHA","ESPECIALES",B218="176 - CAFE DESCAFEINADO","GOURMET",B218="147 - CAPSULAS","CAPSULAS",B218="130 - GALLETAS CAFECITAS","DERIVADOS",B218="140 - MERENGUES","DERIVADOS",B218="100 - CAFÉ ESPECIAL","ESPECIALES",B218="141 - AREQUIPE","DERIVADOS",B218="142 - MERMELADA","DERIVADOS",B218="131 - GALLETAS AVENA","DERIVADOS",B218="160 - SOUVENIR","OTROS",B218="148 - CARAMELOS","DERIVADOS",B218="143 - CHOCOFFES","DERIVADOS",B218="162 - CONVENIOS Y DSC POS ","OTROS"),"OTROS")</f>
        <v>OTROS</v>
      </c>
      <c r="K218" s="62"/>
      <c r="L218" s="27">
        <f t="shared" si="41"/>
        <v>4721336</v>
      </c>
      <c r="M218" s="27">
        <f t="shared" si="42"/>
        <v>4721336</v>
      </c>
    </row>
    <row r="219" spans="1:13" ht="15.75" hidden="1" customHeight="1" outlineLevel="1">
      <c r="A219" s="44"/>
      <c r="B219" s="45" t="s">
        <v>29</v>
      </c>
      <c r="C219" s="46">
        <v>6136858</v>
      </c>
      <c r="D219" s="46">
        <v>0</v>
      </c>
      <c r="E219" s="46"/>
      <c r="F219" s="46">
        <v>12790414.619999999</v>
      </c>
      <c r="G219" s="37">
        <f t="shared" si="51"/>
        <v>0.47980133422758431</v>
      </c>
      <c r="H219" s="23">
        <f t="shared" si="44"/>
        <v>0</v>
      </c>
      <c r="I219" s="24">
        <f t="shared" si="44"/>
        <v>0</v>
      </c>
      <c r="J219" s="32" t="str" cm="1">
        <f t="array" ref="J219">IFERROR(_xlfn.IFS(B219="044 - BLEND TRADICION","BLEND",B219="113 - CAFÉ GOURMET","GOURMET",B219="114 - CAFÉ CONSUMO","CONSUMO",B219="112 - CAFÉ ORGANICO","GOURMET",B219="172 - CAFÉ COSECHA","ESPECIALES",B219="176 - CAFE DESCAFEINADO","GOURMET",B219="147 - CAPSULAS","CAPSULAS",B219="130 - GALLETAS CAFECITAS","DERIVADOS",B219="140 - MERENGUES","DERIVADOS",B219="100 - CAFÉ ESPECIAL","ESPECIALES",B219="141 - AREQUIPE","DERIVADOS",B219="142 - MERMELADA","DERIVADOS",B219="131 - GALLETAS AVENA","DERIVADOS",B219="160 - SOUVENIR","OTROS",B219="148 - CARAMELOS","DERIVADOS",B219="143 - CHOCOFFES","DERIVADOS",B219="162 - CONVENIOS Y DSC POS ","OTROS"),"OTROS")</f>
        <v>ESPECIALES</v>
      </c>
      <c r="K219" s="62"/>
      <c r="L219" s="27">
        <f t="shared" si="41"/>
        <v>6136858</v>
      </c>
      <c r="M219" s="27">
        <f t="shared" si="42"/>
        <v>6136858</v>
      </c>
    </row>
    <row r="220" spans="1:13" ht="15.75" hidden="1" customHeight="1" outlineLevel="1">
      <c r="A220" s="44"/>
      <c r="B220" s="45" t="s">
        <v>30</v>
      </c>
      <c r="C220" s="46">
        <v>0</v>
      </c>
      <c r="D220" s="46">
        <v>0</v>
      </c>
      <c r="E220" s="46"/>
      <c r="F220" s="46">
        <v>682536.26</v>
      </c>
      <c r="G220" s="37">
        <f t="shared" si="51"/>
        <v>0</v>
      </c>
      <c r="H220" s="23">
        <f t="shared" si="44"/>
        <v>0</v>
      </c>
      <c r="I220" s="24">
        <f t="shared" si="44"/>
        <v>0</v>
      </c>
      <c r="J220" s="32" t="str" cm="1">
        <f t="array" ref="J220">IFERROR(_xlfn.IFS(B220="044 - BLEND TRADICION","BLEND",B220="113 - CAFÉ GOURMET","GOURMET",B220="114 - CAFÉ CONSUMO","CONSUMO",B220="112 - CAFÉ ORGANICO","GOURMET",B220="172 - CAFÉ COSECHA","ESPECIALES",B220="176 - CAFE DESCAFEINADO","GOURMET",B220="147 - CAPSULAS","CAPSULAS",B220="130 - GALLETAS CAFECITAS","DERIVADOS",B220="140 - MERENGUES","DERIVADOS",B220="100 - CAFÉ ESPECIAL","ESPECIALES",B220="141 - AREQUIPE","DERIVADOS",B220="142 - MERMELADA","DERIVADOS",B220="131 - GALLETAS AVENA","DERIVADOS",B220="160 - SOUVENIR","OTROS",B220="148 - CARAMELOS","DERIVADOS",B220="143 - CHOCOFFES","DERIVADOS",B220="162 - CONVENIOS Y DSC POS ","OTROS"),"OTROS")</f>
        <v>GOURMET</v>
      </c>
      <c r="K220" s="62">
        <f t="shared" ref="K220" si="55">C220-E220</f>
        <v>0</v>
      </c>
      <c r="L220" s="27">
        <f t="shared" si="41"/>
        <v>0</v>
      </c>
      <c r="M220" s="27">
        <f t="shared" si="42"/>
        <v>0</v>
      </c>
    </row>
    <row r="221" spans="1:13" ht="15.75" hidden="1" customHeight="1" outlineLevel="1">
      <c r="A221" s="19" t="s">
        <v>58</v>
      </c>
      <c r="B221" s="40" t="s">
        <v>32</v>
      </c>
      <c r="C221" s="41">
        <f>SUM(C207:C220)</f>
        <v>67652561</v>
      </c>
      <c r="D221" s="41">
        <f>SUM(D207:D220)</f>
        <v>0</v>
      </c>
      <c r="E221" s="41">
        <f>SUM(E207:E220)</f>
        <v>0</v>
      </c>
      <c r="F221" s="41">
        <f>SUM(F207:F220)</f>
        <v>242185563.47000003</v>
      </c>
      <c r="G221" s="42">
        <f t="shared" si="51"/>
        <v>0.27934184032559084</v>
      </c>
      <c r="H221" s="43">
        <f t="shared" si="44"/>
        <v>0</v>
      </c>
      <c r="I221" s="24">
        <f t="shared" si="44"/>
        <v>0</v>
      </c>
      <c r="J221" s="32" t="str" cm="1">
        <f t="array" ref="J221">IFERROR(_xlfn.IFS(B221="044 - BLEND TRADICION","BLEND",B221="113 - CAFÉ GOURMET","GOURMET",B221="114 - CAFÉ CONSUMO","CONSUMO",B221="112 - CAFÉ ORGANICO","GOURMET",B221="172 - CAFÉ COSECHA","ESPECIALES",B221="176 - CAFE DESCAFEINADO","GOURMET",B221="147 - CAPSULAS","CAPSULAS",B221="130 - GALLETAS CAFECITAS","DERIVADOS",B221="140 - MERENGUES","DERIVADOS",B221="100 - CAFÉ ESPECIAL","ESPECIALES",B221="141 - AREQUIPE","DERIVADOS",B221="142 - MERMELADA","DERIVADOS",B221="131 - GALLETAS AVENA","DERIVADOS",B221="160 - SOUVENIR","OTROS",B221="148 - CARAMELOS","DERIVADOS",B221="143 - CHOCOFFES","DERIVADOS",B221="162 - CONVENIOS Y DSC POS ","OTROS"),"OTROS")</f>
        <v>OTROS</v>
      </c>
      <c r="L221" s="27">
        <f t="shared" si="41"/>
        <v>67652561</v>
      </c>
      <c r="M221" s="27">
        <f t="shared" si="42"/>
        <v>67652561</v>
      </c>
    </row>
    <row r="222" spans="1:13" ht="16.5" collapsed="1">
      <c r="A222" s="28" t="s">
        <v>59</v>
      </c>
      <c r="B222" s="29" t="s">
        <v>17</v>
      </c>
      <c r="C222" s="30">
        <f>+C236</f>
        <v>63881595</v>
      </c>
      <c r="D222" s="30">
        <f>+D236</f>
        <v>0</v>
      </c>
      <c r="E222" s="30">
        <f>+E236</f>
        <v>0</v>
      </c>
      <c r="F222" s="30">
        <f>+F236</f>
        <v>278548044.25999999</v>
      </c>
      <c r="G222" s="31">
        <f t="shared" si="51"/>
        <v>0.22933779761301132</v>
      </c>
      <c r="H222" s="23">
        <f t="shared" si="44"/>
        <v>0</v>
      </c>
      <c r="I222" s="24">
        <f t="shared" si="44"/>
        <v>0</v>
      </c>
      <c r="J222" s="32" t="str" cm="1">
        <f t="array" ref="J222">IFERROR(_xlfn.IFS(B222="044 - BLEND TRADICION","BLEND",B222="113 - CAFÉ GOURMET","GOURMET",B222="114 - CAFÉ CONSUMO","CONSUMO",B222="112 - CAFÉ ORGANICO","GOURMET",B222="172 - CAFÉ COSECHA","ESPECIALES",B222="176 - CAFE DESCAFEINADO","GOURMET",B222="147 - CAPSULAS","CAPSULAS",B222="130 - GALLETAS CAFECITAS","DERIVADOS",B222="140 - MERENGUES","DERIVADOS",B222="100 - CAFÉ ESPECIAL","ESPECIALES",B222="141 - AREQUIPE","DERIVADOS",B222="142 - MERMELADA","DERIVADOS",B222="131 - GALLETAS AVENA","DERIVADOS",B222="160 - SOUVENIR","OTROS",B222="148 - CARAMELOS","DERIVADOS",B222="143 - CHOCOFFES","DERIVADOS",B222="162 - CONVENIOS Y DSC POS ","OTROS"),"OTROS")</f>
        <v>OTROS</v>
      </c>
      <c r="K222" s="6"/>
      <c r="L222" s="27">
        <f t="shared" si="41"/>
        <v>63881595</v>
      </c>
      <c r="M222" s="27">
        <f t="shared" si="42"/>
        <v>63881595</v>
      </c>
    </row>
    <row r="223" spans="1:13" ht="15.75" hidden="1" customHeight="1" outlineLevel="2">
      <c r="A223" s="33"/>
      <c r="B223" s="39" t="s">
        <v>18</v>
      </c>
      <c r="C223" s="36">
        <v>2608000</v>
      </c>
      <c r="D223" s="36">
        <v>0</v>
      </c>
      <c r="E223" s="36">
        <v>0</v>
      </c>
      <c r="F223" s="35">
        <v>12548768.83</v>
      </c>
      <c r="G223" s="37">
        <f t="shared" si="51"/>
        <v>0.20782915322857215</v>
      </c>
      <c r="H223" s="23">
        <f t="shared" si="44"/>
        <v>0</v>
      </c>
      <c r="I223" s="24">
        <f t="shared" si="44"/>
        <v>0</v>
      </c>
      <c r="J223" s="32" t="str" cm="1">
        <f t="array" ref="J223">IFERROR(_xlfn.IFS(B223="044 - BLEND TRADICION","BLEND",B223="113 - CAFÉ GOURMET","GOURMET",B223="114 - CAFÉ CONSUMO","CONSUMO",B223="112 - CAFÉ ORGANICO","GOURMET",B223="172 - CAFÉ COSECHA","ESPECIALES",B223="176 - CAFE DESCAFEINADO","GOURMET",B223="147 - CAPSULAS","CAPSULAS",B223="130 - GALLETAS CAFECITAS","DERIVADOS",B223="140 - MERENGUES","DERIVADOS",B223="100 - CAFÉ ESPECIAL","ESPECIALES",B223="141 - AREQUIPE","DERIVADOS",B223="142 - MERMELADA","DERIVADOS",B223="131 - GALLETAS AVENA","DERIVADOS",B223="160 - SOUVENIR","OTROS",B223="148 - CARAMELOS","DERIVADOS",B223="143 - CHOCOFFES","DERIVADOS",B223="162 - CONVENIOS Y DSC POS ","OTROS"),"OTROS")</f>
        <v>BLEND</v>
      </c>
      <c r="K223" s="6"/>
      <c r="L223" s="27">
        <f t="shared" ref="L223:L248" si="56">C223-(D223+E223)</f>
        <v>2608000</v>
      </c>
      <c r="M223" s="27">
        <f t="shared" ref="M223:M265" si="57">L223</f>
        <v>2608000</v>
      </c>
    </row>
    <row r="224" spans="1:13" ht="15.75" hidden="1" customHeight="1" outlineLevel="2">
      <c r="A224" s="33"/>
      <c r="B224" s="39" t="s">
        <v>19</v>
      </c>
      <c r="C224" s="36">
        <v>6791219</v>
      </c>
      <c r="D224" s="36">
        <v>0</v>
      </c>
      <c r="E224" s="36"/>
      <c r="F224" s="35">
        <v>15024939.119999999</v>
      </c>
      <c r="G224" s="37">
        <f t="shared" si="51"/>
        <v>0.45199644043549381</v>
      </c>
      <c r="H224" s="23">
        <f t="shared" si="44"/>
        <v>0</v>
      </c>
      <c r="I224" s="24">
        <f t="shared" si="44"/>
        <v>0</v>
      </c>
      <c r="J224" s="32" t="str" cm="1">
        <f t="array" ref="J224">IFERROR(_xlfn.IFS(B224="044 - BLEND TRADICION","BLEND",B224="113 - CAFÉ GOURMET","GOURMET",B224="114 - CAFÉ CONSUMO","CONSUMO",B224="112 - CAFÉ ORGANICO","GOURMET",B224="172 - CAFÉ COSECHA","ESPECIALES",B224="176 - CAFE DESCAFEINADO","GOURMET",B224="147 - CAPSULAS","CAPSULAS",B224="130 - GALLETAS CAFECITAS","DERIVADOS",B224="140 - MERENGUES","DERIVADOS",B224="100 - CAFÉ ESPECIAL","ESPECIALES",B224="141 - AREQUIPE","DERIVADOS",B224="142 - MERMELADA","DERIVADOS",B224="131 - GALLETAS AVENA","DERIVADOS",B224="160 - SOUVENIR","OTROS",B224="148 - CARAMELOS","DERIVADOS",B224="143 - CHOCOFFES","DERIVADOS",B224="162 - CONVENIOS Y DSC POS ","OTROS"),"OTROS")</f>
        <v>ESPECIALES</v>
      </c>
      <c r="K224" s="6"/>
      <c r="L224" s="27">
        <f t="shared" si="56"/>
        <v>6791219</v>
      </c>
      <c r="M224" s="27">
        <f t="shared" si="57"/>
        <v>6791219</v>
      </c>
    </row>
    <row r="225" spans="1:13" ht="15.75" hidden="1" customHeight="1" outlineLevel="2">
      <c r="A225" s="38"/>
      <c r="B225" s="39" t="s">
        <v>20</v>
      </c>
      <c r="C225" s="36">
        <v>3700606</v>
      </c>
      <c r="D225" s="36">
        <v>0</v>
      </c>
      <c r="E225" s="36">
        <v>0</v>
      </c>
      <c r="F225" s="36">
        <v>16967408.859999999</v>
      </c>
      <c r="G225" s="37">
        <f t="shared" si="51"/>
        <v>0.21810083263355748</v>
      </c>
      <c r="H225" s="23">
        <f t="shared" si="44"/>
        <v>0</v>
      </c>
      <c r="I225" s="24">
        <f t="shared" si="44"/>
        <v>0</v>
      </c>
      <c r="J225" s="32" t="str" cm="1">
        <f t="array" ref="J225">IFERROR(_xlfn.IFS(B225="044 - BLEND TRADICION","BLEND",B225="113 - CAFÉ GOURMET","GOURMET",B225="114 - CAFÉ CONSUMO","CONSUMO",B225="112 - CAFÉ ORGANICO","GOURMET",B225="172 - CAFÉ COSECHA","ESPECIALES",B225="176 - CAFE DESCAFEINADO","GOURMET",B225="147 - CAPSULAS","CAPSULAS",B225="130 - GALLETAS CAFECITAS","DERIVADOS",B225="140 - MERENGUES","DERIVADOS",B225="100 - CAFÉ ESPECIAL","ESPECIALES",B225="141 - AREQUIPE","DERIVADOS",B225="142 - MERMELADA","DERIVADOS",B225="131 - GALLETAS AVENA","DERIVADOS",B225="160 - SOUVENIR","OTROS",B225="148 - CARAMELOS","DERIVADOS",B225="143 - CHOCOFFES","DERIVADOS",B225="162 - CONVENIOS Y DSC POS ","OTROS"),"OTROS")</f>
        <v>GOURMET</v>
      </c>
      <c r="K225" s="6"/>
      <c r="L225" s="27">
        <f t="shared" si="56"/>
        <v>3700606</v>
      </c>
      <c r="M225" s="27">
        <f t="shared" si="57"/>
        <v>3700606</v>
      </c>
    </row>
    <row r="226" spans="1:13" ht="15.75" hidden="1" customHeight="1" outlineLevel="2">
      <c r="A226" s="38"/>
      <c r="B226" s="39" t="s">
        <v>21</v>
      </c>
      <c r="C226" s="36">
        <v>37979398</v>
      </c>
      <c r="D226" s="36">
        <v>0</v>
      </c>
      <c r="E226" s="36">
        <v>0</v>
      </c>
      <c r="F226" s="36">
        <v>189138509.15000001</v>
      </c>
      <c r="G226" s="37">
        <f t="shared" si="51"/>
        <v>0.2008020374628188</v>
      </c>
      <c r="H226" s="23">
        <f t="shared" si="44"/>
        <v>0</v>
      </c>
      <c r="I226" s="24">
        <f t="shared" si="44"/>
        <v>0</v>
      </c>
      <c r="J226" s="32" t="str" cm="1">
        <f t="array" ref="J226">IFERROR(_xlfn.IFS(B226="044 - BLEND TRADICION","BLEND",B226="113 - CAFÉ GOURMET","GOURMET",B226="114 - CAFÉ CONSUMO","CONSUMO",B226="112 - CAFÉ ORGANICO","GOURMET",B226="172 - CAFÉ COSECHA","ESPECIALES",B226="176 - CAFE DESCAFEINADO","GOURMET",B226="147 - CAPSULAS","CAPSULAS",B226="130 - GALLETAS CAFECITAS","DERIVADOS",B226="140 - MERENGUES","DERIVADOS",B226="100 - CAFÉ ESPECIAL","ESPECIALES",B226="141 - AREQUIPE","DERIVADOS",B226="142 - MERMELADA","DERIVADOS",B226="131 - GALLETAS AVENA","DERIVADOS",B226="160 - SOUVENIR","OTROS",B226="148 - CARAMELOS","DERIVADOS",B226="143 - CHOCOFFES","DERIVADOS",B226="162 - CONVENIOS Y DSC POS ","OTROS"),"OTROS")</f>
        <v>GOURMET</v>
      </c>
      <c r="K226" s="6"/>
      <c r="L226" s="27">
        <f t="shared" si="56"/>
        <v>37979398</v>
      </c>
      <c r="M226" s="27">
        <f t="shared" si="57"/>
        <v>37979398</v>
      </c>
    </row>
    <row r="227" spans="1:13" ht="15.75" hidden="1" customHeight="1" outlineLevel="2">
      <c r="A227" s="38"/>
      <c r="B227" s="39" t="s">
        <v>38</v>
      </c>
      <c r="C227" s="36">
        <v>0</v>
      </c>
      <c r="D227" s="36">
        <v>0</v>
      </c>
      <c r="E227" s="36">
        <v>0</v>
      </c>
      <c r="F227" s="36">
        <v>1194829.97</v>
      </c>
      <c r="G227" s="37">
        <f t="shared" si="51"/>
        <v>0</v>
      </c>
      <c r="H227" s="23">
        <f t="shared" si="44"/>
        <v>0</v>
      </c>
      <c r="I227" s="24">
        <f t="shared" si="44"/>
        <v>0</v>
      </c>
      <c r="J227" s="32" t="str" cm="1">
        <f t="array" ref="J227">IFERROR(_xlfn.IFS(B227="044 - BLEND TRADICION","BLEND",B227="113 - CAFÉ GOURMET","GOURMET",B227="114 - CAFÉ CONSUMO","CONSUMO",B227="112 - CAFÉ ORGANICO","GOURMET",B227="172 - CAFÉ COSECHA","ESPECIALES",B227="176 - CAFE DESCAFEINADO","GOURMET",B227="147 - CAPSULAS","CAPSULAS",B227="130 - GALLETAS CAFECITAS","DERIVADOS",B227="140 - MERENGUES","DERIVADOS",B227="100 - CAFÉ ESPECIAL","ESPECIALES",B227="141 - AREQUIPE","DERIVADOS",B227="142 - MERMELADA","DERIVADOS",B227="131 - GALLETAS AVENA","DERIVADOS",B227="160 - SOUVENIR","OTROS",B227="148 - CARAMELOS","DERIVADOS",B227="143 - CHOCOFFES","DERIVADOS",B227="162 - CONVENIOS Y DSC POS ","OTROS"),"OTROS")</f>
        <v>CONSUMO</v>
      </c>
      <c r="K227" s="6"/>
      <c r="L227" s="27">
        <f t="shared" si="56"/>
        <v>0</v>
      </c>
      <c r="M227" s="27">
        <f t="shared" si="57"/>
        <v>0</v>
      </c>
    </row>
    <row r="228" spans="1:13" ht="15.75" hidden="1" customHeight="1" outlineLevel="2">
      <c r="A228" s="38"/>
      <c r="B228" s="39" t="s">
        <v>22</v>
      </c>
      <c r="C228" s="36">
        <v>1648075</v>
      </c>
      <c r="D228" s="36">
        <v>0</v>
      </c>
      <c r="E228" s="36"/>
      <c r="F228" s="36">
        <v>4066253.4</v>
      </c>
      <c r="G228" s="37">
        <f t="shared" si="51"/>
        <v>0.40530553260650209</v>
      </c>
      <c r="H228" s="23">
        <f t="shared" si="44"/>
        <v>0</v>
      </c>
      <c r="I228" s="24">
        <f t="shared" si="44"/>
        <v>0</v>
      </c>
      <c r="J228" s="32" t="str" cm="1">
        <f t="array" ref="J228">IFERROR(_xlfn.IFS(B228="044 - BLEND TRADICION","BLEND",B228="113 - CAFÉ GOURMET","GOURMET",B228="114 - CAFÉ CONSUMO","CONSUMO",B228="112 - CAFÉ ORGANICO","GOURMET",B228="172 - CAFÉ COSECHA","ESPECIALES",B228="176 - CAFE DESCAFEINADO","GOURMET",B228="147 - CAPSULAS","CAPSULAS",B228="130 - GALLETAS CAFECITAS","DERIVADOS",B228="140 - MERENGUES","DERIVADOS",B228="100 - CAFÉ ESPECIAL","ESPECIALES",B228="141 - AREQUIPE","DERIVADOS",B228="142 - MERMELADA","DERIVADOS",B228="131 - GALLETAS AVENA","DERIVADOS",B228="160 - SOUVENIR","OTROS",B228="148 - CARAMELOS","DERIVADOS",B228="143 - CHOCOFFES","DERIVADOS",B228="162 - CONVENIOS Y DSC POS ","OTROS"),"OTROS")</f>
        <v>DERIVADOS</v>
      </c>
      <c r="K228" s="6"/>
      <c r="L228" s="27">
        <f t="shared" si="56"/>
        <v>1648075</v>
      </c>
      <c r="M228" s="27">
        <f t="shared" si="57"/>
        <v>1648075</v>
      </c>
    </row>
    <row r="229" spans="1:13" ht="15.75" hidden="1" customHeight="1" outlineLevel="2">
      <c r="A229" s="38"/>
      <c r="B229" s="39" t="s">
        <v>24</v>
      </c>
      <c r="C229" s="36">
        <v>51477</v>
      </c>
      <c r="D229" s="36">
        <v>0</v>
      </c>
      <c r="E229" s="36"/>
      <c r="F229" s="36">
        <v>552955.56000000006</v>
      </c>
      <c r="G229" s="37">
        <f t="shared" si="51"/>
        <v>9.3094280487929254E-2</v>
      </c>
      <c r="H229" s="23">
        <f t="shared" si="44"/>
        <v>0</v>
      </c>
      <c r="I229" s="24">
        <f t="shared" si="44"/>
        <v>0</v>
      </c>
      <c r="J229" s="32" t="str" cm="1">
        <f t="array" ref="J229">IFERROR(_xlfn.IFS(B229="044 - BLEND TRADICION","BLEND",B229="113 - CAFÉ GOURMET","GOURMET",B229="114 - CAFÉ CONSUMO","CONSUMO",B229="112 - CAFÉ ORGANICO","GOURMET",B229="172 - CAFÉ COSECHA","ESPECIALES",B229="176 - CAFE DESCAFEINADO","GOURMET",B229="147 - CAPSULAS","CAPSULAS",B229="130 - GALLETAS CAFECITAS","DERIVADOS",B229="140 - MERENGUES","DERIVADOS",B229="100 - CAFÉ ESPECIAL","ESPECIALES",B229="141 - AREQUIPE","DERIVADOS",B229="142 - MERMELADA","DERIVADOS",B229="131 - GALLETAS AVENA","DERIVADOS",B229="160 - SOUVENIR","OTROS",B229="148 - CARAMELOS","DERIVADOS",B229="143 - CHOCOFFES","DERIVADOS",B229="162 - CONVENIOS Y DSC POS ","OTROS"),"OTROS")</f>
        <v>DERIVADOS</v>
      </c>
      <c r="K229" s="6"/>
      <c r="L229" s="27">
        <f t="shared" si="56"/>
        <v>51477</v>
      </c>
      <c r="M229" s="27">
        <f t="shared" si="57"/>
        <v>51477</v>
      </c>
    </row>
    <row r="230" spans="1:13" ht="15.75" hidden="1" customHeight="1" outlineLevel="2">
      <c r="A230" s="38"/>
      <c r="B230" s="39" t="s">
        <v>25</v>
      </c>
      <c r="C230" s="36">
        <v>615992</v>
      </c>
      <c r="D230" s="36">
        <v>0</v>
      </c>
      <c r="E230" s="36"/>
      <c r="F230" s="36">
        <v>2361213.7599999998</v>
      </c>
      <c r="G230" s="37">
        <f t="shared" si="51"/>
        <v>0.26087938772642089</v>
      </c>
      <c r="H230" s="23">
        <f t="shared" si="44"/>
        <v>0</v>
      </c>
      <c r="I230" s="24">
        <f t="shared" si="44"/>
        <v>0</v>
      </c>
      <c r="J230" s="32" t="str" cm="1">
        <f t="array" ref="J230">IFERROR(_xlfn.IFS(B230="044 - BLEND TRADICION","BLEND",B230="113 - CAFÉ GOURMET","GOURMET",B230="114 - CAFÉ CONSUMO","CONSUMO",B230="112 - CAFÉ ORGANICO","GOURMET",B230="172 - CAFÉ COSECHA","ESPECIALES",B230="176 - CAFE DESCAFEINADO","GOURMET",B230="147 - CAPSULAS","CAPSULAS",B230="130 - GALLETAS CAFECITAS","DERIVADOS",B230="140 - MERENGUES","DERIVADOS",B230="100 - CAFÉ ESPECIAL","ESPECIALES",B230="141 - AREQUIPE","DERIVADOS",B230="142 - MERMELADA","DERIVADOS",B230="131 - GALLETAS AVENA","DERIVADOS",B230="160 - SOUVENIR","OTROS",B230="148 - CARAMELOS","DERIVADOS",B230="143 - CHOCOFFES","DERIVADOS",B230="162 - CONVENIOS Y DSC POS ","OTROS"),"OTROS")</f>
        <v>DERIVADOS</v>
      </c>
      <c r="K230" s="6"/>
      <c r="L230" s="27">
        <f t="shared" si="56"/>
        <v>615992</v>
      </c>
      <c r="M230" s="27">
        <f t="shared" si="57"/>
        <v>615992</v>
      </c>
    </row>
    <row r="231" spans="1:13" ht="15.75" hidden="1" customHeight="1" outlineLevel="2">
      <c r="A231" s="38"/>
      <c r="B231" s="39" t="s">
        <v>26</v>
      </c>
      <c r="C231" s="36">
        <v>1548243</v>
      </c>
      <c r="D231" s="36">
        <v>0</v>
      </c>
      <c r="E231" s="36"/>
      <c r="F231" s="36">
        <v>4996182.5999999996</v>
      </c>
      <c r="G231" s="37">
        <f t="shared" si="51"/>
        <v>0.30988519114573598</v>
      </c>
      <c r="H231" s="23">
        <f t="shared" si="44"/>
        <v>0</v>
      </c>
      <c r="I231" s="24">
        <f t="shared" si="44"/>
        <v>0</v>
      </c>
      <c r="J231" s="32" t="str" cm="1">
        <f t="array" ref="J231">IFERROR(_xlfn.IFS(B231="044 - BLEND TRADICION","BLEND",B231="113 - CAFÉ GOURMET","GOURMET",B231="114 - CAFÉ CONSUMO","CONSUMO",B231="112 - CAFÉ ORGANICO","GOURMET",B231="172 - CAFÉ COSECHA","ESPECIALES",B231="176 - CAFE DESCAFEINADO","GOURMET",B231="147 - CAPSULAS","CAPSULAS",B231="130 - GALLETAS CAFECITAS","DERIVADOS",B231="140 - MERENGUES","DERIVADOS",B231="100 - CAFÉ ESPECIAL","ESPECIALES",B231="141 - AREQUIPE","DERIVADOS",B231="142 - MERMELADA","DERIVADOS",B231="131 - GALLETAS AVENA","DERIVADOS",B231="160 - SOUVENIR","OTROS",B231="148 - CARAMELOS","DERIVADOS",B231="143 - CHOCOFFES","DERIVADOS",B231="162 - CONVENIOS Y DSC POS ","OTROS"),"OTROS")</f>
        <v>CAPSULAS</v>
      </c>
      <c r="K231" s="6"/>
      <c r="L231" s="27">
        <f t="shared" si="56"/>
        <v>1548243</v>
      </c>
      <c r="M231" s="27">
        <f t="shared" si="57"/>
        <v>1548243</v>
      </c>
    </row>
    <row r="232" spans="1:13" ht="15.75" hidden="1" customHeight="1" outlineLevel="2">
      <c r="A232" s="38"/>
      <c r="B232" s="39" t="s">
        <v>27</v>
      </c>
      <c r="C232" s="36">
        <v>89298</v>
      </c>
      <c r="D232" s="36">
        <v>0</v>
      </c>
      <c r="E232" s="36">
        <v>0</v>
      </c>
      <c r="F232" s="36">
        <v>1098154.5900000001</v>
      </c>
      <c r="G232" s="37">
        <f t="shared" si="51"/>
        <v>8.1316420122598584E-2</v>
      </c>
      <c r="H232" s="23">
        <f t="shared" si="44"/>
        <v>0</v>
      </c>
      <c r="I232" s="24">
        <f t="shared" si="44"/>
        <v>0</v>
      </c>
      <c r="J232" s="32" t="str" cm="1">
        <f t="array" ref="J232">IFERROR(_xlfn.IFS(B232="044 - BLEND TRADICION","BLEND",B232="113 - CAFÉ GOURMET","GOURMET",B232="114 - CAFÉ CONSUMO","CONSUMO",B232="112 - CAFÉ ORGANICO","GOURMET",B232="172 - CAFÉ COSECHA","ESPECIALES",B232="176 - CAFE DESCAFEINADO","GOURMET",B232="147 - CAPSULAS","CAPSULAS",B232="130 - GALLETAS CAFECITAS","DERIVADOS",B232="140 - MERENGUES","DERIVADOS",B232="100 - CAFÉ ESPECIAL","ESPECIALES",B232="141 - AREQUIPE","DERIVADOS",B232="142 - MERMELADA","DERIVADOS",B232="131 - GALLETAS AVENA","DERIVADOS",B232="160 - SOUVENIR","OTROS",B232="148 - CARAMELOS","DERIVADOS",B232="143 - CHOCOFFES","DERIVADOS",B232="162 - CONVENIOS Y DSC POS ","OTROS"),"OTROS")</f>
        <v>DERIVADOS</v>
      </c>
      <c r="K232" s="6"/>
      <c r="L232" s="27">
        <f t="shared" si="56"/>
        <v>89298</v>
      </c>
      <c r="M232" s="27">
        <f t="shared" si="57"/>
        <v>89298</v>
      </c>
    </row>
    <row r="233" spans="1:13" ht="15.75" hidden="1" customHeight="1" outlineLevel="2">
      <c r="A233" s="38"/>
      <c r="B233" s="39" t="s">
        <v>28</v>
      </c>
      <c r="C233" s="36">
        <v>2681230</v>
      </c>
      <c r="D233" s="36">
        <v>0</v>
      </c>
      <c r="E233" s="36"/>
      <c r="F233" s="36">
        <v>4332933.07</v>
      </c>
      <c r="G233" s="37">
        <f t="shared" si="51"/>
        <v>0.61880254245422717</v>
      </c>
      <c r="H233" s="23">
        <f t="shared" si="44"/>
        <v>0</v>
      </c>
      <c r="I233" s="24">
        <f t="shared" si="44"/>
        <v>0</v>
      </c>
      <c r="J233" s="32" t="str" cm="1">
        <f t="array" ref="J233">IFERROR(_xlfn.IFS(B233="044 - BLEND TRADICION","BLEND",B233="113 - CAFÉ GOURMET","GOURMET",B233="114 - CAFÉ CONSUMO","CONSUMO",B233="112 - CAFÉ ORGANICO","GOURMET",B233="172 - CAFÉ COSECHA","ESPECIALES",B233="176 - CAFE DESCAFEINADO","GOURMET",B233="147 - CAPSULAS","CAPSULAS",B233="130 - GALLETAS CAFECITAS","DERIVADOS",B233="140 - MERENGUES","DERIVADOS",B233="100 - CAFÉ ESPECIAL","ESPECIALES",B233="141 - AREQUIPE","DERIVADOS",B233="142 - MERMELADA","DERIVADOS",B233="131 - GALLETAS AVENA","DERIVADOS",B233="160 - SOUVENIR","OTROS",B233="148 - CARAMELOS","DERIVADOS",B233="143 - CHOCOFFES","DERIVADOS",B233="162 - CONVENIOS Y DSC POS ","OTROS"),"OTROS")</f>
        <v>OTROS</v>
      </c>
      <c r="K233" s="6"/>
      <c r="L233" s="27">
        <f t="shared" si="56"/>
        <v>2681230</v>
      </c>
      <c r="M233" s="27">
        <f t="shared" si="57"/>
        <v>2681230</v>
      </c>
    </row>
    <row r="234" spans="1:13" ht="15.75" hidden="1" customHeight="1" outlineLevel="2">
      <c r="A234" s="38"/>
      <c r="B234" s="39" t="s">
        <v>29</v>
      </c>
      <c r="C234" s="36">
        <v>5029341</v>
      </c>
      <c r="D234" s="36">
        <v>0</v>
      </c>
      <c r="E234" s="36"/>
      <c r="F234" s="36">
        <v>19696186.350000001</v>
      </c>
      <c r="G234" s="37">
        <f t="shared" si="51"/>
        <v>0.25534592893410551</v>
      </c>
      <c r="H234" s="23">
        <f t="shared" si="44"/>
        <v>0</v>
      </c>
      <c r="I234" s="24">
        <f t="shared" si="44"/>
        <v>0</v>
      </c>
      <c r="J234" s="32" t="str" cm="1">
        <f t="array" ref="J234">IFERROR(_xlfn.IFS(B234="044 - BLEND TRADICION","BLEND",B234="113 - CAFÉ GOURMET","GOURMET",B234="114 - CAFÉ CONSUMO","CONSUMO",B234="112 - CAFÉ ORGANICO","GOURMET",B234="172 - CAFÉ COSECHA","ESPECIALES",B234="176 - CAFE DESCAFEINADO","GOURMET",B234="147 - CAPSULAS","CAPSULAS",B234="130 - GALLETAS CAFECITAS","DERIVADOS",B234="140 - MERENGUES","DERIVADOS",B234="100 - CAFÉ ESPECIAL","ESPECIALES",B234="141 - AREQUIPE","DERIVADOS",B234="142 - MERMELADA","DERIVADOS",B234="131 - GALLETAS AVENA","DERIVADOS",B234="160 - SOUVENIR","OTROS",B234="148 - CARAMELOS","DERIVADOS",B234="143 - CHOCOFFES","DERIVADOS",B234="162 - CONVENIOS Y DSC POS ","OTROS"),"OTROS")</f>
        <v>ESPECIALES</v>
      </c>
      <c r="K234" s="6"/>
      <c r="L234" s="27">
        <f t="shared" si="56"/>
        <v>5029341</v>
      </c>
      <c r="M234" s="27">
        <f t="shared" si="57"/>
        <v>5029341</v>
      </c>
    </row>
    <row r="235" spans="1:13" ht="15.75" hidden="1" customHeight="1" outlineLevel="2">
      <c r="A235" s="38"/>
      <c r="B235" s="39" t="s">
        <v>30</v>
      </c>
      <c r="C235" s="36">
        <v>1138716</v>
      </c>
      <c r="D235" s="36">
        <v>0</v>
      </c>
      <c r="E235" s="36"/>
      <c r="F235" s="36">
        <v>6569709</v>
      </c>
      <c r="G235" s="37">
        <f t="shared" si="51"/>
        <v>0.17332822504010451</v>
      </c>
      <c r="H235" s="23">
        <f t="shared" si="44"/>
        <v>0</v>
      </c>
      <c r="I235" s="24">
        <f t="shared" si="44"/>
        <v>0</v>
      </c>
      <c r="J235" s="32" t="str" cm="1">
        <f t="array" ref="J235">IFERROR(_xlfn.IFS(B235="044 - BLEND TRADICION","BLEND",B235="113 - CAFÉ GOURMET","GOURMET",B235="114 - CAFÉ CONSUMO","CONSUMO",B235="112 - CAFÉ ORGANICO","GOURMET",B235="172 - CAFÉ COSECHA","ESPECIALES",B235="176 - CAFE DESCAFEINADO","GOURMET",B235="147 - CAPSULAS","CAPSULAS",B235="130 - GALLETAS CAFECITAS","DERIVADOS",B235="140 - MERENGUES","DERIVADOS",B235="100 - CAFÉ ESPECIAL","ESPECIALES",B235="141 - AREQUIPE","DERIVADOS",B235="142 - MERMELADA","DERIVADOS",B235="131 - GALLETAS AVENA","DERIVADOS",B235="160 - SOUVENIR","OTROS",B235="148 - CARAMELOS","DERIVADOS",B235="143 - CHOCOFFES","DERIVADOS",B235="162 - CONVENIOS Y DSC POS ","OTROS"),"OTROS")</f>
        <v>GOURMET</v>
      </c>
      <c r="K235" s="6"/>
      <c r="L235" s="27">
        <f t="shared" si="56"/>
        <v>1138716</v>
      </c>
      <c r="M235" s="27">
        <f t="shared" si="57"/>
        <v>1138716</v>
      </c>
    </row>
    <row r="236" spans="1:13" ht="15.75" hidden="1" customHeight="1" outlineLevel="2">
      <c r="A236" s="19" t="s">
        <v>60</v>
      </c>
      <c r="B236" s="56" t="s">
        <v>32</v>
      </c>
      <c r="C236" s="54">
        <f>SUM(C223:C235)</f>
        <v>63881595</v>
      </c>
      <c r="D236" s="54">
        <f>SUM(D223:D235)</f>
        <v>0</v>
      </c>
      <c r="E236" s="54">
        <f>SUM(E223:E235)</f>
        <v>0</v>
      </c>
      <c r="F236" s="58">
        <f>SUM(F223:F235)</f>
        <v>278548044.25999999</v>
      </c>
      <c r="G236" s="55">
        <f t="shared" si="51"/>
        <v>0.22933779761301132</v>
      </c>
      <c r="H236" s="23">
        <f t="shared" si="44"/>
        <v>0</v>
      </c>
      <c r="I236" s="24">
        <f t="shared" si="44"/>
        <v>0</v>
      </c>
      <c r="J236" s="32" t="str" cm="1">
        <f t="array" ref="J236">IFERROR(_xlfn.IFS(B236="044 - BLEND TRADICION","BLEND",B236="113 - CAFÉ GOURMET","GOURMET",B236="114 - CAFÉ CONSUMO","CONSUMO",B236="112 - CAFÉ ORGANICO","GOURMET",B236="172 - CAFÉ COSECHA","ESPECIALES",B236="176 - CAFE DESCAFEINADO","GOURMET",B236="147 - CAPSULAS","CAPSULAS",B236="130 - GALLETAS CAFECITAS","DERIVADOS",B236="140 - MERENGUES","DERIVADOS",B236="100 - CAFÉ ESPECIAL","ESPECIALES",B236="141 - AREQUIPE","DERIVADOS",B236="142 - MERMELADA","DERIVADOS",B236="131 - GALLETAS AVENA","DERIVADOS",B236="160 - SOUVENIR","OTROS",B236="148 - CARAMELOS","DERIVADOS",B236="143 - CHOCOFFES","DERIVADOS",B236="162 - CONVENIOS Y DSC POS ","OTROS"),"OTROS")</f>
        <v>OTROS</v>
      </c>
      <c r="K236" s="6"/>
      <c r="L236" s="27">
        <f t="shared" si="56"/>
        <v>63881595</v>
      </c>
      <c r="M236" s="27">
        <f t="shared" si="57"/>
        <v>63881595</v>
      </c>
    </row>
    <row r="237" spans="1:13" ht="16.5" collapsed="1">
      <c r="A237" s="28" t="s">
        <v>61</v>
      </c>
      <c r="B237" s="29" t="s">
        <v>17</v>
      </c>
      <c r="C237" s="30">
        <f>+C240+C247+C251</f>
        <v>44695378</v>
      </c>
      <c r="D237" s="30"/>
      <c r="E237" s="30">
        <f>+E240+E247+E251</f>
        <v>0</v>
      </c>
      <c r="F237" s="30">
        <f>+F240+F247+F251</f>
        <v>468781637.60000002</v>
      </c>
      <c r="G237" s="31">
        <f t="shared" si="51"/>
        <v>9.5343704648554253E-2</v>
      </c>
      <c r="H237" s="23">
        <f t="shared" si="44"/>
        <v>0</v>
      </c>
      <c r="I237" s="24">
        <f t="shared" si="44"/>
        <v>0</v>
      </c>
      <c r="J237" s="32" t="str" cm="1">
        <f t="array" ref="J237">IFERROR(_xlfn.IFS(B237="044 - BLEND TRADICION","BLEND",B237="113 - CAFÉ GOURMET","GOURMET",B237="114 - CAFÉ CONSUMO","CONSUMO",B237="112 - CAFÉ ORGANICO","GOURMET",B237="172 - CAFÉ COSECHA","ESPECIALES",B237="176 - CAFE DESCAFEINADO","GOURMET",B237="147 - CAPSULAS","CAPSULAS",B237="130 - GALLETAS CAFECITAS","DERIVADOS",B237="140 - MERENGUES","DERIVADOS",B237="100 - CAFÉ ESPECIAL","ESPECIALES",B237="141 - AREQUIPE","DERIVADOS",B237="142 - MERMELADA","DERIVADOS",B237="131 - GALLETAS AVENA","DERIVADOS",B237="160 - SOUVENIR","OTROS",B237="148 - CARAMELOS","DERIVADOS",B237="143 - CHOCOFFES","DERIVADOS",B237="162 - CONVENIOS Y DSC POS ","OTROS"),"OTROS")</f>
        <v>OTROS</v>
      </c>
      <c r="K237" s="6"/>
      <c r="L237" s="27">
        <f t="shared" si="56"/>
        <v>44695378</v>
      </c>
      <c r="M237" s="27">
        <f t="shared" si="57"/>
        <v>44695378</v>
      </c>
    </row>
    <row r="238" spans="1:13" ht="15.75" hidden="1" customHeight="1" outlineLevel="1">
      <c r="A238" s="33"/>
      <c r="B238" s="45" t="s">
        <v>62</v>
      </c>
      <c r="C238" s="46">
        <v>39351</v>
      </c>
      <c r="D238" s="46">
        <v>0</v>
      </c>
      <c r="E238" s="46">
        <v>0</v>
      </c>
      <c r="F238" s="46">
        <v>0</v>
      </c>
      <c r="G238" s="37" t="str">
        <f t="shared" si="51"/>
        <v>-</v>
      </c>
      <c r="H238" s="23">
        <f t="shared" si="44"/>
        <v>0</v>
      </c>
      <c r="I238" s="24">
        <f t="shared" si="44"/>
        <v>0</v>
      </c>
      <c r="J238" s="32" t="str" cm="1">
        <f t="array" ref="J238">IFERROR(_xlfn.IFS(B238="044 - BLEND TRADICION","BLEND",B238="113 - CAFÉ GOURMET","GOURMET",B238="114 - CAFÉ CONSUMO","CONSUMO",B238="112 - CAFÉ ORGANICO","GOURMET",B238="172 - CAFÉ COSECHA","ESPECIALES",B238="176 - CAFE DESCAFEINADO","GOURMET",B238="147 - CAPSULAS","CAPSULAS",B238="130 - GALLETAS CAFECITAS","DERIVADOS",B238="140 - MERENGUES","DERIVADOS",B238="100 - CAFÉ ESPECIAL","ESPECIALES",B238="141 - AREQUIPE","DERIVADOS",B238="142 - MERMELADA","DERIVADOS",B238="131 - GALLETAS AVENA","DERIVADOS",B238="160 - SOUVENIR","OTROS",B238="148 - CARAMELOS","DERIVADOS",B238="143 - CHOCOFFES","DERIVADOS",B238="162 - CONVENIOS Y DSC POS ","OTROS"),"OTROS")</f>
        <v>OTROS</v>
      </c>
      <c r="K238" s="6"/>
      <c r="L238" s="27">
        <f t="shared" si="56"/>
        <v>39351</v>
      </c>
      <c r="M238" s="27">
        <f t="shared" si="57"/>
        <v>39351</v>
      </c>
    </row>
    <row r="239" spans="1:13" ht="15.75" hidden="1" customHeight="1" outlineLevel="1">
      <c r="A239" s="33"/>
      <c r="B239" s="45" t="s">
        <v>39</v>
      </c>
      <c r="C239" s="46"/>
      <c r="D239" s="46">
        <v>0</v>
      </c>
      <c r="E239" s="46"/>
      <c r="F239" s="46">
        <v>0</v>
      </c>
      <c r="G239" s="37" t="str">
        <f t="shared" si="51"/>
        <v>-</v>
      </c>
      <c r="H239" s="23">
        <f t="shared" si="44"/>
        <v>0</v>
      </c>
      <c r="I239" s="24">
        <f t="shared" si="44"/>
        <v>0</v>
      </c>
      <c r="J239" s="32" t="str" cm="1">
        <f t="array" ref="J239">IFERROR(_xlfn.IFS(B239="044 - BLEND TRADICION","BLEND",B239="113 - CAFÉ GOURMET","GOURMET",B239="114 - CAFÉ CONSUMO","CONSUMO",B239="112 - CAFÉ ORGANICO","GOURMET",B239="172 - CAFÉ COSECHA","ESPECIALES",B239="176 - CAFE DESCAFEINADO","GOURMET",B239="147 - CAPSULAS","CAPSULAS",B239="130 - GALLETAS CAFECITAS","DERIVADOS",B239="140 - MERENGUES","DERIVADOS",B239="100 - CAFÉ ESPECIAL","ESPECIALES",B239="141 - AREQUIPE","DERIVADOS",B239="142 - MERMELADA","DERIVADOS",B239="131 - GALLETAS AVENA","DERIVADOS",B239="160 - SOUVENIR","OTROS",B239="148 - CARAMELOS","DERIVADOS",B239="143 - CHOCOFFES","DERIVADOS",B239="162 - CONVENIOS Y DSC POS ","OTROS"),"OTROS")</f>
        <v>OTROS</v>
      </c>
      <c r="K239" s="6"/>
      <c r="L239" s="27">
        <f t="shared" si="56"/>
        <v>0</v>
      </c>
      <c r="M239" s="27">
        <f t="shared" si="57"/>
        <v>0</v>
      </c>
    </row>
    <row r="240" spans="1:13" ht="15.75" hidden="1" customHeight="1" outlineLevel="1">
      <c r="A240" s="52" t="s">
        <v>63</v>
      </c>
      <c r="B240" s="20" t="s">
        <v>32</v>
      </c>
      <c r="C240" s="21">
        <f>SUM(C238:C239)</f>
        <v>39351</v>
      </c>
      <c r="D240" s="21"/>
      <c r="E240" s="21">
        <v>0</v>
      </c>
      <c r="F240" s="21">
        <v>0</v>
      </c>
      <c r="G240" s="55" t="str">
        <f t="shared" si="51"/>
        <v>-</v>
      </c>
      <c r="H240" s="23">
        <f t="shared" si="44"/>
        <v>0</v>
      </c>
      <c r="I240" s="24">
        <f t="shared" si="44"/>
        <v>0</v>
      </c>
      <c r="J240" s="32" t="str" cm="1">
        <f t="array" ref="J240">IFERROR(_xlfn.IFS(B240="044 - BLEND TRADICION","BLEND",B240="113 - CAFÉ GOURMET","GOURMET",B240="114 - CAFÉ CONSUMO","CONSUMO",B240="112 - CAFÉ ORGANICO","GOURMET",B240="172 - CAFÉ COSECHA","ESPECIALES",B240="176 - CAFE DESCAFEINADO","GOURMET",B240="147 - CAPSULAS","CAPSULAS",B240="130 - GALLETAS CAFECITAS","DERIVADOS",B240="140 - MERENGUES","DERIVADOS",B240="100 - CAFÉ ESPECIAL","ESPECIALES",B240="141 - AREQUIPE","DERIVADOS",B240="142 - MERMELADA","DERIVADOS",B240="131 - GALLETAS AVENA","DERIVADOS",B240="160 - SOUVENIR","OTROS",B240="148 - CARAMELOS","DERIVADOS",B240="143 - CHOCOFFES","DERIVADOS",B240="162 - CONVENIOS Y DSC POS ","OTROS"),"OTROS")</f>
        <v>OTROS</v>
      </c>
      <c r="K240" s="6"/>
      <c r="L240" s="27">
        <f t="shared" si="56"/>
        <v>39351</v>
      </c>
      <c r="M240" s="27">
        <f t="shared" si="57"/>
        <v>39351</v>
      </c>
    </row>
    <row r="241" spans="1:13" ht="15.75" hidden="1" customHeight="1" outlineLevel="1">
      <c r="A241" s="33"/>
      <c r="B241" s="45" t="s">
        <v>18</v>
      </c>
      <c r="C241" s="151">
        <v>28900000</v>
      </c>
      <c r="D241" s="152">
        <v>0</v>
      </c>
      <c r="E241" s="36"/>
      <c r="F241" s="36">
        <v>413971911.05000001</v>
      </c>
      <c r="G241" s="37">
        <f t="shared" si="51"/>
        <v>6.9811499835092494E-2</v>
      </c>
      <c r="H241" s="23">
        <f t="shared" si="44"/>
        <v>0</v>
      </c>
      <c r="I241" s="24">
        <f t="shared" si="44"/>
        <v>0</v>
      </c>
      <c r="J241" s="32" t="str" cm="1">
        <f t="array" ref="J241">IFERROR(_xlfn.IFS(B241="044 - BLEND TRADICION","BLEND",B241="113 - CAFÉ GOURMET","GOURMET",B241="114 - CAFÉ CONSUMO","CONSUMO",B241="112 - CAFÉ ORGANICO","GOURMET",B241="172 - CAFÉ COSECHA","ESPECIALES",B241="176 - CAFE DESCAFEINADO","GOURMET",B241="147 - CAPSULAS","CAPSULAS",B241="130 - GALLETAS CAFECITAS","DERIVADOS",B241="140 - MERENGUES","DERIVADOS",B241="100 - CAFÉ ESPECIAL","ESPECIALES",B241="141 - AREQUIPE","DERIVADOS",B241="142 - MERMELADA","DERIVADOS",B241="131 - GALLETAS AVENA","DERIVADOS",B241="160 - SOUVENIR","OTROS",B241="148 - CARAMELOS","DERIVADOS",B241="143 - CHOCOFFES","DERIVADOS",B241="162 - CONVENIOS Y DSC POS ","OTROS"),"OTROS")</f>
        <v>BLEND</v>
      </c>
      <c r="K241" s="6"/>
      <c r="L241" s="27">
        <f t="shared" si="56"/>
        <v>28900000</v>
      </c>
      <c r="M241" s="27">
        <f t="shared" si="57"/>
        <v>28900000</v>
      </c>
    </row>
    <row r="242" spans="1:13" ht="15.75" hidden="1" customHeight="1" outlineLevel="1">
      <c r="A242" s="33"/>
      <c r="B242" s="45" t="s">
        <v>20</v>
      </c>
      <c r="C242" s="151">
        <v>2053771</v>
      </c>
      <c r="D242" s="152">
        <v>0</v>
      </c>
      <c r="E242" s="36"/>
      <c r="F242" s="36">
        <v>4542701.25</v>
      </c>
      <c r="G242" s="37">
        <f t="shared" si="51"/>
        <v>0.45210347037459264</v>
      </c>
      <c r="H242" s="23">
        <f t="shared" si="44"/>
        <v>0</v>
      </c>
      <c r="I242" s="24">
        <f t="shared" si="44"/>
        <v>0</v>
      </c>
      <c r="J242" s="32" t="str" cm="1">
        <f t="array" ref="J242">IFERROR(_xlfn.IFS(B242="044 - BLEND TRADICION","BLEND",B242="113 - CAFÉ GOURMET","GOURMET",B242="114 - CAFÉ CONSUMO","CONSUMO",B242="112 - CAFÉ ORGANICO","GOURMET",B242="172 - CAFÉ COSECHA","ESPECIALES",B242="176 - CAFE DESCAFEINADO","GOURMET",B242="147 - CAPSULAS","CAPSULAS",B242="130 - GALLETAS CAFECITAS","DERIVADOS",B242="140 - MERENGUES","DERIVADOS",B242="100 - CAFÉ ESPECIAL","ESPECIALES",B242="141 - AREQUIPE","DERIVADOS",B242="142 - MERMELADA","DERIVADOS",B242="131 - GALLETAS AVENA","DERIVADOS",B242="160 - SOUVENIR","OTROS",B242="148 - CARAMELOS","DERIVADOS",B242="143 - CHOCOFFES","DERIVADOS",B242="162 - CONVENIOS Y DSC POS ","OTROS"),"OTROS")</f>
        <v>GOURMET</v>
      </c>
      <c r="K242" s="6"/>
      <c r="L242" s="27">
        <f t="shared" si="56"/>
        <v>2053771</v>
      </c>
      <c r="M242" s="27">
        <f t="shared" si="57"/>
        <v>2053771</v>
      </c>
    </row>
    <row r="243" spans="1:13" ht="15.75" hidden="1" customHeight="1" outlineLevel="1">
      <c r="A243" s="33"/>
      <c r="B243" s="45" t="s">
        <v>21</v>
      </c>
      <c r="C243" s="151">
        <v>11134326</v>
      </c>
      <c r="D243" s="152">
        <v>0</v>
      </c>
      <c r="E243" s="36"/>
      <c r="F243" s="36">
        <v>25938878.649999999</v>
      </c>
      <c r="G243" s="37">
        <f t="shared" si="51"/>
        <v>0.42925240332237724</v>
      </c>
      <c r="H243" s="23">
        <f t="shared" si="44"/>
        <v>0</v>
      </c>
      <c r="I243" s="24">
        <f t="shared" si="44"/>
        <v>0</v>
      </c>
      <c r="J243" s="32" t="str" cm="1">
        <f t="array" ref="J243">IFERROR(_xlfn.IFS(B243="044 - BLEND TRADICION","BLEND",B243="113 - CAFÉ GOURMET","GOURMET",B243="114 - CAFÉ CONSUMO","CONSUMO",B243="112 - CAFÉ ORGANICO","GOURMET",B243="172 - CAFÉ COSECHA","ESPECIALES",B243="176 - CAFE DESCAFEINADO","GOURMET",B243="147 - CAPSULAS","CAPSULAS",B243="130 - GALLETAS CAFECITAS","DERIVADOS",B243="140 - MERENGUES","DERIVADOS",B243="100 - CAFÉ ESPECIAL","ESPECIALES",B243="141 - AREQUIPE","DERIVADOS",B243="142 - MERMELADA","DERIVADOS",B243="131 - GALLETAS AVENA","DERIVADOS",B243="160 - SOUVENIR","OTROS",B243="148 - CARAMELOS","DERIVADOS",B243="143 - CHOCOFFES","DERIVADOS",B243="162 - CONVENIOS Y DSC POS ","OTROS"),"OTROS")</f>
        <v>GOURMET</v>
      </c>
      <c r="K243" s="6"/>
      <c r="L243" s="27">
        <f t="shared" si="56"/>
        <v>11134326</v>
      </c>
      <c r="M243" s="27">
        <f t="shared" si="57"/>
        <v>11134326</v>
      </c>
    </row>
    <row r="244" spans="1:13" ht="15.75" hidden="1" customHeight="1" outlineLevel="1">
      <c r="A244" s="33"/>
      <c r="B244" s="45" t="s">
        <v>22</v>
      </c>
      <c r="C244" s="151">
        <v>0</v>
      </c>
      <c r="D244" s="152">
        <v>0</v>
      </c>
      <c r="E244" s="36"/>
      <c r="F244" s="36">
        <v>21964513.23</v>
      </c>
      <c r="G244" s="37">
        <f t="shared" si="51"/>
        <v>0</v>
      </c>
      <c r="H244" s="23">
        <f t="shared" si="44"/>
        <v>0</v>
      </c>
      <c r="I244" s="24">
        <f t="shared" si="44"/>
        <v>0</v>
      </c>
      <c r="J244" s="32" t="str" cm="1">
        <f t="array" ref="J244">IFERROR(_xlfn.IFS(B244="044 - BLEND TRADICION","BLEND",B244="113 - CAFÉ GOURMET","GOURMET",B244="114 - CAFÉ CONSUMO","CONSUMO",B244="112 - CAFÉ ORGANICO","GOURMET",B244="172 - CAFÉ COSECHA","ESPECIALES",B244="176 - CAFE DESCAFEINADO","GOURMET",B244="147 - CAPSULAS","CAPSULAS",B244="130 - GALLETAS CAFECITAS","DERIVADOS",B244="140 - MERENGUES","DERIVADOS",B244="100 - CAFÉ ESPECIAL","ESPECIALES",B244="141 - AREQUIPE","DERIVADOS",B244="142 - MERMELADA","DERIVADOS",B244="131 - GALLETAS AVENA","DERIVADOS",B244="160 - SOUVENIR","OTROS",B244="148 - CARAMELOS","DERIVADOS",B244="143 - CHOCOFFES","DERIVADOS",B244="162 - CONVENIOS Y DSC POS ","OTROS"),"OTROS")</f>
        <v>DERIVADOS</v>
      </c>
      <c r="K244" s="6"/>
      <c r="L244" s="27">
        <f t="shared" si="56"/>
        <v>0</v>
      </c>
      <c r="M244" s="27">
        <f t="shared" si="57"/>
        <v>0</v>
      </c>
    </row>
    <row r="245" spans="1:13" ht="15.75" hidden="1" customHeight="1" outlineLevel="1">
      <c r="A245" s="33"/>
      <c r="B245" s="45" t="s">
        <v>29</v>
      </c>
      <c r="C245" s="151">
        <v>0</v>
      </c>
      <c r="D245" s="152">
        <v>0</v>
      </c>
      <c r="E245" s="36">
        <v>0</v>
      </c>
      <c r="F245" s="36">
        <v>2363633.42</v>
      </c>
      <c r="G245" s="37">
        <f t="shared" si="51"/>
        <v>0</v>
      </c>
      <c r="H245" s="23">
        <f t="shared" si="44"/>
        <v>0</v>
      </c>
      <c r="I245" s="24">
        <f t="shared" si="44"/>
        <v>0</v>
      </c>
      <c r="J245" s="32" t="str" cm="1">
        <f t="array" ref="J245">IFERROR(_xlfn.IFS(B245="044 - BLEND TRADICION","BLEND",B245="113 - CAFÉ GOURMET","GOURMET",B245="114 - CAFÉ CONSUMO","CONSUMO",B245="112 - CAFÉ ORGANICO","GOURMET",B245="172 - CAFÉ COSECHA","ESPECIALES",B245="176 - CAFE DESCAFEINADO","GOURMET",B245="147 - CAPSULAS","CAPSULAS",B245="130 - GALLETAS CAFECITAS","DERIVADOS",B245="140 - MERENGUES","DERIVADOS",B245="100 - CAFÉ ESPECIAL","ESPECIALES",B245="141 - AREQUIPE","DERIVADOS",B245="142 - MERMELADA","DERIVADOS",B245="131 - GALLETAS AVENA","DERIVADOS",B245="160 - SOUVENIR","OTROS",B245="148 - CARAMELOS","DERIVADOS",B245="143 - CHOCOFFES","DERIVADOS",B245="162 - CONVENIOS Y DSC POS ","OTROS"),"OTROS")</f>
        <v>ESPECIALES</v>
      </c>
      <c r="K245" s="6"/>
      <c r="L245" s="27">
        <f t="shared" si="56"/>
        <v>0</v>
      </c>
      <c r="M245" s="27">
        <f t="shared" si="57"/>
        <v>0</v>
      </c>
    </row>
    <row r="246" spans="1:13" ht="15.75" hidden="1" customHeight="1" outlineLevel="1">
      <c r="A246" s="44"/>
      <c r="B246" s="45" t="s">
        <v>92</v>
      </c>
      <c r="C246" s="151">
        <v>2563680</v>
      </c>
      <c r="D246" s="152">
        <v>0</v>
      </c>
      <c r="E246" s="36">
        <v>0</v>
      </c>
      <c r="F246" s="36">
        <v>0</v>
      </c>
      <c r="G246" s="37" t="str">
        <f t="shared" si="51"/>
        <v>-</v>
      </c>
      <c r="H246" s="23">
        <f t="shared" si="44"/>
        <v>0</v>
      </c>
      <c r="I246" s="24">
        <f t="shared" si="44"/>
        <v>0</v>
      </c>
      <c r="J246" s="32" t="str" cm="1">
        <f t="array" ref="J246">IFERROR(_xlfn.IFS(B246="044 - BLEND TRADICION","BLEND",B246="113 - CAFÉ GOURMET","GOURMET",B246="114 - CAFÉ CONSUMO","CONSUMO",B246="112 - CAFÉ ORGANICO","GOURMET",B246="172 - CAFÉ COSECHA","ESPECIALES",B246="176 - CAFE DESCAFEINADO","GOURMET",B246="147 - CAPSULAS","CAPSULAS",B246="130 - GALLETAS CAFECITAS","DERIVADOS",B246="140 - MERENGUES","DERIVADOS",B246="100 - CAFÉ ESPECIAL","ESPECIALES",B246="141 - AREQUIPE","DERIVADOS",B246="142 - MERMELADA","DERIVADOS",B246="131 - GALLETAS AVENA","DERIVADOS",B246="160 - SOUVENIR","OTROS",B246="148 - CARAMELOS","DERIVADOS",B246="143 - CHOCOFFES","DERIVADOS",B246="162 - CONVENIOS Y DSC POS ","OTROS"),"OTROS")</f>
        <v>OTROS</v>
      </c>
      <c r="K246" s="6"/>
      <c r="L246" s="27">
        <f t="shared" si="56"/>
        <v>2563680</v>
      </c>
      <c r="M246" s="27">
        <f t="shared" si="57"/>
        <v>2563680</v>
      </c>
    </row>
    <row r="247" spans="1:13" ht="15.75" hidden="1" customHeight="1" outlineLevel="1">
      <c r="A247" s="19" t="s">
        <v>64</v>
      </c>
      <c r="B247" s="40" t="s">
        <v>32</v>
      </c>
      <c r="C247" s="54">
        <f>SUM(C241:C246)</f>
        <v>44651777</v>
      </c>
      <c r="D247" s="54">
        <f>SUM(D241:D246)</f>
        <v>0</v>
      </c>
      <c r="E247" s="54">
        <f>SUM(E241:E246)</f>
        <v>0</v>
      </c>
      <c r="F247" s="54">
        <f>SUM(F241:F246)</f>
        <v>468781637.60000002</v>
      </c>
      <c r="G247" s="55">
        <f t="shared" si="51"/>
        <v>9.5250695459407633E-2</v>
      </c>
      <c r="H247" s="23">
        <f t="shared" si="44"/>
        <v>0</v>
      </c>
      <c r="I247" s="24">
        <f t="shared" si="44"/>
        <v>0</v>
      </c>
      <c r="J247" s="32" t="str" cm="1">
        <f t="array" ref="J247">IFERROR(_xlfn.IFS(B247="044 - BLEND TRADICION","BLEND",B247="113 - CAFÉ GOURMET","GOURMET",B247="114 - CAFÉ CONSUMO","CONSUMO",B247="112 - CAFÉ ORGANICO","GOURMET",B247="172 - CAFÉ COSECHA","ESPECIALES",B247="176 - CAFE DESCAFEINADO","GOURMET",B247="147 - CAPSULAS","CAPSULAS",B247="130 - GALLETAS CAFECITAS","DERIVADOS",B247="140 - MERENGUES","DERIVADOS",B247="100 - CAFÉ ESPECIAL","ESPECIALES",B247="141 - AREQUIPE","DERIVADOS",B247="142 - MERMELADA","DERIVADOS",B247="131 - GALLETAS AVENA","DERIVADOS",B247="160 - SOUVENIR","OTROS",B247="148 - CARAMELOS","DERIVADOS",B247="143 - CHOCOFFES","DERIVADOS",B247="162 - CONVENIOS Y DSC POS ","OTROS"),"OTROS")</f>
        <v>OTROS</v>
      </c>
      <c r="L247" s="27">
        <f t="shared" si="56"/>
        <v>44651777</v>
      </c>
      <c r="M247" s="27">
        <f t="shared" si="57"/>
        <v>44651777</v>
      </c>
    </row>
    <row r="248" spans="1:13" ht="15.75" hidden="1" customHeight="1" outlineLevel="1">
      <c r="A248" s="33"/>
      <c r="B248" s="39" t="s">
        <v>24</v>
      </c>
      <c r="C248" s="36">
        <v>4250</v>
      </c>
      <c r="D248" s="36"/>
      <c r="E248" s="36">
        <v>0</v>
      </c>
      <c r="F248" s="36">
        <v>0</v>
      </c>
      <c r="G248" s="37" t="str">
        <f t="shared" si="51"/>
        <v>-</v>
      </c>
      <c r="H248" s="23">
        <f t="shared" si="44"/>
        <v>0</v>
      </c>
      <c r="I248" s="24">
        <f t="shared" si="44"/>
        <v>0</v>
      </c>
      <c r="J248" s="32" t="str" cm="1">
        <f t="array" ref="J248">IFERROR(_xlfn.IFS(B248="044 - BLEND TRADICION","BLEND",B248="113 - CAFÉ GOURMET","GOURMET",B248="114 - CAFÉ CONSUMO","CONSUMO",B248="112 - CAFÉ ORGANICO","GOURMET",B248="172 - CAFÉ COSECHA","ESPECIALES",B248="176 - CAFE DESCAFEINADO","GOURMET",B248="147 - CAPSULAS","CAPSULAS",B248="130 - GALLETAS CAFECITAS","DERIVADOS",B248="140 - MERENGUES","DERIVADOS",B248="100 - CAFÉ ESPECIAL","ESPECIALES",B248="141 - AREQUIPE","DERIVADOS",B248="142 - MERMELADA","DERIVADOS",B248="131 - GALLETAS AVENA","DERIVADOS",B248="160 - SOUVENIR","OTROS",B248="148 - CARAMELOS","DERIVADOS",B248="143 - CHOCOFFES","DERIVADOS",B248="162 - CONVENIOS Y DSC POS ","OTROS"),"OTROS")</f>
        <v>DERIVADOS</v>
      </c>
      <c r="L248" s="27">
        <f t="shared" si="56"/>
        <v>4250</v>
      </c>
      <c r="M248" s="27">
        <f t="shared" si="57"/>
        <v>4250</v>
      </c>
    </row>
    <row r="249" spans="1:13" ht="15.75" hidden="1" customHeight="1" outlineLevel="1">
      <c r="A249" s="33"/>
      <c r="B249" s="39" t="s">
        <v>25</v>
      </c>
      <c r="C249" s="36">
        <v>0</v>
      </c>
      <c r="D249" s="36">
        <v>0</v>
      </c>
      <c r="E249" s="36"/>
      <c r="F249" s="36">
        <v>0</v>
      </c>
      <c r="G249" s="37" t="str">
        <f t="shared" si="51"/>
        <v>-</v>
      </c>
      <c r="H249" s="23">
        <f t="shared" si="44"/>
        <v>0</v>
      </c>
      <c r="I249" s="24">
        <f t="shared" si="44"/>
        <v>0</v>
      </c>
      <c r="J249" s="32" t="str" cm="1">
        <f t="array" ref="J249">IFERROR(_xlfn.IFS(B249="044 - BLEND TRADICION","BLEND",B249="113 - CAFÉ GOURMET","GOURMET",B249="114 - CAFÉ CONSUMO","CONSUMO",B249="112 - CAFÉ ORGANICO","GOURMET",B249="172 - CAFÉ COSECHA","ESPECIALES",B249="176 - CAFE DESCAFEINADO","GOURMET",B249="147 - CAPSULAS","CAPSULAS",B249="130 - GALLETAS CAFECITAS","DERIVADOS",B249="140 - MERENGUES","DERIVADOS",B249="100 - CAFÉ ESPECIAL","ESPECIALES",B249="141 - AREQUIPE","DERIVADOS",B249="142 - MERMELADA","DERIVADOS",B249="131 - GALLETAS AVENA","DERIVADOS",B249="160 - SOUVENIR","OTROS",B249="148 - CARAMELOS","DERIVADOS",B249="143 - CHOCOFFES","DERIVADOS",B249="162 - CONVENIOS Y DSC POS ","OTROS"),"OTROS")</f>
        <v>DERIVADOS</v>
      </c>
      <c r="K249" s="6"/>
      <c r="L249" s="27">
        <f>C249-(D249+E249)</f>
        <v>0</v>
      </c>
      <c r="M249" s="27">
        <f t="shared" si="57"/>
        <v>0</v>
      </c>
    </row>
    <row r="250" spans="1:13" ht="15.75" hidden="1" customHeight="1" outlineLevel="1">
      <c r="A250" s="38"/>
      <c r="B250" s="39" t="s">
        <v>29</v>
      </c>
      <c r="C250" s="36">
        <v>0</v>
      </c>
      <c r="D250" s="36">
        <v>0</v>
      </c>
      <c r="E250" s="36">
        <v>0</v>
      </c>
      <c r="F250" s="36">
        <v>0</v>
      </c>
      <c r="G250" s="37" t="str">
        <f t="shared" si="51"/>
        <v>-</v>
      </c>
      <c r="H250" s="23">
        <f t="shared" si="44"/>
        <v>0</v>
      </c>
      <c r="I250" s="24">
        <f t="shared" si="44"/>
        <v>0</v>
      </c>
      <c r="J250" s="32" t="str" cm="1">
        <f t="array" ref="J250">IFERROR(_xlfn.IFS(B250="044 - BLEND TRADICION","BLEND",B250="113 - CAFÉ GOURMET","GOURMET",B250="114 - CAFÉ CONSUMO","CONSUMO",B250="112 - CAFÉ ORGANICO","GOURMET",B250="172 - CAFÉ COSECHA","ESPECIALES",B250="176 - CAFE DESCAFEINADO","GOURMET",B250="147 - CAPSULAS","CAPSULAS",B250="130 - GALLETAS CAFECITAS","DERIVADOS",B250="140 - MERENGUES","DERIVADOS",B250="100 - CAFÉ ESPECIAL","ESPECIALES",B250="141 - AREQUIPE","DERIVADOS",B250="142 - MERMELADA","DERIVADOS",B250="131 - GALLETAS AVENA","DERIVADOS",B250="160 - SOUVENIR","OTROS",B250="148 - CARAMELOS","DERIVADOS",B250="143 - CHOCOFFES","DERIVADOS",B250="162 - CONVENIOS Y DSC POS ","OTROS"),"OTROS")</f>
        <v>ESPECIALES</v>
      </c>
      <c r="K250" s="6"/>
      <c r="L250" s="27">
        <f t="shared" ref="L250:L266" si="58">C250-(D250+E250)</f>
        <v>0</v>
      </c>
      <c r="M250" s="27">
        <f t="shared" si="57"/>
        <v>0</v>
      </c>
    </row>
    <row r="251" spans="1:13" ht="15.75" hidden="1" customHeight="1" outlineLevel="1">
      <c r="A251" s="19" t="s">
        <v>65</v>
      </c>
      <c r="B251" s="56" t="s">
        <v>32</v>
      </c>
      <c r="C251" s="54">
        <f>SUM(C248:C250)</f>
        <v>4250</v>
      </c>
      <c r="D251" s="54">
        <f>SUM(D248:D250)</f>
        <v>0</v>
      </c>
      <c r="E251" s="57">
        <v>0</v>
      </c>
      <c r="F251" s="58">
        <v>0</v>
      </c>
      <c r="G251" s="55" t="str">
        <f t="shared" si="51"/>
        <v>-</v>
      </c>
      <c r="H251" s="23">
        <f t="shared" si="44"/>
        <v>0</v>
      </c>
      <c r="I251" s="24">
        <f t="shared" si="44"/>
        <v>0</v>
      </c>
      <c r="J251" s="32" t="str" cm="1">
        <f t="array" ref="J251">IFERROR(_xlfn.IFS(B251="044 - BLEND TRADICION","BLEND",B251="113 - CAFÉ GOURMET","GOURMET",B251="114 - CAFÉ CONSUMO","CONSUMO",B251="112 - CAFÉ ORGANICO","GOURMET",B251="172 - CAFÉ COSECHA","ESPECIALES",B251="176 - CAFE DESCAFEINADO","GOURMET",B251="147 - CAPSULAS","CAPSULAS",B251="130 - GALLETAS CAFECITAS","DERIVADOS",B251="140 - MERENGUES","DERIVADOS",B251="100 - CAFÉ ESPECIAL","ESPECIALES",B251="141 - AREQUIPE","DERIVADOS",B251="142 - MERMELADA","DERIVADOS",B251="131 - GALLETAS AVENA","DERIVADOS",B251="160 - SOUVENIR","OTROS",B251="148 - CARAMELOS","DERIVADOS",B251="143 - CHOCOFFES","DERIVADOS",B251="162 - CONVENIOS Y DSC POS ","OTROS"),"OTROS")</f>
        <v>OTROS</v>
      </c>
      <c r="K251" s="6"/>
      <c r="L251" s="27">
        <f t="shared" si="58"/>
        <v>4250</v>
      </c>
      <c r="M251" s="27">
        <f t="shared" si="57"/>
        <v>4250</v>
      </c>
    </row>
    <row r="252" spans="1:13" ht="17" collapsed="1" thickBot="1">
      <c r="A252" s="63" t="s">
        <v>66</v>
      </c>
      <c r="B252" s="64" t="s">
        <v>17</v>
      </c>
      <c r="C252" s="65">
        <f>+C265</f>
        <v>218127491</v>
      </c>
      <c r="D252" s="65">
        <f>+D265</f>
        <v>-46853750</v>
      </c>
      <c r="E252" s="65">
        <f>+E265</f>
        <v>0</v>
      </c>
      <c r="F252" s="65">
        <f>+F265</f>
        <v>3060120402.4200006</v>
      </c>
      <c r="G252" s="66">
        <f t="shared" si="51"/>
        <v>7.1280689095599203E-2</v>
      </c>
      <c r="H252" s="23">
        <f t="shared" si="44"/>
        <v>-0.17681912056559507</v>
      </c>
      <c r="I252" s="24">
        <f t="shared" si="44"/>
        <v>0</v>
      </c>
      <c r="J252" s="32" t="str" cm="1">
        <f t="array" ref="J252">IFERROR(_xlfn.IFS(B252="044 - BLEND TRADICION","BLEND",B252="113 - CAFÉ GOURMET","GOURMET",B252="114 - CAFÉ CONSUMO","CONSUMO",B252="112 - CAFÉ ORGANICO","GOURMET",B252="172 - CAFÉ COSECHA","ESPECIALES",B252="176 - CAFE DESCAFEINADO","GOURMET",B252="147 - CAPSULAS","CAPSULAS",B252="130 - GALLETAS CAFECITAS","DERIVADOS",B252="140 - MERENGUES","DERIVADOS",B252="100 - CAFÉ ESPECIAL","ESPECIALES",B252="141 - AREQUIPE","DERIVADOS",B252="142 - MERMELADA","DERIVADOS",B252="131 - GALLETAS AVENA","DERIVADOS",B252="160 - SOUVENIR","OTROS",B252="148 - CARAMELOS","DERIVADOS",B252="143 - CHOCOFFES","DERIVADOS",B252="162 - CONVENIOS Y DSC POS ","OTROS"),"OTROS")</f>
        <v>OTROS</v>
      </c>
      <c r="K252" s="6"/>
      <c r="L252" s="27">
        <f t="shared" si="58"/>
        <v>264981241</v>
      </c>
      <c r="M252" s="27">
        <f t="shared" si="57"/>
        <v>264981241</v>
      </c>
    </row>
    <row r="253" spans="1:13" s="26" customFormat="1" ht="15.75" hidden="1" customHeight="1" outlineLevel="1">
      <c r="A253" s="67"/>
      <c r="B253" s="34" t="s">
        <v>18</v>
      </c>
      <c r="C253" s="68">
        <v>521600</v>
      </c>
      <c r="D253" s="68">
        <v>0</v>
      </c>
      <c r="E253" s="35">
        <v>0</v>
      </c>
      <c r="F253" s="35">
        <v>4301469.12</v>
      </c>
      <c r="G253" s="49">
        <f t="shared" si="51"/>
        <v>0.12126089609124056</v>
      </c>
      <c r="H253" s="23">
        <f t="shared" si="44"/>
        <v>0</v>
      </c>
      <c r="I253" s="24">
        <f t="shared" si="44"/>
        <v>0</v>
      </c>
      <c r="J253" s="32" t="str" cm="1">
        <f t="array" ref="J253">IFERROR(_xlfn.IFS(B253="044 - BLEND TRADICION","BLEND",B253="113 - CAFÉ GOURMET","GOURMET",B253="114 - CAFÉ CONSUMO","CONSUMO",B253="112 - CAFÉ ORGANICO","GOURMET",B253="172 - CAFÉ COSECHA","ESPECIALES",B253="176 - CAFE DESCAFEINADO","GOURMET",B253="147 - CAPSULAS","CAPSULAS",B253="130 - GALLETAS CAFECITAS","DERIVADOS",B253="140 - MERENGUES","DERIVADOS",B253="100 - CAFÉ ESPECIAL","ESPECIALES",B253="141 - AREQUIPE","DERIVADOS",B253="142 - MERMELADA","DERIVADOS",B253="131 - GALLETAS AVENA","DERIVADOS",B253="160 - SOUVENIR","OTROS",B253="148 - CARAMELOS","DERIVADOS",B253="143 - CHOCOFFES","DERIVADOS",B253="162 - CONVENIOS Y DSC POS ","OTROS"),"OTROS")</f>
        <v>BLEND</v>
      </c>
      <c r="L253" s="27">
        <f t="shared" si="58"/>
        <v>521600</v>
      </c>
      <c r="M253" s="27">
        <f t="shared" si="57"/>
        <v>521600</v>
      </c>
    </row>
    <row r="254" spans="1:13" s="26" customFormat="1" ht="15.75" hidden="1" customHeight="1" outlineLevel="1">
      <c r="A254" s="67"/>
      <c r="B254" s="39" t="s">
        <v>19</v>
      </c>
      <c r="C254" s="60">
        <v>18522837</v>
      </c>
      <c r="D254" s="60">
        <v>-6284991</v>
      </c>
      <c r="E254" s="36"/>
      <c r="F254" s="35">
        <v>133747007.69</v>
      </c>
      <c r="G254" s="37">
        <f t="shared" si="51"/>
        <v>0.13849159932558938</v>
      </c>
      <c r="H254" s="23">
        <f t="shared" ref="H254:I266" si="59">IFERROR(+D254/L254*100%,0)</f>
        <v>-0.25334708866894756</v>
      </c>
      <c r="I254" s="24">
        <f t="shared" si="59"/>
        <v>0</v>
      </c>
      <c r="J254" s="32" t="str" cm="1">
        <f t="array" ref="J254">IFERROR(_xlfn.IFS(B254="044 - BLEND TRADICION","BLEND",B254="113 - CAFÉ GOURMET","GOURMET",B254="114 - CAFÉ CONSUMO","CONSUMO",B254="112 - CAFÉ ORGANICO","GOURMET",B254="172 - CAFÉ COSECHA","ESPECIALES",B254="176 - CAFE DESCAFEINADO","GOURMET",B254="147 - CAPSULAS","CAPSULAS",B254="130 - GALLETAS CAFECITAS","DERIVADOS",B254="140 - MERENGUES","DERIVADOS",B254="100 - CAFÉ ESPECIAL","ESPECIALES",B254="141 - AREQUIPE","DERIVADOS",B254="142 - MERMELADA","DERIVADOS",B254="131 - GALLETAS AVENA","DERIVADOS",B254="160 - SOUVENIR","OTROS",B254="148 - CARAMELOS","DERIVADOS",B254="143 - CHOCOFFES","DERIVADOS",B254="162 - CONVENIOS Y DSC POS ","OTROS"),"OTROS")</f>
        <v>ESPECIALES</v>
      </c>
      <c r="L254" s="27">
        <f t="shared" si="58"/>
        <v>24807828</v>
      </c>
      <c r="M254" s="27">
        <f t="shared" si="57"/>
        <v>24807828</v>
      </c>
    </row>
    <row r="255" spans="1:13" s="26" customFormat="1" ht="15.75" hidden="1" customHeight="1" outlineLevel="1">
      <c r="A255" s="69"/>
      <c r="B255" s="39" t="s">
        <v>20</v>
      </c>
      <c r="C255" s="60">
        <v>19226340</v>
      </c>
      <c r="D255" s="60">
        <v>-351898</v>
      </c>
      <c r="E255" s="36">
        <v>0</v>
      </c>
      <c r="F255" s="36">
        <v>166140099.77000001</v>
      </c>
      <c r="G255" s="37">
        <f t="shared" si="51"/>
        <v>0.1157236574831509</v>
      </c>
      <c r="H255" s="23">
        <f t="shared" si="59"/>
        <v>-1.7973936163203245E-2</v>
      </c>
      <c r="I255" s="24">
        <f t="shared" si="59"/>
        <v>0</v>
      </c>
      <c r="J255" s="32" t="str" cm="1">
        <f t="array" ref="J255">IFERROR(_xlfn.IFS(B255="044 - BLEND TRADICION","BLEND",B255="113 - CAFÉ GOURMET","GOURMET",B255="114 - CAFÉ CONSUMO","CONSUMO",B255="112 - CAFÉ ORGANICO","GOURMET",B255="172 - CAFÉ COSECHA","ESPECIALES",B255="176 - CAFE DESCAFEINADO","GOURMET",B255="147 - CAPSULAS","CAPSULAS",B255="130 - GALLETAS CAFECITAS","DERIVADOS",B255="140 - MERENGUES","DERIVADOS",B255="100 - CAFÉ ESPECIAL","ESPECIALES",B255="141 - AREQUIPE","DERIVADOS",B255="142 - MERMELADA","DERIVADOS",B255="131 - GALLETAS AVENA","DERIVADOS",B255="160 - SOUVENIR","OTROS",B255="148 - CARAMELOS","DERIVADOS",B255="143 - CHOCOFFES","DERIVADOS",B255="162 - CONVENIOS Y DSC POS ","OTROS"),"OTROS")</f>
        <v>GOURMET</v>
      </c>
      <c r="L255" s="27">
        <f t="shared" si="58"/>
        <v>19578238</v>
      </c>
      <c r="M255" s="27">
        <f t="shared" si="57"/>
        <v>19578238</v>
      </c>
    </row>
    <row r="256" spans="1:13" s="26" customFormat="1" ht="15.75" hidden="1" customHeight="1" outlineLevel="1">
      <c r="A256" s="69"/>
      <c r="B256" s="39" t="s">
        <v>21</v>
      </c>
      <c r="C256" s="60">
        <v>165629313</v>
      </c>
      <c r="D256" s="60">
        <v>-9958286</v>
      </c>
      <c r="E256" s="36">
        <v>0</v>
      </c>
      <c r="F256" s="35">
        <v>2016617010.9000001</v>
      </c>
      <c r="G256" s="37">
        <f t="shared" si="51"/>
        <v>8.2132260168766971E-2</v>
      </c>
      <c r="H256" s="23">
        <f t="shared" si="59"/>
        <v>-5.6714062136016791E-2</v>
      </c>
      <c r="I256" s="24">
        <f t="shared" si="59"/>
        <v>0</v>
      </c>
      <c r="J256" s="32" t="str" cm="1">
        <f t="array" ref="J256">IFERROR(_xlfn.IFS(B256="044 - BLEND TRADICION","BLEND",B256="113 - CAFÉ GOURMET","GOURMET",B256="114 - CAFÉ CONSUMO","CONSUMO",B256="112 - CAFÉ ORGANICO","GOURMET",B256="172 - CAFÉ COSECHA","ESPECIALES",B256="176 - CAFE DESCAFEINADO","GOURMET",B256="147 - CAPSULAS","CAPSULAS",B256="130 - GALLETAS CAFECITAS","DERIVADOS",B256="140 - MERENGUES","DERIVADOS",B256="100 - CAFÉ ESPECIAL","ESPECIALES",B256="141 - AREQUIPE","DERIVADOS",B256="142 - MERMELADA","DERIVADOS",B256="131 - GALLETAS AVENA","DERIVADOS",B256="160 - SOUVENIR","OTROS",B256="148 - CARAMELOS","DERIVADOS",B256="143 - CHOCOFFES","DERIVADOS",B256="162 - CONVENIOS Y DSC POS ","OTROS"),"OTROS")</f>
        <v>GOURMET</v>
      </c>
      <c r="L256" s="27">
        <f t="shared" si="58"/>
        <v>175587599</v>
      </c>
      <c r="M256" s="27">
        <f t="shared" si="57"/>
        <v>175587599</v>
      </c>
    </row>
    <row r="257" spans="1:13" s="26" customFormat="1" ht="15.75" hidden="1" customHeight="1" outlineLevel="1">
      <c r="A257" s="69"/>
      <c r="B257" s="39" t="s">
        <v>22</v>
      </c>
      <c r="C257" s="60">
        <v>12801869</v>
      </c>
      <c r="D257" s="60">
        <v>-2367734</v>
      </c>
      <c r="E257" s="36">
        <v>0</v>
      </c>
      <c r="F257" s="36">
        <v>61087901.090000004</v>
      </c>
      <c r="G257" s="37">
        <f t="shared" si="51"/>
        <v>0.20956472184466077</v>
      </c>
      <c r="H257" s="23">
        <f t="shared" si="59"/>
        <v>-0.15608411110033665</v>
      </c>
      <c r="I257" s="24">
        <f t="shared" si="59"/>
        <v>0</v>
      </c>
      <c r="J257" s="32" t="str" cm="1">
        <f t="array" ref="J257">IFERROR(_xlfn.IFS(B257="044 - BLEND TRADICION","BLEND",B257="113 - CAFÉ GOURMET","GOURMET",B257="114 - CAFÉ CONSUMO","CONSUMO",B257="112 - CAFÉ ORGANICO","GOURMET",B257="172 - CAFÉ COSECHA","ESPECIALES",B257="176 - CAFE DESCAFEINADO","GOURMET",B257="147 - CAPSULAS","CAPSULAS",B257="130 - GALLETAS CAFECITAS","DERIVADOS",B257="140 - MERENGUES","DERIVADOS",B257="100 - CAFÉ ESPECIAL","ESPECIALES",B257="141 - AREQUIPE","DERIVADOS",B257="142 - MERMELADA","DERIVADOS",B257="131 - GALLETAS AVENA","DERIVADOS",B257="160 - SOUVENIR","OTROS",B257="148 - CARAMELOS","DERIVADOS",B257="143 - CHOCOFFES","DERIVADOS",B257="162 - CONVENIOS Y DSC POS ","OTROS"),"OTROS")</f>
        <v>DERIVADOS</v>
      </c>
      <c r="L257" s="27">
        <f t="shared" si="58"/>
        <v>15169603</v>
      </c>
      <c r="M257" s="27">
        <f t="shared" si="57"/>
        <v>15169603</v>
      </c>
    </row>
    <row r="258" spans="1:13" s="26" customFormat="1" ht="15.75" hidden="1" customHeight="1" outlineLevel="1">
      <c r="A258" s="69"/>
      <c r="B258" s="39" t="s">
        <v>24</v>
      </c>
      <c r="C258" s="60">
        <v>1702679</v>
      </c>
      <c r="D258" s="60">
        <v>-168057</v>
      </c>
      <c r="E258" s="36"/>
      <c r="F258" s="35">
        <v>7233101.0300000003</v>
      </c>
      <c r="G258" s="37">
        <f t="shared" si="51"/>
        <v>0.23540097019770231</v>
      </c>
      <c r="H258" s="23">
        <f t="shared" si="59"/>
        <v>-8.9834696076838208E-2</v>
      </c>
      <c r="I258" s="24">
        <f t="shared" si="59"/>
        <v>0</v>
      </c>
      <c r="J258" s="32" t="str" cm="1">
        <f t="array" ref="J258">IFERROR(_xlfn.IFS(B258="044 - BLEND TRADICION","BLEND",B258="113 - CAFÉ GOURMET","GOURMET",B258="114 - CAFÉ CONSUMO","CONSUMO",B258="112 - CAFÉ ORGANICO","GOURMET",B258="172 - CAFÉ COSECHA","ESPECIALES",B258="176 - CAFE DESCAFEINADO","GOURMET",B258="147 - CAPSULAS","CAPSULAS",B258="130 - GALLETAS CAFECITAS","DERIVADOS",B258="140 - MERENGUES","DERIVADOS",B258="100 - CAFÉ ESPECIAL","ESPECIALES",B258="141 - AREQUIPE","DERIVADOS",B258="142 - MERMELADA","DERIVADOS",B258="131 - GALLETAS AVENA","DERIVADOS",B258="160 - SOUVENIR","OTROS",B258="148 - CARAMELOS","DERIVADOS",B258="143 - CHOCOFFES","DERIVADOS",B258="162 - CONVENIOS Y DSC POS ","OTROS"),"OTROS")</f>
        <v>DERIVADOS</v>
      </c>
      <c r="L258" s="27">
        <f t="shared" si="58"/>
        <v>1870736</v>
      </c>
      <c r="M258" s="27">
        <f t="shared" si="57"/>
        <v>1870736</v>
      </c>
    </row>
    <row r="259" spans="1:13" s="26" customFormat="1" ht="15.75" hidden="1" customHeight="1" outlineLevel="1">
      <c r="A259" s="69"/>
      <c r="B259" s="39" t="s">
        <v>25</v>
      </c>
      <c r="C259" s="60">
        <v>1536508</v>
      </c>
      <c r="D259" s="60">
        <v>-149012</v>
      </c>
      <c r="E259" s="36"/>
      <c r="F259" s="35">
        <v>8769038.3300000001</v>
      </c>
      <c r="G259" s="37">
        <f t="shared" si="51"/>
        <v>0.17521966972631536</v>
      </c>
      <c r="H259" s="23">
        <f t="shared" si="59"/>
        <v>-8.8407138449855233E-2</v>
      </c>
      <c r="I259" s="24">
        <f t="shared" si="59"/>
        <v>0</v>
      </c>
      <c r="J259" s="32" t="str" cm="1">
        <f t="array" ref="J259">IFERROR(_xlfn.IFS(B259="044 - BLEND TRADICION","BLEND",B259="113 - CAFÉ GOURMET","GOURMET",B259="114 - CAFÉ CONSUMO","CONSUMO",B259="112 - CAFÉ ORGANICO","GOURMET",B259="172 - CAFÉ COSECHA","ESPECIALES",B259="176 - CAFE DESCAFEINADO","GOURMET",B259="147 - CAPSULAS","CAPSULAS",B259="130 - GALLETAS CAFECITAS","DERIVADOS",B259="140 - MERENGUES","DERIVADOS",B259="100 - CAFÉ ESPECIAL","ESPECIALES",B259="141 - AREQUIPE","DERIVADOS",B259="142 - MERMELADA","DERIVADOS",B259="131 - GALLETAS AVENA","DERIVADOS",B259="160 - SOUVENIR","OTROS",B259="148 - CARAMELOS","DERIVADOS",B259="143 - CHOCOFFES","DERIVADOS",B259="162 - CONVENIOS Y DSC POS ","OTROS"),"OTROS")</f>
        <v>DERIVADOS</v>
      </c>
      <c r="L259" s="27">
        <f t="shared" si="58"/>
        <v>1685520</v>
      </c>
      <c r="M259" s="27">
        <f t="shared" si="57"/>
        <v>1685520</v>
      </c>
    </row>
    <row r="260" spans="1:13" s="26" customFormat="1" ht="15.75" hidden="1" customHeight="1" outlineLevel="1">
      <c r="A260" s="69"/>
      <c r="B260" s="39" t="s">
        <v>26</v>
      </c>
      <c r="C260" s="60">
        <v>-16892786</v>
      </c>
      <c r="D260" s="60">
        <v>-24435333</v>
      </c>
      <c r="E260" s="36">
        <v>0</v>
      </c>
      <c r="F260" s="36">
        <v>155253232.08000001</v>
      </c>
      <c r="G260" s="37">
        <f t="shared" si="51"/>
        <v>-0.10880795055716046</v>
      </c>
      <c r="H260" s="23">
        <f t="shared" si="59"/>
        <v>-3.239665990811857</v>
      </c>
      <c r="I260" s="24">
        <f t="shared" si="59"/>
        <v>0</v>
      </c>
      <c r="J260" s="32" t="str" cm="1">
        <f t="array" ref="J260">IFERROR(_xlfn.IFS(B260="044 - BLEND TRADICION","BLEND",B260="113 - CAFÉ GOURMET","GOURMET",B260="114 - CAFÉ CONSUMO","CONSUMO",B260="112 - CAFÉ ORGANICO","GOURMET",B260="172 - CAFÉ COSECHA","ESPECIALES",B260="176 - CAFE DESCAFEINADO","GOURMET",B260="147 - CAPSULAS","CAPSULAS",B260="130 - GALLETAS CAFECITAS","DERIVADOS",B260="140 - MERENGUES","DERIVADOS",B260="100 - CAFÉ ESPECIAL","ESPECIALES",B260="141 - AREQUIPE","DERIVADOS",B260="142 - MERMELADA","DERIVADOS",B260="131 - GALLETAS AVENA","DERIVADOS",B260="160 - SOUVENIR","OTROS",B260="148 - CARAMELOS","DERIVADOS",B260="143 - CHOCOFFES","DERIVADOS",B260="162 - CONVENIOS Y DSC POS ","OTROS"),"OTROS")</f>
        <v>CAPSULAS</v>
      </c>
      <c r="L260" s="27">
        <f t="shared" si="58"/>
        <v>7542547</v>
      </c>
      <c r="M260" s="27">
        <f t="shared" si="57"/>
        <v>7542547</v>
      </c>
    </row>
    <row r="261" spans="1:13" s="26" customFormat="1" ht="15.75" hidden="1" customHeight="1" outlineLevel="1">
      <c r="A261" s="69"/>
      <c r="B261" s="39" t="s">
        <v>27</v>
      </c>
      <c r="C261" s="60">
        <v>0</v>
      </c>
      <c r="D261" s="60">
        <v>0</v>
      </c>
      <c r="E261" s="36">
        <v>0</v>
      </c>
      <c r="F261" s="35">
        <v>5439026.3600000003</v>
      </c>
      <c r="G261" s="37">
        <f t="shared" si="51"/>
        <v>0</v>
      </c>
      <c r="H261" s="23">
        <f t="shared" si="59"/>
        <v>0</v>
      </c>
      <c r="I261" s="24">
        <f t="shared" si="59"/>
        <v>0</v>
      </c>
      <c r="J261" s="32" t="str" cm="1">
        <f t="array" ref="J261">IFERROR(_xlfn.IFS(B261="044 - BLEND TRADICION","BLEND",B261="113 - CAFÉ GOURMET","GOURMET",B261="114 - CAFÉ CONSUMO","CONSUMO",B261="112 - CAFÉ ORGANICO","GOURMET",B261="172 - CAFÉ COSECHA","ESPECIALES",B261="176 - CAFE DESCAFEINADO","GOURMET",B261="147 - CAPSULAS","CAPSULAS",B261="130 - GALLETAS CAFECITAS","DERIVADOS",B261="140 - MERENGUES","DERIVADOS",B261="100 - CAFÉ ESPECIAL","ESPECIALES",B261="141 - AREQUIPE","DERIVADOS",B261="142 - MERMELADA","DERIVADOS",B261="131 - GALLETAS AVENA","DERIVADOS",B261="160 - SOUVENIR","OTROS",B261="148 - CARAMELOS","DERIVADOS",B261="143 - CHOCOFFES","DERIVADOS",B261="162 - CONVENIOS Y DSC POS ","OTROS"),"OTROS")</f>
        <v>DERIVADOS</v>
      </c>
      <c r="L261" s="27">
        <f t="shared" si="58"/>
        <v>0</v>
      </c>
      <c r="M261" s="27">
        <f t="shared" si="57"/>
        <v>0</v>
      </c>
    </row>
    <row r="262" spans="1:13" s="26" customFormat="1" ht="15.75" hidden="1" customHeight="1" outlineLevel="1">
      <c r="A262" s="69"/>
      <c r="B262" s="39" t="s">
        <v>28</v>
      </c>
      <c r="C262" s="60">
        <v>5861619</v>
      </c>
      <c r="D262" s="60">
        <v>-1217631</v>
      </c>
      <c r="E262" s="36">
        <v>0</v>
      </c>
      <c r="F262" s="36">
        <v>137373469.31999999</v>
      </c>
      <c r="G262" s="37">
        <f t="shared" si="51"/>
        <v>4.26692215681461E-2</v>
      </c>
      <c r="H262" s="23">
        <f t="shared" si="59"/>
        <v>-0.17199999999999999</v>
      </c>
      <c r="I262" s="24">
        <f t="shared" si="59"/>
        <v>0</v>
      </c>
      <c r="J262" s="32" t="str" cm="1">
        <f t="array" ref="J262">IFERROR(_xlfn.IFS(B262="044 - BLEND TRADICION","BLEND",B262="113 - CAFÉ GOURMET","GOURMET",B262="114 - CAFÉ CONSUMO","CONSUMO",B262="112 - CAFÉ ORGANICO","GOURMET",B262="172 - CAFÉ COSECHA","ESPECIALES",B262="176 - CAFE DESCAFEINADO","GOURMET",B262="147 - CAPSULAS","CAPSULAS",B262="130 - GALLETAS CAFECITAS","DERIVADOS",B262="140 - MERENGUES","DERIVADOS",B262="100 - CAFÉ ESPECIAL","ESPECIALES",B262="141 - AREQUIPE","DERIVADOS",B262="142 - MERMELADA","DERIVADOS",B262="131 - GALLETAS AVENA","DERIVADOS",B262="160 - SOUVENIR","OTROS",B262="148 - CARAMELOS","DERIVADOS",B262="143 - CHOCOFFES","DERIVADOS",B262="162 - CONVENIOS Y DSC POS ","OTROS"),"OTROS")</f>
        <v>OTROS</v>
      </c>
      <c r="L262" s="27">
        <f t="shared" si="58"/>
        <v>7079250</v>
      </c>
      <c r="M262" s="27">
        <f t="shared" si="57"/>
        <v>7079250</v>
      </c>
    </row>
    <row r="263" spans="1:13" s="26" customFormat="1" ht="15.75" hidden="1" customHeight="1" outlineLevel="1">
      <c r="A263" s="69"/>
      <c r="B263" s="39" t="s">
        <v>29</v>
      </c>
      <c r="C263" s="60">
        <v>7703539</v>
      </c>
      <c r="D263" s="60">
        <v>-1887989</v>
      </c>
      <c r="E263" s="36">
        <v>0</v>
      </c>
      <c r="F263" s="36">
        <v>320749097.20999998</v>
      </c>
      <c r="G263" s="37">
        <f t="shared" si="51"/>
        <v>2.4017336500736463E-2</v>
      </c>
      <c r="H263" s="23">
        <f t="shared" si="59"/>
        <v>-0.19683923145509244</v>
      </c>
      <c r="I263" s="24">
        <f t="shared" si="59"/>
        <v>0</v>
      </c>
      <c r="J263" s="32" t="str" cm="1">
        <f t="array" ref="J263">IFERROR(_xlfn.IFS(B263="044 - BLEND TRADICION","BLEND",B263="113 - CAFÉ GOURMET","GOURMET",B263="114 - CAFÉ CONSUMO","CONSUMO",B263="112 - CAFÉ ORGANICO","GOURMET",B263="172 - CAFÉ COSECHA","ESPECIALES",B263="176 - CAFE DESCAFEINADO","GOURMET",B263="147 - CAPSULAS","CAPSULAS",B263="130 - GALLETAS CAFECITAS","DERIVADOS",B263="140 - MERENGUES","DERIVADOS",B263="100 - CAFÉ ESPECIAL","ESPECIALES",B263="141 - AREQUIPE","DERIVADOS",B263="142 - MERMELADA","DERIVADOS",B263="131 - GALLETAS AVENA","DERIVADOS",B263="160 - SOUVENIR","OTROS",B263="148 - CARAMELOS","DERIVADOS",B263="143 - CHOCOFFES","DERIVADOS",B263="162 - CONVENIOS Y DSC POS ","OTROS"),"OTROS")</f>
        <v>ESPECIALES</v>
      </c>
      <c r="L263" s="27">
        <f t="shared" si="58"/>
        <v>9591528</v>
      </c>
      <c r="M263" s="27">
        <f t="shared" si="57"/>
        <v>9591528</v>
      </c>
    </row>
    <row r="264" spans="1:13" s="26" customFormat="1" ht="15.75" hidden="1" customHeight="1" outlineLevel="1">
      <c r="A264" s="69"/>
      <c r="B264" s="39" t="s">
        <v>30</v>
      </c>
      <c r="C264" s="60">
        <v>1513973</v>
      </c>
      <c r="D264" s="60">
        <v>-32819</v>
      </c>
      <c r="E264" s="60">
        <v>0</v>
      </c>
      <c r="F264" s="36">
        <v>43409949.520000003</v>
      </c>
      <c r="G264" s="37">
        <f t="shared" si="51"/>
        <v>3.4876175087521728E-2</v>
      </c>
      <c r="H264" s="23">
        <f t="shared" si="59"/>
        <v>-2.1217461688449384E-2</v>
      </c>
      <c r="I264" s="24">
        <f t="shared" si="59"/>
        <v>0</v>
      </c>
      <c r="J264" s="32" t="str" cm="1">
        <f t="array" ref="J264">IFERROR(_xlfn.IFS(B264="044 - BLEND TRADICION","BLEND",B264="113 - CAFÉ GOURMET","GOURMET",B264="114 - CAFÉ CONSUMO","CONSUMO",B264="112 - CAFÉ ORGANICO","GOURMET",B264="172 - CAFÉ COSECHA","ESPECIALES",B264="176 - CAFE DESCAFEINADO","GOURMET",B264="147 - CAPSULAS","CAPSULAS",B264="130 - GALLETAS CAFECITAS","DERIVADOS",B264="140 - MERENGUES","DERIVADOS",B264="100 - CAFÉ ESPECIAL","ESPECIALES",B264="141 - AREQUIPE","DERIVADOS",B264="142 - MERMELADA","DERIVADOS",B264="131 - GALLETAS AVENA","DERIVADOS",B264="160 - SOUVENIR","OTROS",B264="148 - CARAMELOS","DERIVADOS",B264="143 - CHOCOFFES","DERIVADOS",B264="162 - CONVENIOS Y DSC POS ","OTROS"),"OTROS")</f>
        <v>GOURMET</v>
      </c>
      <c r="L264" s="27">
        <f t="shared" si="58"/>
        <v>1546792</v>
      </c>
      <c r="M264" s="27">
        <f t="shared" si="57"/>
        <v>1546792</v>
      </c>
    </row>
    <row r="265" spans="1:13" s="26" customFormat="1" ht="15.75" hidden="1" customHeight="1" outlineLevel="1" thickBot="1">
      <c r="A265" s="70" t="s">
        <v>66</v>
      </c>
      <c r="B265" s="56" t="s">
        <v>32</v>
      </c>
      <c r="C265" s="54">
        <f>SUM(C253:C264)</f>
        <v>218127491</v>
      </c>
      <c r="D265" s="54">
        <f>SUM(D253:D264)</f>
        <v>-46853750</v>
      </c>
      <c r="E265" s="54">
        <f>SUM(E253:E264)</f>
        <v>0</v>
      </c>
      <c r="F265" s="71">
        <f>SUM(F253:F264)</f>
        <v>3060120402.4200006</v>
      </c>
      <c r="G265" s="72">
        <f t="shared" si="51"/>
        <v>7.1280689095599203E-2</v>
      </c>
      <c r="H265" s="73">
        <f t="shared" si="59"/>
        <v>-0.17681912056559507</v>
      </c>
      <c r="I265" s="74">
        <f t="shared" si="59"/>
        <v>0</v>
      </c>
      <c r="J265" s="32"/>
      <c r="L265" s="27">
        <f t="shared" si="58"/>
        <v>264981241</v>
      </c>
      <c r="M265" s="27">
        <f t="shared" si="57"/>
        <v>264981241</v>
      </c>
    </row>
    <row r="266" spans="1:13" s="26" customFormat="1" ht="17" collapsed="1" thickBot="1">
      <c r="A266" s="181" t="s">
        <v>67</v>
      </c>
      <c r="B266" s="182"/>
      <c r="C266" s="75">
        <f>+C59+C107+C190+C206+C237+C5+C222+C252+C21</f>
        <v>759258083</v>
      </c>
      <c r="D266" s="75">
        <f>+D59+D107+D190+D206+D237+D5+D222+D252+D21</f>
        <v>-50469541</v>
      </c>
      <c r="E266" s="75">
        <f>+E59+E107+E190+E206+E237+E5+E222+E252+E21</f>
        <v>0</v>
      </c>
      <c r="F266" s="75">
        <f>+F59+F107+F190+F206+F237+F5+F222+F252+F21</f>
        <v>6068096467.1400003</v>
      </c>
      <c r="G266" s="76">
        <f>IFERROR(C266/F266*100%,"-")</f>
        <v>0.1251229421139792</v>
      </c>
      <c r="H266" s="76">
        <f t="shared" si="59"/>
        <v>-6.2329034485304899E-2</v>
      </c>
      <c r="I266" s="77">
        <f t="shared" si="59"/>
        <v>0</v>
      </c>
      <c r="J266" s="32"/>
      <c r="L266" s="27">
        <f t="shared" si="58"/>
        <v>809727624</v>
      </c>
      <c r="M266" s="27">
        <f>L266</f>
        <v>809727624</v>
      </c>
    </row>
    <row r="267" spans="1:13" s="26" customFormat="1" ht="16.5">
      <c r="A267" s="6" t="s">
        <v>68</v>
      </c>
      <c r="B267" s="6" t="s">
        <v>68</v>
      </c>
      <c r="C267" s="78"/>
      <c r="D267" s="78"/>
      <c r="E267" s="78"/>
      <c r="F267" s="79"/>
      <c r="G267" s="79"/>
      <c r="H267" s="6"/>
      <c r="I267" s="6"/>
      <c r="J267" s="32"/>
    </row>
    <row r="268" spans="1:13" s="26" customFormat="1" ht="16.5">
      <c r="A268" s="183" t="s">
        <v>69</v>
      </c>
      <c r="B268" s="184"/>
      <c r="C268" s="187"/>
      <c r="D268" s="187"/>
      <c r="E268" s="187"/>
      <c r="F268" s="188"/>
      <c r="G268" s="79"/>
      <c r="H268" s="6"/>
      <c r="I268" s="6"/>
      <c r="J268" s="32"/>
    </row>
    <row r="269" spans="1:13" s="26" customFormat="1" ht="16.5">
      <c r="A269" s="185"/>
      <c r="B269" s="186"/>
      <c r="C269" s="171"/>
      <c r="D269" s="171"/>
      <c r="E269" s="171"/>
      <c r="F269" s="172"/>
      <c r="G269" s="79"/>
      <c r="H269" s="6"/>
      <c r="I269" s="6"/>
      <c r="J269" s="32"/>
    </row>
    <row r="270" spans="1:13" s="26" customFormat="1" ht="16.5">
      <c r="A270" s="80"/>
      <c r="B270" s="12" t="s">
        <v>2</v>
      </c>
      <c r="C270" s="13" t="s">
        <v>3</v>
      </c>
      <c r="D270" s="13" t="s">
        <v>4</v>
      </c>
      <c r="E270" s="13" t="s">
        <v>6</v>
      </c>
      <c r="F270" s="15" t="s">
        <v>7</v>
      </c>
      <c r="G270" s="81" t="s">
        <v>8</v>
      </c>
      <c r="H270" s="6"/>
      <c r="I270" s="6"/>
      <c r="J270" s="32"/>
    </row>
    <row r="271" spans="1:13" s="26" customFormat="1" ht="16.5">
      <c r="A271" s="82"/>
      <c r="B271" s="83" t="s">
        <v>62</v>
      </c>
      <c r="C271" s="84">
        <v>18333</v>
      </c>
      <c r="D271" s="84">
        <v>0</v>
      </c>
      <c r="E271" s="84">
        <v>0</v>
      </c>
      <c r="F271" s="85" t="str">
        <f>IFERROR(C271/E271*100%,"-")</f>
        <v>-</v>
      </c>
      <c r="G271" s="85">
        <f t="shared" ref="G271:G291" si="60">IFERROR((D271/C271)*100%,"-")</f>
        <v>0</v>
      </c>
      <c r="H271" s="6"/>
      <c r="I271" s="6"/>
      <c r="J271" s="32"/>
    </row>
    <row r="272" spans="1:13" s="26" customFormat="1" ht="16.5">
      <c r="A272" s="82"/>
      <c r="B272" s="83" t="s">
        <v>34</v>
      </c>
      <c r="C272" s="84">
        <v>29539855</v>
      </c>
      <c r="D272" s="84">
        <v>0</v>
      </c>
      <c r="E272" s="84">
        <v>54501464.539999999</v>
      </c>
      <c r="F272" s="85">
        <f t="shared" ref="F272:F291" si="61">IFERROR(C272/E272*100%,"-")</f>
        <v>0.54200112326009064</v>
      </c>
      <c r="G272" s="85">
        <f t="shared" si="60"/>
        <v>0</v>
      </c>
      <c r="H272" s="6"/>
      <c r="I272" s="6"/>
      <c r="J272" s="32"/>
    </row>
    <row r="273" spans="1:10" s="26" customFormat="1" ht="16.5">
      <c r="A273" s="82"/>
      <c r="B273" s="83" t="s">
        <v>42</v>
      </c>
      <c r="C273" s="84">
        <v>436199</v>
      </c>
      <c r="D273" s="84">
        <v>0</v>
      </c>
      <c r="E273" s="84">
        <v>0</v>
      </c>
      <c r="F273" s="85" t="str">
        <f t="shared" si="61"/>
        <v>-</v>
      </c>
      <c r="G273" s="85">
        <f t="shared" si="60"/>
        <v>0</v>
      </c>
      <c r="H273" s="6"/>
      <c r="I273" s="6"/>
      <c r="J273" s="32"/>
    </row>
    <row r="274" spans="1:10" s="26" customFormat="1" ht="16.5">
      <c r="A274" s="82"/>
      <c r="B274" s="83" t="s">
        <v>18</v>
      </c>
      <c r="C274" s="84">
        <v>41884228</v>
      </c>
      <c r="D274" s="84">
        <v>0</v>
      </c>
      <c r="E274" s="84">
        <v>507299188.97000003</v>
      </c>
      <c r="F274" s="85">
        <f t="shared" si="61"/>
        <v>8.2563167674366014E-2</v>
      </c>
      <c r="G274" s="85">
        <f t="shared" si="60"/>
        <v>0</v>
      </c>
      <c r="H274" s="6"/>
      <c r="I274" s="6"/>
      <c r="J274" s="32"/>
    </row>
    <row r="275" spans="1:10" s="26" customFormat="1" ht="16.5">
      <c r="A275" s="82"/>
      <c r="B275" s="83" t="s">
        <v>36</v>
      </c>
      <c r="C275" s="84">
        <v>15646</v>
      </c>
      <c r="D275" s="84">
        <v>0</v>
      </c>
      <c r="E275" s="84">
        <v>0</v>
      </c>
      <c r="F275" s="85" t="str">
        <f t="shared" si="61"/>
        <v>-</v>
      </c>
      <c r="G275" s="85">
        <f t="shared" si="60"/>
        <v>0</v>
      </c>
      <c r="H275" s="6"/>
      <c r="I275" s="6"/>
      <c r="J275" s="32"/>
    </row>
    <row r="276" spans="1:10" s="26" customFormat="1" ht="16.5">
      <c r="A276" s="82"/>
      <c r="B276" s="83" t="s">
        <v>19</v>
      </c>
      <c r="C276" s="84">
        <v>36346184</v>
      </c>
      <c r="D276" s="84">
        <v>-6284991</v>
      </c>
      <c r="E276" s="84">
        <v>191019804.03</v>
      </c>
      <c r="F276" s="85">
        <f t="shared" si="61"/>
        <v>0.19027442826970845</v>
      </c>
      <c r="G276" s="85">
        <f t="shared" si="60"/>
        <v>-0.17292024384182944</v>
      </c>
      <c r="H276" s="6"/>
      <c r="I276" s="6"/>
      <c r="J276" s="32"/>
    </row>
    <row r="277" spans="1:10" s="26" customFormat="1" ht="16.5">
      <c r="A277" s="82"/>
      <c r="B277" s="83" t="s">
        <v>20</v>
      </c>
      <c r="C277" s="84">
        <v>32822158</v>
      </c>
      <c r="D277" s="84">
        <v>-351898</v>
      </c>
      <c r="E277" s="84">
        <v>223501100.75</v>
      </c>
      <c r="F277" s="85">
        <f t="shared" ref="F277:F282" si="62">IFERROR(C277/E277*100%,"-")</f>
        <v>0.14685456979790737</v>
      </c>
      <c r="G277" s="85">
        <f t="shared" ref="G277:G282" si="63">IFERROR((D277/C277)*100%,"-")</f>
        <v>-1.0721354762840396E-2</v>
      </c>
      <c r="H277" s="6"/>
      <c r="I277" s="6"/>
      <c r="J277" s="32"/>
    </row>
    <row r="278" spans="1:10" s="26" customFormat="1" ht="16.5">
      <c r="A278" s="82"/>
      <c r="B278" s="83" t="s">
        <v>21</v>
      </c>
      <c r="C278" s="84">
        <v>457986659</v>
      </c>
      <c r="D278" s="84">
        <v>-13065341</v>
      </c>
      <c r="E278" s="84">
        <v>3601471598.6100001</v>
      </c>
      <c r="F278" s="85">
        <f t="shared" si="62"/>
        <v>0.12716653358498273</v>
      </c>
      <c r="G278" s="85">
        <f t="shared" si="63"/>
        <v>-2.8527776395338187E-2</v>
      </c>
      <c r="H278" s="6"/>
      <c r="I278" s="6"/>
      <c r="J278" s="32"/>
    </row>
    <row r="279" spans="1:10" s="26" customFormat="1" ht="16.5">
      <c r="A279" s="82"/>
      <c r="B279" s="83" t="s">
        <v>38</v>
      </c>
      <c r="C279" s="84">
        <v>3049337</v>
      </c>
      <c r="D279" s="84">
        <v>0</v>
      </c>
      <c r="E279" s="84">
        <v>53476353.159999996</v>
      </c>
      <c r="F279" s="85">
        <f t="shared" si="62"/>
        <v>5.7022156893841568E-2</v>
      </c>
      <c r="G279" s="85">
        <f t="shared" si="63"/>
        <v>0</v>
      </c>
      <c r="H279" s="6"/>
      <c r="I279" s="6"/>
      <c r="J279" s="32"/>
    </row>
    <row r="280" spans="1:10" s="26" customFormat="1" ht="16.5">
      <c r="A280" s="82"/>
      <c r="B280" s="83" t="s">
        <v>22</v>
      </c>
      <c r="C280" s="84">
        <v>34191408</v>
      </c>
      <c r="D280" s="84">
        <v>-2367734</v>
      </c>
      <c r="E280" s="84">
        <v>217515060.65000001</v>
      </c>
      <c r="F280" s="85">
        <f t="shared" si="62"/>
        <v>0.157190991271252</v>
      </c>
      <c r="G280" s="85">
        <f t="shared" si="63"/>
        <v>-6.9249385693622212E-2</v>
      </c>
      <c r="H280" s="6"/>
      <c r="I280" s="6"/>
      <c r="J280" s="32"/>
    </row>
    <row r="281" spans="1:10" s="26" customFormat="1" ht="16.5">
      <c r="A281" s="82"/>
      <c r="B281" s="83" t="s">
        <v>23</v>
      </c>
      <c r="C281" s="84">
        <v>232877</v>
      </c>
      <c r="D281" s="84">
        <v>0</v>
      </c>
      <c r="E281" s="84">
        <v>2178053.21</v>
      </c>
      <c r="F281" s="85">
        <f t="shared" si="62"/>
        <v>0.10691979375471732</v>
      </c>
      <c r="G281" s="85">
        <f t="shared" si="63"/>
        <v>0</v>
      </c>
      <c r="H281" s="6"/>
      <c r="I281" s="6"/>
      <c r="J281" s="32"/>
    </row>
    <row r="282" spans="1:10" s="26" customFormat="1" ht="16.5">
      <c r="A282" s="82"/>
      <c r="B282" s="83" t="s">
        <v>24</v>
      </c>
      <c r="C282" s="84">
        <v>4736910</v>
      </c>
      <c r="D282" s="84">
        <v>-168057</v>
      </c>
      <c r="E282" s="84">
        <v>22254856.469999999</v>
      </c>
      <c r="F282" s="85">
        <f t="shared" si="62"/>
        <v>0.21284837340494428</v>
      </c>
      <c r="G282" s="85">
        <f t="shared" si="63"/>
        <v>-3.5478191479255461E-2</v>
      </c>
      <c r="H282" s="6"/>
      <c r="I282" s="6"/>
      <c r="J282" s="32"/>
    </row>
    <row r="283" spans="1:10" s="26" customFormat="1" ht="16.5">
      <c r="A283" s="82"/>
      <c r="B283" s="83" t="s">
        <v>25</v>
      </c>
      <c r="C283" s="84">
        <v>16792807</v>
      </c>
      <c r="D283" s="84">
        <v>-149012</v>
      </c>
      <c r="E283" s="84">
        <v>73446237.840000004</v>
      </c>
      <c r="F283" s="85">
        <f t="shared" si="61"/>
        <v>0.22864080576301987</v>
      </c>
      <c r="G283" s="85">
        <f t="shared" si="60"/>
        <v>-8.8735611622285659E-3</v>
      </c>
      <c r="H283" s="6"/>
      <c r="I283" s="6"/>
      <c r="J283" s="32"/>
    </row>
    <row r="284" spans="1:10" s="26" customFormat="1" ht="16.5">
      <c r="A284" s="82"/>
      <c r="B284" s="83" t="s">
        <v>26</v>
      </c>
      <c r="C284" s="84">
        <v>23358131</v>
      </c>
      <c r="D284" s="84">
        <v>-24435333</v>
      </c>
      <c r="E284" s="84">
        <v>283274900.44</v>
      </c>
      <c r="F284" s="85">
        <f t="shared" si="61"/>
        <v>8.2457467865026918E-2</v>
      </c>
      <c r="G284" s="85">
        <f t="shared" si="60"/>
        <v>-1.0461167890530283</v>
      </c>
      <c r="H284" s="6"/>
      <c r="I284" s="6"/>
      <c r="J284" s="32"/>
    </row>
    <row r="285" spans="1:10" s="26" customFormat="1" ht="16.5">
      <c r="A285" s="82"/>
      <c r="B285" s="83" t="s">
        <v>27</v>
      </c>
      <c r="C285" s="84">
        <v>18639027</v>
      </c>
      <c r="D285" s="84">
        <v>0</v>
      </c>
      <c r="E285" s="84">
        <v>86150297.260000005</v>
      </c>
      <c r="F285" s="85">
        <f t="shared" si="61"/>
        <v>0.21635476130451137</v>
      </c>
      <c r="G285" s="85">
        <f t="shared" si="60"/>
        <v>0</v>
      </c>
      <c r="H285" s="6"/>
      <c r="I285" s="6"/>
      <c r="J285" s="32"/>
    </row>
    <row r="286" spans="1:10" s="26" customFormat="1" ht="16.5">
      <c r="A286" s="82"/>
      <c r="B286" s="83" t="s">
        <v>28</v>
      </c>
      <c r="C286" s="84">
        <v>22307485</v>
      </c>
      <c r="D286" s="84">
        <v>-1217631</v>
      </c>
      <c r="E286" s="84">
        <v>247793209.88999999</v>
      </c>
      <c r="F286" s="85">
        <f t="shared" si="61"/>
        <v>9.0024601601886939E-2</v>
      </c>
      <c r="G286" s="85">
        <f t="shared" si="60"/>
        <v>-5.4583965875131153E-2</v>
      </c>
      <c r="H286" s="6"/>
      <c r="I286" s="6"/>
      <c r="J286" s="32"/>
    </row>
    <row r="287" spans="1:10" s="26" customFormat="1" ht="16.5">
      <c r="A287" s="82"/>
      <c r="B287" s="83" t="s">
        <v>39</v>
      </c>
      <c r="C287" s="84">
        <v>21018</v>
      </c>
      <c r="D287" s="84">
        <v>0</v>
      </c>
      <c r="E287" s="84">
        <v>0</v>
      </c>
      <c r="F287" s="85" t="str">
        <f t="shared" si="61"/>
        <v>-</v>
      </c>
      <c r="G287" s="85">
        <f t="shared" si="60"/>
        <v>0</v>
      </c>
      <c r="H287" s="6"/>
      <c r="I287" s="6"/>
      <c r="J287" s="32"/>
    </row>
    <row r="288" spans="1:10" s="26" customFormat="1" ht="16.5">
      <c r="A288" s="82"/>
      <c r="B288" s="83" t="s">
        <v>29</v>
      </c>
      <c r="C288" s="84">
        <v>28070355</v>
      </c>
      <c r="D288" s="84">
        <v>-1887989</v>
      </c>
      <c r="E288" s="84">
        <v>442463603.77999997</v>
      </c>
      <c r="F288" s="85">
        <f t="shared" si="61"/>
        <v>6.3441048620028487E-2</v>
      </c>
      <c r="G288" s="85">
        <f t="shared" si="60"/>
        <v>-6.7259177876446516E-2</v>
      </c>
      <c r="H288" s="6"/>
      <c r="I288" s="6"/>
      <c r="J288" s="32"/>
    </row>
    <row r="289" spans="1:31" s="26" customFormat="1">
      <c r="A289" s="82"/>
      <c r="B289" s="83" t="s">
        <v>30</v>
      </c>
      <c r="C289" s="84">
        <v>6706522</v>
      </c>
      <c r="D289" s="84">
        <v>-32819</v>
      </c>
      <c r="E289" s="84">
        <v>61750737.539999999</v>
      </c>
      <c r="F289" s="85">
        <f t="shared" si="61"/>
        <v>0.10860634653401097</v>
      </c>
      <c r="G289" s="85">
        <f t="shared" si="60"/>
        <v>-4.8935946232637421E-3</v>
      </c>
      <c r="H289" s="6"/>
      <c r="I289" s="6"/>
    </row>
    <row r="290" spans="1:31" s="26" customFormat="1">
      <c r="A290" s="82"/>
      <c r="B290" s="83" t="s">
        <v>92</v>
      </c>
      <c r="C290" s="84">
        <v>2563680</v>
      </c>
      <c r="D290" s="84">
        <v>0</v>
      </c>
      <c r="E290" s="84">
        <v>0</v>
      </c>
      <c r="F290" s="85" t="str">
        <f t="shared" si="61"/>
        <v>-</v>
      </c>
      <c r="G290" s="85">
        <f t="shared" si="60"/>
        <v>0</v>
      </c>
      <c r="H290" s="6"/>
      <c r="I290" s="6"/>
    </row>
    <row r="291" spans="1:31" s="26" customFormat="1" ht="16.5">
      <c r="A291" s="82"/>
      <c r="B291" s="83" t="s">
        <v>31</v>
      </c>
      <c r="C291" s="84">
        <v>-460736</v>
      </c>
      <c r="D291" s="84">
        <v>-508736</v>
      </c>
      <c r="E291" s="84">
        <v>0</v>
      </c>
      <c r="F291" s="85" t="str">
        <f t="shared" si="61"/>
        <v>-</v>
      </c>
      <c r="G291" s="85">
        <f t="shared" si="60"/>
        <v>1.1041811362689262</v>
      </c>
      <c r="H291" s="6"/>
      <c r="I291" s="6"/>
      <c r="J291" s="32"/>
    </row>
    <row r="292" spans="1:31" s="79" customFormat="1" ht="16.5">
      <c r="A292" s="82"/>
      <c r="B292" s="86" t="s">
        <v>32</v>
      </c>
      <c r="C292" s="87">
        <f>SUM(C271:C291)</f>
        <v>759258083</v>
      </c>
      <c r="D292" s="87">
        <f>SUM(D271:D291)</f>
        <v>-50469541</v>
      </c>
      <c r="E292" s="87">
        <f>SUM(E271:E291)</f>
        <v>6068096467.1399994</v>
      </c>
      <c r="F292" s="88">
        <f>C292/E292*100%</f>
        <v>0.12512294211397923</v>
      </c>
      <c r="G292" s="88">
        <v>2.1700000000000001E-2</v>
      </c>
      <c r="H292" s="6"/>
      <c r="I292" s="27"/>
      <c r="J292" s="32"/>
      <c r="K292" s="26"/>
      <c r="L292" s="26"/>
      <c r="M292" s="26"/>
      <c r="O292" s="26"/>
      <c r="P292" s="26"/>
      <c r="R292" s="26"/>
      <c r="S292" s="26"/>
      <c r="U292" s="26"/>
      <c r="V292" s="26"/>
      <c r="X292" s="26"/>
      <c r="Y292" s="26"/>
      <c r="Z292" s="26"/>
      <c r="AA292" s="26"/>
      <c r="AB292" s="26"/>
      <c r="AC292" s="26"/>
      <c r="AD292" s="26"/>
      <c r="AE292" s="26"/>
    </row>
    <row r="293" spans="1:31" s="79" customFormat="1">
      <c r="A293" s="89"/>
      <c r="B293" s="90"/>
      <c r="C293" s="91"/>
      <c r="D293" s="91"/>
      <c r="E293" s="91"/>
      <c r="F293" s="92"/>
      <c r="H293" s="6"/>
      <c r="I293" s="6"/>
      <c r="J293" s="83" t="s">
        <v>50</v>
      </c>
      <c r="K293" s="26"/>
      <c r="L293" s="93"/>
      <c r="M293" s="26"/>
      <c r="O293" s="26"/>
      <c r="P293" s="26"/>
      <c r="R293" s="26"/>
      <c r="S293" s="26"/>
      <c r="X293" s="26"/>
      <c r="Y293" s="26"/>
      <c r="Z293" s="26"/>
      <c r="AA293" s="26"/>
      <c r="AB293" s="26"/>
      <c r="AD293" s="26"/>
      <c r="AE293" s="26"/>
    </row>
    <row r="294" spans="1:31" s="79" customFormat="1" ht="16.5">
      <c r="A294" s="165">
        <f>+A1</f>
        <v>46239</v>
      </c>
      <c r="B294" s="166"/>
      <c r="C294" s="169"/>
      <c r="D294" s="169"/>
      <c r="E294" s="169"/>
      <c r="F294" s="170"/>
      <c r="H294" s="6"/>
      <c r="I294" s="6"/>
      <c r="J294" s="32"/>
      <c r="K294" s="26"/>
      <c r="L294" s="27"/>
      <c r="M294" s="26"/>
      <c r="O294" s="26"/>
      <c r="P294" s="26"/>
      <c r="R294" s="26"/>
      <c r="S294" s="26"/>
      <c r="X294" s="26"/>
      <c r="Y294" s="26"/>
      <c r="Z294" s="26"/>
      <c r="AA294" s="26"/>
      <c r="AB294" s="26"/>
      <c r="AD294" s="26"/>
      <c r="AE294" s="26"/>
    </row>
    <row r="295" spans="1:31" s="78" customFormat="1">
      <c r="A295" s="167"/>
      <c r="B295" s="168"/>
      <c r="C295" s="171"/>
      <c r="D295" s="171"/>
      <c r="E295" s="171"/>
      <c r="F295" s="172"/>
      <c r="G295" s="94">
        <f>+H2</f>
        <v>0.14285714285714285</v>
      </c>
      <c r="H295" s="6"/>
      <c r="I295" s="6"/>
      <c r="J295" s="27"/>
      <c r="K295" s="26"/>
      <c r="L295" s="26"/>
      <c r="M295" s="26"/>
      <c r="O295" s="26"/>
      <c r="P295" s="26"/>
      <c r="R295" s="26"/>
      <c r="S295" s="26"/>
      <c r="U295" s="79"/>
      <c r="V295" s="79"/>
      <c r="X295" s="26"/>
      <c r="Y295" s="26"/>
      <c r="Z295" s="26"/>
      <c r="AA295" s="26"/>
      <c r="AB295" s="26"/>
      <c r="AC295" s="79"/>
      <c r="AD295" s="26"/>
      <c r="AE295" s="26"/>
    </row>
    <row r="296" spans="1:31">
      <c r="A296" s="95" t="s">
        <v>1</v>
      </c>
      <c r="B296" s="12" t="s">
        <v>2</v>
      </c>
      <c r="C296" s="13" t="s">
        <v>3</v>
      </c>
      <c r="D296" s="13" t="s">
        <v>4</v>
      </c>
      <c r="E296" s="13" t="s">
        <v>6</v>
      </c>
      <c r="F296" s="15" t="s">
        <v>7</v>
      </c>
      <c r="G296" s="81" t="s">
        <v>8</v>
      </c>
      <c r="O296" s="26"/>
      <c r="P296" s="26"/>
      <c r="R296" s="26"/>
      <c r="S296" s="26"/>
      <c r="U296" s="78"/>
      <c r="V296" s="78"/>
      <c r="X296" s="26"/>
      <c r="Y296" s="26"/>
      <c r="Z296" s="79"/>
      <c r="AA296" s="26"/>
      <c r="AB296" s="26"/>
      <c r="AC296" s="78"/>
      <c r="AD296" s="79"/>
      <c r="AE296" s="79"/>
    </row>
    <row r="297" spans="1:31">
      <c r="A297" s="173" t="s">
        <v>69</v>
      </c>
      <c r="B297" s="174"/>
      <c r="C297" s="96">
        <f>+C5+C59+C107+C190+C206+C222+C237+C252+C21</f>
        <v>759258083</v>
      </c>
      <c r="D297" s="96">
        <f>+D5+D59+D107+D190+D206+D222+D237+D252+D21</f>
        <v>-50469541</v>
      </c>
      <c r="E297" s="97">
        <f>+F59+F107+F190+F206+F5+F237+F222+F252+F21</f>
        <v>6068096467.1400003</v>
      </c>
      <c r="F297" s="31">
        <f>C297/E297*100%</f>
        <v>0.1251229421139792</v>
      </c>
      <c r="G297" s="31">
        <f>D297/C297*100%</f>
        <v>-6.6472181370244299E-2</v>
      </c>
      <c r="L297" s="98"/>
      <c r="M297" s="98"/>
      <c r="O297" s="26"/>
      <c r="P297" s="26"/>
      <c r="R297" s="26"/>
      <c r="S297" s="26"/>
      <c r="X297" s="79"/>
      <c r="Y297" s="79"/>
      <c r="Z297" s="79"/>
      <c r="AA297" s="26"/>
      <c r="AB297" s="26"/>
      <c r="AD297" s="79"/>
      <c r="AE297" s="79"/>
    </row>
    <row r="298" spans="1:31" s="26" customFormat="1">
      <c r="A298" s="99"/>
      <c r="B298" s="6"/>
      <c r="C298" s="78"/>
      <c r="D298" s="6"/>
      <c r="E298" s="6"/>
      <c r="F298" s="6"/>
      <c r="G298" s="6"/>
      <c r="H298" s="6"/>
      <c r="I298" s="6"/>
      <c r="J298" s="6"/>
      <c r="L298" s="98"/>
      <c r="M298" s="98"/>
      <c r="U298" s="6"/>
      <c r="V298" s="6"/>
      <c r="X298" s="79"/>
      <c r="Y298" s="79"/>
      <c r="Z298" s="79"/>
      <c r="AC298" s="6"/>
      <c r="AD298" s="79"/>
      <c r="AE298" s="79"/>
    </row>
    <row r="299" spans="1:31">
      <c r="J299" s="78"/>
      <c r="O299" s="26"/>
      <c r="P299" s="26"/>
      <c r="R299" s="26"/>
      <c r="S299" s="26"/>
      <c r="X299" s="26"/>
      <c r="Y299" s="26"/>
      <c r="Z299" s="26"/>
      <c r="AA299" s="26"/>
      <c r="AB299" s="26"/>
      <c r="AD299" s="26"/>
      <c r="AE299" s="26"/>
    </row>
    <row r="300" spans="1:31">
      <c r="O300" s="26"/>
      <c r="P300" s="26"/>
      <c r="R300" s="26"/>
      <c r="S300" s="26"/>
      <c r="X300" s="26"/>
      <c r="Y300" s="26"/>
      <c r="Z300" s="26"/>
      <c r="AA300" s="26"/>
      <c r="AB300" s="26"/>
      <c r="AD300" s="26"/>
      <c r="AE300" s="26"/>
    </row>
    <row r="301" spans="1:31">
      <c r="O301" s="26"/>
      <c r="P301" s="26"/>
      <c r="R301" s="26"/>
      <c r="S301" s="26"/>
      <c r="X301" s="26"/>
      <c r="Y301" s="26"/>
      <c r="Z301" s="26"/>
      <c r="AA301" s="26"/>
      <c r="AB301" s="26"/>
      <c r="AD301" s="26"/>
      <c r="AE301" s="26"/>
    </row>
    <row r="302" spans="1:31">
      <c r="O302" s="26"/>
      <c r="P302" s="26"/>
      <c r="R302" s="26"/>
      <c r="S302" s="26"/>
      <c r="X302" s="26"/>
      <c r="Y302" s="26"/>
      <c r="AA302" s="26"/>
      <c r="AB302" s="26"/>
    </row>
    <row r="303" spans="1:31">
      <c r="O303" s="26"/>
      <c r="P303" s="26"/>
      <c r="R303" s="26"/>
      <c r="S303" s="26"/>
      <c r="AA303" s="26"/>
      <c r="AB303" s="26"/>
    </row>
    <row r="304" spans="1:31">
      <c r="O304" s="26"/>
      <c r="P304" s="26"/>
      <c r="R304" s="26"/>
      <c r="S304" s="26"/>
      <c r="AA304" s="26"/>
      <c r="AB304" s="26"/>
    </row>
  </sheetData>
  <mergeCells count="10">
    <mergeCell ref="A294:B295"/>
    <mergeCell ref="C294:F294"/>
    <mergeCell ref="C295:F295"/>
    <mergeCell ref="A297:B297"/>
    <mergeCell ref="A1:B2"/>
    <mergeCell ref="C2:G2"/>
    <mergeCell ref="A266:B266"/>
    <mergeCell ref="A268:B269"/>
    <mergeCell ref="C268:F268"/>
    <mergeCell ref="C269:F269"/>
  </mergeCells>
  <conditionalFormatting sqref="F271:F291">
    <cfRule type="top10" dxfId="15" priority="5" bottom="1" rank="3"/>
    <cfRule type="top10" dxfId="14" priority="6" rank="3"/>
  </conditionalFormatting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AEC2D-4853-4FFA-A5F2-53661514704B}">
  <dimension ref="A1:AE308"/>
  <sheetViews>
    <sheetView showGridLines="0" zoomScale="70" zoomScaleNormal="70" zoomScaleSheetLayoutView="70" workbookViewId="0">
      <selection activeCell="J273" sqref="J273"/>
    </sheetView>
  </sheetViews>
  <sheetFormatPr baseColWidth="10" defaultColWidth="11.453125" defaultRowHeight="15.5" outlineLevelRow="2"/>
  <cols>
    <col min="1" max="1" width="36.7265625" style="6" customWidth="1"/>
    <col min="2" max="2" width="30.7265625" style="6" customWidth="1"/>
    <col min="3" max="3" width="18.81640625" style="78" bestFit="1" customWidth="1"/>
    <col min="4" max="4" width="18" style="78" customWidth="1"/>
    <col min="5" max="5" width="28.7265625" style="78" customWidth="1"/>
    <col min="6" max="6" width="22.26953125" style="79" bestFit="1" customWidth="1"/>
    <col min="7" max="7" width="18.7265625" style="79" bestFit="1" customWidth="1"/>
    <col min="8" max="8" width="11.81640625" style="6" customWidth="1"/>
    <col min="9" max="9" width="13.1796875" style="6" bestFit="1" customWidth="1"/>
    <col min="10" max="10" width="13.81640625" style="6" customWidth="1"/>
    <col min="11" max="11" width="3.26953125" style="26" customWidth="1"/>
    <col min="12" max="12" width="19.54296875" style="26" customWidth="1"/>
    <col min="13" max="13" width="18.81640625" style="26" customWidth="1"/>
    <col min="14" max="14" width="11.453125" style="6"/>
    <col min="15" max="15" width="21.7265625" style="6" bestFit="1" customWidth="1"/>
    <col min="16" max="16" width="13" style="6" bestFit="1" customWidth="1"/>
    <col min="17" max="17" width="11.453125" style="6"/>
    <col min="18" max="18" width="21.7265625" style="6" bestFit="1" customWidth="1"/>
    <col min="19" max="19" width="13" style="6" bestFit="1" customWidth="1"/>
    <col min="20" max="20" width="11.453125" style="6"/>
    <col min="21" max="21" width="22.26953125" style="6" bestFit="1" customWidth="1"/>
    <col min="22" max="22" width="13.54296875" style="6" bestFit="1" customWidth="1"/>
    <col min="23" max="23" width="11.453125" style="6"/>
    <col min="24" max="24" width="22.26953125" style="6" bestFit="1" customWidth="1"/>
    <col min="25" max="25" width="14.26953125" style="6" bestFit="1" customWidth="1"/>
    <col min="26" max="26" width="11.453125" style="6"/>
    <col min="27" max="27" width="22.26953125" style="6" bestFit="1" customWidth="1"/>
    <col min="28" max="28" width="13" style="6" bestFit="1" customWidth="1"/>
    <col min="29" max="29" width="11.453125" style="6"/>
    <col min="30" max="30" width="26.54296875" style="6" bestFit="1" customWidth="1"/>
    <col min="31" max="31" width="14.26953125" style="6" bestFit="1" customWidth="1"/>
    <col min="32" max="16384" width="11.453125" style="6"/>
  </cols>
  <sheetData>
    <row r="1" spans="1:13">
      <c r="A1" s="175">
        <v>46240</v>
      </c>
      <c r="B1" s="176"/>
      <c r="C1" s="1"/>
      <c r="D1" s="1"/>
      <c r="E1" s="1"/>
      <c r="F1" s="2"/>
      <c r="G1" s="2"/>
      <c r="H1" s="3"/>
      <c r="I1" s="4" t="s">
        <v>0</v>
      </c>
      <c r="J1" s="5"/>
      <c r="K1" s="6"/>
      <c r="L1" s="6"/>
      <c r="M1" s="6"/>
    </row>
    <row r="2" spans="1:13">
      <c r="A2" s="177"/>
      <c r="B2" s="178"/>
      <c r="C2" s="179"/>
      <c r="D2" s="179"/>
      <c r="E2" s="179"/>
      <c r="F2" s="179"/>
      <c r="G2" s="180"/>
      <c r="H2" s="7">
        <f>+M2/100</f>
        <v>0.19047619047619047</v>
      </c>
      <c r="I2" s="8">
        <v>4</v>
      </c>
      <c r="J2" s="9"/>
      <c r="K2" s="6"/>
      <c r="L2" s="10">
        <f>100/21</f>
        <v>4.7619047619047619</v>
      </c>
      <c r="M2" s="10">
        <f>L2*I2</f>
        <v>19.047619047619047</v>
      </c>
    </row>
    <row r="3" spans="1:13" ht="31">
      <c r="A3" s="11" t="s">
        <v>1</v>
      </c>
      <c r="B3" s="12" t="s">
        <v>2</v>
      </c>
      <c r="C3" s="13" t="s">
        <v>3</v>
      </c>
      <c r="D3" s="13" t="s">
        <v>4</v>
      </c>
      <c r="E3" s="14" t="s">
        <v>5</v>
      </c>
      <c r="F3" s="13" t="s">
        <v>6</v>
      </c>
      <c r="G3" s="15" t="s">
        <v>7</v>
      </c>
      <c r="H3" s="16" t="s">
        <v>8</v>
      </c>
      <c r="I3" s="17" t="s">
        <v>9</v>
      </c>
      <c r="J3" s="18" t="s">
        <v>10</v>
      </c>
      <c r="K3" s="6"/>
      <c r="L3" s="6"/>
      <c r="M3" s="6"/>
    </row>
    <row r="4" spans="1:13" ht="18.75" hidden="1" customHeight="1" outlineLevel="1">
      <c r="A4" s="19" t="s">
        <v>11</v>
      </c>
      <c r="B4" s="20" t="s">
        <v>12</v>
      </c>
      <c r="C4" s="21" t="s">
        <v>13</v>
      </c>
      <c r="D4" s="21" t="s">
        <v>14</v>
      </c>
      <c r="E4" s="14" t="s">
        <v>5</v>
      </c>
      <c r="F4" s="21" t="s">
        <v>6</v>
      </c>
      <c r="G4" s="22" t="s">
        <v>15</v>
      </c>
      <c r="H4" s="23">
        <f t="shared" ref="H4:I19" si="0">IFERROR(+D4/L4*100%,0)</f>
        <v>0</v>
      </c>
      <c r="I4" s="24">
        <f t="shared" si="0"/>
        <v>0</v>
      </c>
      <c r="J4" s="25"/>
      <c r="L4" s="27"/>
      <c r="M4" s="27"/>
    </row>
    <row r="5" spans="1:13" ht="16.5" collapsed="1">
      <c r="A5" s="28" t="s">
        <v>16</v>
      </c>
      <c r="B5" s="29" t="s">
        <v>17</v>
      </c>
      <c r="C5" s="30">
        <f>+C20</f>
        <v>13631389</v>
      </c>
      <c r="D5" s="30">
        <f>+D20</f>
        <v>-508736</v>
      </c>
      <c r="E5" s="30">
        <f>+E20</f>
        <v>0</v>
      </c>
      <c r="F5" s="30">
        <f>+F20</f>
        <v>132391087.09</v>
      </c>
      <c r="G5" s="31">
        <f t="shared" ref="G5" si="1">IFERROR(C5/F5*100%,"-")</f>
        <v>0.10296304154322206</v>
      </c>
      <c r="H5" s="23">
        <f t="shared" si="0"/>
        <v>-3.5978182653972297E-2</v>
      </c>
      <c r="I5" s="24">
        <f t="shared" si="0"/>
        <v>0</v>
      </c>
      <c r="J5" s="32"/>
      <c r="L5" s="27">
        <f t="shared" ref="L5:L66" si="2">C5-(D5+E5)</f>
        <v>14140125</v>
      </c>
      <c r="M5" s="27">
        <f t="shared" ref="M5:M66" si="3">L5</f>
        <v>14140125</v>
      </c>
    </row>
    <row r="6" spans="1:13" ht="16.5" hidden="1" outlineLevel="1">
      <c r="A6" s="33"/>
      <c r="B6" s="34" t="s">
        <v>18</v>
      </c>
      <c r="C6" s="35">
        <v>0</v>
      </c>
      <c r="D6" s="36">
        <v>0</v>
      </c>
      <c r="E6" s="36">
        <v>0</v>
      </c>
      <c r="F6" s="35">
        <v>2190251</v>
      </c>
      <c r="G6" s="37">
        <f>IFERROR(C6/F6*100%,"-")</f>
        <v>0</v>
      </c>
      <c r="H6" s="23">
        <f t="shared" si="0"/>
        <v>0</v>
      </c>
      <c r="I6" s="24">
        <f t="shared" si="0"/>
        <v>0</v>
      </c>
      <c r="J6" s="32" t="str" cm="1">
        <f t="array" ref="J6">IFERROR(_xlfn.IFS(B6="044 - BLEND TRADICION","BLEND",B6="113 - CAFÉ GOURMET","GOURMET",B6="114 - CAFÉ CONSUMO","CONSUMO",B6="112 - CAFÉ ORGANICO","GOURMET",B6="172 - CAFÉ COSECHA","ESPECIALES",B6="176 - CAFE DESCAFEINADO","GOURMET",B6="147 - CAPSULAS","CAPSULAS",B6="130 - GALLETAS CAFECITAS","DERIVADOS",B6="140 - MERENGUES","DERIVADOS",B6="100 - CAFÉ ESPECIAL","ESPECIALES",B6="141 - AREQUIPE","DERIVADOS",B6="142 - MERMELADA","DERIVADOS",B6="131 - GALLETAS AVENA","DERIVADOS",B6="160 - SOUVENIR","OTROS",B6="148 - CARAMELOS","DERIVADOS",B6="143 - CHOCOFFES","DERIVADOS",B6="162 - CONVENIOS Y DSC POS ","OTROS"),"OTROS")</f>
        <v>BLEND</v>
      </c>
      <c r="L6" s="27">
        <f t="shared" si="2"/>
        <v>0</v>
      </c>
      <c r="M6" s="27">
        <f t="shared" si="3"/>
        <v>0</v>
      </c>
    </row>
    <row r="7" spans="1:13" ht="16.5" hidden="1" outlineLevel="1">
      <c r="A7" s="33"/>
      <c r="B7" s="34" t="s">
        <v>19</v>
      </c>
      <c r="C7" s="35">
        <v>0</v>
      </c>
      <c r="D7" s="36">
        <v>0</v>
      </c>
      <c r="E7" s="36"/>
      <c r="F7" s="35">
        <v>3013430.38</v>
      </c>
      <c r="G7" s="37">
        <f t="shared" ref="G7:G18" si="4">IFERROR(C7/F7*100%,"-")</f>
        <v>0</v>
      </c>
      <c r="H7" s="23">
        <f t="shared" si="0"/>
        <v>0</v>
      </c>
      <c r="I7" s="24">
        <f t="shared" si="0"/>
        <v>0</v>
      </c>
      <c r="J7" s="32" t="str" cm="1">
        <f t="array" ref="J7">IFERROR(_xlfn.IFS(B7="044 - BLEND TRADICION","BLEND",B7="113 - CAFÉ GOURMET","GOURMET",B7="114 - CAFÉ CONSUMO","CONSUMO",B7="112 - CAFÉ ORGANICO","GOURMET",B7="172 - CAFÉ COSECHA","ESPECIALES",B7="176 - CAFE DESCAFEINADO","GOURMET",B7="147 - CAPSULAS","CAPSULAS",B7="130 - GALLETAS CAFECITAS","DERIVADOS",B7="140 - MERENGUES","DERIVADOS",B7="100 - CAFÉ ESPECIAL","ESPECIALES",B7="141 - AREQUIPE","DERIVADOS",B7="142 - MERMELADA","DERIVADOS",B7="131 - GALLETAS AVENA","DERIVADOS",B7="160 - SOUVENIR","OTROS",B7="148 - CARAMELOS","DERIVADOS",B7="143 - CHOCOFFES","DERIVADOS",B7="162 - CONVENIOS Y DSC POS ","OTROS"),"OTROS")</f>
        <v>ESPECIALES</v>
      </c>
      <c r="L7" s="27">
        <f t="shared" si="2"/>
        <v>0</v>
      </c>
      <c r="M7" s="27">
        <f t="shared" si="3"/>
        <v>0</v>
      </c>
    </row>
    <row r="8" spans="1:13" ht="16.5" hidden="1" outlineLevel="1">
      <c r="A8" s="38"/>
      <c r="B8" s="39" t="s">
        <v>20</v>
      </c>
      <c r="C8" s="36">
        <v>68459</v>
      </c>
      <c r="D8" s="36">
        <v>0</v>
      </c>
      <c r="E8" s="36">
        <v>0</v>
      </c>
      <c r="F8" s="36">
        <v>2838463.33</v>
      </c>
      <c r="G8" s="37">
        <f t="shared" si="4"/>
        <v>2.4118331660814514E-2</v>
      </c>
      <c r="H8" s="23">
        <f t="shared" si="0"/>
        <v>0</v>
      </c>
      <c r="I8" s="24">
        <f t="shared" si="0"/>
        <v>0</v>
      </c>
      <c r="J8" s="32" t="str" cm="1">
        <f t="array" ref="J8">IFERROR(_xlfn.IFS(B8="044 - BLEND TRADICION","BLEND",B8="113 - CAFÉ GOURMET","GOURMET",B8="114 - CAFÉ CONSUMO","CONSUMO",B8="112 - CAFÉ ORGANICO","GOURMET",B8="172 - CAFÉ COSECHA","ESPECIALES",B8="176 - CAFE DESCAFEINADO","GOURMET",B8="147 - CAPSULAS","CAPSULAS",B8="130 - GALLETAS CAFECITAS","DERIVADOS",B8="140 - MERENGUES","DERIVADOS",B8="100 - CAFÉ ESPECIAL","ESPECIALES",B8="141 - AREQUIPE","DERIVADOS",B8="142 - MERMELADA","DERIVADOS",B8="131 - GALLETAS AVENA","DERIVADOS",B8="160 - SOUVENIR","OTROS",B8="148 - CARAMELOS","DERIVADOS",B8="143 - CHOCOFFES","DERIVADOS",B8="162 - CONVENIOS Y DSC POS ","OTROS"),"OTROS")</f>
        <v>GOURMET</v>
      </c>
      <c r="L8" s="27">
        <f t="shared" si="2"/>
        <v>68459</v>
      </c>
      <c r="M8" s="27">
        <f t="shared" si="3"/>
        <v>68459</v>
      </c>
    </row>
    <row r="9" spans="1:13" ht="16.5" hidden="1" outlineLevel="1">
      <c r="A9" s="38"/>
      <c r="B9" s="39" t="s">
        <v>21</v>
      </c>
      <c r="C9" s="36">
        <v>12871414</v>
      </c>
      <c r="D9" s="36">
        <v>0</v>
      </c>
      <c r="E9" s="36">
        <v>0</v>
      </c>
      <c r="F9" s="36">
        <v>87912157.530000001</v>
      </c>
      <c r="G9" s="37">
        <f t="shared" si="4"/>
        <v>0.14641221830561527</v>
      </c>
      <c r="H9" s="23">
        <f t="shared" si="0"/>
        <v>0</v>
      </c>
      <c r="I9" s="24">
        <f t="shared" si="0"/>
        <v>0</v>
      </c>
      <c r="J9" s="32" t="str" cm="1">
        <f t="array" ref="J9">IFERROR(_xlfn.IFS(B9="044 - BLEND TRADICION","BLEND",B9="113 - CAFÉ GOURMET","GOURMET",B9="114 - CAFÉ CONSUMO","CONSUMO",B9="112 - CAFÉ ORGANICO","GOURMET",B9="172 - CAFÉ COSECHA","ESPECIALES",B9="176 - CAFE DESCAFEINADO","GOURMET",B9="147 - CAPSULAS","CAPSULAS",B9="130 - GALLETAS CAFECITAS","DERIVADOS",B9="140 - MERENGUES","DERIVADOS",B9="100 - CAFÉ ESPECIAL","ESPECIALES",B9="141 - AREQUIPE","DERIVADOS",B9="142 - MERMELADA","DERIVADOS",B9="131 - GALLETAS AVENA","DERIVADOS",B9="160 - SOUVENIR","OTROS",B9="148 - CARAMELOS","DERIVADOS",B9="143 - CHOCOFFES","DERIVADOS",B9="162 - CONVENIOS Y DSC POS ","OTROS"),"OTROS")</f>
        <v>GOURMET</v>
      </c>
      <c r="L9" s="27">
        <f t="shared" si="2"/>
        <v>12871414</v>
      </c>
      <c r="M9" s="27">
        <f t="shared" si="3"/>
        <v>12871414</v>
      </c>
    </row>
    <row r="10" spans="1:13" ht="16.5" hidden="1" outlineLevel="1">
      <c r="A10" s="38"/>
      <c r="B10" s="39" t="s">
        <v>22</v>
      </c>
      <c r="C10" s="36">
        <v>250456</v>
      </c>
      <c r="D10" s="36">
        <v>0</v>
      </c>
      <c r="E10" s="36">
        <v>0</v>
      </c>
      <c r="F10" s="36">
        <v>4458765.92</v>
      </c>
      <c r="G10" s="37">
        <f t="shared" si="4"/>
        <v>5.6171596467212613E-2</v>
      </c>
      <c r="H10" s="23">
        <f t="shared" si="0"/>
        <v>0</v>
      </c>
      <c r="I10" s="24">
        <f t="shared" si="0"/>
        <v>0</v>
      </c>
      <c r="J10" s="32" t="str" cm="1">
        <f t="array" ref="J10">IFERROR(_xlfn.IFS(B10="044 - BLEND TRADICION","BLEND",B10="113 - CAFÉ GOURMET","GOURMET",B10="114 - CAFÉ CONSUMO","CONSUMO",B10="112 - CAFÉ ORGANICO","GOURMET",B10="172 - CAFÉ COSECHA","ESPECIALES",B10="176 - CAFE DESCAFEINADO","GOURMET",B10="147 - CAPSULAS","CAPSULAS",B10="130 - GALLETAS CAFECITAS","DERIVADOS",B10="140 - MERENGUES","DERIVADOS",B10="100 - CAFÉ ESPECIAL","ESPECIALES",B10="141 - AREQUIPE","DERIVADOS",B10="142 - MERMELADA","DERIVADOS",B10="131 - GALLETAS AVENA","DERIVADOS",B10="160 - SOUVENIR","OTROS",B10="148 - CARAMELOS","DERIVADOS",B10="143 - CHOCOFFES","DERIVADOS",B10="162 - CONVENIOS Y DSC POS ","OTROS"),"OTROS")</f>
        <v>DERIVADOS</v>
      </c>
      <c r="L10" s="27">
        <f t="shared" si="2"/>
        <v>250456</v>
      </c>
      <c r="M10" s="27">
        <f t="shared" si="3"/>
        <v>250456</v>
      </c>
    </row>
    <row r="11" spans="1:13" ht="16.5" hidden="1" outlineLevel="1">
      <c r="A11" s="38"/>
      <c r="B11" s="39" t="s">
        <v>23</v>
      </c>
      <c r="C11" s="36">
        <v>63836</v>
      </c>
      <c r="D11" s="36">
        <v>0</v>
      </c>
      <c r="E11" s="36">
        <v>0</v>
      </c>
      <c r="F11" s="36">
        <v>347556.62</v>
      </c>
      <c r="G11" s="37">
        <f t="shared" si="4"/>
        <v>0.18367079297755859</v>
      </c>
      <c r="H11" s="23">
        <f t="shared" si="0"/>
        <v>0</v>
      </c>
      <c r="I11" s="24">
        <f t="shared" si="0"/>
        <v>0</v>
      </c>
      <c r="J11" s="32" t="str" cm="1">
        <f t="array" ref="J11">IFERROR(_xlfn.IFS(B11="044 - BLEND TRADICION","BLEND",B11="113 - CAFÉ GOURMET","GOURMET",B11="114 - CAFÉ CONSUMO","CONSUMO",B11="112 - CAFÉ ORGANICO","GOURMET",B11="172 - CAFÉ COSECHA","ESPECIALES",B11="176 - CAFE DESCAFEINADO","GOURMET",B11="147 - CAPSULAS","CAPSULAS",B11="130 - GALLETAS CAFECITAS","DERIVADOS",B11="140 - MERENGUES","DERIVADOS",B11="100 - CAFÉ ESPECIAL","ESPECIALES",B11="141 - AREQUIPE","DERIVADOS",B11="142 - MERMELADA","DERIVADOS",B11="131 - GALLETAS AVENA","DERIVADOS",B11="160 - SOUVENIR","OTROS",B11="148 - CARAMELOS","DERIVADOS",B11="143 - CHOCOFFES","DERIVADOS",B11="162 - CONVENIOS Y DSC POS ","OTROS"),"OTROS")</f>
        <v>DERIVADOS</v>
      </c>
      <c r="L11" s="27">
        <f t="shared" si="2"/>
        <v>63836</v>
      </c>
      <c r="M11" s="27">
        <f t="shared" si="3"/>
        <v>63836</v>
      </c>
    </row>
    <row r="12" spans="1:13" ht="16.5" hidden="1" outlineLevel="1">
      <c r="A12" s="38"/>
      <c r="B12" s="39" t="s">
        <v>24</v>
      </c>
      <c r="C12" s="36">
        <v>48741</v>
      </c>
      <c r="D12" s="36">
        <v>0</v>
      </c>
      <c r="E12" s="36"/>
      <c r="F12" s="36">
        <v>1108552.25</v>
      </c>
      <c r="G12" s="37">
        <f t="shared" si="4"/>
        <v>4.3968157567674415E-2</v>
      </c>
      <c r="H12" s="23">
        <f t="shared" si="0"/>
        <v>0</v>
      </c>
      <c r="I12" s="24">
        <f t="shared" si="0"/>
        <v>0</v>
      </c>
      <c r="J12" s="32" t="str" cm="1">
        <f t="array" ref="J12">IFERROR(_xlfn.IFS(B12="044 - BLEND TRADICION","BLEND",B12="113 - CAFÉ GOURMET","GOURMET",B12="114 - CAFÉ CONSUMO","CONSUMO",B12="112 - CAFÉ ORGANICO","GOURMET",B12="172 - CAFÉ COSECHA","ESPECIALES",B12="176 - CAFE DESCAFEINADO","GOURMET",B12="147 - CAPSULAS","CAPSULAS",B12="130 - GALLETAS CAFECITAS","DERIVADOS",B12="140 - MERENGUES","DERIVADOS",B12="100 - CAFÉ ESPECIAL","ESPECIALES",B12="141 - AREQUIPE","DERIVADOS",B12="142 - MERMELADA","DERIVADOS",B12="131 - GALLETAS AVENA","DERIVADOS",B12="160 - SOUVENIR","OTROS",B12="148 - CARAMELOS","DERIVADOS",B12="143 - CHOCOFFES","DERIVADOS",B12="162 - CONVENIOS Y DSC POS ","OTROS"),"OTROS")</f>
        <v>DERIVADOS</v>
      </c>
      <c r="L12" s="27">
        <f t="shared" si="2"/>
        <v>48741</v>
      </c>
      <c r="M12" s="27">
        <f t="shared" si="3"/>
        <v>48741</v>
      </c>
    </row>
    <row r="13" spans="1:13" ht="16.5" hidden="1" outlineLevel="1">
      <c r="A13" s="38"/>
      <c r="B13" s="39" t="s">
        <v>25</v>
      </c>
      <c r="C13" s="36">
        <v>42096</v>
      </c>
      <c r="D13" s="36">
        <v>0</v>
      </c>
      <c r="E13" s="36"/>
      <c r="F13" s="36">
        <v>5164325.42</v>
      </c>
      <c r="G13" s="37">
        <f t="shared" si="4"/>
        <v>8.1513066231213606E-3</v>
      </c>
      <c r="H13" s="23">
        <f t="shared" si="0"/>
        <v>0</v>
      </c>
      <c r="I13" s="24">
        <f t="shared" si="0"/>
        <v>0</v>
      </c>
      <c r="J13" s="32" t="str" cm="1">
        <f t="array" ref="J13">IFERROR(_xlfn.IFS(B13="044 - BLEND TRADICION","BLEND",B13="113 - CAFÉ GOURMET","GOURMET",B13="114 - CAFÉ CONSUMO","CONSUMO",B13="112 - CAFÉ ORGANICO","GOURMET",B13="172 - CAFÉ COSECHA","ESPECIALES",B13="176 - CAFE DESCAFEINADO","GOURMET",B13="147 - CAPSULAS","CAPSULAS",B13="130 - GALLETAS CAFECITAS","DERIVADOS",B13="140 - MERENGUES","DERIVADOS",B13="100 - CAFÉ ESPECIAL","ESPECIALES",B13="141 - AREQUIPE","DERIVADOS",B13="142 - MERMELADA","DERIVADOS",B13="131 - GALLETAS AVENA","DERIVADOS",B13="160 - SOUVENIR","OTROS",B13="148 - CARAMELOS","DERIVADOS",B13="143 - CHOCOFFES","DERIVADOS",B13="162 - CONVENIOS Y DSC POS ","OTROS"),"OTROS")</f>
        <v>DERIVADOS</v>
      </c>
      <c r="L13" s="27">
        <f t="shared" si="2"/>
        <v>42096</v>
      </c>
      <c r="M13" s="27">
        <f t="shared" si="3"/>
        <v>42096</v>
      </c>
    </row>
    <row r="14" spans="1:13" ht="16.5" hidden="1" outlineLevel="1">
      <c r="A14" s="38"/>
      <c r="B14" s="39" t="s">
        <v>26</v>
      </c>
      <c r="C14" s="36">
        <v>0</v>
      </c>
      <c r="D14" s="36">
        <v>0</v>
      </c>
      <c r="E14" s="36"/>
      <c r="F14" s="36">
        <v>2621339.7000000002</v>
      </c>
      <c r="G14" s="37">
        <f t="shared" si="4"/>
        <v>0</v>
      </c>
      <c r="H14" s="23">
        <f t="shared" si="0"/>
        <v>0</v>
      </c>
      <c r="I14" s="24">
        <f t="shared" si="0"/>
        <v>0</v>
      </c>
      <c r="J14" s="32" t="str" cm="1">
        <f t="array" ref="J14">IFERROR(_xlfn.IFS(B14="044 - BLEND TRADICION","BLEND",B14="113 - CAFÉ GOURMET","GOURMET",B14="114 - CAFÉ CONSUMO","CONSUMO",B14="112 - CAFÉ ORGANICO","GOURMET",B14="172 - CAFÉ COSECHA","ESPECIALES",B14="176 - CAFE DESCAFEINADO","GOURMET",B14="147 - CAPSULAS","CAPSULAS",B14="130 - GALLETAS CAFECITAS","DERIVADOS",B14="140 - MERENGUES","DERIVADOS",B14="100 - CAFÉ ESPECIAL","ESPECIALES",B14="141 - AREQUIPE","DERIVADOS",B14="142 - MERMELADA","DERIVADOS",B14="131 - GALLETAS AVENA","DERIVADOS",B14="160 - SOUVENIR","OTROS",B14="148 - CARAMELOS","DERIVADOS",B14="143 - CHOCOFFES","DERIVADOS",B14="162 - CONVENIOS Y DSC POS ","OTROS"),"OTROS")</f>
        <v>CAPSULAS</v>
      </c>
      <c r="L14" s="27">
        <f t="shared" si="2"/>
        <v>0</v>
      </c>
      <c r="M14" s="27">
        <f t="shared" si="3"/>
        <v>0</v>
      </c>
    </row>
    <row r="15" spans="1:13" ht="16.5" hidden="1" outlineLevel="1">
      <c r="A15" s="38"/>
      <c r="B15" s="39" t="s">
        <v>27</v>
      </c>
      <c r="C15" s="36">
        <v>155915</v>
      </c>
      <c r="D15" s="36">
        <v>0</v>
      </c>
      <c r="E15" s="36"/>
      <c r="F15" s="36">
        <v>4581829.2699999996</v>
      </c>
      <c r="G15" s="37">
        <f t="shared" si="4"/>
        <v>3.4028985108823143E-2</v>
      </c>
      <c r="H15" s="23">
        <f t="shared" si="0"/>
        <v>0</v>
      </c>
      <c r="I15" s="24">
        <f t="shared" si="0"/>
        <v>0</v>
      </c>
      <c r="J15" s="32" t="str" cm="1">
        <f t="array" ref="J15">IFERROR(_xlfn.IFS(B15="044 - BLEND TRADICION","BLEND",B15="113 - CAFÉ GOURMET","GOURMET",B15="114 - CAFÉ CONSUMO","CONSUMO",B15="112 - CAFÉ ORGANICO","GOURMET",B15="172 - CAFÉ COSECHA","ESPECIALES",B15="176 - CAFE DESCAFEINADO","GOURMET",B15="147 - CAPSULAS","CAPSULAS",B15="130 - GALLETAS CAFECITAS","DERIVADOS",B15="140 - MERENGUES","DERIVADOS",B15="100 - CAFÉ ESPECIAL","ESPECIALES",B15="141 - AREQUIPE","DERIVADOS",B15="142 - MERMELADA","DERIVADOS",B15="131 - GALLETAS AVENA","DERIVADOS",B15="160 - SOUVENIR","OTROS",B15="148 - CARAMELOS","DERIVADOS",B15="143 - CHOCOFFES","DERIVADOS",B15="162 - CONVENIOS Y DSC POS ","OTROS"),"OTROS")</f>
        <v>DERIVADOS</v>
      </c>
      <c r="L15" s="27">
        <f t="shared" si="2"/>
        <v>155915</v>
      </c>
      <c r="M15" s="27">
        <f t="shared" si="3"/>
        <v>155915</v>
      </c>
    </row>
    <row r="16" spans="1:13" ht="16.5" hidden="1" outlineLevel="1">
      <c r="A16" s="38"/>
      <c r="B16" s="39" t="s">
        <v>28</v>
      </c>
      <c r="C16" s="36">
        <v>494974</v>
      </c>
      <c r="D16" s="36">
        <v>0</v>
      </c>
      <c r="E16" s="36"/>
      <c r="F16" s="36">
        <v>11251446.380000001</v>
      </c>
      <c r="G16" s="37">
        <f t="shared" si="4"/>
        <v>4.3992032960299278E-2</v>
      </c>
      <c r="H16" s="23">
        <f t="shared" si="0"/>
        <v>0</v>
      </c>
      <c r="I16" s="24">
        <f t="shared" si="0"/>
        <v>0</v>
      </c>
      <c r="J16" s="32" t="str" cm="1">
        <f t="array" ref="J16">IFERROR(_xlfn.IFS(B16="044 - BLEND TRADICION","BLEND",B16="113 - CAFÉ GOURMET","GOURMET",B16="114 - CAFÉ CONSUMO","CONSUMO",B16="112 - CAFÉ ORGANICO","GOURMET",B16="172 - CAFÉ COSECHA","ESPECIALES",B16="176 - CAFE DESCAFEINADO","GOURMET",B16="147 - CAPSULAS","CAPSULAS",B16="130 - GALLETAS CAFECITAS","DERIVADOS",B16="140 - MERENGUES","DERIVADOS",B16="100 - CAFÉ ESPECIAL","ESPECIALES",B16="141 - AREQUIPE","DERIVADOS",B16="142 - MERMELADA","DERIVADOS",B16="131 - GALLETAS AVENA","DERIVADOS",B16="160 - SOUVENIR","OTROS",B16="148 - CARAMELOS","DERIVADOS",B16="143 - CHOCOFFES","DERIVADOS",B16="162 - CONVENIOS Y DSC POS ","OTROS"),"OTROS")</f>
        <v>OTROS</v>
      </c>
      <c r="L16" s="27">
        <f t="shared" si="2"/>
        <v>494974</v>
      </c>
      <c r="M16" s="27">
        <f t="shared" si="3"/>
        <v>494974</v>
      </c>
    </row>
    <row r="17" spans="1:13" ht="16.5" hidden="1" outlineLevel="1">
      <c r="A17" s="38"/>
      <c r="B17" s="39" t="s">
        <v>29</v>
      </c>
      <c r="C17" s="36">
        <v>0</v>
      </c>
      <c r="D17" s="36">
        <v>0</v>
      </c>
      <c r="E17" s="36"/>
      <c r="F17" s="36">
        <v>6227226.4500000002</v>
      </c>
      <c r="G17" s="37">
        <f t="shared" si="4"/>
        <v>0</v>
      </c>
      <c r="H17" s="23">
        <f t="shared" si="0"/>
        <v>0</v>
      </c>
      <c r="I17" s="24">
        <f t="shared" si="0"/>
        <v>0</v>
      </c>
      <c r="J17" s="32" t="str" cm="1">
        <f t="array" ref="J17">IFERROR(_xlfn.IFS(B17="044 - BLEND TRADICION","BLEND",B17="113 - CAFÉ GOURMET","GOURMET",B17="114 - CAFÉ CONSUMO","CONSUMO",B17="112 - CAFÉ ORGANICO","GOURMET",B17="172 - CAFÉ COSECHA","ESPECIALES",B17="176 - CAFE DESCAFEINADO","GOURMET",B17="147 - CAPSULAS","CAPSULAS",B17="130 - GALLETAS CAFECITAS","DERIVADOS",B17="140 - MERENGUES","DERIVADOS",B17="100 - CAFÉ ESPECIAL","ESPECIALES",B17="141 - AREQUIPE","DERIVADOS",B17="142 - MERMELADA","DERIVADOS",B17="131 - GALLETAS AVENA","DERIVADOS",B17="160 - SOUVENIR","OTROS",B17="148 - CARAMELOS","DERIVADOS",B17="143 - CHOCOFFES","DERIVADOS",B17="162 - CONVENIOS Y DSC POS ","OTROS"),"OTROS")</f>
        <v>ESPECIALES</v>
      </c>
      <c r="L17" s="27">
        <f t="shared" si="2"/>
        <v>0</v>
      </c>
      <c r="M17" s="27">
        <f t="shared" si="3"/>
        <v>0</v>
      </c>
    </row>
    <row r="18" spans="1:13" ht="16.5" hidden="1" outlineLevel="1">
      <c r="A18" s="38"/>
      <c r="B18" s="39" t="s">
        <v>30</v>
      </c>
      <c r="C18" s="36">
        <v>144234</v>
      </c>
      <c r="D18" s="36">
        <v>0</v>
      </c>
      <c r="E18" s="36"/>
      <c r="F18" s="36">
        <v>675742.84</v>
      </c>
      <c r="G18" s="37">
        <f t="shared" si="4"/>
        <v>0.21344510287375004</v>
      </c>
      <c r="H18" s="23">
        <f t="shared" si="0"/>
        <v>0</v>
      </c>
      <c r="I18" s="24">
        <f t="shared" si="0"/>
        <v>0</v>
      </c>
      <c r="J18" s="32" t="str" cm="1">
        <f t="array" ref="J18">IFERROR(_xlfn.IFS(B18="044 - BLEND TRADICION","BLEND",B18="113 - CAFÉ GOURMET","GOURMET",B18="114 - CAFÉ CONSUMO","CONSUMO",B18="112 - CAFÉ ORGANICO","GOURMET",B18="172 - CAFÉ COSECHA","ESPECIALES",B18="176 - CAFE DESCAFEINADO","GOURMET",B18="147 - CAPSULAS","CAPSULAS",B18="130 - GALLETAS CAFECITAS","DERIVADOS",B18="140 - MERENGUES","DERIVADOS",B18="100 - CAFÉ ESPECIAL","ESPECIALES",B18="141 - AREQUIPE","DERIVADOS",B18="142 - MERMELADA","DERIVADOS",B18="131 - GALLETAS AVENA","DERIVADOS",B18="160 - SOUVENIR","OTROS",B18="148 - CARAMELOS","DERIVADOS",B18="143 - CHOCOFFES","DERIVADOS",B18="162 - CONVENIOS Y DSC POS ","OTROS"),"OTROS")</f>
        <v>GOURMET</v>
      </c>
      <c r="L18" s="27">
        <f t="shared" si="2"/>
        <v>144234</v>
      </c>
      <c r="M18" s="27">
        <f t="shared" si="3"/>
        <v>144234</v>
      </c>
    </row>
    <row r="19" spans="1:13" ht="16.5" hidden="1" outlineLevel="1">
      <c r="A19" s="38"/>
      <c r="B19" s="39" t="s">
        <v>31</v>
      </c>
      <c r="C19" s="36">
        <v>-508736</v>
      </c>
      <c r="D19" s="36">
        <v>-508736</v>
      </c>
      <c r="E19" s="36"/>
      <c r="F19" s="36"/>
      <c r="G19" s="37"/>
      <c r="H19" s="23">
        <f t="shared" si="0"/>
        <v>0</v>
      </c>
      <c r="I19" s="24">
        <f t="shared" si="0"/>
        <v>0</v>
      </c>
      <c r="J19" s="32" t="str" cm="1">
        <f t="array" ref="J19">IFERROR(_xlfn.IFS(B19="044 - BLEND TRADICION","BLEND",B19="113 - CAFÉ GOURMET","GOURMET",B19="114 - CAFÉ CONSUMO","CONSUMO",B19="112 - CAFÉ ORGANICO","GOURMET",B19="172 - CAFÉ COSECHA","ESPECIALES",B19="176 - CAFE DESCAFEINADO","GOURMET",B19="147 - CAPSULAS","CAPSULAS",B19="130 - GALLETAS CAFECITAS","DERIVADOS",B19="140 - MERENGUES","DERIVADOS",B19="100 - CAFÉ ESPECIAL","ESPECIALES",B19="141 - AREQUIPE","DERIVADOS",B19="142 - MERMELADA","DERIVADOS",B19="131 - GALLETAS AVENA","DERIVADOS",B19="160 - SOUVENIR","OTROS",B19="148 - CARAMELOS","DERIVADOS",B19="143 - CHOCOFFES","DERIVADOS",B19="162 - CONVENIOS Y DSC POS ","OTROS"),"OTROS")</f>
        <v>OTROS</v>
      </c>
      <c r="L19" s="27">
        <f t="shared" si="2"/>
        <v>0</v>
      </c>
      <c r="M19" s="27">
        <f t="shared" si="3"/>
        <v>0</v>
      </c>
    </row>
    <row r="20" spans="1:13" ht="16.5" hidden="1" outlineLevel="1">
      <c r="A20" s="19" t="s">
        <v>16</v>
      </c>
      <c r="B20" s="40" t="s">
        <v>32</v>
      </c>
      <c r="C20" s="41">
        <f>SUM(C6:C19)</f>
        <v>13631389</v>
      </c>
      <c r="D20" s="41">
        <f>SUM(D6:D19)</f>
        <v>-508736</v>
      </c>
      <c r="E20" s="41">
        <f>SUM(E6:E19)</f>
        <v>0</v>
      </c>
      <c r="F20" s="41">
        <f>SUM(F6:F19)</f>
        <v>132391087.09</v>
      </c>
      <c r="G20" s="42">
        <f t="shared" ref="G20:G87" si="5">IFERROR(C20/F20*100%,"-")</f>
        <v>0.10296304154322206</v>
      </c>
      <c r="H20" s="43">
        <f t="shared" ref="H20:I35" si="6">IFERROR(+D20/L20*100%,0)</f>
        <v>-3.5978182653972297E-2</v>
      </c>
      <c r="I20" s="24">
        <f t="shared" si="6"/>
        <v>0</v>
      </c>
      <c r="J20" s="32" t="str" cm="1">
        <f t="array" ref="J20">IFERROR(_xlfn.IFS(B20="044 - BLEND TRADICION","BLEND",B20="113 - CAFÉ GOURMET","GOURMET",B20="114 - CAFÉ CONSUMO","CONSUMO",B20="112 - CAFÉ ORGANICO","GOURMET",B20="172 - CAFÉ COSECHA","ESPECIALES",B20="176 - CAFE DESCAFEINADO","GOURMET",B20="147 - CAPSULAS","CAPSULAS",B20="130 - GALLETAS CAFECITAS","DERIVADOS",B20="140 - MERENGUES","DERIVADOS",B20="100 - CAFÉ ESPECIAL","ESPECIALES",B20="141 - AREQUIPE","DERIVADOS",B20="142 - MERMELADA","DERIVADOS",B20="131 - GALLETAS AVENA","DERIVADOS",B20="160 - SOUVENIR","OTROS",B20="148 - CARAMELOS","DERIVADOS",B20="143 - CHOCOFFES","DERIVADOS",B20="162 - CONVENIOS Y DSC POS ","OTROS"),"OTROS")</f>
        <v>OTROS</v>
      </c>
      <c r="L20" s="27">
        <f t="shared" si="2"/>
        <v>14140125</v>
      </c>
      <c r="M20" s="27">
        <f t="shared" si="3"/>
        <v>14140125</v>
      </c>
    </row>
    <row r="21" spans="1:13" ht="16.5" collapsed="1">
      <c r="A21" s="28" t="s">
        <v>33</v>
      </c>
      <c r="B21" s="29" t="s">
        <v>17</v>
      </c>
      <c r="C21" s="30">
        <f>+C26+C58+C41</f>
        <v>155350148</v>
      </c>
      <c r="D21" s="30">
        <f>+D26+D58+D41</f>
        <v>-12225850</v>
      </c>
      <c r="E21" s="30">
        <f>+E26+E58+E41</f>
        <v>0</v>
      </c>
      <c r="F21" s="30">
        <f>+F26+F58+F41</f>
        <v>482062133.13</v>
      </c>
      <c r="G21" s="31">
        <f t="shared" si="5"/>
        <v>0.32226166986259835</v>
      </c>
      <c r="H21" s="43">
        <f t="shared" si="6"/>
        <v>-7.2957047225820484E-2</v>
      </c>
      <c r="I21" s="24">
        <f t="shared" si="6"/>
        <v>0</v>
      </c>
      <c r="J21" s="32" t="str" cm="1">
        <f t="array" ref="J21">IFERROR(_xlfn.IFS(B21="044 - BLEND TRADICION","BLEND",B21="113 - CAFÉ GOURMET","GOURMET",B21="114 - CAFÉ CONSUMO","CONSUMO",B21="112 - CAFÉ ORGANICO","GOURMET",B21="172 - CAFÉ COSECHA","ESPECIALES",B21="176 - CAFE DESCAFEINADO","GOURMET",B21="147 - CAPSULAS","CAPSULAS",B21="130 - GALLETAS CAFECITAS","DERIVADOS",B21="140 - MERENGUES","DERIVADOS",B21="100 - CAFÉ ESPECIAL","ESPECIALES",B21="141 - AREQUIPE","DERIVADOS",B21="142 - MERMELADA","DERIVADOS",B21="131 - GALLETAS AVENA","DERIVADOS",B21="160 - SOUVENIR","OTROS",B21="148 - CARAMELOS","DERIVADOS",B21="143 - CHOCOFFES","DERIVADOS",B21="162 - CONVENIOS Y DSC POS ","OTROS"),"OTROS")</f>
        <v>OTROS</v>
      </c>
      <c r="L21" s="27">
        <f t="shared" si="2"/>
        <v>167575998</v>
      </c>
      <c r="M21" s="27">
        <f t="shared" si="3"/>
        <v>167575998</v>
      </c>
    </row>
    <row r="22" spans="1:13" ht="16.5" hidden="1" outlineLevel="1">
      <c r="A22" s="44"/>
      <c r="B22" s="45" t="s">
        <v>34</v>
      </c>
      <c r="C22" s="46">
        <v>26048700</v>
      </c>
      <c r="D22" s="47">
        <v>0</v>
      </c>
      <c r="E22" s="48"/>
      <c r="F22" s="48">
        <v>43207145.729999997</v>
      </c>
      <c r="G22" s="49">
        <f t="shared" si="5"/>
        <v>0.60287944412661398</v>
      </c>
      <c r="H22" s="43">
        <f t="shared" si="6"/>
        <v>0</v>
      </c>
      <c r="I22" s="24">
        <f t="shared" si="6"/>
        <v>0</v>
      </c>
      <c r="J22" s="32" t="str" cm="1">
        <f t="array" ref="J22">IFERROR(_xlfn.IFS(B22="044 - BLEND TRADICION","BLEND",B22="113 - CAFÉ GOURMET","GOURMET",B22="114 - CAFÉ CONSUMO","CONSUMO",B22="112 - CAFÉ ORGANICO","GOURMET",B22="172 - CAFÉ COSECHA","ESPECIALES",B22="176 - CAFE DESCAFEINADO","GOURMET",B22="147 - CAPSULAS","CAPSULAS",B22="130 - GALLETAS CAFECITAS","DERIVADOS",B22="140 - MERENGUES","DERIVADOS",B22="100 - CAFÉ ESPECIAL","ESPECIALES",B22="141 - AREQUIPE","DERIVADOS",B22="142 - MERMELADA","DERIVADOS",B22="131 - GALLETAS AVENA","DERIVADOS",B22="160 - SOUVENIR","OTROS",B22="148 - CARAMELOS","DERIVADOS",B22="143 - CHOCOFFES","DERIVADOS",B22="162 - CONVENIOS Y DSC POS ","OTROS"),"OTROS")</f>
        <v>OTROS</v>
      </c>
      <c r="L22" s="27">
        <f t="shared" si="2"/>
        <v>26048700</v>
      </c>
      <c r="M22" s="27">
        <f t="shared" si="3"/>
        <v>26048700</v>
      </c>
    </row>
    <row r="23" spans="1:13" ht="16.5" hidden="1" outlineLevel="1">
      <c r="A23" s="44"/>
      <c r="B23" s="45" t="s">
        <v>21</v>
      </c>
      <c r="C23" s="46">
        <v>17902500</v>
      </c>
      <c r="D23" s="50">
        <v>0</v>
      </c>
      <c r="E23" s="51"/>
      <c r="F23" s="51">
        <v>40827157.719999999</v>
      </c>
      <c r="G23" s="49">
        <f t="shared" si="5"/>
        <v>0.43849488918083812</v>
      </c>
      <c r="H23" s="43">
        <f t="shared" si="6"/>
        <v>0</v>
      </c>
      <c r="I23" s="24">
        <f t="shared" si="6"/>
        <v>0</v>
      </c>
      <c r="J23" s="32" t="str" cm="1">
        <f t="array" ref="J23">IFERROR(_xlfn.IFS(B23="044 - BLEND TRADICION","BLEND",B23="113 - CAFÉ GOURMET","GOURMET",B23="114 - CAFÉ CONSUMO","CONSUMO",B23="112 - CAFÉ ORGANICO","GOURMET",B23="172 - CAFÉ COSECHA","ESPECIALES",B23="176 - CAFE DESCAFEINADO","GOURMET",B23="147 - CAPSULAS","CAPSULAS",B23="130 - GALLETAS CAFECITAS","DERIVADOS",B23="140 - MERENGUES","DERIVADOS",B23="100 - CAFÉ ESPECIAL","ESPECIALES",B23="141 - AREQUIPE","DERIVADOS",B23="142 - MERMELADA","DERIVADOS",B23="131 - GALLETAS AVENA","DERIVADOS",B23="160 - SOUVENIR","OTROS",B23="148 - CARAMELOS","DERIVADOS",B23="143 - CHOCOFFES","DERIVADOS",B23="162 - CONVENIOS Y DSC POS ","OTROS"),"OTROS")</f>
        <v>GOURMET</v>
      </c>
      <c r="L23" s="27">
        <f t="shared" si="2"/>
        <v>17902500</v>
      </c>
      <c r="M23" s="27">
        <f t="shared" si="3"/>
        <v>17902500</v>
      </c>
    </row>
    <row r="24" spans="1:13" ht="16.5" hidden="1" outlineLevel="1">
      <c r="A24" s="44"/>
      <c r="B24" s="45" t="s">
        <v>26</v>
      </c>
      <c r="C24" s="46">
        <v>0</v>
      </c>
      <c r="D24" s="50">
        <v>0</v>
      </c>
      <c r="E24" s="51"/>
      <c r="F24" s="51">
        <v>72407.34</v>
      </c>
      <c r="G24" s="49">
        <f t="shared" si="5"/>
        <v>0</v>
      </c>
      <c r="H24" s="43">
        <f t="shared" si="6"/>
        <v>0</v>
      </c>
      <c r="I24" s="24">
        <f t="shared" si="6"/>
        <v>0</v>
      </c>
      <c r="J24" s="32" t="str" cm="1">
        <f t="array" ref="J24">IFERROR(_xlfn.IFS(B24="044 - BLEND TRADICION","BLEND",B24="113 - CAFÉ GOURMET","GOURMET",B24="114 - CAFÉ CONSUMO","CONSUMO",B24="112 - CAFÉ ORGANICO","GOURMET",B24="172 - CAFÉ COSECHA","ESPECIALES",B24="176 - CAFE DESCAFEINADO","GOURMET",B24="147 - CAPSULAS","CAPSULAS",B24="130 - GALLETAS CAFECITAS","DERIVADOS",B24="140 - MERENGUES","DERIVADOS",B24="100 - CAFÉ ESPECIAL","ESPECIALES",B24="141 - AREQUIPE","DERIVADOS",B24="142 - MERMELADA","DERIVADOS",B24="131 - GALLETAS AVENA","DERIVADOS",B24="160 - SOUVENIR","OTROS",B24="148 - CARAMELOS","DERIVADOS",B24="143 - CHOCOFFES","DERIVADOS",B24="162 - CONVENIOS Y DSC POS ","OTROS"),"OTROS")</f>
        <v>CAPSULAS</v>
      </c>
      <c r="L24" s="27">
        <f t="shared" si="2"/>
        <v>0</v>
      </c>
      <c r="M24" s="27">
        <f t="shared" si="3"/>
        <v>0</v>
      </c>
    </row>
    <row r="25" spans="1:13" ht="16.5" hidden="1" outlineLevel="1">
      <c r="A25" s="44"/>
      <c r="B25" s="45" t="s">
        <v>28</v>
      </c>
      <c r="C25" s="46">
        <v>0</v>
      </c>
      <c r="D25" s="50">
        <v>0</v>
      </c>
      <c r="E25" s="51"/>
      <c r="F25" s="51">
        <v>7805453.8099999996</v>
      </c>
      <c r="G25" s="49">
        <f t="shared" si="5"/>
        <v>0</v>
      </c>
      <c r="H25" s="43">
        <f t="shared" si="6"/>
        <v>0</v>
      </c>
      <c r="I25" s="24">
        <f t="shared" si="6"/>
        <v>0</v>
      </c>
      <c r="J25" s="32" t="str" cm="1">
        <f t="array" ref="J25">IFERROR(_xlfn.IFS(B25="044 - BLEND TRADICION","BLEND",B25="113 - CAFÉ GOURMET","GOURMET",B25="114 - CAFÉ CONSUMO","CONSUMO",B25="112 - CAFÉ ORGANICO","GOURMET",B25="172 - CAFÉ COSECHA","ESPECIALES",B25="176 - CAFE DESCAFEINADO","GOURMET",B25="147 - CAPSULAS","CAPSULAS",B25="130 - GALLETAS CAFECITAS","DERIVADOS",B25="140 - MERENGUES","DERIVADOS",B25="100 - CAFÉ ESPECIAL","ESPECIALES",B25="141 - AREQUIPE","DERIVADOS",B25="142 - MERMELADA","DERIVADOS",B25="131 - GALLETAS AVENA","DERIVADOS",B25="160 - SOUVENIR","OTROS",B25="148 - CARAMELOS","DERIVADOS",B25="143 - CHOCOFFES","DERIVADOS",B25="162 - CONVENIOS Y DSC POS ","OTROS"),"OTROS")</f>
        <v>OTROS</v>
      </c>
      <c r="L25" s="27">
        <f t="shared" si="2"/>
        <v>0</v>
      </c>
      <c r="M25" s="27">
        <f t="shared" si="3"/>
        <v>0</v>
      </c>
    </row>
    <row r="26" spans="1:13" ht="16.5" hidden="1" outlineLevel="1">
      <c r="A26" s="52" t="s">
        <v>35</v>
      </c>
      <c r="B26" s="20" t="s">
        <v>32</v>
      </c>
      <c r="C26" s="21">
        <f>SUM(C22:C25)</f>
        <v>43951200</v>
      </c>
      <c r="D26" s="53">
        <f t="shared" ref="D26:E26" si="7">SUM(D22)</f>
        <v>0</v>
      </c>
      <c r="E26" s="54">
        <f t="shared" si="7"/>
        <v>0</v>
      </c>
      <c r="F26" s="54">
        <f>SUM(F22:F25)</f>
        <v>91912164.599999994</v>
      </c>
      <c r="G26" s="55">
        <f t="shared" si="5"/>
        <v>0.47818697548115413</v>
      </c>
      <c r="H26" s="43">
        <f t="shared" si="6"/>
        <v>0</v>
      </c>
      <c r="I26" s="24">
        <f t="shared" si="6"/>
        <v>0</v>
      </c>
      <c r="J26" s="32" t="str" cm="1">
        <f t="array" ref="J26">IFERROR(_xlfn.IFS(B26="044 - BLEND TRADICION","BLEND",B26="113 - CAFÉ GOURMET","GOURMET",B26="114 - CAFÉ CONSUMO","CONSUMO",B26="112 - CAFÉ ORGANICO","GOURMET",B26="172 - CAFÉ COSECHA","ESPECIALES",B26="176 - CAFE DESCAFEINADO","GOURMET",B26="147 - CAPSULAS","CAPSULAS",B26="130 - GALLETAS CAFECITAS","DERIVADOS",B26="140 - MERENGUES","DERIVADOS",B26="100 - CAFÉ ESPECIAL","ESPECIALES",B26="141 - AREQUIPE","DERIVADOS",B26="142 - MERMELADA","DERIVADOS",B26="131 - GALLETAS AVENA","DERIVADOS",B26="160 - SOUVENIR","OTROS",B26="148 - CARAMELOS","DERIVADOS",B26="143 - CHOCOFFES","DERIVADOS",B26="162 - CONVENIOS Y DSC POS ","OTROS"),"OTROS")</f>
        <v>OTROS</v>
      </c>
      <c r="L26" s="27">
        <f t="shared" si="2"/>
        <v>43951200</v>
      </c>
      <c r="M26" s="27">
        <f t="shared" si="3"/>
        <v>43951200</v>
      </c>
    </row>
    <row r="27" spans="1:13" ht="16.5" hidden="1" outlineLevel="1">
      <c r="A27" s="44"/>
      <c r="B27" s="45" t="s">
        <v>34</v>
      </c>
      <c r="C27" s="46">
        <v>2899260</v>
      </c>
      <c r="D27" s="47">
        <v>-2726312</v>
      </c>
      <c r="E27" s="48">
        <v>0</v>
      </c>
      <c r="F27" s="48">
        <v>6545773.3099999996</v>
      </c>
      <c r="G27" s="49">
        <f t="shared" si="5"/>
        <v>0.44292092968920738</v>
      </c>
      <c r="H27" s="43">
        <f t="shared" si="6"/>
        <v>-0.48462840756459963</v>
      </c>
      <c r="I27" s="24">
        <f t="shared" si="6"/>
        <v>0</v>
      </c>
      <c r="J27" s="32" t="str" cm="1">
        <f t="array" ref="J27">IFERROR(_xlfn.IFS(B27="044 - BLEND TRADICION","BLEND",B27="113 - CAFÉ GOURMET","GOURMET",B27="114 - CAFÉ CONSUMO","CONSUMO",B27="112 - CAFÉ ORGANICO","GOURMET",B27="172 - CAFÉ COSECHA","ESPECIALES",B27="176 - CAFE DESCAFEINADO","GOURMET",B27="147 - CAPSULAS","CAPSULAS",B27="130 - GALLETAS CAFECITAS","DERIVADOS",B27="140 - MERENGUES","DERIVADOS",B27="100 - CAFÉ ESPECIAL","ESPECIALES",B27="141 - AREQUIPE","DERIVADOS",B27="142 - MERMELADA","DERIVADOS",B27="131 - GALLETAS AVENA","DERIVADOS",B27="160 - SOUVENIR","OTROS",B27="148 - CARAMELOS","DERIVADOS",B27="143 - CHOCOFFES","DERIVADOS",B27="162 - CONVENIOS Y DSC POS ","OTROS"),"OTROS")</f>
        <v>OTROS</v>
      </c>
      <c r="L27" s="27">
        <f t="shared" si="2"/>
        <v>5625572</v>
      </c>
      <c r="M27" s="27">
        <f t="shared" si="3"/>
        <v>5625572</v>
      </c>
    </row>
    <row r="28" spans="1:13" ht="16.5" hidden="1" outlineLevel="1">
      <c r="A28" s="38"/>
      <c r="B28" s="34" t="s">
        <v>19</v>
      </c>
      <c r="C28" s="35">
        <v>189399</v>
      </c>
      <c r="D28" s="36">
        <v>0</v>
      </c>
      <c r="E28" s="48">
        <v>0</v>
      </c>
      <c r="F28" s="48">
        <v>4061262.59</v>
      </c>
      <c r="G28" s="49">
        <f t="shared" si="5"/>
        <v>4.6635497164442159E-2</v>
      </c>
      <c r="H28" s="23">
        <f t="shared" si="6"/>
        <v>0</v>
      </c>
      <c r="I28" s="24">
        <f t="shared" si="6"/>
        <v>0</v>
      </c>
      <c r="J28" s="32" t="str" cm="1">
        <f t="array" ref="J28">IFERROR(_xlfn.IFS(B28="044 - BLEND TRADICION","BLEND",B28="113 - CAFÉ GOURMET","GOURMET",B28="114 - CAFÉ CONSUMO","CONSUMO",B28="112 - CAFÉ ORGANICO","GOURMET",B28="172 - CAFÉ COSECHA","ESPECIALES",B28="176 - CAFE DESCAFEINADO","GOURMET",B28="147 - CAPSULAS","CAPSULAS",B28="130 - GALLETAS CAFECITAS","DERIVADOS",B28="140 - MERENGUES","DERIVADOS",B28="100 - CAFÉ ESPECIAL","ESPECIALES",B28="141 - AREQUIPE","DERIVADOS",B28="142 - MERMELADA","DERIVADOS",B28="131 - GALLETAS AVENA","DERIVADOS",B28="160 - SOUVENIR","OTROS",B28="148 - CARAMELOS","DERIVADOS",B28="143 - CHOCOFFES","DERIVADOS",B28="162 - CONVENIOS Y DSC POS ","OTROS"),"OTROS")</f>
        <v>ESPECIALES</v>
      </c>
      <c r="L28" s="27">
        <f t="shared" si="2"/>
        <v>189399</v>
      </c>
      <c r="M28" s="27">
        <f t="shared" si="3"/>
        <v>189399</v>
      </c>
    </row>
    <row r="29" spans="1:13" ht="16.5" hidden="1" outlineLevel="1">
      <c r="A29" s="38"/>
      <c r="B29" s="39" t="s">
        <v>20</v>
      </c>
      <c r="C29" s="36">
        <v>639804</v>
      </c>
      <c r="D29" s="36">
        <v>0</v>
      </c>
      <c r="E29" s="48">
        <v>0</v>
      </c>
      <c r="F29" s="48">
        <v>1222472.22</v>
      </c>
      <c r="G29" s="49">
        <f t="shared" si="5"/>
        <v>0.52336894821217284</v>
      </c>
      <c r="H29" s="23">
        <f t="shared" si="6"/>
        <v>0</v>
      </c>
      <c r="I29" s="24">
        <f t="shared" si="6"/>
        <v>0</v>
      </c>
      <c r="J29" s="32" t="str" cm="1">
        <f t="array" ref="J29">IFERROR(_xlfn.IFS(B29="044 - BLEND TRADICION","BLEND",B29="113 - CAFÉ GOURMET","GOURMET",B29="114 - CAFÉ CONSUMO","CONSUMO",B29="112 - CAFÉ ORGANICO","GOURMET",B29="172 - CAFÉ COSECHA","ESPECIALES",B29="176 - CAFE DESCAFEINADO","GOURMET",B29="147 - CAPSULAS","CAPSULAS",B29="130 - GALLETAS CAFECITAS","DERIVADOS",B29="140 - MERENGUES","DERIVADOS",B29="100 - CAFÉ ESPECIAL","ESPECIALES",B29="141 - AREQUIPE","DERIVADOS",B29="142 - MERMELADA","DERIVADOS",B29="131 - GALLETAS AVENA","DERIVADOS",B29="160 - SOUVENIR","OTROS",B29="148 - CARAMELOS","DERIVADOS",B29="143 - CHOCOFFES","DERIVADOS",B29="162 - CONVENIOS Y DSC POS ","OTROS"),"OTROS")</f>
        <v>GOURMET</v>
      </c>
      <c r="L29" s="27">
        <f t="shared" si="2"/>
        <v>639804</v>
      </c>
      <c r="M29" s="27">
        <f t="shared" si="3"/>
        <v>639804</v>
      </c>
    </row>
    <row r="30" spans="1:13" ht="16.5" hidden="1" outlineLevel="1">
      <c r="A30" s="38"/>
      <c r="B30" s="39" t="s">
        <v>21</v>
      </c>
      <c r="C30" s="36">
        <v>65819588</v>
      </c>
      <c r="D30" s="36">
        <v>-7679700</v>
      </c>
      <c r="E30" s="48">
        <v>0</v>
      </c>
      <c r="F30" s="48">
        <v>223480484.16999999</v>
      </c>
      <c r="G30" s="49">
        <f t="shared" si="5"/>
        <v>0.29452051817612634</v>
      </c>
      <c r="H30" s="23">
        <f t="shared" si="6"/>
        <v>-0.1044867264564522</v>
      </c>
      <c r="I30" s="24">
        <f t="shared" si="6"/>
        <v>0</v>
      </c>
      <c r="J30" s="32" t="str" cm="1">
        <f t="array" ref="J30">IFERROR(_xlfn.IFS(B30="044 - BLEND TRADICION","BLEND",B30="113 - CAFÉ GOURMET","GOURMET",B30="114 - CAFÉ CONSUMO","CONSUMO",B30="112 - CAFÉ ORGANICO","GOURMET",B30="172 - CAFÉ COSECHA","ESPECIALES",B30="176 - CAFE DESCAFEINADO","GOURMET",B30="147 - CAPSULAS","CAPSULAS",B30="130 - GALLETAS CAFECITAS","DERIVADOS",B30="140 - MERENGUES","DERIVADOS",B30="100 - CAFÉ ESPECIAL","ESPECIALES",B30="141 - AREQUIPE","DERIVADOS",B30="142 - MERMELADA","DERIVADOS",B30="131 - GALLETAS AVENA","DERIVADOS",B30="160 - SOUVENIR","OTROS",B30="148 - CARAMELOS","DERIVADOS",B30="143 - CHOCOFFES","DERIVADOS",B30="162 - CONVENIOS Y DSC POS ","OTROS"),"OTROS")</f>
        <v>GOURMET</v>
      </c>
      <c r="L30" s="27">
        <f t="shared" si="2"/>
        <v>73499288</v>
      </c>
      <c r="M30" s="27">
        <f t="shared" si="3"/>
        <v>73499288</v>
      </c>
    </row>
    <row r="31" spans="1:13" ht="16.5" hidden="1" outlineLevel="1">
      <c r="A31" s="38"/>
      <c r="B31" s="39" t="s">
        <v>38</v>
      </c>
      <c r="C31" s="36">
        <v>14257425</v>
      </c>
      <c r="D31" s="36">
        <v>0</v>
      </c>
      <c r="E31" s="48">
        <v>0</v>
      </c>
      <c r="F31" s="48">
        <v>12078505</v>
      </c>
      <c r="G31" s="49">
        <f t="shared" si="5"/>
        <v>1.1803964977453749</v>
      </c>
      <c r="H31" s="23">
        <f t="shared" si="6"/>
        <v>0</v>
      </c>
      <c r="I31" s="24">
        <f t="shared" si="6"/>
        <v>0</v>
      </c>
      <c r="J31" s="32" t="str" cm="1">
        <f t="array" ref="J31">IFERROR(_xlfn.IFS(B31="044 - BLEND TRADICION","BLEND",B31="113 - CAFÉ GOURMET","GOURMET",B31="114 - CAFÉ CONSUMO","CONSUMO",B31="112 - CAFÉ ORGANICO","GOURMET",B31="172 - CAFÉ COSECHA","ESPECIALES",B31="176 - CAFE DESCAFEINADO","GOURMET",B31="147 - CAPSULAS","CAPSULAS",B31="130 - GALLETAS CAFECITAS","DERIVADOS",B31="140 - MERENGUES","DERIVADOS",B31="100 - CAFÉ ESPECIAL","ESPECIALES",B31="141 - AREQUIPE","DERIVADOS",B31="142 - MERMELADA","DERIVADOS",B31="131 - GALLETAS AVENA","DERIVADOS",B31="160 - SOUVENIR","OTROS",B31="148 - CARAMELOS","DERIVADOS",B31="143 - CHOCOFFES","DERIVADOS",B31="162 - CONVENIOS Y DSC POS ","OTROS"),"OTROS")</f>
        <v>CONSUMO</v>
      </c>
      <c r="L31" s="27">
        <f t="shared" si="2"/>
        <v>14257425</v>
      </c>
      <c r="M31" s="27">
        <f t="shared" si="3"/>
        <v>14257425</v>
      </c>
    </row>
    <row r="32" spans="1:13" ht="16.5" hidden="1" outlineLevel="1">
      <c r="A32" s="38"/>
      <c r="B32" s="39" t="s">
        <v>22</v>
      </c>
      <c r="C32" s="36">
        <v>1127800</v>
      </c>
      <c r="D32" s="36">
        <v>0</v>
      </c>
      <c r="E32" s="48">
        <v>0</v>
      </c>
      <c r="F32" s="48">
        <v>876245.45</v>
      </c>
      <c r="G32" s="49">
        <f t="shared" si="5"/>
        <v>1.2870822895571099</v>
      </c>
      <c r="H32" s="23">
        <f t="shared" si="6"/>
        <v>0</v>
      </c>
      <c r="I32" s="24">
        <f t="shared" si="6"/>
        <v>0</v>
      </c>
      <c r="J32" s="32" t="str" cm="1">
        <f t="array" ref="J32">IFERROR(_xlfn.IFS(B32="044 - BLEND TRADICION","BLEND",B32="113 - CAFÉ GOURMET","GOURMET",B32="114 - CAFÉ CONSUMO","CONSUMO",B32="112 - CAFÉ ORGANICO","GOURMET",B32="172 - CAFÉ COSECHA","ESPECIALES",B32="176 - CAFE DESCAFEINADO","GOURMET",B32="147 - CAPSULAS","CAPSULAS",B32="130 - GALLETAS CAFECITAS","DERIVADOS",B32="140 - MERENGUES","DERIVADOS",B32="100 - CAFÉ ESPECIAL","ESPECIALES",B32="141 - AREQUIPE","DERIVADOS",B32="142 - MERMELADA","DERIVADOS",B32="131 - GALLETAS AVENA","DERIVADOS",B32="160 - SOUVENIR","OTROS",B32="148 - CARAMELOS","DERIVADOS",B32="143 - CHOCOFFES","DERIVADOS",B32="162 - CONVENIOS Y DSC POS ","OTROS"),"OTROS")</f>
        <v>DERIVADOS</v>
      </c>
      <c r="L32" s="27">
        <f t="shared" si="2"/>
        <v>1127800</v>
      </c>
      <c r="M32" s="27">
        <f t="shared" si="3"/>
        <v>1127800</v>
      </c>
    </row>
    <row r="33" spans="1:13" ht="16.5" hidden="1" outlineLevel="1">
      <c r="A33" s="38"/>
      <c r="B33" s="39" t="s">
        <v>23</v>
      </c>
      <c r="C33" s="36">
        <v>49717</v>
      </c>
      <c r="D33" s="36">
        <v>0</v>
      </c>
      <c r="E33" s="48"/>
      <c r="F33" s="48">
        <v>315313</v>
      </c>
      <c r="G33" s="49">
        <f t="shared" si="5"/>
        <v>0.15767507207124348</v>
      </c>
      <c r="H33" s="23">
        <f t="shared" si="6"/>
        <v>0</v>
      </c>
      <c r="I33" s="24">
        <f t="shared" si="6"/>
        <v>0</v>
      </c>
      <c r="J33" s="32" t="str" cm="1">
        <f t="array" ref="J33">IFERROR(_xlfn.IFS(B33="044 - BLEND TRADICION","BLEND",B33="113 - CAFÉ GOURMET","GOURMET",B33="114 - CAFÉ CONSUMO","CONSUMO",B33="112 - CAFÉ ORGANICO","GOURMET",B33="172 - CAFÉ COSECHA","ESPECIALES",B33="176 - CAFE DESCAFEINADO","GOURMET",B33="147 - CAPSULAS","CAPSULAS",B33="130 - GALLETAS CAFECITAS","DERIVADOS",B33="140 - MERENGUES","DERIVADOS",B33="100 - CAFÉ ESPECIAL","ESPECIALES",B33="141 - AREQUIPE","DERIVADOS",B33="142 - MERMELADA","DERIVADOS",B33="131 - GALLETAS AVENA","DERIVADOS",B33="160 - SOUVENIR","OTROS",B33="148 - CARAMELOS","DERIVADOS",B33="143 - CHOCOFFES","DERIVADOS",B33="162 - CONVENIOS Y DSC POS ","OTROS"),"OTROS")</f>
        <v>DERIVADOS</v>
      </c>
      <c r="L33" s="27">
        <f t="shared" si="2"/>
        <v>49717</v>
      </c>
      <c r="M33" s="27">
        <f t="shared" si="3"/>
        <v>49717</v>
      </c>
    </row>
    <row r="34" spans="1:13" ht="16.5" hidden="1" outlineLevel="1">
      <c r="A34" s="38"/>
      <c r="B34" s="39" t="s">
        <v>24</v>
      </c>
      <c r="C34" s="36">
        <v>242944</v>
      </c>
      <c r="D34" s="36">
        <v>0</v>
      </c>
      <c r="E34" s="48"/>
      <c r="F34" s="48">
        <v>443819.64</v>
      </c>
      <c r="G34" s="49">
        <f t="shared" si="5"/>
        <v>0.54739353130023716</v>
      </c>
      <c r="H34" s="23">
        <f t="shared" si="6"/>
        <v>0</v>
      </c>
      <c r="I34" s="24">
        <f t="shared" si="6"/>
        <v>0</v>
      </c>
      <c r="J34" s="32" t="str" cm="1">
        <f t="array" ref="J34">IFERROR(_xlfn.IFS(B34="044 - BLEND TRADICION","BLEND",B34="113 - CAFÉ GOURMET","GOURMET",B34="114 - CAFÉ CONSUMO","CONSUMO",B34="112 - CAFÉ ORGANICO","GOURMET",B34="172 - CAFÉ COSECHA","ESPECIALES",B34="176 - CAFE DESCAFEINADO","GOURMET",B34="147 - CAPSULAS","CAPSULAS",B34="130 - GALLETAS CAFECITAS","DERIVADOS",B34="140 - MERENGUES","DERIVADOS",B34="100 - CAFÉ ESPECIAL","ESPECIALES",B34="141 - AREQUIPE","DERIVADOS",B34="142 - MERMELADA","DERIVADOS",B34="131 - GALLETAS AVENA","DERIVADOS",B34="160 - SOUVENIR","OTROS",B34="148 - CARAMELOS","DERIVADOS",B34="143 - CHOCOFFES","DERIVADOS",B34="162 - CONVENIOS Y DSC POS ","OTROS"),"OTROS")</f>
        <v>DERIVADOS</v>
      </c>
      <c r="L34" s="27">
        <f t="shared" si="2"/>
        <v>242944</v>
      </c>
      <c r="M34" s="27">
        <f t="shared" si="3"/>
        <v>242944</v>
      </c>
    </row>
    <row r="35" spans="1:13" ht="16.5" hidden="1" outlineLevel="1">
      <c r="A35" s="38"/>
      <c r="B35" s="39" t="s">
        <v>25</v>
      </c>
      <c r="C35" s="36">
        <v>155914</v>
      </c>
      <c r="D35" s="36">
        <v>0</v>
      </c>
      <c r="E35" s="48"/>
      <c r="F35" s="48">
        <v>253263.49</v>
      </c>
      <c r="G35" s="49">
        <f t="shared" si="5"/>
        <v>0.61561972473805837</v>
      </c>
      <c r="H35" s="23">
        <f t="shared" si="6"/>
        <v>0</v>
      </c>
      <c r="I35" s="24">
        <f t="shared" si="6"/>
        <v>0</v>
      </c>
      <c r="J35" s="32" t="str" cm="1">
        <f t="array" ref="J35">IFERROR(_xlfn.IFS(B35="044 - BLEND TRADICION","BLEND",B35="113 - CAFÉ GOURMET","GOURMET",B35="114 - CAFÉ CONSUMO","CONSUMO",B35="112 - CAFÉ ORGANICO","GOURMET",B35="172 - CAFÉ COSECHA","ESPECIALES",B35="176 - CAFE DESCAFEINADO","GOURMET",B35="147 - CAPSULAS","CAPSULAS",B35="130 - GALLETAS CAFECITAS","DERIVADOS",B35="140 - MERENGUES","DERIVADOS",B35="100 - CAFÉ ESPECIAL","ESPECIALES",B35="141 - AREQUIPE","DERIVADOS",B35="142 - MERMELADA","DERIVADOS",B35="131 - GALLETAS AVENA","DERIVADOS",B35="160 - SOUVENIR","OTROS",B35="148 - CARAMELOS","DERIVADOS",B35="143 - CHOCOFFES","DERIVADOS",B35="162 - CONVENIOS Y DSC POS ","OTROS"),"OTROS")</f>
        <v>DERIVADOS</v>
      </c>
      <c r="L35" s="27">
        <f t="shared" si="2"/>
        <v>155914</v>
      </c>
      <c r="M35" s="27">
        <f t="shared" si="3"/>
        <v>155914</v>
      </c>
    </row>
    <row r="36" spans="1:13" ht="16.5" hidden="1" outlineLevel="1">
      <c r="A36" s="38"/>
      <c r="B36" s="39" t="s">
        <v>26</v>
      </c>
      <c r="C36" s="36">
        <v>7231485</v>
      </c>
      <c r="D36" s="36">
        <v>-1819838</v>
      </c>
      <c r="E36" s="48"/>
      <c r="F36" s="48">
        <v>19346780.550000001</v>
      </c>
      <c r="G36" s="49">
        <f t="shared" si="5"/>
        <v>0.37378234488735129</v>
      </c>
      <c r="H36" s="23">
        <f t="shared" ref="H36:I88" si="8">IFERROR(+D36/L36*100%,0)</f>
        <v>-0.2010576796342369</v>
      </c>
      <c r="I36" s="24">
        <f t="shared" si="8"/>
        <v>0</v>
      </c>
      <c r="J36" s="32" t="str" cm="1">
        <f t="array" ref="J36">IFERROR(_xlfn.IFS(B36="044 - BLEND TRADICION","BLEND",B36="113 - CAFÉ GOURMET","GOURMET",B36="114 - CAFÉ CONSUMO","CONSUMO",B36="112 - CAFÉ ORGANICO","GOURMET",B36="172 - CAFÉ COSECHA","ESPECIALES",B36="176 - CAFE DESCAFEINADO","GOURMET",B36="147 - CAPSULAS","CAPSULAS",B36="130 - GALLETAS CAFECITAS","DERIVADOS",B36="140 - MERENGUES","DERIVADOS",B36="100 - CAFÉ ESPECIAL","ESPECIALES",B36="141 - AREQUIPE","DERIVADOS",B36="142 - MERMELADA","DERIVADOS",B36="131 - GALLETAS AVENA","DERIVADOS",B36="160 - SOUVENIR","OTROS",B36="148 - CARAMELOS","DERIVADOS",B36="143 - CHOCOFFES","DERIVADOS",B36="162 - CONVENIOS Y DSC POS ","OTROS"),"OTROS")</f>
        <v>CAPSULAS</v>
      </c>
      <c r="L36" s="27">
        <f t="shared" si="2"/>
        <v>9051323</v>
      </c>
      <c r="M36" s="27">
        <f t="shared" si="3"/>
        <v>9051323</v>
      </c>
    </row>
    <row r="37" spans="1:13" ht="16.5" hidden="1" outlineLevel="1">
      <c r="A37" s="38"/>
      <c r="B37" s="39" t="s">
        <v>27</v>
      </c>
      <c r="C37" s="36">
        <v>145715</v>
      </c>
      <c r="D37" s="36">
        <v>0</v>
      </c>
      <c r="E37" s="48"/>
      <c r="F37" s="48">
        <v>709870.17</v>
      </c>
      <c r="G37" s="49">
        <f t="shared" si="5"/>
        <v>0.20526992985210238</v>
      </c>
      <c r="H37" s="23">
        <f t="shared" si="8"/>
        <v>0</v>
      </c>
      <c r="I37" s="24">
        <f t="shared" si="8"/>
        <v>0</v>
      </c>
      <c r="J37" s="32" t="str" cm="1">
        <f t="array" ref="J37">IFERROR(_xlfn.IFS(B37="044 - BLEND TRADICION","BLEND",B37="113 - CAFÉ GOURMET","GOURMET",B37="114 - CAFÉ CONSUMO","CONSUMO",B37="112 - CAFÉ ORGANICO","GOURMET",B37="172 - CAFÉ COSECHA","ESPECIALES",B37="176 - CAFE DESCAFEINADO","GOURMET",B37="147 - CAPSULAS","CAPSULAS",B37="130 - GALLETAS CAFECITAS","DERIVADOS",B37="140 - MERENGUES","DERIVADOS",B37="100 - CAFÉ ESPECIAL","ESPECIALES",B37="141 - AREQUIPE","DERIVADOS",B37="142 - MERMELADA","DERIVADOS",B37="131 - GALLETAS AVENA","DERIVADOS",B37="160 - SOUVENIR","OTROS",B37="148 - CARAMELOS","DERIVADOS",B37="143 - CHOCOFFES","DERIVADOS",B37="162 - CONVENIOS Y DSC POS ","OTROS"),"OTROS")</f>
        <v>DERIVADOS</v>
      </c>
      <c r="L37" s="27">
        <f t="shared" si="2"/>
        <v>145715</v>
      </c>
      <c r="M37" s="27">
        <f t="shared" si="3"/>
        <v>145715</v>
      </c>
    </row>
    <row r="38" spans="1:13" ht="16.5" hidden="1" outlineLevel="1">
      <c r="A38" s="38"/>
      <c r="B38" s="39" t="s">
        <v>28</v>
      </c>
      <c r="C38" s="36">
        <v>137810</v>
      </c>
      <c r="D38" s="36">
        <v>0</v>
      </c>
      <c r="E38" s="48"/>
      <c r="F38" s="48">
        <v>926563.16</v>
      </c>
      <c r="G38" s="49">
        <f t="shared" si="5"/>
        <v>0.14873244043072034</v>
      </c>
      <c r="H38" s="23">
        <f t="shared" si="8"/>
        <v>0</v>
      </c>
      <c r="I38" s="24">
        <f t="shared" si="8"/>
        <v>0</v>
      </c>
      <c r="J38" s="32" t="str" cm="1">
        <f t="array" ref="J38">IFERROR(_xlfn.IFS(B38="044 - BLEND TRADICION","BLEND",B38="113 - CAFÉ GOURMET","GOURMET",B38="114 - CAFÉ CONSUMO","CONSUMO",B38="112 - CAFÉ ORGANICO","GOURMET",B38="172 - CAFÉ COSECHA","ESPECIALES",B38="176 - CAFE DESCAFEINADO","GOURMET",B38="147 - CAPSULAS","CAPSULAS",B38="130 - GALLETAS CAFECITAS","DERIVADOS",B38="140 - MERENGUES","DERIVADOS",B38="100 - CAFÉ ESPECIAL","ESPECIALES",B38="141 - AREQUIPE","DERIVADOS",B38="142 - MERMELADA","DERIVADOS",B38="131 - GALLETAS AVENA","DERIVADOS",B38="160 - SOUVENIR","OTROS",B38="148 - CARAMELOS","DERIVADOS",B38="143 - CHOCOFFES","DERIVADOS",B38="162 - CONVENIOS Y DSC POS ","OTROS"),"OTROS")</f>
        <v>OTROS</v>
      </c>
      <c r="L38" s="27">
        <f t="shared" si="2"/>
        <v>137810</v>
      </c>
      <c r="M38" s="27">
        <f t="shared" si="3"/>
        <v>137810</v>
      </c>
    </row>
    <row r="39" spans="1:13" ht="16.5" hidden="1" outlineLevel="1">
      <c r="A39" s="38"/>
      <c r="B39" s="39" t="s">
        <v>29</v>
      </c>
      <c r="C39" s="36">
        <v>0</v>
      </c>
      <c r="D39" s="36">
        <v>0</v>
      </c>
      <c r="E39" s="48"/>
      <c r="F39" s="48">
        <v>1035996.29</v>
      </c>
      <c r="G39" s="49">
        <f t="shared" si="5"/>
        <v>0</v>
      </c>
      <c r="H39" s="23">
        <f t="shared" si="8"/>
        <v>0</v>
      </c>
      <c r="I39" s="24">
        <f t="shared" si="8"/>
        <v>0</v>
      </c>
      <c r="J39" s="32" t="str" cm="1">
        <f t="array" ref="J39">IFERROR(_xlfn.IFS(B39="044 - BLEND TRADICION","BLEND",B39="113 - CAFÉ GOURMET","GOURMET",B39="114 - CAFÉ CONSUMO","CONSUMO",B39="112 - CAFÉ ORGANICO","GOURMET",B39="172 - CAFÉ COSECHA","ESPECIALES",B39="176 - CAFE DESCAFEINADO","GOURMET",B39="147 - CAPSULAS","CAPSULAS",B39="130 - GALLETAS CAFECITAS","DERIVADOS",B39="140 - MERENGUES","DERIVADOS",B39="100 - CAFÉ ESPECIAL","ESPECIALES",B39="141 - AREQUIPE","DERIVADOS",B39="142 - MERMELADA","DERIVADOS",B39="131 - GALLETAS AVENA","DERIVADOS",B39="160 - SOUVENIR","OTROS",B39="148 - CARAMELOS","DERIVADOS",B39="143 - CHOCOFFES","DERIVADOS",B39="162 - CONVENIOS Y DSC POS ","OTROS"),"OTROS")</f>
        <v>ESPECIALES</v>
      </c>
      <c r="L39" s="27">
        <f t="shared" si="2"/>
        <v>0</v>
      </c>
      <c r="M39" s="27">
        <f t="shared" si="3"/>
        <v>0</v>
      </c>
    </row>
    <row r="40" spans="1:13" ht="16.5" hidden="1" outlineLevel="1">
      <c r="A40" s="38"/>
      <c r="B40" s="39" t="s">
        <v>30</v>
      </c>
      <c r="C40" s="36">
        <v>63262</v>
      </c>
      <c r="D40" s="36">
        <v>0</v>
      </c>
      <c r="E40" s="48"/>
      <c r="F40" s="48">
        <v>573972.9</v>
      </c>
      <c r="G40" s="49">
        <f t="shared" si="5"/>
        <v>0.11021774721419773</v>
      </c>
      <c r="H40" s="23">
        <f t="shared" si="8"/>
        <v>0</v>
      </c>
      <c r="I40" s="24">
        <f t="shared" si="8"/>
        <v>0</v>
      </c>
      <c r="J40" s="32" t="str" cm="1">
        <f t="array" ref="J40">IFERROR(_xlfn.IFS(B40="044 - BLEND TRADICION","BLEND",B40="113 - CAFÉ GOURMET","GOURMET",B40="114 - CAFÉ CONSUMO","CONSUMO",B40="112 - CAFÉ ORGANICO","GOURMET",B40="172 - CAFÉ COSECHA","ESPECIALES",B40="176 - CAFE DESCAFEINADO","GOURMET",B40="147 - CAPSULAS","CAPSULAS",B40="130 - GALLETAS CAFECITAS","DERIVADOS",B40="140 - MERENGUES","DERIVADOS",B40="100 - CAFÉ ESPECIAL","ESPECIALES",B40="141 - AREQUIPE","DERIVADOS",B40="142 - MERMELADA","DERIVADOS",B40="131 - GALLETAS AVENA","DERIVADOS",B40="160 - SOUVENIR","OTROS",B40="148 - CARAMELOS","DERIVADOS",B40="143 - CHOCOFFES","DERIVADOS",B40="162 - CONVENIOS Y DSC POS ","OTROS"),"OTROS")</f>
        <v>GOURMET</v>
      </c>
      <c r="L40" s="27">
        <f t="shared" si="2"/>
        <v>63262</v>
      </c>
      <c r="M40" s="27">
        <f t="shared" si="3"/>
        <v>63262</v>
      </c>
    </row>
    <row r="41" spans="1:13" ht="16.5" hidden="1" outlineLevel="1">
      <c r="A41" s="19" t="s">
        <v>37</v>
      </c>
      <c r="B41" s="56" t="s">
        <v>32</v>
      </c>
      <c r="C41" s="54">
        <f>SUM(C27:C40)</f>
        <v>92960123</v>
      </c>
      <c r="D41" s="54">
        <f>SUM(D27:D40)</f>
        <v>-12225850</v>
      </c>
      <c r="E41" s="54">
        <f>SUM(E27:E40)</f>
        <v>0</v>
      </c>
      <c r="F41" s="54">
        <f>SUM(F27:F40)</f>
        <v>271870321.94</v>
      </c>
      <c r="G41" s="55">
        <f t="shared" si="5"/>
        <v>0.34192817493523875</v>
      </c>
      <c r="H41" s="23">
        <f t="shared" si="8"/>
        <v>-0.11623080199106016</v>
      </c>
      <c r="I41" s="24">
        <f t="shared" si="8"/>
        <v>0</v>
      </c>
      <c r="J41" s="32" t="str" cm="1">
        <f t="array" ref="J41">IFERROR(_xlfn.IFS(B41="044 - BLEND TRADICION","BLEND",B41="113 - CAFÉ GOURMET","GOURMET",B41="114 - CAFÉ CONSUMO","CONSUMO",B41="112 - CAFÉ ORGANICO","GOURMET",B41="172 - CAFÉ COSECHA","ESPECIALES",B41="176 - CAFE DESCAFEINADO","GOURMET",B41="147 - CAPSULAS","CAPSULAS",B41="130 - GALLETAS CAFECITAS","DERIVADOS",B41="140 - MERENGUES","DERIVADOS",B41="100 - CAFÉ ESPECIAL","ESPECIALES",B41="141 - AREQUIPE","DERIVADOS",B41="142 - MERMELADA","DERIVADOS",B41="131 - GALLETAS AVENA","DERIVADOS",B41="160 - SOUVENIR","OTROS",B41="148 - CARAMELOS","DERIVADOS",B41="143 - CHOCOFFES","DERIVADOS",B41="162 - CONVENIOS Y DSC POS ","OTROS"),"OTROS")</f>
        <v>OTROS</v>
      </c>
      <c r="L41" s="27">
        <f t="shared" si="2"/>
        <v>105185973</v>
      </c>
      <c r="M41" s="27">
        <f t="shared" si="3"/>
        <v>105185973</v>
      </c>
    </row>
    <row r="42" spans="1:13" ht="16.5" hidden="1" outlineLevel="1">
      <c r="A42" s="38"/>
      <c r="B42" s="39" t="s">
        <v>34</v>
      </c>
      <c r="C42" s="36">
        <v>0</v>
      </c>
      <c r="D42" s="36">
        <v>0</v>
      </c>
      <c r="E42" s="48">
        <v>0</v>
      </c>
      <c r="F42" s="48">
        <v>16995.71</v>
      </c>
      <c r="G42" s="49">
        <f t="shared" si="5"/>
        <v>0</v>
      </c>
      <c r="H42" s="23">
        <f t="shared" si="8"/>
        <v>0</v>
      </c>
      <c r="I42" s="24">
        <f t="shared" si="8"/>
        <v>0</v>
      </c>
      <c r="J42" s="32" t="str" cm="1">
        <f t="array" ref="J42">IFERROR(_xlfn.IFS(B42="044 - BLEND TRADICION","BLEND",B42="113 - CAFÉ GOURMET","GOURMET",B42="114 - CAFÉ CONSUMO","CONSUMO",B42="112 - CAFÉ ORGANICO","GOURMET",B42="172 - CAFÉ COSECHA","ESPECIALES",B42="176 - CAFE DESCAFEINADO","GOURMET",B42="147 - CAPSULAS","CAPSULAS",B42="130 - GALLETAS CAFECITAS","DERIVADOS",B42="140 - MERENGUES","DERIVADOS",B42="100 - CAFÉ ESPECIAL","ESPECIALES",B42="141 - AREQUIPE","DERIVADOS",B42="142 - MERMELADA","DERIVADOS",B42="131 - GALLETAS AVENA","DERIVADOS",B42="160 - SOUVENIR","OTROS",B42="148 - CARAMELOS","DERIVADOS",B42="143 - CHOCOFFES","DERIVADOS",B42="162 - CONVENIOS Y DSC POS ","OTROS"),"OTROS")</f>
        <v>OTROS</v>
      </c>
      <c r="L42" s="27">
        <f t="shared" si="2"/>
        <v>0</v>
      </c>
      <c r="M42" s="27">
        <f t="shared" si="3"/>
        <v>0</v>
      </c>
    </row>
    <row r="43" spans="1:13" ht="16.5" hidden="1" outlineLevel="1">
      <c r="A43" s="38"/>
      <c r="B43" s="39" t="s">
        <v>42</v>
      </c>
      <c r="C43" s="36">
        <v>348131</v>
      </c>
      <c r="D43" s="36">
        <v>0</v>
      </c>
      <c r="E43" s="48">
        <v>0</v>
      </c>
      <c r="F43" s="48">
        <v>0</v>
      </c>
      <c r="G43" s="49" t="str">
        <f t="shared" si="5"/>
        <v>-</v>
      </c>
      <c r="H43" s="23">
        <f t="shared" si="8"/>
        <v>0</v>
      </c>
      <c r="I43" s="24">
        <f t="shared" si="8"/>
        <v>0</v>
      </c>
      <c r="J43" s="32" t="str" cm="1">
        <f t="array" ref="J43">IFERROR(_xlfn.IFS(B43="044 - BLEND TRADICION","BLEND",B43="113 - CAFÉ GOURMET","GOURMET",B43="114 - CAFÉ CONSUMO","CONSUMO",B43="112 - CAFÉ ORGANICO","GOURMET",B43="172 - CAFÉ COSECHA","ESPECIALES",B43="176 - CAFE DESCAFEINADO","GOURMET",B43="147 - CAPSULAS","CAPSULAS",B43="130 - GALLETAS CAFECITAS","DERIVADOS",B43="140 - MERENGUES","DERIVADOS",B43="100 - CAFÉ ESPECIAL","ESPECIALES",B43="141 - AREQUIPE","DERIVADOS",B43="142 - MERMELADA","DERIVADOS",B43="131 - GALLETAS AVENA","DERIVADOS",B43="160 - SOUVENIR","OTROS",B43="148 - CARAMELOS","DERIVADOS",B43="143 - CHOCOFFES","DERIVADOS",B43="162 - CONVENIOS Y DSC POS ","OTROS"),"OTROS")</f>
        <v>OTROS</v>
      </c>
      <c r="L43" s="27">
        <f t="shared" si="2"/>
        <v>348131</v>
      </c>
      <c r="M43" s="27">
        <f t="shared" si="3"/>
        <v>348131</v>
      </c>
    </row>
    <row r="44" spans="1:13" ht="16.5" hidden="1" outlineLevel="1">
      <c r="A44" s="38"/>
      <c r="B44" s="39" t="s">
        <v>18</v>
      </c>
      <c r="C44" s="36">
        <v>0</v>
      </c>
      <c r="D44" s="36">
        <v>0</v>
      </c>
      <c r="E44" s="48">
        <v>0</v>
      </c>
      <c r="F44" s="48">
        <v>89635.4</v>
      </c>
      <c r="G44" s="49">
        <f t="shared" si="5"/>
        <v>0</v>
      </c>
      <c r="H44" s="23">
        <f t="shared" si="8"/>
        <v>0</v>
      </c>
      <c r="I44" s="24">
        <f t="shared" si="8"/>
        <v>0</v>
      </c>
      <c r="J44" s="32" t="str" cm="1">
        <f t="array" ref="J44">IFERROR(_xlfn.IFS(B44="044 - BLEND TRADICION","BLEND",B44="113 - CAFÉ GOURMET","GOURMET",B44="114 - CAFÉ CONSUMO","CONSUMO",B44="112 - CAFÉ ORGANICO","GOURMET",B44="172 - CAFÉ COSECHA","ESPECIALES",B44="176 - CAFE DESCAFEINADO","GOURMET",B44="147 - CAPSULAS","CAPSULAS",B44="130 - GALLETAS CAFECITAS","DERIVADOS",B44="140 - MERENGUES","DERIVADOS",B44="100 - CAFÉ ESPECIAL","ESPECIALES",B44="141 - AREQUIPE","DERIVADOS",B44="142 - MERMELADA","DERIVADOS",B44="131 - GALLETAS AVENA","DERIVADOS",B44="160 - SOUVENIR","OTROS",B44="148 - CARAMELOS","DERIVADOS",B44="143 - CHOCOFFES","DERIVADOS",B44="162 - CONVENIOS Y DSC POS ","OTROS"),"OTROS")</f>
        <v>BLEND</v>
      </c>
      <c r="L44" s="27">
        <f t="shared" si="2"/>
        <v>0</v>
      </c>
      <c r="M44" s="27">
        <f t="shared" si="3"/>
        <v>0</v>
      </c>
    </row>
    <row r="45" spans="1:13" ht="16.5" hidden="1" outlineLevel="1">
      <c r="A45" s="38"/>
      <c r="B45" s="39" t="s">
        <v>36</v>
      </c>
      <c r="C45" s="36">
        <v>15646</v>
      </c>
      <c r="D45" s="36">
        <v>0</v>
      </c>
      <c r="E45" s="48">
        <v>0</v>
      </c>
      <c r="F45" s="48">
        <v>0</v>
      </c>
      <c r="G45" s="49" t="str">
        <f t="shared" si="5"/>
        <v>-</v>
      </c>
      <c r="H45" s="23">
        <f t="shared" si="8"/>
        <v>0</v>
      </c>
      <c r="I45" s="24">
        <f t="shared" si="8"/>
        <v>0</v>
      </c>
      <c r="J45" s="32" t="str" cm="1">
        <f t="array" ref="J45">IFERROR(_xlfn.IFS(B45="044 - BLEND TRADICION","BLEND",B45="113 - CAFÉ GOURMET","GOURMET",B45="114 - CAFÉ CONSUMO","CONSUMO",B45="112 - CAFÉ ORGANICO","GOURMET",B45="172 - CAFÉ COSECHA","ESPECIALES",B45="176 - CAFE DESCAFEINADO","GOURMET",B45="147 - CAPSULAS","CAPSULAS",B45="130 - GALLETAS CAFECITAS","DERIVADOS",B45="140 - MERENGUES","DERIVADOS",B45="100 - CAFÉ ESPECIAL","ESPECIALES",B45="141 - AREQUIPE","DERIVADOS",B45="142 - MERMELADA","DERIVADOS",B45="131 - GALLETAS AVENA","DERIVADOS",B45="160 - SOUVENIR","OTROS",B45="148 - CARAMELOS","DERIVADOS",B45="143 - CHOCOFFES","DERIVADOS",B45="162 - CONVENIOS Y DSC POS ","OTROS"),"OTROS")</f>
        <v>OTROS</v>
      </c>
      <c r="L45" s="27">
        <f t="shared" si="2"/>
        <v>15646</v>
      </c>
      <c r="M45" s="27">
        <f t="shared" si="3"/>
        <v>15646</v>
      </c>
    </row>
    <row r="46" spans="1:13" ht="16.5" hidden="1" outlineLevel="1">
      <c r="A46" s="38"/>
      <c r="B46" s="39" t="s">
        <v>19</v>
      </c>
      <c r="C46" s="36">
        <v>0</v>
      </c>
      <c r="D46" s="36">
        <v>0</v>
      </c>
      <c r="E46" s="48"/>
      <c r="F46" s="48">
        <v>94237.05</v>
      </c>
      <c r="G46" s="49">
        <f t="shared" si="5"/>
        <v>0</v>
      </c>
      <c r="H46" s="23">
        <f t="shared" si="8"/>
        <v>0</v>
      </c>
      <c r="I46" s="24">
        <f t="shared" si="8"/>
        <v>0</v>
      </c>
      <c r="J46" s="32" t="str" cm="1">
        <f t="array" ref="J46">IFERROR(_xlfn.IFS(B46="044 - BLEND TRADICION","BLEND",B46="113 - CAFÉ GOURMET","GOURMET",B46="114 - CAFÉ CONSUMO","CONSUMO",B46="112 - CAFÉ ORGANICO","GOURMET",B46="172 - CAFÉ COSECHA","ESPECIALES",B46="176 - CAFE DESCAFEINADO","GOURMET",B46="147 - CAPSULAS","CAPSULAS",B46="130 - GALLETAS CAFECITAS","DERIVADOS",B46="140 - MERENGUES","DERIVADOS",B46="100 - CAFÉ ESPECIAL","ESPECIALES",B46="141 - AREQUIPE","DERIVADOS",B46="142 - MERMELADA","DERIVADOS",B46="131 - GALLETAS AVENA","DERIVADOS",B46="160 - SOUVENIR","OTROS",B46="148 - CARAMELOS","DERIVADOS",B46="143 - CHOCOFFES","DERIVADOS",B46="162 - CONVENIOS Y DSC POS ","OTROS"),"OTROS")</f>
        <v>ESPECIALES</v>
      </c>
      <c r="L46" s="27">
        <f t="shared" si="2"/>
        <v>0</v>
      </c>
      <c r="M46" s="27">
        <f t="shared" si="3"/>
        <v>0</v>
      </c>
    </row>
    <row r="47" spans="1:13" ht="16.5" hidden="1" outlineLevel="1">
      <c r="A47" s="38"/>
      <c r="B47" s="39" t="s">
        <v>20</v>
      </c>
      <c r="C47" s="36">
        <v>0</v>
      </c>
      <c r="D47" s="36">
        <v>0</v>
      </c>
      <c r="E47" s="48"/>
      <c r="F47" s="48">
        <v>136038.93</v>
      </c>
      <c r="G47" s="49">
        <f t="shared" si="5"/>
        <v>0</v>
      </c>
      <c r="H47" s="23">
        <f t="shared" si="8"/>
        <v>0</v>
      </c>
      <c r="I47" s="24">
        <f t="shared" si="8"/>
        <v>0</v>
      </c>
      <c r="J47" s="32" t="str" cm="1">
        <f t="array" ref="J47">IFERROR(_xlfn.IFS(B47="044 - BLEND TRADICION","BLEND",B47="113 - CAFÉ GOURMET","GOURMET",B47="114 - CAFÉ CONSUMO","CONSUMO",B47="112 - CAFÉ ORGANICO","GOURMET",B47="172 - CAFÉ COSECHA","ESPECIALES",B47="176 - CAFE DESCAFEINADO","GOURMET",B47="147 - CAPSULAS","CAPSULAS",B47="130 - GALLETAS CAFECITAS","DERIVADOS",B47="140 - MERENGUES","DERIVADOS",B47="100 - CAFÉ ESPECIAL","ESPECIALES",B47="141 - AREQUIPE","DERIVADOS",B47="142 - MERMELADA","DERIVADOS",B47="131 - GALLETAS AVENA","DERIVADOS",B47="160 - SOUVENIR","OTROS",B47="148 - CARAMELOS","DERIVADOS",B47="143 - CHOCOFFES","DERIVADOS",B47="162 - CONVENIOS Y DSC POS ","OTROS"),"OTROS")</f>
        <v>GOURMET</v>
      </c>
      <c r="L47" s="27">
        <f t="shared" si="2"/>
        <v>0</v>
      </c>
      <c r="M47" s="27">
        <f t="shared" si="3"/>
        <v>0</v>
      </c>
    </row>
    <row r="48" spans="1:13" ht="16.5" hidden="1" outlineLevel="1">
      <c r="A48" s="38"/>
      <c r="B48" s="39" t="s">
        <v>21</v>
      </c>
      <c r="C48" s="36">
        <v>13731149</v>
      </c>
      <c r="D48" s="36">
        <v>0</v>
      </c>
      <c r="E48" s="48"/>
      <c r="F48" s="48">
        <v>69823497.540000007</v>
      </c>
      <c r="G48" s="49">
        <f t="shared" si="5"/>
        <v>0.19665513020360795</v>
      </c>
      <c r="H48" s="23">
        <f t="shared" si="8"/>
        <v>0</v>
      </c>
      <c r="I48" s="24">
        <f t="shared" si="8"/>
        <v>0</v>
      </c>
      <c r="J48" s="32" t="str" cm="1">
        <f t="array" ref="J48">IFERROR(_xlfn.IFS(B48="044 - BLEND TRADICION","BLEND",B48="113 - CAFÉ GOURMET","GOURMET",B48="114 - CAFÉ CONSUMO","CONSUMO",B48="112 - CAFÉ ORGANICO","GOURMET",B48="172 - CAFÉ COSECHA","ESPECIALES",B48="176 - CAFE DESCAFEINADO","GOURMET",B48="147 - CAPSULAS","CAPSULAS",B48="130 - GALLETAS CAFECITAS","DERIVADOS",B48="140 - MERENGUES","DERIVADOS",B48="100 - CAFÉ ESPECIAL","ESPECIALES",B48="141 - AREQUIPE","DERIVADOS",B48="142 - MERMELADA","DERIVADOS",B48="131 - GALLETAS AVENA","DERIVADOS",B48="160 - SOUVENIR","OTROS",B48="148 - CARAMELOS","DERIVADOS",B48="143 - CHOCOFFES","DERIVADOS",B48="162 - CONVENIOS Y DSC POS ","OTROS"),"OTROS")</f>
        <v>GOURMET</v>
      </c>
      <c r="L48" s="27">
        <f t="shared" si="2"/>
        <v>13731149</v>
      </c>
      <c r="M48" s="27">
        <f t="shared" si="3"/>
        <v>13731149</v>
      </c>
    </row>
    <row r="49" spans="1:13" ht="16.5" hidden="1" outlineLevel="1">
      <c r="A49" s="38"/>
      <c r="B49" s="39" t="s">
        <v>38</v>
      </c>
      <c r="C49" s="36">
        <v>717891</v>
      </c>
      <c r="D49" s="36">
        <v>0</v>
      </c>
      <c r="E49" s="48"/>
      <c r="F49" s="48">
        <v>14106647.08</v>
      </c>
      <c r="G49" s="49">
        <f t="shared" si="5"/>
        <v>5.0890264421359577E-2</v>
      </c>
      <c r="H49" s="23">
        <f t="shared" si="8"/>
        <v>0</v>
      </c>
      <c r="I49" s="24">
        <f t="shared" si="8"/>
        <v>0</v>
      </c>
      <c r="J49" s="32" t="str" cm="1">
        <f t="array" ref="J49">IFERROR(_xlfn.IFS(B49="044 - BLEND TRADICION","BLEND",B49="113 - CAFÉ GOURMET","GOURMET",B49="114 - CAFÉ CONSUMO","CONSUMO",B49="112 - CAFÉ ORGANICO","GOURMET",B49="172 - CAFÉ COSECHA","ESPECIALES",B49="176 - CAFE DESCAFEINADO","GOURMET",B49="147 - CAPSULAS","CAPSULAS",B49="130 - GALLETAS CAFECITAS","DERIVADOS",B49="140 - MERENGUES","DERIVADOS",B49="100 - CAFÉ ESPECIAL","ESPECIALES",B49="141 - AREQUIPE","DERIVADOS",B49="142 - MERMELADA","DERIVADOS",B49="131 - GALLETAS AVENA","DERIVADOS",B49="160 - SOUVENIR","OTROS",B49="148 - CARAMELOS","DERIVADOS",B49="143 - CHOCOFFES","DERIVADOS",B49="162 - CONVENIOS Y DSC POS ","OTROS"),"OTROS")</f>
        <v>CONSUMO</v>
      </c>
      <c r="L49" s="27">
        <f t="shared" si="2"/>
        <v>717891</v>
      </c>
      <c r="M49" s="27">
        <f t="shared" si="3"/>
        <v>717891</v>
      </c>
    </row>
    <row r="50" spans="1:13" ht="16.5" hidden="1" outlineLevel="1">
      <c r="A50" s="38"/>
      <c r="B50" s="39" t="s">
        <v>22</v>
      </c>
      <c r="C50" s="36">
        <v>674099</v>
      </c>
      <c r="D50" s="36">
        <v>0</v>
      </c>
      <c r="E50" s="48"/>
      <c r="F50" s="48">
        <v>2927476.03</v>
      </c>
      <c r="G50" s="49">
        <f t="shared" si="5"/>
        <v>0.2302662748019153</v>
      </c>
      <c r="H50" s="23">
        <f t="shared" si="8"/>
        <v>0</v>
      </c>
      <c r="I50" s="24">
        <f t="shared" si="8"/>
        <v>0</v>
      </c>
      <c r="J50" s="32" t="str" cm="1">
        <f t="array" ref="J50">IFERROR(_xlfn.IFS(B50="044 - BLEND TRADICION","BLEND",B50="113 - CAFÉ GOURMET","GOURMET",B50="114 - CAFÉ CONSUMO","CONSUMO",B50="112 - CAFÉ ORGANICO","GOURMET",B50="172 - CAFÉ COSECHA","ESPECIALES",B50="176 - CAFE DESCAFEINADO","GOURMET",B50="147 - CAPSULAS","CAPSULAS",B50="130 - GALLETAS CAFECITAS","DERIVADOS",B50="140 - MERENGUES","DERIVADOS",B50="100 - CAFÉ ESPECIAL","ESPECIALES",B50="141 - AREQUIPE","DERIVADOS",B50="142 - MERMELADA","DERIVADOS",B50="131 - GALLETAS AVENA","DERIVADOS",B50="160 - SOUVENIR","OTROS",B50="148 - CARAMELOS","DERIVADOS",B50="143 - CHOCOFFES","DERIVADOS",B50="162 - CONVENIOS Y DSC POS ","OTROS"),"OTROS")</f>
        <v>DERIVADOS</v>
      </c>
      <c r="L50" s="27">
        <f t="shared" si="2"/>
        <v>674099</v>
      </c>
      <c r="M50" s="27">
        <f t="shared" si="3"/>
        <v>674099</v>
      </c>
    </row>
    <row r="51" spans="1:13" ht="16.5" hidden="1" outlineLevel="1">
      <c r="A51" s="38"/>
      <c r="B51" s="39" t="s">
        <v>23</v>
      </c>
      <c r="C51" s="36">
        <v>0</v>
      </c>
      <c r="D51" s="36">
        <v>0</v>
      </c>
      <c r="E51" s="48"/>
      <c r="F51" s="48">
        <v>256078.41</v>
      </c>
      <c r="G51" s="49">
        <f t="shared" si="5"/>
        <v>0</v>
      </c>
      <c r="H51" s="23">
        <f t="shared" si="8"/>
        <v>0</v>
      </c>
      <c r="I51" s="24">
        <f t="shared" si="8"/>
        <v>0</v>
      </c>
      <c r="J51" s="32" t="str" cm="1">
        <f t="array" ref="J51">IFERROR(_xlfn.IFS(B51="044 - BLEND TRADICION","BLEND",B51="113 - CAFÉ GOURMET","GOURMET",B51="114 - CAFÉ CONSUMO","CONSUMO",B51="112 - CAFÉ ORGANICO","GOURMET",B51="172 - CAFÉ COSECHA","ESPECIALES",B51="176 - CAFE DESCAFEINADO","GOURMET",B51="147 - CAPSULAS","CAPSULAS",B51="130 - GALLETAS CAFECITAS","DERIVADOS",B51="140 - MERENGUES","DERIVADOS",B51="100 - CAFÉ ESPECIAL","ESPECIALES",B51="141 - AREQUIPE","DERIVADOS",B51="142 - MERMELADA","DERIVADOS",B51="131 - GALLETAS AVENA","DERIVADOS",B51="160 - SOUVENIR","OTROS",B51="148 - CARAMELOS","DERIVADOS",B51="143 - CHOCOFFES","DERIVADOS",B51="162 - CONVENIOS Y DSC POS ","OTROS"),"OTROS")</f>
        <v>DERIVADOS</v>
      </c>
      <c r="L51" s="27">
        <f t="shared" si="2"/>
        <v>0</v>
      </c>
      <c r="M51" s="27">
        <f t="shared" si="3"/>
        <v>0</v>
      </c>
    </row>
    <row r="52" spans="1:13" ht="16.5" hidden="1" outlineLevel="1">
      <c r="A52" s="38"/>
      <c r="B52" s="39" t="s">
        <v>24</v>
      </c>
      <c r="C52" s="36">
        <v>15184</v>
      </c>
      <c r="D52" s="36">
        <v>0</v>
      </c>
      <c r="E52" s="48"/>
      <c r="F52" s="48">
        <v>589663.42000000004</v>
      </c>
      <c r="G52" s="49">
        <f t="shared" si="5"/>
        <v>2.5750283102180561E-2</v>
      </c>
      <c r="H52" s="23">
        <f t="shared" si="8"/>
        <v>0</v>
      </c>
      <c r="I52" s="24">
        <f t="shared" si="8"/>
        <v>0</v>
      </c>
      <c r="J52" s="32" t="str" cm="1">
        <f t="array" ref="J52">IFERROR(_xlfn.IFS(B52="044 - BLEND TRADICION","BLEND",B52="113 - CAFÉ GOURMET","GOURMET",B52="114 - CAFÉ CONSUMO","CONSUMO",B52="112 - CAFÉ ORGANICO","GOURMET",B52="172 - CAFÉ COSECHA","ESPECIALES",B52="176 - CAFE DESCAFEINADO","GOURMET",B52="147 - CAPSULAS","CAPSULAS",B52="130 - GALLETAS CAFECITAS","DERIVADOS",B52="140 - MERENGUES","DERIVADOS",B52="100 - CAFÉ ESPECIAL","ESPECIALES",B52="141 - AREQUIPE","DERIVADOS",B52="142 - MERMELADA","DERIVADOS",B52="131 - GALLETAS AVENA","DERIVADOS",B52="160 - SOUVENIR","OTROS",B52="148 - CARAMELOS","DERIVADOS",B52="143 - CHOCOFFES","DERIVADOS",B52="162 - CONVENIOS Y DSC POS ","OTROS"),"OTROS")</f>
        <v>DERIVADOS</v>
      </c>
      <c r="L52" s="27">
        <f t="shared" si="2"/>
        <v>15184</v>
      </c>
      <c r="M52" s="27">
        <f t="shared" si="3"/>
        <v>15184</v>
      </c>
    </row>
    <row r="53" spans="1:13" ht="16.5" hidden="1" outlineLevel="1">
      <c r="A53" s="38"/>
      <c r="B53" s="39" t="s">
        <v>25</v>
      </c>
      <c r="C53" s="36">
        <v>13114</v>
      </c>
      <c r="D53" s="36">
        <v>0</v>
      </c>
      <c r="E53" s="48"/>
      <c r="F53" s="48">
        <v>1309142.77</v>
      </c>
      <c r="G53" s="49">
        <f t="shared" si="5"/>
        <v>1.0017242046106246E-2</v>
      </c>
      <c r="H53" s="23">
        <f t="shared" si="8"/>
        <v>0</v>
      </c>
      <c r="I53" s="24">
        <f t="shared" si="8"/>
        <v>0</v>
      </c>
      <c r="J53" s="32" t="str" cm="1">
        <f t="array" ref="J53">IFERROR(_xlfn.IFS(B53="044 - BLEND TRADICION","BLEND",B53="113 - CAFÉ GOURMET","GOURMET",B53="114 - CAFÉ CONSUMO","CONSUMO",B53="112 - CAFÉ ORGANICO","GOURMET",B53="172 - CAFÉ COSECHA","ESPECIALES",B53="176 - CAFE DESCAFEINADO","GOURMET",B53="147 - CAPSULAS","CAPSULAS",B53="130 - GALLETAS CAFECITAS","DERIVADOS",B53="140 - MERENGUES","DERIVADOS",B53="100 - CAFÉ ESPECIAL","ESPECIALES",B53="141 - AREQUIPE","DERIVADOS",B53="142 - MERMELADA","DERIVADOS",B53="131 - GALLETAS AVENA","DERIVADOS",B53="160 - SOUVENIR","OTROS",B53="148 - CARAMELOS","DERIVADOS",B53="143 - CHOCOFFES","DERIVADOS",B53="162 - CONVENIOS Y DSC POS ","OTROS"),"OTROS")</f>
        <v>DERIVADOS</v>
      </c>
      <c r="L53" s="27">
        <f t="shared" si="2"/>
        <v>13114</v>
      </c>
      <c r="M53" s="27">
        <f t="shared" si="3"/>
        <v>13114</v>
      </c>
    </row>
    <row r="54" spans="1:13" ht="16.5" hidden="1" outlineLevel="1">
      <c r="A54" s="38"/>
      <c r="B54" s="39" t="s">
        <v>26</v>
      </c>
      <c r="C54" s="36">
        <v>2128810</v>
      </c>
      <c r="D54" s="36">
        <v>0</v>
      </c>
      <c r="E54" s="48" t="s">
        <v>94</v>
      </c>
      <c r="F54" s="48">
        <v>11209211.369999999</v>
      </c>
      <c r="G54" s="49">
        <f t="shared" si="5"/>
        <v>0.18991612609763822</v>
      </c>
      <c r="H54" s="23">
        <f t="shared" si="8"/>
        <v>0</v>
      </c>
      <c r="I54" s="24">
        <f t="shared" si="8"/>
        <v>0</v>
      </c>
      <c r="J54" s="32" t="str" cm="1">
        <f t="array" ref="J54">IFERROR(_xlfn.IFS(B54="044 - BLEND TRADICION","BLEND",B54="113 - CAFÉ GOURMET","GOURMET",B54="114 - CAFÉ CONSUMO","CONSUMO",B54="112 - CAFÉ ORGANICO","GOURMET",B54="172 - CAFÉ COSECHA","ESPECIALES",B54="176 - CAFE DESCAFEINADO","GOURMET",B54="147 - CAPSULAS","CAPSULAS",B54="130 - GALLETAS CAFECITAS","DERIVADOS",B54="140 - MERENGUES","DERIVADOS",B54="100 - CAFÉ ESPECIAL","ESPECIALES",B54="141 - AREQUIPE","DERIVADOS",B54="142 - MERMELADA","DERIVADOS",B54="131 - GALLETAS AVENA","DERIVADOS",B54="160 - SOUVENIR","OTROS",B54="148 - CARAMELOS","DERIVADOS",B54="143 - CHOCOFFES","DERIVADOS",B54="162 - CONVENIOS Y DSC POS ","OTROS"),"OTROS")</f>
        <v>CAPSULAS</v>
      </c>
      <c r="L54" s="27" t="e">
        <f t="shared" si="2"/>
        <v>#VALUE!</v>
      </c>
      <c r="M54" s="27" t="e">
        <f t="shared" si="3"/>
        <v>#VALUE!</v>
      </c>
    </row>
    <row r="55" spans="1:13" ht="16.5" hidden="1" outlineLevel="1">
      <c r="A55" s="38"/>
      <c r="B55" s="39" t="s">
        <v>27</v>
      </c>
      <c r="C55" s="36">
        <v>291431</v>
      </c>
      <c r="D55" s="36">
        <v>0</v>
      </c>
      <c r="E55" s="48"/>
      <c r="F55" s="48">
        <v>1035181.45</v>
      </c>
      <c r="G55" s="49">
        <f t="shared" si="5"/>
        <v>0.28152648987286238</v>
      </c>
      <c r="H55" s="23">
        <f t="shared" si="8"/>
        <v>0</v>
      </c>
      <c r="I55" s="24">
        <f t="shared" si="8"/>
        <v>0</v>
      </c>
      <c r="J55" s="32" t="str" cm="1">
        <f t="array" ref="J55">IFERROR(_xlfn.IFS(B55="044 - BLEND TRADICION","BLEND",B55="113 - CAFÉ GOURMET","GOURMET",B55="114 - CAFÉ CONSUMO","CONSUMO",B55="112 - CAFÉ ORGANICO","GOURMET",B55="172 - CAFÉ COSECHA","ESPECIALES",B55="176 - CAFE DESCAFEINADO","GOURMET",B55="147 - CAPSULAS","CAPSULAS",B55="130 - GALLETAS CAFECITAS","DERIVADOS",B55="140 - MERENGUES","DERIVADOS",B55="100 - CAFÉ ESPECIAL","ESPECIALES",B55="141 - AREQUIPE","DERIVADOS",B55="142 - MERMELADA","DERIVADOS",B55="131 - GALLETAS AVENA","DERIVADOS",B55="160 - SOUVENIR","OTROS",B55="148 - CARAMELOS","DERIVADOS",B55="143 - CHOCOFFES","DERIVADOS",B55="162 - CONVENIOS Y DSC POS ","OTROS"),"OTROS")</f>
        <v>DERIVADOS</v>
      </c>
      <c r="L55" s="27">
        <f t="shared" si="2"/>
        <v>291431</v>
      </c>
      <c r="M55" s="27">
        <f t="shared" si="3"/>
        <v>291431</v>
      </c>
    </row>
    <row r="56" spans="1:13" ht="16.5" hidden="1" outlineLevel="1">
      <c r="A56" s="38"/>
      <c r="B56" s="39" t="s">
        <v>28</v>
      </c>
      <c r="C56" s="36">
        <v>0</v>
      </c>
      <c r="D56" s="36">
        <v>0</v>
      </c>
      <c r="E56" s="48"/>
      <c r="F56" s="48">
        <v>11765277.34</v>
      </c>
      <c r="G56" s="49">
        <f t="shared" si="5"/>
        <v>0</v>
      </c>
      <c r="H56" s="23">
        <f t="shared" si="8"/>
        <v>0</v>
      </c>
      <c r="I56" s="24">
        <f t="shared" si="8"/>
        <v>0</v>
      </c>
      <c r="J56" s="32" t="str" cm="1">
        <f t="array" ref="J56">IFERROR(_xlfn.IFS(B56="044 - BLEND TRADICION","BLEND",B56="113 - CAFÉ GOURMET","GOURMET",B56="114 - CAFÉ CONSUMO","CONSUMO",B56="112 - CAFÉ ORGANICO","GOURMET",B56="172 - CAFÉ COSECHA","ESPECIALES",B56="176 - CAFE DESCAFEINADO","GOURMET",B56="147 - CAPSULAS","CAPSULAS",B56="130 - GALLETAS CAFECITAS","DERIVADOS",B56="140 - MERENGUES","DERIVADOS",B56="100 - CAFÉ ESPECIAL","ESPECIALES",B56="141 - AREQUIPE","DERIVADOS",B56="142 - MERMELADA","DERIVADOS",B56="131 - GALLETAS AVENA","DERIVADOS",B56="160 - SOUVENIR","OTROS",B56="148 - CARAMELOS","DERIVADOS",B56="143 - CHOCOFFES","DERIVADOS",B56="162 - CONVENIOS Y DSC POS ","OTROS"),"OTROS")</f>
        <v>OTROS</v>
      </c>
      <c r="L56" s="27">
        <f t="shared" si="2"/>
        <v>0</v>
      </c>
      <c r="M56" s="27">
        <f t="shared" si="3"/>
        <v>0</v>
      </c>
    </row>
    <row r="57" spans="1:13" ht="16.5" hidden="1" outlineLevel="1">
      <c r="A57" s="38"/>
      <c r="B57" s="39" t="s">
        <v>29</v>
      </c>
      <c r="C57" s="36">
        <v>503370</v>
      </c>
      <c r="D57" s="36">
        <v>0</v>
      </c>
      <c r="E57" s="48"/>
      <c r="F57" s="48">
        <v>4920564.09</v>
      </c>
      <c r="G57" s="49">
        <f t="shared" si="5"/>
        <v>0.10229924675160568</v>
      </c>
      <c r="H57" s="23">
        <f t="shared" si="8"/>
        <v>0</v>
      </c>
      <c r="I57" s="24">
        <f t="shared" si="8"/>
        <v>0</v>
      </c>
      <c r="J57" s="32" t="str" cm="1">
        <f t="array" ref="J57">IFERROR(_xlfn.IFS(B57="044 - BLEND TRADICION","BLEND",B57="113 - CAFÉ GOURMET","GOURMET",B57="114 - CAFÉ CONSUMO","CONSUMO",B57="112 - CAFÉ ORGANICO","GOURMET",B57="172 - CAFÉ COSECHA","ESPECIALES",B57="176 - CAFE DESCAFEINADO","GOURMET",B57="147 - CAPSULAS","CAPSULAS",B57="130 - GALLETAS CAFECITAS","DERIVADOS",B57="140 - MERENGUES","DERIVADOS",B57="100 - CAFÉ ESPECIAL","ESPECIALES",B57="141 - AREQUIPE","DERIVADOS",B57="142 - MERMELADA","DERIVADOS",B57="131 - GALLETAS AVENA","DERIVADOS",B57="160 - SOUVENIR","OTROS",B57="148 - CARAMELOS","DERIVADOS",B57="143 - CHOCOFFES","DERIVADOS",B57="162 - CONVENIOS Y DSC POS ","OTROS"),"OTROS")</f>
        <v>ESPECIALES</v>
      </c>
      <c r="L57" s="27">
        <f t="shared" si="2"/>
        <v>503370</v>
      </c>
      <c r="M57" s="27">
        <f t="shared" si="3"/>
        <v>503370</v>
      </c>
    </row>
    <row r="58" spans="1:13" ht="16.5" hidden="1" outlineLevel="1">
      <c r="A58" s="19" t="s">
        <v>40</v>
      </c>
      <c r="B58" s="56" t="s">
        <v>32</v>
      </c>
      <c r="C58" s="54">
        <f>SUM(C42:C57)</f>
        <v>18438825</v>
      </c>
      <c r="D58" s="54">
        <f>SUM(D42:D57)</f>
        <v>0</v>
      </c>
      <c r="E58" s="54">
        <f>SUM(E42:E57)</f>
        <v>0</v>
      </c>
      <c r="F58" s="54">
        <f>SUM(F42:F57)</f>
        <v>118279646.59000002</v>
      </c>
      <c r="G58" s="55">
        <f t="shared" si="5"/>
        <v>0.15589178300401613</v>
      </c>
      <c r="H58" s="23">
        <f t="shared" si="8"/>
        <v>0</v>
      </c>
      <c r="I58" s="24">
        <f t="shared" si="8"/>
        <v>0</v>
      </c>
      <c r="J58" s="32" t="str" cm="1">
        <f t="array" ref="J58">IFERROR(_xlfn.IFS(B58="044 - BLEND TRADICION","BLEND",B58="113 - CAFÉ GOURMET","GOURMET",B58="114 - CAFÉ CONSUMO","CONSUMO",B58="112 - CAFÉ ORGANICO","GOURMET",B58="172 - CAFÉ COSECHA","ESPECIALES",B58="176 - CAFE DESCAFEINADO","GOURMET",B58="147 - CAPSULAS","CAPSULAS",B58="130 - GALLETAS CAFECITAS","DERIVADOS",B58="140 - MERENGUES","DERIVADOS",B58="100 - CAFÉ ESPECIAL","ESPECIALES",B58="141 - AREQUIPE","DERIVADOS",B58="142 - MERMELADA","DERIVADOS",B58="131 - GALLETAS AVENA","DERIVADOS",B58="160 - SOUVENIR","OTROS",B58="148 - CARAMELOS","DERIVADOS",B58="143 - CHOCOFFES","DERIVADOS",B58="162 - CONVENIOS Y DSC POS ","OTROS"),"OTROS")</f>
        <v>OTROS</v>
      </c>
      <c r="L58" s="27">
        <f t="shared" si="2"/>
        <v>18438825</v>
      </c>
      <c r="M58" s="27">
        <f t="shared" si="3"/>
        <v>18438825</v>
      </c>
    </row>
    <row r="59" spans="1:13" ht="16.5" collapsed="1">
      <c r="A59" s="28" t="s">
        <v>41</v>
      </c>
      <c r="B59" s="29" t="s">
        <v>17</v>
      </c>
      <c r="C59" s="30">
        <f>+C79+C93+C107+C62</f>
        <v>104094441</v>
      </c>
      <c r="D59" s="30">
        <f>+D79+D93+D107+D62</f>
        <v>-3450123</v>
      </c>
      <c r="E59" s="30">
        <f>+E79+E93+E107+E62</f>
        <v>-2347272</v>
      </c>
      <c r="F59" s="30">
        <f>+F79+F93+F107+F62</f>
        <v>488313278.77999997</v>
      </c>
      <c r="G59" s="31">
        <f t="shared" si="5"/>
        <v>0.21317143220038814</v>
      </c>
      <c r="H59" s="23">
        <f t="shared" si="8"/>
        <v>-3.1395626150062687E-2</v>
      </c>
      <c r="I59" s="24">
        <f t="shared" si="8"/>
        <v>-2.1359839688182114E-2</v>
      </c>
      <c r="J59" s="32" t="str" cm="1">
        <f t="array" ref="J59">IFERROR(_xlfn.IFS(B59="044 - BLEND TRADICION","BLEND",B59="113 - CAFÉ GOURMET","GOURMET",B59="114 - CAFÉ CONSUMO","CONSUMO",B59="112 - CAFÉ ORGANICO","GOURMET",B59="172 - CAFÉ COSECHA","ESPECIALES",B59="176 - CAFE DESCAFEINADO","GOURMET",B59="147 - CAPSULAS","CAPSULAS",B59="130 - GALLETAS CAFECITAS","DERIVADOS",B59="140 - MERENGUES","DERIVADOS",B59="100 - CAFÉ ESPECIAL","ESPECIALES",B59="141 - AREQUIPE","DERIVADOS",B59="142 - MERMELADA","DERIVADOS",B59="131 - GALLETAS AVENA","DERIVADOS",B59="160 - SOUVENIR","OTROS",B59="148 - CARAMELOS","DERIVADOS",B59="143 - CHOCOFFES","DERIVADOS",B59="162 - CONVENIOS Y DSC POS ","OTROS"),"OTROS")</f>
        <v>OTROS</v>
      </c>
      <c r="L59" s="27">
        <f t="shared" si="2"/>
        <v>109891836</v>
      </c>
      <c r="M59" s="27">
        <f t="shared" si="3"/>
        <v>109891836</v>
      </c>
    </row>
    <row r="60" spans="1:13" ht="16.5" hidden="1" outlineLevel="1">
      <c r="A60" s="38"/>
      <c r="B60" s="39" t="s">
        <v>42</v>
      </c>
      <c r="C60" s="36">
        <v>0</v>
      </c>
      <c r="D60" s="36">
        <v>0</v>
      </c>
      <c r="E60" s="48"/>
      <c r="F60" s="48">
        <v>0</v>
      </c>
      <c r="G60" s="49" t="str">
        <f t="shared" si="5"/>
        <v>-</v>
      </c>
      <c r="H60" s="23">
        <f t="shared" si="8"/>
        <v>0</v>
      </c>
      <c r="I60" s="24">
        <f t="shared" si="8"/>
        <v>0</v>
      </c>
      <c r="J60" s="32" t="str" cm="1">
        <f t="array" ref="J60">IFERROR(_xlfn.IFS(B60="044 - BLEND TRADICION","BLEND",B60="113 - CAFÉ GOURMET","GOURMET",B60="114 - CAFÉ CONSUMO","CONSUMO",B60="112 - CAFÉ ORGANICO","GOURMET",B60="172 - CAFÉ COSECHA","ESPECIALES",B60="176 - CAFE DESCAFEINADO","GOURMET",B60="147 - CAPSULAS","CAPSULAS",B60="130 - GALLETAS CAFECITAS","DERIVADOS",B60="140 - MERENGUES","DERIVADOS",B60="100 - CAFÉ ESPECIAL","ESPECIALES",B60="141 - AREQUIPE","DERIVADOS",B60="142 - MERMELADA","DERIVADOS",B60="131 - GALLETAS AVENA","DERIVADOS",B60="160 - SOUVENIR","OTROS",B60="148 - CARAMELOS","DERIVADOS",B60="143 - CHOCOFFES","DERIVADOS",B60="162 - CONVENIOS Y DSC POS ","OTROS"),"OTROS")</f>
        <v>OTROS</v>
      </c>
      <c r="L60" s="27">
        <f t="shared" si="2"/>
        <v>0</v>
      </c>
      <c r="M60" s="27">
        <f t="shared" si="3"/>
        <v>0</v>
      </c>
    </row>
    <row r="61" spans="1:13" ht="16.5" hidden="1" outlineLevel="1">
      <c r="A61" s="38"/>
      <c r="B61" s="39" t="s">
        <v>21</v>
      </c>
      <c r="C61" s="36">
        <v>0</v>
      </c>
      <c r="D61" s="36">
        <v>0</v>
      </c>
      <c r="E61" s="48"/>
      <c r="F61" s="48">
        <v>0</v>
      </c>
      <c r="G61" s="49" t="str">
        <f t="shared" si="5"/>
        <v>-</v>
      </c>
      <c r="H61" s="23">
        <f t="shared" si="8"/>
        <v>0</v>
      </c>
      <c r="I61" s="24">
        <f t="shared" si="8"/>
        <v>0</v>
      </c>
      <c r="J61" s="32" t="str" cm="1">
        <f t="array" ref="J61">IFERROR(_xlfn.IFS(B61="044 - BLEND TRADICION","BLEND",B61="113 - CAFÉ GOURMET","GOURMET",B61="114 - CAFÉ CONSUMO","CONSUMO",B61="112 - CAFÉ ORGANICO","GOURMET",B61="172 - CAFÉ COSECHA","ESPECIALES",B61="176 - CAFE DESCAFEINADO","GOURMET",B61="147 - CAPSULAS","CAPSULAS",B61="130 - GALLETAS CAFECITAS","DERIVADOS",B61="140 - MERENGUES","DERIVADOS",B61="100 - CAFÉ ESPECIAL","ESPECIALES",B61="141 - AREQUIPE","DERIVADOS",B61="142 - MERMELADA","DERIVADOS",B61="131 - GALLETAS AVENA","DERIVADOS",B61="160 - SOUVENIR","OTROS",B61="148 - CARAMELOS","DERIVADOS",B61="143 - CHOCOFFES","DERIVADOS",B61="162 - CONVENIOS Y DSC POS ","OTROS"),"OTROS")</f>
        <v>GOURMET</v>
      </c>
      <c r="L61" s="27">
        <f t="shared" si="2"/>
        <v>0</v>
      </c>
      <c r="M61" s="27">
        <f t="shared" si="3"/>
        <v>0</v>
      </c>
    </row>
    <row r="62" spans="1:13" ht="16.5" hidden="1" outlineLevel="1">
      <c r="A62" s="19" t="s">
        <v>43</v>
      </c>
      <c r="B62" s="56" t="s">
        <v>32</v>
      </c>
      <c r="C62" s="54">
        <f>SUM(C60:C61)</f>
        <v>0</v>
      </c>
      <c r="D62" s="54">
        <f>SUM(D60:D61)</f>
        <v>0</v>
      </c>
      <c r="E62" s="54">
        <f>SUM(E60:E61)</f>
        <v>0</v>
      </c>
      <c r="F62" s="54">
        <f>SUM(F60:F61)</f>
        <v>0</v>
      </c>
      <c r="G62" s="55" t="str">
        <f t="shared" si="5"/>
        <v>-</v>
      </c>
      <c r="H62" s="23">
        <f t="shared" si="8"/>
        <v>0</v>
      </c>
      <c r="I62" s="24">
        <f t="shared" si="8"/>
        <v>0</v>
      </c>
      <c r="J62" s="32" t="str" cm="1">
        <f t="array" ref="J62">IFERROR(_xlfn.IFS(B62="044 - BLEND TRADICION","BLEND",B62="113 - CAFÉ GOURMET","GOURMET",B62="114 - CAFÉ CONSUMO","CONSUMO",B62="112 - CAFÉ ORGANICO","GOURMET",B62="172 - CAFÉ COSECHA","ESPECIALES",B62="176 - CAFE DESCAFEINADO","GOURMET",B62="147 - CAPSULAS","CAPSULAS",B62="130 - GALLETAS CAFECITAS","DERIVADOS",B62="140 - MERENGUES","DERIVADOS",B62="100 - CAFÉ ESPECIAL","ESPECIALES",B62="141 - AREQUIPE","DERIVADOS",B62="142 - MERMELADA","DERIVADOS",B62="131 - GALLETAS AVENA","DERIVADOS",B62="160 - SOUVENIR","OTROS",B62="148 - CARAMELOS","DERIVADOS",B62="143 - CHOCOFFES","DERIVADOS",B62="162 - CONVENIOS Y DSC POS ","OTROS"),"OTROS")</f>
        <v>OTROS</v>
      </c>
      <c r="L62" s="27">
        <f t="shared" si="2"/>
        <v>0</v>
      </c>
      <c r="M62" s="27">
        <f t="shared" si="3"/>
        <v>0</v>
      </c>
    </row>
    <row r="63" spans="1:13" ht="16.5" hidden="1" outlineLevel="1">
      <c r="A63" s="33"/>
      <c r="B63" s="39" t="s">
        <v>34</v>
      </c>
      <c r="C63" s="36">
        <v>0</v>
      </c>
      <c r="D63" s="36">
        <v>0</v>
      </c>
      <c r="E63" s="48">
        <v>0</v>
      </c>
      <c r="F63" s="48">
        <v>142340.04</v>
      </c>
      <c r="G63" s="49">
        <f t="shared" si="5"/>
        <v>0</v>
      </c>
      <c r="H63" s="23">
        <f t="shared" si="8"/>
        <v>0</v>
      </c>
      <c r="I63" s="24">
        <f t="shared" si="8"/>
        <v>0</v>
      </c>
      <c r="J63" s="32" t="str" cm="1">
        <f t="array" ref="J63">IFERROR(_xlfn.IFS(B63="044 - BLEND TRADICION","BLEND",B63="113 - CAFÉ GOURMET","GOURMET",B63="114 - CAFÉ CONSUMO","CONSUMO",B63="112 - CAFÉ ORGANICO","GOURMET",B63="172 - CAFÉ COSECHA","ESPECIALES",B63="176 - CAFE DESCAFEINADO","GOURMET",B63="147 - CAPSULAS","CAPSULAS",B63="130 - GALLETAS CAFECITAS","DERIVADOS",B63="140 - MERENGUES","DERIVADOS",B63="100 - CAFÉ ESPECIAL","ESPECIALES",B63="141 - AREQUIPE","DERIVADOS",B63="142 - MERMELADA","DERIVADOS",B63="131 - GALLETAS AVENA","DERIVADOS",B63="160 - SOUVENIR","OTROS",B63="148 - CARAMELOS","DERIVADOS",B63="143 - CHOCOFFES","DERIVADOS",B63="162 - CONVENIOS Y DSC POS ","OTROS"),"OTROS")</f>
        <v>OTROS</v>
      </c>
      <c r="L63" s="27">
        <f t="shared" si="2"/>
        <v>0</v>
      </c>
      <c r="M63" s="27">
        <f t="shared" si="3"/>
        <v>0</v>
      </c>
    </row>
    <row r="64" spans="1:13" ht="16.5" hidden="1" outlineLevel="1">
      <c r="A64" s="38"/>
      <c r="B64" s="39" t="s">
        <v>18</v>
      </c>
      <c r="C64" s="36">
        <v>0</v>
      </c>
      <c r="D64" s="36">
        <v>0</v>
      </c>
      <c r="E64" s="48">
        <v>0</v>
      </c>
      <c r="F64" s="48">
        <v>1206734.55</v>
      </c>
      <c r="G64" s="49">
        <f t="shared" si="5"/>
        <v>0</v>
      </c>
      <c r="H64" s="23">
        <f t="shared" si="8"/>
        <v>0</v>
      </c>
      <c r="I64" s="24">
        <f t="shared" si="8"/>
        <v>0</v>
      </c>
      <c r="J64" s="32" t="str" cm="1">
        <f t="array" ref="J64">IFERROR(_xlfn.IFS(B64="044 - BLEND TRADICION","BLEND",B64="113 - CAFÉ GOURMET","GOURMET",B64="114 - CAFÉ CONSUMO","CONSUMO",B64="112 - CAFÉ ORGANICO","GOURMET",B64="172 - CAFÉ COSECHA","ESPECIALES",B64="176 - CAFE DESCAFEINADO","GOURMET",B64="147 - CAPSULAS","CAPSULAS",B64="130 - GALLETAS CAFECITAS","DERIVADOS",B64="140 - MERENGUES","DERIVADOS",B64="100 - CAFÉ ESPECIAL","ESPECIALES",B64="141 - AREQUIPE","DERIVADOS",B64="142 - MERMELADA","DERIVADOS",B64="131 - GALLETAS AVENA","DERIVADOS",B64="160 - SOUVENIR","OTROS",B64="148 - CARAMELOS","DERIVADOS",B64="143 - CHOCOFFES","DERIVADOS",B64="162 - CONVENIOS Y DSC POS ","OTROS"),"OTROS")</f>
        <v>BLEND</v>
      </c>
      <c r="L64" s="27">
        <f t="shared" si="2"/>
        <v>0</v>
      </c>
      <c r="M64" s="27">
        <f t="shared" si="3"/>
        <v>0</v>
      </c>
    </row>
    <row r="65" spans="1:13" ht="16.5" hidden="1" outlineLevel="1">
      <c r="A65" s="38"/>
      <c r="B65" s="39" t="s">
        <v>19</v>
      </c>
      <c r="C65" s="36">
        <v>972249</v>
      </c>
      <c r="D65" s="36">
        <v>0</v>
      </c>
      <c r="E65" s="48">
        <v>0</v>
      </c>
      <c r="F65" s="48">
        <v>3072107.02</v>
      </c>
      <c r="G65" s="49">
        <f t="shared" si="5"/>
        <v>0.31647627952752766</v>
      </c>
      <c r="H65" s="23">
        <f t="shared" si="8"/>
        <v>0</v>
      </c>
      <c r="I65" s="24">
        <f t="shared" si="8"/>
        <v>0</v>
      </c>
      <c r="J65" s="32" t="str" cm="1">
        <f t="array" ref="J65">IFERROR(_xlfn.IFS(B65="044 - BLEND TRADICION","BLEND",B65="113 - CAFÉ GOURMET","GOURMET",B65="114 - CAFÉ CONSUMO","CONSUMO",B65="112 - CAFÉ ORGANICO","GOURMET",B65="172 - CAFÉ COSECHA","ESPECIALES",B65="176 - CAFE DESCAFEINADO","GOURMET",B65="147 - CAPSULAS","CAPSULAS",B65="130 - GALLETAS CAFECITAS","DERIVADOS",B65="140 - MERENGUES","DERIVADOS",B65="100 - CAFÉ ESPECIAL","ESPECIALES",B65="141 - AREQUIPE","DERIVADOS",B65="142 - MERMELADA","DERIVADOS",B65="131 - GALLETAS AVENA","DERIVADOS",B65="160 - SOUVENIR","OTROS",B65="148 - CARAMELOS","DERIVADOS",B65="143 - CHOCOFFES","DERIVADOS",B65="162 - CONVENIOS Y DSC POS ","OTROS"),"OTROS")</f>
        <v>ESPECIALES</v>
      </c>
      <c r="L65" s="27">
        <f t="shared" si="2"/>
        <v>972249</v>
      </c>
      <c r="M65" s="27">
        <f t="shared" si="3"/>
        <v>972249</v>
      </c>
    </row>
    <row r="66" spans="1:13" ht="16.5" hidden="1" outlineLevel="1">
      <c r="A66" s="38"/>
      <c r="B66" s="39" t="s">
        <v>20</v>
      </c>
      <c r="C66" s="36">
        <v>0</v>
      </c>
      <c r="D66" s="36">
        <v>0</v>
      </c>
      <c r="E66" s="48"/>
      <c r="F66" s="48">
        <v>457781.38</v>
      </c>
      <c r="G66" s="49">
        <f t="shared" si="5"/>
        <v>0</v>
      </c>
      <c r="H66" s="23">
        <f t="shared" si="8"/>
        <v>0</v>
      </c>
      <c r="I66" s="24">
        <f t="shared" si="8"/>
        <v>0</v>
      </c>
      <c r="J66" s="32" t="str" cm="1">
        <f t="array" ref="J66">IFERROR(_xlfn.IFS(B66="044 - BLEND TRADICION","BLEND",B66="113 - CAFÉ GOURMET","GOURMET",B66="114 - CAFÉ CONSUMO","CONSUMO",B66="112 - CAFÉ ORGANICO","GOURMET",B66="172 - CAFÉ COSECHA","ESPECIALES",B66="176 - CAFE DESCAFEINADO","GOURMET",B66="147 - CAPSULAS","CAPSULAS",B66="130 - GALLETAS CAFECITAS","DERIVADOS",B66="140 - MERENGUES","DERIVADOS",B66="100 - CAFÉ ESPECIAL","ESPECIALES",B66="141 - AREQUIPE","DERIVADOS",B66="142 - MERMELADA","DERIVADOS",B66="131 - GALLETAS AVENA","DERIVADOS",B66="160 - SOUVENIR","OTROS",B66="148 - CARAMELOS","DERIVADOS",B66="143 - CHOCOFFES","DERIVADOS",B66="162 - CONVENIOS Y DSC POS ","OTROS"),"OTROS")</f>
        <v>GOURMET</v>
      </c>
      <c r="L66" s="27">
        <f t="shared" si="2"/>
        <v>0</v>
      </c>
      <c r="M66" s="27">
        <f t="shared" si="3"/>
        <v>0</v>
      </c>
    </row>
    <row r="67" spans="1:13" ht="16.5" hidden="1" outlineLevel="1">
      <c r="A67" s="38"/>
      <c r="B67" s="39" t="s">
        <v>21</v>
      </c>
      <c r="C67" s="36">
        <v>36842340</v>
      </c>
      <c r="D67" s="36">
        <v>0</v>
      </c>
      <c r="E67" s="48"/>
      <c r="F67" s="48">
        <v>106018093.81999999</v>
      </c>
      <c r="G67" s="49">
        <f t="shared" ref="G67:G69" si="9">IFERROR(C67/F67*100%,"-")</f>
        <v>0.34750992658434127</v>
      </c>
      <c r="H67" s="23">
        <f t="shared" ref="H67:H69" si="10">IFERROR(+D67/L67*100%,0)</f>
        <v>0</v>
      </c>
      <c r="I67" s="24">
        <f t="shared" ref="I67:I69" si="11">IFERROR(+E67/M67*100%,0)</f>
        <v>0</v>
      </c>
      <c r="J67" s="32" t="str" cm="1">
        <f t="array" ref="J67">IFERROR(_xlfn.IFS(B67="044 - BLEND TRADICION","BLEND",B67="113 - CAFÉ GOURMET","GOURMET",B67="114 - CAFÉ CONSUMO","CONSUMO",B67="112 - CAFÉ ORGANICO","GOURMET",B67="172 - CAFÉ COSECHA","ESPECIALES",B67="176 - CAFE DESCAFEINADO","GOURMET",B67="147 - CAPSULAS","CAPSULAS",B67="130 - GALLETAS CAFECITAS","DERIVADOS",B67="140 - MERENGUES","DERIVADOS",B67="100 - CAFÉ ESPECIAL","ESPECIALES",B67="141 - AREQUIPE","DERIVADOS",B67="142 - MERMELADA","DERIVADOS",B67="131 - GALLETAS AVENA","DERIVADOS",B67="160 - SOUVENIR","OTROS",B67="148 - CARAMELOS","DERIVADOS",B67="143 - CHOCOFFES","DERIVADOS",B67="162 - CONVENIOS Y DSC POS ","OTROS"),"OTROS")</f>
        <v>GOURMET</v>
      </c>
      <c r="L67" s="27">
        <f t="shared" ref="L67:L69" si="12">C67-(D67+E67)</f>
        <v>36842340</v>
      </c>
      <c r="M67" s="27">
        <f t="shared" ref="M67:M69" si="13">L67</f>
        <v>36842340</v>
      </c>
    </row>
    <row r="68" spans="1:13" ht="16.5" hidden="1" outlineLevel="1">
      <c r="A68" s="38"/>
      <c r="B68" s="39" t="s">
        <v>22</v>
      </c>
      <c r="C68" s="36">
        <v>2409092</v>
      </c>
      <c r="D68" s="36">
        <v>0</v>
      </c>
      <c r="E68" s="48"/>
      <c r="F68" s="48">
        <v>5082259.87</v>
      </c>
      <c r="G68" s="49">
        <f t="shared" si="9"/>
        <v>0.47401983795055325</v>
      </c>
      <c r="H68" s="23">
        <f t="shared" si="10"/>
        <v>0</v>
      </c>
      <c r="I68" s="24">
        <f t="shared" si="11"/>
        <v>0</v>
      </c>
      <c r="J68" s="32" t="str" cm="1">
        <f t="array" ref="J68">IFERROR(_xlfn.IFS(B68="044 - BLEND TRADICION","BLEND",B68="113 - CAFÉ GOURMET","GOURMET",B68="114 - CAFÉ CONSUMO","CONSUMO",B68="112 - CAFÉ ORGANICO","GOURMET",B68="172 - CAFÉ COSECHA","ESPECIALES",B68="176 - CAFE DESCAFEINADO","GOURMET",B68="147 - CAPSULAS","CAPSULAS",B68="130 - GALLETAS CAFECITAS","DERIVADOS",B68="140 - MERENGUES","DERIVADOS",B68="100 - CAFÉ ESPECIAL","ESPECIALES",B68="141 - AREQUIPE","DERIVADOS",B68="142 - MERMELADA","DERIVADOS",B68="131 - GALLETAS AVENA","DERIVADOS",B68="160 - SOUVENIR","OTROS",B68="148 - CARAMELOS","DERIVADOS",B68="143 - CHOCOFFES","DERIVADOS",B68="162 - CONVENIOS Y DSC POS ","OTROS"),"OTROS")</f>
        <v>DERIVADOS</v>
      </c>
      <c r="L68" s="27">
        <f t="shared" si="12"/>
        <v>2409092</v>
      </c>
      <c r="M68" s="27">
        <f t="shared" si="13"/>
        <v>2409092</v>
      </c>
    </row>
    <row r="69" spans="1:13" ht="16.5" hidden="1" outlineLevel="1">
      <c r="A69" s="38"/>
      <c r="B69" s="39" t="s">
        <v>23</v>
      </c>
      <c r="C69" s="36">
        <v>0</v>
      </c>
      <c r="D69" s="36">
        <v>0</v>
      </c>
      <c r="E69" s="48"/>
      <c r="F69" s="48">
        <v>42776.35</v>
      </c>
      <c r="G69" s="49">
        <f t="shared" si="9"/>
        <v>0</v>
      </c>
      <c r="H69" s="23">
        <f t="shared" si="10"/>
        <v>0</v>
      </c>
      <c r="I69" s="24">
        <f t="shared" si="11"/>
        <v>0</v>
      </c>
      <c r="J69" s="32" t="str" cm="1">
        <f t="array" ref="J69">IFERROR(_xlfn.IFS(B69="044 - BLEND TRADICION","BLEND",B69="113 - CAFÉ GOURMET","GOURMET",B69="114 - CAFÉ CONSUMO","CONSUMO",B69="112 - CAFÉ ORGANICO","GOURMET",B69="172 - CAFÉ COSECHA","ESPECIALES",B69="176 - CAFE DESCAFEINADO","GOURMET",B69="147 - CAPSULAS","CAPSULAS",B69="130 - GALLETAS CAFECITAS","DERIVADOS",B69="140 - MERENGUES","DERIVADOS",B69="100 - CAFÉ ESPECIAL","ESPECIALES",B69="141 - AREQUIPE","DERIVADOS",B69="142 - MERMELADA","DERIVADOS",B69="131 - GALLETAS AVENA","DERIVADOS",B69="160 - SOUVENIR","OTROS",B69="148 - CARAMELOS","DERIVADOS",B69="143 - CHOCOFFES","DERIVADOS",B69="162 - CONVENIOS Y DSC POS ","OTROS"),"OTROS")</f>
        <v>DERIVADOS</v>
      </c>
      <c r="L69" s="27">
        <f t="shared" si="12"/>
        <v>0</v>
      </c>
      <c r="M69" s="27">
        <f t="shared" si="13"/>
        <v>0</v>
      </c>
    </row>
    <row r="70" spans="1:13" ht="16.5" hidden="1" outlineLevel="1">
      <c r="A70" s="38"/>
      <c r="B70" s="39" t="s">
        <v>24</v>
      </c>
      <c r="C70" s="36">
        <v>151840</v>
      </c>
      <c r="D70" s="36">
        <v>0</v>
      </c>
      <c r="E70" s="48"/>
      <c r="F70" s="48">
        <v>253296.1</v>
      </c>
      <c r="G70" s="49">
        <f t="shared" si="5"/>
        <v>0.5994565253866917</v>
      </c>
      <c r="H70" s="23">
        <f t="shared" si="8"/>
        <v>0</v>
      </c>
      <c r="I70" s="24">
        <f t="shared" si="8"/>
        <v>0</v>
      </c>
      <c r="J70" s="32" t="str" cm="1">
        <f t="array" ref="J70">IFERROR(_xlfn.IFS(B70="044 - BLEND TRADICION","BLEND",B70="113 - CAFÉ GOURMET","GOURMET",B70="114 - CAFÉ CONSUMO","CONSUMO",B70="112 - CAFÉ ORGANICO","GOURMET",B70="172 - CAFÉ COSECHA","ESPECIALES",B70="176 - CAFE DESCAFEINADO","GOURMET",B70="147 - CAPSULAS","CAPSULAS",B70="130 - GALLETAS CAFECITAS","DERIVADOS",B70="140 - MERENGUES","DERIVADOS",B70="100 - CAFÉ ESPECIAL","ESPECIALES",B70="141 - AREQUIPE","DERIVADOS",B70="142 - MERMELADA","DERIVADOS",B70="131 - GALLETAS AVENA","DERIVADOS",B70="160 - SOUVENIR","OTROS",B70="148 - CARAMELOS","DERIVADOS",B70="143 - CHOCOFFES","DERIVADOS",B70="162 - CONVENIOS Y DSC POS ","OTROS"),"OTROS")</f>
        <v>DERIVADOS</v>
      </c>
      <c r="L70" s="27">
        <f t="shared" ref="L70:L133" si="14">C70-(D70+E70)</f>
        <v>151840</v>
      </c>
      <c r="M70" s="27">
        <f t="shared" ref="M70:M133" si="15">L70</f>
        <v>151840</v>
      </c>
    </row>
    <row r="71" spans="1:13" ht="16.5" hidden="1" outlineLevel="1">
      <c r="A71" s="38"/>
      <c r="B71" s="39" t="s">
        <v>25</v>
      </c>
      <c r="C71" s="36">
        <v>5532822</v>
      </c>
      <c r="D71" s="36">
        <v>0</v>
      </c>
      <c r="E71" s="48"/>
      <c r="F71" s="48">
        <v>6237513.8499999996</v>
      </c>
      <c r="G71" s="49">
        <f t="shared" si="5"/>
        <v>0.88702360155881665</v>
      </c>
      <c r="H71" s="23">
        <f t="shared" si="8"/>
        <v>0</v>
      </c>
      <c r="I71" s="24">
        <f t="shared" si="8"/>
        <v>0</v>
      </c>
      <c r="J71" s="32" t="str" cm="1">
        <f t="array" ref="J71">IFERROR(_xlfn.IFS(B71="044 - BLEND TRADICION","BLEND",B71="113 - CAFÉ GOURMET","GOURMET",B71="114 - CAFÉ CONSUMO","CONSUMO",B71="112 - CAFÉ ORGANICO","GOURMET",B71="172 - CAFÉ COSECHA","ESPECIALES",B71="176 - CAFE DESCAFEINADO","GOURMET",B71="147 - CAPSULAS","CAPSULAS",B71="130 - GALLETAS CAFECITAS","DERIVADOS",B71="140 - MERENGUES","DERIVADOS",B71="100 - CAFÉ ESPECIAL","ESPECIALES",B71="141 - AREQUIPE","DERIVADOS",B71="142 - MERMELADA","DERIVADOS",B71="131 - GALLETAS AVENA","DERIVADOS",B71="160 - SOUVENIR","OTROS",B71="148 - CARAMELOS","DERIVADOS",B71="143 - CHOCOFFES","DERIVADOS",B71="162 - CONVENIOS Y DSC POS ","OTROS"),"OTROS")</f>
        <v>DERIVADOS</v>
      </c>
      <c r="L71" s="27">
        <f t="shared" si="14"/>
        <v>5532822</v>
      </c>
      <c r="M71" s="27">
        <f t="shared" si="15"/>
        <v>5532822</v>
      </c>
    </row>
    <row r="72" spans="1:13" ht="16.5" hidden="1" outlineLevel="1">
      <c r="A72" s="38"/>
      <c r="B72" s="39" t="s">
        <v>26</v>
      </c>
      <c r="C72" s="36">
        <v>0</v>
      </c>
      <c r="D72" s="36">
        <v>0</v>
      </c>
      <c r="E72" s="48">
        <v>0</v>
      </c>
      <c r="F72" s="48">
        <v>834555.96</v>
      </c>
      <c r="G72" s="49">
        <f t="shared" si="5"/>
        <v>0</v>
      </c>
      <c r="H72" s="23">
        <f t="shared" si="8"/>
        <v>0</v>
      </c>
      <c r="I72" s="24">
        <f t="shared" si="8"/>
        <v>0</v>
      </c>
      <c r="J72" s="32" t="str" cm="1">
        <f t="array" ref="J72">IFERROR(_xlfn.IFS(B72="044 - BLEND TRADICION","BLEND",B72="113 - CAFÉ GOURMET","GOURMET",B72="114 - CAFÉ CONSUMO","CONSUMO",B72="112 - CAFÉ ORGANICO","GOURMET",B72="172 - CAFÉ COSECHA","ESPECIALES",B72="176 - CAFE DESCAFEINADO","GOURMET",B72="147 - CAPSULAS","CAPSULAS",B72="130 - GALLETAS CAFECITAS","DERIVADOS",B72="140 - MERENGUES","DERIVADOS",B72="100 - CAFÉ ESPECIAL","ESPECIALES",B72="141 - AREQUIPE","DERIVADOS",B72="142 - MERMELADA","DERIVADOS",B72="131 - GALLETAS AVENA","DERIVADOS",B72="160 - SOUVENIR","OTROS",B72="148 - CARAMELOS","DERIVADOS",B72="143 - CHOCOFFES","DERIVADOS",B72="162 - CONVENIOS Y DSC POS ","OTROS"),"OTROS")</f>
        <v>CAPSULAS</v>
      </c>
      <c r="L72" s="27">
        <f t="shared" si="14"/>
        <v>0</v>
      </c>
      <c r="M72" s="27">
        <f t="shared" si="15"/>
        <v>0</v>
      </c>
    </row>
    <row r="73" spans="1:13" ht="16.5" hidden="1" outlineLevel="1">
      <c r="A73" s="38"/>
      <c r="B73" s="39" t="s">
        <v>27</v>
      </c>
      <c r="C73" s="36">
        <v>5541953</v>
      </c>
      <c r="D73" s="36">
        <v>0</v>
      </c>
      <c r="E73" s="48"/>
      <c r="F73" s="48">
        <v>6191934.2800000003</v>
      </c>
      <c r="G73" s="49">
        <f t="shared" si="5"/>
        <v>0.89502774890562953</v>
      </c>
      <c r="H73" s="23">
        <f t="shared" si="8"/>
        <v>0</v>
      </c>
      <c r="I73" s="24">
        <f t="shared" si="8"/>
        <v>0</v>
      </c>
      <c r="J73" s="32" t="str" cm="1">
        <f t="array" ref="J73">IFERROR(_xlfn.IFS(B73="044 - BLEND TRADICION","BLEND",B73="113 - CAFÉ GOURMET","GOURMET",B73="114 - CAFÉ CONSUMO","CONSUMO",B73="112 - CAFÉ ORGANICO","GOURMET",B73="172 - CAFÉ COSECHA","ESPECIALES",B73="176 - CAFE DESCAFEINADO","GOURMET",B73="147 - CAPSULAS","CAPSULAS",B73="130 - GALLETAS CAFECITAS","DERIVADOS",B73="140 - MERENGUES","DERIVADOS",B73="100 - CAFÉ ESPECIAL","ESPECIALES",B73="141 - AREQUIPE","DERIVADOS",B73="142 - MERMELADA","DERIVADOS",B73="131 - GALLETAS AVENA","DERIVADOS",B73="160 - SOUVENIR","OTROS",B73="148 - CARAMELOS","DERIVADOS",B73="143 - CHOCOFFES","DERIVADOS",B73="162 - CONVENIOS Y DSC POS ","OTROS"),"OTROS")</f>
        <v>DERIVADOS</v>
      </c>
      <c r="L73" s="27">
        <f t="shared" si="14"/>
        <v>5541953</v>
      </c>
      <c r="M73" s="27">
        <f t="shared" si="15"/>
        <v>5541953</v>
      </c>
    </row>
    <row r="74" spans="1:13" ht="16.5" hidden="1" outlineLevel="1">
      <c r="A74" s="38"/>
      <c r="B74" s="39" t="s">
        <v>28</v>
      </c>
      <c r="C74" s="36">
        <v>4408606</v>
      </c>
      <c r="D74" s="36">
        <v>0</v>
      </c>
      <c r="E74" s="48">
        <v>0</v>
      </c>
      <c r="F74" s="48">
        <v>6313546.5</v>
      </c>
      <c r="G74" s="49">
        <f t="shared" si="5"/>
        <v>0.69827726777651833</v>
      </c>
      <c r="H74" s="23">
        <f t="shared" si="8"/>
        <v>0</v>
      </c>
      <c r="I74" s="24">
        <f t="shared" si="8"/>
        <v>0</v>
      </c>
      <c r="J74" s="32" t="str" cm="1">
        <f t="array" ref="J74">IFERROR(_xlfn.IFS(B74="044 - BLEND TRADICION","BLEND",B74="113 - CAFÉ GOURMET","GOURMET",B74="114 - CAFÉ CONSUMO","CONSUMO",B74="112 - CAFÉ ORGANICO","GOURMET",B74="172 - CAFÉ COSECHA","ESPECIALES",B74="176 - CAFE DESCAFEINADO","GOURMET",B74="147 - CAPSULAS","CAPSULAS",B74="130 - GALLETAS CAFECITAS","DERIVADOS",B74="140 - MERENGUES","DERIVADOS",B74="100 - CAFÉ ESPECIAL","ESPECIALES",B74="141 - AREQUIPE","DERIVADOS",B74="142 - MERMELADA","DERIVADOS",B74="131 - GALLETAS AVENA","DERIVADOS",B74="160 - SOUVENIR","OTROS",B74="148 - CARAMELOS","DERIVADOS",B74="143 - CHOCOFFES","DERIVADOS",B74="162 - CONVENIOS Y DSC POS ","OTROS"),"OTROS")</f>
        <v>OTROS</v>
      </c>
      <c r="L74" s="27">
        <f t="shared" si="14"/>
        <v>4408606</v>
      </c>
      <c r="M74" s="27">
        <f t="shared" si="15"/>
        <v>4408606</v>
      </c>
    </row>
    <row r="75" spans="1:13" ht="16.5" hidden="1" outlineLevel="1">
      <c r="A75" s="38"/>
      <c r="B75" s="39" t="s">
        <v>50</v>
      </c>
      <c r="C75" s="36">
        <v>-2347272</v>
      </c>
      <c r="D75" s="36">
        <v>0</v>
      </c>
      <c r="E75" s="36">
        <v>-2347272</v>
      </c>
      <c r="F75" s="48">
        <v>0</v>
      </c>
      <c r="G75" s="49" t="str">
        <f t="shared" si="5"/>
        <v>-</v>
      </c>
      <c r="H75" s="23">
        <f t="shared" si="8"/>
        <v>0</v>
      </c>
      <c r="I75" s="24">
        <f t="shared" si="8"/>
        <v>0</v>
      </c>
      <c r="J75" s="32" t="str" cm="1">
        <f t="array" ref="J75">IFERROR(_xlfn.IFS(B75="044 - BLEND TRADICION","BLEND",B75="113 - CAFÉ GOURMET","GOURMET",B75="114 - CAFÉ CONSUMO","CONSUMO",B75="112 - CAFÉ ORGANICO","GOURMET",B75="172 - CAFÉ COSECHA","ESPECIALES",B75="176 - CAFE DESCAFEINADO","GOURMET",B75="147 - CAPSULAS","CAPSULAS",B75="130 - GALLETAS CAFECITAS","DERIVADOS",B75="140 - MERENGUES","DERIVADOS",B75="100 - CAFÉ ESPECIAL","ESPECIALES",B75="141 - AREQUIPE","DERIVADOS",B75="142 - MERMELADA","DERIVADOS",B75="131 - GALLETAS AVENA","DERIVADOS",B75="160 - SOUVENIR","OTROS",B75="148 - CARAMELOS","DERIVADOS",B75="143 - CHOCOFFES","DERIVADOS",B75="162 - CONVENIOS Y DSC POS ","OTROS"),"OTROS")</f>
        <v>OTROS</v>
      </c>
      <c r="L75" s="27">
        <f t="shared" si="14"/>
        <v>0</v>
      </c>
      <c r="M75" s="27">
        <f t="shared" si="15"/>
        <v>0</v>
      </c>
    </row>
    <row r="76" spans="1:13" ht="16.5" hidden="1" outlineLevel="1">
      <c r="A76" s="38"/>
      <c r="B76" s="39" t="s">
        <v>29</v>
      </c>
      <c r="C76" s="36">
        <v>315849</v>
      </c>
      <c r="D76" s="36">
        <v>0</v>
      </c>
      <c r="E76" s="48"/>
      <c r="F76" s="48">
        <v>10016848.720000001</v>
      </c>
      <c r="G76" s="49">
        <f t="shared" si="5"/>
        <v>3.1531772998564363E-2</v>
      </c>
      <c r="H76" s="23">
        <f t="shared" si="8"/>
        <v>0</v>
      </c>
      <c r="I76" s="24">
        <f t="shared" si="8"/>
        <v>0</v>
      </c>
      <c r="J76" s="32" t="str" cm="1">
        <f t="array" ref="J76">IFERROR(_xlfn.IFS(B76="044 - BLEND TRADICION","BLEND",B76="113 - CAFÉ GOURMET","GOURMET",B76="114 - CAFÉ CONSUMO","CONSUMO",B76="112 - CAFÉ ORGANICO","GOURMET",B76="172 - CAFÉ COSECHA","ESPECIALES",B76="176 - CAFE DESCAFEINADO","GOURMET",B76="147 - CAPSULAS","CAPSULAS",B76="130 - GALLETAS CAFECITAS","DERIVADOS",B76="140 - MERENGUES","DERIVADOS",B76="100 - CAFÉ ESPECIAL","ESPECIALES",B76="141 - AREQUIPE","DERIVADOS",B76="142 - MERMELADA","DERIVADOS",B76="131 - GALLETAS AVENA","DERIVADOS",B76="160 - SOUVENIR","OTROS",B76="148 - CARAMELOS","DERIVADOS",B76="143 - CHOCOFFES","DERIVADOS",B76="162 - CONVENIOS Y DSC POS ","OTROS"),"OTROS")</f>
        <v>ESPECIALES</v>
      </c>
      <c r="L76" s="27">
        <f t="shared" si="14"/>
        <v>315849</v>
      </c>
      <c r="M76" s="27">
        <f t="shared" si="15"/>
        <v>315849</v>
      </c>
    </row>
    <row r="77" spans="1:13" ht="16.5" hidden="1" outlineLevel="1">
      <c r="A77" s="38"/>
      <c r="B77" s="39" t="s">
        <v>30</v>
      </c>
      <c r="C77" s="36">
        <v>158155</v>
      </c>
      <c r="D77" s="36">
        <v>0</v>
      </c>
      <c r="E77" s="48">
        <v>0</v>
      </c>
      <c r="F77" s="48">
        <v>1809439.28</v>
      </c>
      <c r="G77" s="49">
        <f t="shared" si="5"/>
        <v>8.7405530402766538E-2</v>
      </c>
      <c r="H77" s="23">
        <f t="shared" si="8"/>
        <v>0</v>
      </c>
      <c r="I77" s="24">
        <f t="shared" si="8"/>
        <v>0</v>
      </c>
      <c r="J77" s="32" t="str" cm="1">
        <f t="array" ref="J77">IFERROR(_xlfn.IFS(B77="044 - BLEND TRADICION","BLEND",B77="113 - CAFÉ GOURMET","GOURMET",B77="114 - CAFÉ CONSUMO","CONSUMO",B77="112 - CAFÉ ORGANICO","GOURMET",B77="172 - CAFÉ COSECHA","ESPECIALES",B77="176 - CAFE DESCAFEINADO","GOURMET",B77="147 - CAPSULAS","CAPSULAS",B77="130 - GALLETAS CAFECITAS","DERIVADOS",B77="140 - MERENGUES","DERIVADOS",B77="100 - CAFÉ ESPECIAL","ESPECIALES",B77="141 - AREQUIPE","DERIVADOS",B77="142 - MERMELADA","DERIVADOS",B77="131 - GALLETAS AVENA","DERIVADOS",B77="160 - SOUVENIR","OTROS",B77="148 - CARAMELOS","DERIVADOS",B77="143 - CHOCOFFES","DERIVADOS",B77="162 - CONVENIOS Y DSC POS ","OTROS"),"OTROS")</f>
        <v>GOURMET</v>
      </c>
      <c r="L77" s="27">
        <f t="shared" si="14"/>
        <v>158155</v>
      </c>
      <c r="M77" s="27">
        <f t="shared" si="15"/>
        <v>158155</v>
      </c>
    </row>
    <row r="78" spans="1:13" ht="16.5" hidden="1" outlineLevel="1">
      <c r="A78" s="38"/>
      <c r="B78" s="39" t="s">
        <v>31</v>
      </c>
      <c r="C78" s="36">
        <v>12000</v>
      </c>
      <c r="D78" s="36">
        <v>0</v>
      </c>
      <c r="E78" s="48">
        <v>0</v>
      </c>
      <c r="F78" s="48">
        <v>0</v>
      </c>
      <c r="G78" s="49" t="str">
        <f t="shared" si="5"/>
        <v>-</v>
      </c>
      <c r="H78" s="23">
        <f t="shared" si="8"/>
        <v>0</v>
      </c>
      <c r="I78" s="24">
        <f t="shared" si="8"/>
        <v>0</v>
      </c>
      <c r="J78" s="32" t="str" cm="1">
        <f t="array" ref="J78">IFERROR(_xlfn.IFS(B78="044 - BLEND TRADICION","BLEND",B78="113 - CAFÉ GOURMET","GOURMET",B78="114 - CAFÉ CONSUMO","CONSUMO",B78="112 - CAFÉ ORGANICO","GOURMET",B78="172 - CAFÉ COSECHA","ESPECIALES",B78="176 - CAFE DESCAFEINADO","GOURMET",B78="147 - CAPSULAS","CAPSULAS",B78="130 - GALLETAS CAFECITAS","DERIVADOS",B78="140 - MERENGUES","DERIVADOS",B78="100 - CAFÉ ESPECIAL","ESPECIALES",B78="141 - AREQUIPE","DERIVADOS",B78="142 - MERMELADA","DERIVADOS",B78="131 - GALLETAS AVENA","DERIVADOS",B78="160 - SOUVENIR","OTROS",B78="148 - CARAMELOS","DERIVADOS",B78="143 - CHOCOFFES","DERIVADOS",B78="162 - CONVENIOS Y DSC POS ","OTROS"),"OTROS")</f>
        <v>OTROS</v>
      </c>
      <c r="L78" s="27">
        <f t="shared" si="14"/>
        <v>12000</v>
      </c>
      <c r="M78" s="27">
        <f t="shared" si="15"/>
        <v>12000</v>
      </c>
    </row>
    <row r="79" spans="1:13" ht="16.5" hidden="1" outlineLevel="1">
      <c r="A79" s="19" t="s">
        <v>44</v>
      </c>
      <c r="B79" s="56" t="s">
        <v>32</v>
      </c>
      <c r="C79" s="54">
        <f>SUM(C63:C78)</f>
        <v>53997634</v>
      </c>
      <c r="D79" s="54">
        <f>SUM(D63:D78)</f>
        <v>0</v>
      </c>
      <c r="E79" s="58">
        <f>SUM(E63:E78)</f>
        <v>-2347272</v>
      </c>
      <c r="F79" s="58">
        <f>SUM(F63:F78)</f>
        <v>147679227.71999997</v>
      </c>
      <c r="G79" s="55">
        <f t="shared" si="5"/>
        <v>0.36564136225292015</v>
      </c>
      <c r="H79" s="23">
        <f t="shared" si="8"/>
        <v>0</v>
      </c>
      <c r="I79" s="24">
        <f t="shared" si="8"/>
        <v>-4.1658992207742787E-2</v>
      </c>
      <c r="J79" s="32" t="str" cm="1">
        <f t="array" ref="J79">IFERROR(_xlfn.IFS(B79="044 - BLEND TRADICION","BLEND",B79="113 - CAFÉ GOURMET","GOURMET",B79="114 - CAFÉ CONSUMO","CONSUMO",B79="112 - CAFÉ ORGANICO","GOURMET",B79="172 - CAFÉ COSECHA","ESPECIALES",B79="176 - CAFE DESCAFEINADO","GOURMET",B79="147 - CAPSULAS","CAPSULAS",B79="130 - GALLETAS CAFECITAS","DERIVADOS",B79="140 - MERENGUES","DERIVADOS",B79="100 - CAFÉ ESPECIAL","ESPECIALES",B79="141 - AREQUIPE","DERIVADOS",B79="142 - MERMELADA","DERIVADOS",B79="131 - GALLETAS AVENA","DERIVADOS",B79="160 - SOUVENIR","OTROS",B79="148 - CARAMELOS","DERIVADOS",B79="143 - CHOCOFFES","DERIVADOS",B79="162 - CONVENIOS Y DSC POS ","OTROS"),"OTROS")</f>
        <v>OTROS</v>
      </c>
      <c r="L79" s="27">
        <f t="shared" si="14"/>
        <v>56344906</v>
      </c>
      <c r="M79" s="27">
        <f t="shared" si="15"/>
        <v>56344906</v>
      </c>
    </row>
    <row r="80" spans="1:13" ht="16.5" hidden="1" outlineLevel="1">
      <c r="A80" s="59"/>
      <c r="B80" s="39" t="s">
        <v>19</v>
      </c>
      <c r="C80" s="36">
        <v>1992188</v>
      </c>
      <c r="D80" s="36">
        <v>0</v>
      </c>
      <c r="E80" s="36">
        <v>0</v>
      </c>
      <c r="F80" s="48">
        <v>2429943.91</v>
      </c>
      <c r="G80" s="49">
        <f t="shared" si="5"/>
        <v>0.81984937668787583</v>
      </c>
      <c r="H80" s="23">
        <f t="shared" si="8"/>
        <v>0</v>
      </c>
      <c r="I80" s="24">
        <f t="shared" si="8"/>
        <v>0</v>
      </c>
      <c r="J80" s="32" t="str" cm="1">
        <f t="array" ref="J80">IFERROR(_xlfn.IFS(B80="044 - BLEND TRADICION","BLEND",B80="113 - CAFÉ GOURMET","GOURMET",B80="114 - CAFÉ CONSUMO","CONSUMO",B80="112 - CAFÉ ORGANICO","GOURMET",B80="172 - CAFÉ COSECHA","ESPECIALES",B80="176 - CAFE DESCAFEINADO","GOURMET",B80="147 - CAPSULAS","CAPSULAS",B80="130 - GALLETAS CAFECITAS","DERIVADOS",B80="140 - MERENGUES","DERIVADOS",B80="100 - CAFÉ ESPECIAL","ESPECIALES",B80="141 - AREQUIPE","DERIVADOS",B80="142 - MERMELADA","DERIVADOS",B80="131 - GALLETAS AVENA","DERIVADOS",B80="160 - SOUVENIR","OTROS",B80="148 - CARAMELOS","DERIVADOS",B80="143 - CHOCOFFES","DERIVADOS",B80="162 - CONVENIOS Y DSC POS ","OTROS"),"OTROS")</f>
        <v>ESPECIALES</v>
      </c>
      <c r="L80" s="27">
        <f t="shared" si="14"/>
        <v>1992188</v>
      </c>
      <c r="M80" s="27">
        <f t="shared" si="15"/>
        <v>1992188</v>
      </c>
    </row>
    <row r="81" spans="1:13" ht="16.5" hidden="1" outlineLevel="1">
      <c r="A81" s="59"/>
      <c r="B81" s="39" t="s">
        <v>20</v>
      </c>
      <c r="C81" s="36">
        <v>127961</v>
      </c>
      <c r="D81" s="36">
        <v>0</v>
      </c>
      <c r="E81" s="36">
        <v>0</v>
      </c>
      <c r="F81" s="48">
        <v>2531872.7599999998</v>
      </c>
      <c r="G81" s="49">
        <f t="shared" si="5"/>
        <v>5.054005952495022E-2</v>
      </c>
      <c r="H81" s="23">
        <f t="shared" si="8"/>
        <v>0</v>
      </c>
      <c r="I81" s="24">
        <f t="shared" si="8"/>
        <v>0</v>
      </c>
      <c r="J81" s="32" t="str" cm="1">
        <f t="array" ref="J81">IFERROR(_xlfn.IFS(B81="044 - BLEND TRADICION","BLEND",B81="113 - CAFÉ GOURMET","GOURMET",B81="114 - CAFÉ CONSUMO","CONSUMO",B81="112 - CAFÉ ORGANICO","GOURMET",B81="172 - CAFÉ COSECHA","ESPECIALES",B81="176 - CAFE DESCAFEINADO","GOURMET",B81="147 - CAPSULAS","CAPSULAS",B81="130 - GALLETAS CAFECITAS","DERIVADOS",B81="140 - MERENGUES","DERIVADOS",B81="100 - CAFÉ ESPECIAL","ESPECIALES",B81="141 - AREQUIPE","DERIVADOS",B81="142 - MERMELADA","DERIVADOS",B81="131 - GALLETAS AVENA","DERIVADOS",B81="160 - SOUVENIR","OTROS",B81="148 - CARAMELOS","DERIVADOS",B81="143 - CHOCOFFES","DERIVADOS",B81="162 - CONVENIOS Y DSC POS ","OTROS"),"OTROS")</f>
        <v>GOURMET</v>
      </c>
      <c r="L81" s="27">
        <f t="shared" si="14"/>
        <v>127961</v>
      </c>
      <c r="M81" s="27">
        <f t="shared" si="15"/>
        <v>127961</v>
      </c>
    </row>
    <row r="82" spans="1:13" ht="16.5" hidden="1" outlineLevel="1">
      <c r="A82" s="59"/>
      <c r="B82" s="39" t="s">
        <v>21</v>
      </c>
      <c r="C82" s="36">
        <v>8780556</v>
      </c>
      <c r="D82" s="36">
        <v>-3107055</v>
      </c>
      <c r="E82" s="36">
        <v>0</v>
      </c>
      <c r="F82" s="48">
        <v>112116243.56</v>
      </c>
      <c r="G82" s="49">
        <f t="shared" si="5"/>
        <v>7.8316537561312488E-2</v>
      </c>
      <c r="H82" s="23">
        <f t="shared" si="8"/>
        <v>-0.26136916828789231</v>
      </c>
      <c r="I82" s="24">
        <f t="shared" si="8"/>
        <v>0</v>
      </c>
      <c r="J82" s="32" t="str" cm="1">
        <f t="array" ref="J82">IFERROR(_xlfn.IFS(B82="044 - BLEND TRADICION","BLEND",B82="113 - CAFÉ GOURMET","GOURMET",B82="114 - CAFÉ CONSUMO","CONSUMO",B82="112 - CAFÉ ORGANICO","GOURMET",B82="172 - CAFÉ COSECHA","ESPECIALES",B82="176 - CAFE DESCAFEINADO","GOURMET",B82="147 - CAPSULAS","CAPSULAS",B82="130 - GALLETAS CAFECITAS","DERIVADOS",B82="140 - MERENGUES","DERIVADOS",B82="100 - CAFÉ ESPECIAL","ESPECIALES",B82="141 - AREQUIPE","DERIVADOS",B82="142 - MERMELADA","DERIVADOS",B82="131 - GALLETAS AVENA","DERIVADOS",B82="160 - SOUVENIR","OTROS",B82="148 - CARAMELOS","DERIVADOS",B82="143 - CHOCOFFES","DERIVADOS",B82="162 - CONVENIOS Y DSC POS ","OTROS"),"OTROS")</f>
        <v>GOURMET</v>
      </c>
      <c r="L82" s="27">
        <f t="shared" si="14"/>
        <v>11887611</v>
      </c>
      <c r="M82" s="27">
        <f t="shared" si="15"/>
        <v>11887611</v>
      </c>
    </row>
    <row r="83" spans="1:13" ht="16.5" hidden="1" outlineLevel="1">
      <c r="A83" s="59"/>
      <c r="B83" s="39" t="s">
        <v>22</v>
      </c>
      <c r="C83" s="36">
        <v>585935</v>
      </c>
      <c r="D83" s="36">
        <v>0</v>
      </c>
      <c r="E83" s="36">
        <v>0</v>
      </c>
      <c r="F83" s="48">
        <v>3725758.66</v>
      </c>
      <c r="G83" s="49">
        <f t="shared" si="5"/>
        <v>0.15726595667364027</v>
      </c>
      <c r="H83" s="23">
        <f t="shared" si="8"/>
        <v>0</v>
      </c>
      <c r="I83" s="24">
        <f t="shared" si="8"/>
        <v>0</v>
      </c>
      <c r="J83" s="32" t="str" cm="1">
        <f t="array" ref="J83">IFERROR(_xlfn.IFS(B83="044 - BLEND TRADICION","BLEND",B83="113 - CAFÉ GOURMET","GOURMET",B83="114 - CAFÉ CONSUMO","CONSUMO",B83="112 - CAFÉ ORGANICO","GOURMET",B83="172 - CAFÉ COSECHA","ESPECIALES",B83="176 - CAFE DESCAFEINADO","GOURMET",B83="147 - CAPSULAS","CAPSULAS",B83="130 - GALLETAS CAFECITAS","DERIVADOS",B83="140 - MERENGUES","DERIVADOS",B83="100 - CAFÉ ESPECIAL","ESPECIALES",B83="141 - AREQUIPE","DERIVADOS",B83="142 - MERMELADA","DERIVADOS",B83="131 - GALLETAS AVENA","DERIVADOS",B83="160 - SOUVENIR","OTROS",B83="148 - CARAMELOS","DERIVADOS",B83="143 - CHOCOFFES","DERIVADOS",B83="162 - CONVENIOS Y DSC POS ","OTROS"),"OTROS")</f>
        <v>DERIVADOS</v>
      </c>
      <c r="L83" s="27">
        <f t="shared" si="14"/>
        <v>585935</v>
      </c>
      <c r="M83" s="27">
        <f t="shared" si="15"/>
        <v>585935</v>
      </c>
    </row>
    <row r="84" spans="1:13" ht="16.5" hidden="1" outlineLevel="1">
      <c r="A84" s="59"/>
      <c r="B84" s="39" t="s">
        <v>23</v>
      </c>
      <c r="C84" s="36">
        <v>-223748</v>
      </c>
      <c r="D84" s="36">
        <v>-343068</v>
      </c>
      <c r="E84" s="36"/>
      <c r="F84" s="48">
        <v>530387.72</v>
      </c>
      <c r="G84" s="49">
        <f t="shared" si="5"/>
        <v>-0.42185742912750696</v>
      </c>
      <c r="H84" s="23">
        <f t="shared" si="8"/>
        <v>-2.8751927589674824</v>
      </c>
      <c r="I84" s="24">
        <f t="shared" si="8"/>
        <v>0</v>
      </c>
      <c r="J84" s="32" t="str" cm="1">
        <f t="array" ref="J84">IFERROR(_xlfn.IFS(B84="044 - BLEND TRADICION","BLEND",B84="113 - CAFÉ GOURMET","GOURMET",B84="114 - CAFÉ CONSUMO","CONSUMO",B84="112 - CAFÉ ORGANICO","GOURMET",B84="172 - CAFÉ COSECHA","ESPECIALES",B84="176 - CAFE DESCAFEINADO","GOURMET",B84="147 - CAPSULAS","CAPSULAS",B84="130 - GALLETAS CAFECITAS","DERIVADOS",B84="140 - MERENGUES","DERIVADOS",B84="100 - CAFÉ ESPECIAL","ESPECIALES",B84="141 - AREQUIPE","DERIVADOS",B84="142 - MERMELADA","DERIVADOS",B84="131 - GALLETAS AVENA","DERIVADOS",B84="160 - SOUVENIR","OTROS",B84="148 - CARAMELOS","DERIVADOS",B84="143 - CHOCOFFES","DERIVADOS",B84="162 - CONVENIOS Y DSC POS ","OTROS"),"OTROS")</f>
        <v>DERIVADOS</v>
      </c>
      <c r="L84" s="27">
        <f t="shared" si="14"/>
        <v>119320</v>
      </c>
      <c r="M84" s="27">
        <f t="shared" si="15"/>
        <v>119320</v>
      </c>
    </row>
    <row r="85" spans="1:13" ht="16.5" hidden="1" outlineLevel="1">
      <c r="A85" s="59"/>
      <c r="B85" s="39" t="s">
        <v>24</v>
      </c>
      <c r="C85" s="36">
        <v>637730</v>
      </c>
      <c r="D85" s="36">
        <v>0</v>
      </c>
      <c r="E85" s="36"/>
      <c r="F85" s="48">
        <v>1022579.12</v>
      </c>
      <c r="G85" s="49">
        <f t="shared" si="5"/>
        <v>0.62364856423041382</v>
      </c>
      <c r="H85" s="23">
        <f t="shared" si="8"/>
        <v>0</v>
      </c>
      <c r="I85" s="24">
        <f t="shared" si="8"/>
        <v>0</v>
      </c>
      <c r="J85" s="32" t="str" cm="1">
        <f t="array" ref="J85">IFERROR(_xlfn.IFS(B85="044 - BLEND TRADICION","BLEND",B85="113 - CAFÉ GOURMET","GOURMET",B85="114 - CAFÉ CONSUMO","CONSUMO",B85="112 - CAFÉ ORGANICO","GOURMET",B85="172 - CAFÉ COSECHA","ESPECIALES",B85="176 - CAFE DESCAFEINADO","GOURMET",B85="147 - CAPSULAS","CAPSULAS",B85="130 - GALLETAS CAFECITAS","DERIVADOS",B85="140 - MERENGUES","DERIVADOS",B85="100 - CAFÉ ESPECIAL","ESPECIALES",B85="141 - AREQUIPE","DERIVADOS",B85="142 - MERMELADA","DERIVADOS",B85="131 - GALLETAS AVENA","DERIVADOS",B85="160 - SOUVENIR","OTROS",B85="148 - CARAMELOS","DERIVADOS",B85="143 - CHOCOFFES","DERIVADOS",B85="162 - CONVENIOS Y DSC POS ","OTROS"),"OTROS")</f>
        <v>DERIVADOS</v>
      </c>
      <c r="L85" s="27">
        <f t="shared" si="14"/>
        <v>637730</v>
      </c>
      <c r="M85" s="27">
        <f t="shared" si="15"/>
        <v>637730</v>
      </c>
    </row>
    <row r="86" spans="1:13" ht="16.5" hidden="1" outlineLevel="1">
      <c r="A86" s="59"/>
      <c r="B86" s="39" t="s">
        <v>25</v>
      </c>
      <c r="C86" s="36">
        <v>118026</v>
      </c>
      <c r="D86" s="36">
        <v>0</v>
      </c>
      <c r="E86" s="36"/>
      <c r="F86" s="48">
        <v>1766197.25</v>
      </c>
      <c r="G86" s="49">
        <f t="shared" si="5"/>
        <v>6.6824925698417886E-2</v>
      </c>
      <c r="H86" s="23">
        <f t="shared" si="8"/>
        <v>0</v>
      </c>
      <c r="I86" s="24">
        <f t="shared" si="8"/>
        <v>0</v>
      </c>
      <c r="J86" s="32" t="str" cm="1">
        <f t="array" ref="J86">IFERROR(_xlfn.IFS(B86="044 - BLEND TRADICION","BLEND",B86="113 - CAFÉ GOURMET","GOURMET",B86="114 - CAFÉ CONSUMO","CONSUMO",B86="112 - CAFÉ ORGANICO","GOURMET",B86="172 - CAFÉ COSECHA","ESPECIALES",B86="176 - CAFE DESCAFEINADO","GOURMET",B86="147 - CAPSULAS","CAPSULAS",B86="130 - GALLETAS CAFECITAS","DERIVADOS",B86="140 - MERENGUES","DERIVADOS",B86="100 - CAFÉ ESPECIAL","ESPECIALES",B86="141 - AREQUIPE","DERIVADOS",B86="142 - MERMELADA","DERIVADOS",B86="131 - GALLETAS AVENA","DERIVADOS",B86="160 - SOUVENIR","OTROS",B86="148 - CARAMELOS","DERIVADOS",B86="143 - CHOCOFFES","DERIVADOS",B86="162 - CONVENIOS Y DSC POS ","OTROS"),"OTROS")</f>
        <v>DERIVADOS</v>
      </c>
      <c r="L86" s="27">
        <f t="shared" si="14"/>
        <v>118026</v>
      </c>
      <c r="M86" s="27">
        <f t="shared" si="15"/>
        <v>118026</v>
      </c>
    </row>
    <row r="87" spans="1:13" ht="16.5" hidden="1" outlineLevel="1">
      <c r="A87" s="59"/>
      <c r="B87" s="39" t="s">
        <v>26</v>
      </c>
      <c r="C87" s="36">
        <v>1173705</v>
      </c>
      <c r="D87" s="36">
        <v>0</v>
      </c>
      <c r="E87" s="36"/>
      <c r="F87" s="48">
        <v>2921002.36</v>
      </c>
      <c r="G87" s="49">
        <f t="shared" si="5"/>
        <v>0.40181583420562522</v>
      </c>
      <c r="H87" s="23">
        <f t="shared" si="8"/>
        <v>0</v>
      </c>
      <c r="I87" s="24">
        <f t="shared" si="8"/>
        <v>0</v>
      </c>
      <c r="J87" s="32" t="str" cm="1">
        <f t="array" ref="J87">IFERROR(_xlfn.IFS(B87="044 - BLEND TRADICION","BLEND",B87="113 - CAFÉ GOURMET","GOURMET",B87="114 - CAFÉ CONSUMO","CONSUMO",B87="112 - CAFÉ ORGANICO","GOURMET",B87="172 - CAFÉ COSECHA","ESPECIALES",B87="176 - CAFE DESCAFEINADO","GOURMET",B87="147 - CAPSULAS","CAPSULAS",B87="130 - GALLETAS CAFECITAS","DERIVADOS",B87="140 - MERENGUES","DERIVADOS",B87="100 - CAFÉ ESPECIAL","ESPECIALES",B87="141 - AREQUIPE","DERIVADOS",B87="142 - MERMELADA","DERIVADOS",B87="131 - GALLETAS AVENA","DERIVADOS",B87="160 - SOUVENIR","OTROS",B87="148 - CARAMELOS","DERIVADOS",B87="143 - CHOCOFFES","DERIVADOS",B87="162 - CONVENIOS Y DSC POS ","OTROS"),"OTROS")</f>
        <v>CAPSULAS</v>
      </c>
      <c r="L87" s="27">
        <f t="shared" si="14"/>
        <v>1173705</v>
      </c>
      <c r="M87" s="27">
        <f t="shared" si="15"/>
        <v>1173705</v>
      </c>
    </row>
    <row r="88" spans="1:13" ht="16.5" hidden="1" outlineLevel="1">
      <c r="A88" s="59"/>
      <c r="B88" s="39" t="s">
        <v>27</v>
      </c>
      <c r="C88" s="36">
        <v>238125</v>
      </c>
      <c r="D88" s="36">
        <v>0</v>
      </c>
      <c r="E88" s="36"/>
      <c r="F88" s="48">
        <v>1719908.5</v>
      </c>
      <c r="G88" s="49">
        <f t="shared" ref="G88:G131" si="16">IFERROR(C88/F88*100%,"-")</f>
        <v>0.13845213277334231</v>
      </c>
      <c r="H88" s="23">
        <f t="shared" si="8"/>
        <v>0</v>
      </c>
      <c r="I88" s="24">
        <f t="shared" si="8"/>
        <v>0</v>
      </c>
      <c r="J88" s="32" t="str" cm="1">
        <f t="array" ref="J88">IFERROR(_xlfn.IFS(B88="044 - BLEND TRADICION","BLEND",B88="113 - CAFÉ GOURMET","GOURMET",B88="114 - CAFÉ CONSUMO","CONSUMO",B88="112 - CAFÉ ORGANICO","GOURMET",B88="172 - CAFÉ COSECHA","ESPECIALES",B88="176 - CAFE DESCAFEINADO","GOURMET",B88="147 - CAPSULAS","CAPSULAS",B88="130 - GALLETAS CAFECITAS","DERIVADOS",B88="140 - MERENGUES","DERIVADOS",B88="100 - CAFÉ ESPECIAL","ESPECIALES",B88="141 - AREQUIPE","DERIVADOS",B88="142 - MERMELADA","DERIVADOS",B88="131 - GALLETAS AVENA","DERIVADOS",B88="160 - SOUVENIR","OTROS",B88="148 - CARAMELOS","DERIVADOS",B88="143 - CHOCOFFES","DERIVADOS",B88="162 - CONVENIOS Y DSC POS ","OTROS"),"OTROS")</f>
        <v>DERIVADOS</v>
      </c>
      <c r="L88" s="27">
        <f t="shared" si="14"/>
        <v>238125</v>
      </c>
      <c r="M88" s="27">
        <f t="shared" si="15"/>
        <v>238125</v>
      </c>
    </row>
    <row r="89" spans="1:13" ht="16.5" hidden="1" outlineLevel="1">
      <c r="A89" s="59"/>
      <c r="B89" s="39" t="s">
        <v>28</v>
      </c>
      <c r="C89" s="36">
        <v>0</v>
      </c>
      <c r="D89" s="36">
        <v>0</v>
      </c>
      <c r="E89" s="36"/>
      <c r="F89" s="48">
        <v>6824547.4699999997</v>
      </c>
      <c r="G89" s="49">
        <f t="shared" si="16"/>
        <v>0</v>
      </c>
      <c r="H89" s="23">
        <f t="shared" ref="H89:I105" si="17">IFERROR(+D89/L89*100%,0)</f>
        <v>0</v>
      </c>
      <c r="I89" s="24">
        <f t="shared" si="17"/>
        <v>0</v>
      </c>
      <c r="J89" s="32" t="str" cm="1">
        <f t="array" ref="J89">IFERROR(_xlfn.IFS(B89="044 - BLEND TRADICION","BLEND",B89="113 - CAFÉ GOURMET","GOURMET",B89="114 - CAFÉ CONSUMO","CONSUMO",B89="112 - CAFÉ ORGANICO","GOURMET",B89="172 - CAFÉ COSECHA","ESPECIALES",B89="176 - CAFE DESCAFEINADO","GOURMET",B89="147 - CAPSULAS","CAPSULAS",B89="130 - GALLETAS CAFECITAS","DERIVADOS",B89="140 - MERENGUES","DERIVADOS",B89="100 - CAFÉ ESPECIAL","ESPECIALES",B89="141 - AREQUIPE","DERIVADOS",B89="142 - MERMELADA","DERIVADOS",B89="131 - GALLETAS AVENA","DERIVADOS",B89="160 - SOUVENIR","OTROS",B89="148 - CARAMELOS","DERIVADOS",B89="143 - CHOCOFFES","DERIVADOS",B89="162 - CONVENIOS Y DSC POS ","OTROS"),"OTROS")</f>
        <v>OTROS</v>
      </c>
      <c r="L89" s="27">
        <f t="shared" si="14"/>
        <v>0</v>
      </c>
      <c r="M89" s="27">
        <f t="shared" si="15"/>
        <v>0</v>
      </c>
    </row>
    <row r="90" spans="1:13" ht="16.5" hidden="1" outlineLevel="1">
      <c r="A90" s="59"/>
      <c r="B90" s="39" t="s">
        <v>29</v>
      </c>
      <c r="C90" s="36">
        <v>152822</v>
      </c>
      <c r="D90" s="36">
        <v>0</v>
      </c>
      <c r="E90" s="36"/>
      <c r="F90" s="48">
        <v>1667302.64</v>
      </c>
      <c r="G90" s="49">
        <f t="shared" si="16"/>
        <v>9.1658224687990661E-2</v>
      </c>
      <c r="H90" s="23">
        <f t="shared" si="17"/>
        <v>0</v>
      </c>
      <c r="I90" s="24">
        <f t="shared" si="17"/>
        <v>0</v>
      </c>
      <c r="J90" s="32" t="str" cm="1">
        <f t="array" ref="J90">IFERROR(_xlfn.IFS(B90="044 - BLEND TRADICION","BLEND",B90="113 - CAFÉ GOURMET","GOURMET",B90="114 - CAFÉ CONSUMO","CONSUMO",B90="112 - CAFÉ ORGANICO","GOURMET",B90="172 - CAFÉ COSECHA","ESPECIALES",B90="176 - CAFE DESCAFEINADO","GOURMET",B90="147 - CAPSULAS","CAPSULAS",B90="130 - GALLETAS CAFECITAS","DERIVADOS",B90="140 - MERENGUES","DERIVADOS",B90="100 - CAFÉ ESPECIAL","ESPECIALES",B90="141 - AREQUIPE","DERIVADOS",B90="142 - MERMELADA","DERIVADOS",B90="131 - GALLETAS AVENA","DERIVADOS",B90="160 - SOUVENIR","OTROS",B90="148 - CARAMELOS","DERIVADOS",B90="143 - CHOCOFFES","DERIVADOS",B90="162 - CONVENIOS Y DSC POS ","OTROS"),"OTROS")</f>
        <v>ESPECIALES</v>
      </c>
      <c r="L90" s="27">
        <f t="shared" si="14"/>
        <v>152822</v>
      </c>
      <c r="M90" s="27">
        <f t="shared" si="15"/>
        <v>152822</v>
      </c>
    </row>
    <row r="91" spans="1:13" ht="16.5" hidden="1" outlineLevel="1">
      <c r="A91" s="59"/>
      <c r="B91" s="39" t="s">
        <v>30</v>
      </c>
      <c r="C91" s="36">
        <v>189786</v>
      </c>
      <c r="D91" s="36">
        <v>0</v>
      </c>
      <c r="E91" s="36"/>
      <c r="F91" s="48">
        <v>382592.22</v>
      </c>
      <c r="G91" s="49">
        <f t="shared" si="16"/>
        <v>0.49605295162562379</v>
      </c>
      <c r="H91" s="23">
        <f t="shared" si="17"/>
        <v>0</v>
      </c>
      <c r="I91" s="24">
        <f t="shared" si="17"/>
        <v>0</v>
      </c>
      <c r="J91" s="32" t="str" cm="1">
        <f t="array" ref="J91">IFERROR(_xlfn.IFS(B91="044 - BLEND TRADICION","BLEND",B91="113 - CAFÉ GOURMET","GOURMET",B91="114 - CAFÉ CONSUMO","CONSUMO",B91="112 - CAFÉ ORGANICO","GOURMET",B91="172 - CAFÉ COSECHA","ESPECIALES",B91="176 - CAFE DESCAFEINADO","GOURMET",B91="147 - CAPSULAS","CAPSULAS",B91="130 - GALLETAS CAFECITAS","DERIVADOS",B91="140 - MERENGUES","DERIVADOS",B91="100 - CAFÉ ESPECIAL","ESPECIALES",B91="141 - AREQUIPE","DERIVADOS",B91="142 - MERMELADA","DERIVADOS",B91="131 - GALLETAS AVENA","DERIVADOS",B91="160 - SOUVENIR","OTROS",B91="148 - CARAMELOS","DERIVADOS",B91="143 - CHOCOFFES","DERIVADOS",B91="162 - CONVENIOS Y DSC POS ","OTROS"),"OTROS")</f>
        <v>GOURMET</v>
      </c>
      <c r="L91" s="27">
        <f t="shared" si="14"/>
        <v>189786</v>
      </c>
      <c r="M91" s="27">
        <f t="shared" si="15"/>
        <v>189786</v>
      </c>
    </row>
    <row r="92" spans="1:13" ht="16.5" hidden="1" outlineLevel="1">
      <c r="A92" s="59"/>
      <c r="B92" s="39" t="s">
        <v>31</v>
      </c>
      <c r="C92" s="36">
        <v>24000</v>
      </c>
      <c r="D92" s="36">
        <v>0</v>
      </c>
      <c r="E92" s="36"/>
      <c r="F92" s="48">
        <v>0</v>
      </c>
      <c r="G92" s="49" t="str">
        <f t="shared" si="16"/>
        <v>-</v>
      </c>
      <c r="H92" s="23">
        <f t="shared" si="17"/>
        <v>0</v>
      </c>
      <c r="I92" s="24">
        <f t="shared" si="17"/>
        <v>0</v>
      </c>
      <c r="J92" s="32" t="str" cm="1">
        <f t="array" ref="J92">IFERROR(_xlfn.IFS(B92="044 - BLEND TRADICION","BLEND",B92="113 - CAFÉ GOURMET","GOURMET",B92="114 - CAFÉ CONSUMO","CONSUMO",B92="112 - CAFÉ ORGANICO","GOURMET",B92="172 - CAFÉ COSECHA","ESPECIALES",B92="176 - CAFE DESCAFEINADO","GOURMET",B92="147 - CAPSULAS","CAPSULAS",B92="130 - GALLETAS CAFECITAS","DERIVADOS",B92="140 - MERENGUES","DERIVADOS",B92="100 - CAFÉ ESPECIAL","ESPECIALES",B92="141 - AREQUIPE","DERIVADOS",B92="142 - MERMELADA","DERIVADOS",B92="131 - GALLETAS AVENA","DERIVADOS",B92="160 - SOUVENIR","OTROS",B92="148 - CARAMELOS","DERIVADOS",B92="143 - CHOCOFFES","DERIVADOS",B92="162 - CONVENIOS Y DSC POS ","OTROS"),"OTROS")</f>
        <v>OTROS</v>
      </c>
      <c r="L92" s="27">
        <f t="shared" si="14"/>
        <v>24000</v>
      </c>
      <c r="M92" s="27">
        <f t="shared" si="15"/>
        <v>24000</v>
      </c>
    </row>
    <row r="93" spans="1:13" ht="16.5" hidden="1" outlineLevel="1">
      <c r="A93" s="19" t="s">
        <v>45</v>
      </c>
      <c r="B93" s="56" t="s">
        <v>32</v>
      </c>
      <c r="C93" s="54">
        <f>SUM(C80:C92)</f>
        <v>13797086</v>
      </c>
      <c r="D93" s="54">
        <f>SUM(D80:D92)</f>
        <v>-3450123</v>
      </c>
      <c r="E93" s="57">
        <v>0</v>
      </c>
      <c r="F93" s="58">
        <f>SUM(F80:F92)</f>
        <v>137638336.16999999</v>
      </c>
      <c r="G93" s="55">
        <f t="shared" si="16"/>
        <v>0.10024159245109539</v>
      </c>
      <c r="H93" s="23">
        <f t="shared" si="17"/>
        <v>-0.2000394962454505</v>
      </c>
      <c r="I93" s="24">
        <f t="shared" si="17"/>
        <v>0</v>
      </c>
      <c r="J93" s="32" t="str" cm="1">
        <f t="array" ref="J93">IFERROR(_xlfn.IFS(B93="044 - BLEND TRADICION","BLEND",B93="113 - CAFÉ GOURMET","GOURMET",B93="114 - CAFÉ CONSUMO","CONSUMO",B93="112 - CAFÉ ORGANICO","GOURMET",B93="172 - CAFÉ COSECHA","ESPECIALES",B93="176 - CAFE DESCAFEINADO","GOURMET",B93="147 - CAPSULAS","CAPSULAS",B93="130 - GALLETAS CAFECITAS","DERIVADOS",B93="140 - MERENGUES","DERIVADOS",B93="100 - CAFÉ ESPECIAL","ESPECIALES",B93="141 - AREQUIPE","DERIVADOS",B93="142 - MERMELADA","DERIVADOS",B93="131 - GALLETAS AVENA","DERIVADOS",B93="160 - SOUVENIR","OTROS",B93="148 - CARAMELOS","DERIVADOS",B93="143 - CHOCOFFES","DERIVADOS",B93="162 - CONVENIOS Y DSC POS ","OTROS"),"OTROS")</f>
        <v>OTROS</v>
      </c>
      <c r="L93" s="27">
        <f t="shared" si="14"/>
        <v>17247209</v>
      </c>
      <c r="M93" s="27">
        <f t="shared" si="15"/>
        <v>17247209</v>
      </c>
    </row>
    <row r="94" spans="1:13" ht="16.5" hidden="1" outlineLevel="1">
      <c r="A94" s="59"/>
      <c r="B94" s="39" t="s">
        <v>18</v>
      </c>
      <c r="C94" s="60">
        <v>521600</v>
      </c>
      <c r="D94" s="60">
        <v>0</v>
      </c>
      <c r="E94" s="36">
        <v>0</v>
      </c>
      <c r="F94" s="48">
        <v>4980625.03</v>
      </c>
      <c r="G94" s="49">
        <f t="shared" si="16"/>
        <v>0.10472581189272945</v>
      </c>
      <c r="H94" s="23">
        <f t="shared" si="17"/>
        <v>0</v>
      </c>
      <c r="I94" s="24">
        <f t="shared" si="17"/>
        <v>0</v>
      </c>
      <c r="J94" s="32" t="str" cm="1">
        <f t="array" ref="J94">IFERROR(_xlfn.IFS(B94="044 - BLEND TRADICION","BLEND",B94="113 - CAFÉ GOURMET","GOURMET",B94="114 - CAFÉ CONSUMO","CONSUMO",B94="112 - CAFÉ ORGANICO","GOURMET",B94="172 - CAFÉ COSECHA","ESPECIALES",B94="176 - CAFE DESCAFEINADO","GOURMET",B94="147 - CAPSULAS","CAPSULAS",B94="130 - GALLETAS CAFECITAS","DERIVADOS",B94="140 - MERENGUES","DERIVADOS",B94="100 - CAFÉ ESPECIAL","ESPECIALES",B94="141 - AREQUIPE","DERIVADOS",B94="142 - MERMELADA","DERIVADOS",B94="131 - GALLETAS AVENA","DERIVADOS",B94="160 - SOUVENIR","OTROS",B94="148 - CARAMELOS","DERIVADOS",B94="143 - CHOCOFFES","DERIVADOS",B94="162 - CONVENIOS Y DSC POS ","OTROS"),"OTROS")</f>
        <v>BLEND</v>
      </c>
      <c r="L94" s="27">
        <f t="shared" si="14"/>
        <v>521600</v>
      </c>
      <c r="M94" s="27">
        <f t="shared" si="15"/>
        <v>521600</v>
      </c>
    </row>
    <row r="95" spans="1:13" ht="16.5" hidden="1" outlineLevel="1">
      <c r="A95" s="59"/>
      <c r="B95" s="39" t="s">
        <v>19</v>
      </c>
      <c r="C95" s="60">
        <v>1697123</v>
      </c>
      <c r="D95" s="60">
        <v>0</v>
      </c>
      <c r="E95" s="36">
        <v>0</v>
      </c>
      <c r="F95" s="48">
        <v>4364104.07</v>
      </c>
      <c r="G95" s="49">
        <f t="shared" si="16"/>
        <v>0.38888233937097655</v>
      </c>
      <c r="H95" s="23">
        <f t="shared" si="17"/>
        <v>0</v>
      </c>
      <c r="I95" s="24">
        <f t="shared" si="17"/>
        <v>0</v>
      </c>
      <c r="J95" s="32" t="str" cm="1">
        <f t="array" ref="J95">IFERROR(_xlfn.IFS(B95="044 - BLEND TRADICION","BLEND",B95="113 - CAFÉ GOURMET","GOURMET",B95="114 - CAFÉ CONSUMO","CONSUMO",B95="112 - CAFÉ ORGANICO","GOURMET",B95="172 - CAFÉ COSECHA","ESPECIALES",B95="176 - CAFE DESCAFEINADO","GOURMET",B95="147 - CAPSULAS","CAPSULAS",B95="130 - GALLETAS CAFECITAS","DERIVADOS",B95="140 - MERENGUES","DERIVADOS",B95="100 - CAFÉ ESPECIAL","ESPECIALES",B95="141 - AREQUIPE","DERIVADOS",B95="142 - MERMELADA","DERIVADOS",B95="131 - GALLETAS AVENA","DERIVADOS",B95="160 - SOUVENIR","OTROS",B95="148 - CARAMELOS","DERIVADOS",B95="143 - CHOCOFFES","DERIVADOS",B95="162 - CONVENIOS Y DSC POS ","OTROS"),"OTROS")</f>
        <v>ESPECIALES</v>
      </c>
      <c r="L95" s="27">
        <f t="shared" si="14"/>
        <v>1697123</v>
      </c>
      <c r="M95" s="27">
        <f t="shared" si="15"/>
        <v>1697123</v>
      </c>
    </row>
    <row r="96" spans="1:13" ht="16.5" hidden="1" outlineLevel="1">
      <c r="A96" s="59"/>
      <c r="B96" s="39" t="s">
        <v>20</v>
      </c>
      <c r="C96" s="60">
        <v>2216564</v>
      </c>
      <c r="D96" s="60">
        <v>0</v>
      </c>
      <c r="E96" s="36">
        <v>0</v>
      </c>
      <c r="F96" s="48">
        <v>6833481.9699999997</v>
      </c>
      <c r="G96" s="49">
        <f t="shared" si="16"/>
        <v>0.3243681639508299</v>
      </c>
      <c r="H96" s="23">
        <f t="shared" si="17"/>
        <v>0</v>
      </c>
      <c r="I96" s="24">
        <f t="shared" si="17"/>
        <v>0</v>
      </c>
      <c r="J96" s="32" t="str" cm="1">
        <f t="array" ref="J96">IFERROR(_xlfn.IFS(B96="044 - BLEND TRADICION","BLEND",B96="113 - CAFÉ GOURMET","GOURMET",B96="114 - CAFÉ CONSUMO","CONSUMO",B96="112 - CAFÉ ORGANICO","GOURMET",B96="172 - CAFÉ COSECHA","ESPECIALES",B96="176 - CAFE DESCAFEINADO","GOURMET",B96="147 - CAPSULAS","CAPSULAS",B96="130 - GALLETAS CAFECITAS","DERIVADOS",B96="140 - MERENGUES","DERIVADOS",B96="100 - CAFÉ ESPECIAL","ESPECIALES",B96="141 - AREQUIPE","DERIVADOS",B96="142 - MERMELADA","DERIVADOS",B96="131 - GALLETAS AVENA","DERIVADOS",B96="160 - SOUVENIR","OTROS",B96="148 - CARAMELOS","DERIVADOS",B96="143 - CHOCOFFES","DERIVADOS",B96="162 - CONVENIOS Y DSC POS ","OTROS"),"OTROS")</f>
        <v>GOURMET</v>
      </c>
      <c r="L96" s="27">
        <f t="shared" si="14"/>
        <v>2216564</v>
      </c>
      <c r="M96" s="27">
        <f t="shared" si="15"/>
        <v>2216564</v>
      </c>
    </row>
    <row r="97" spans="1:13" ht="16.5" hidden="1" outlineLevel="1">
      <c r="A97" s="59"/>
      <c r="B97" s="39" t="s">
        <v>21</v>
      </c>
      <c r="C97" s="60">
        <v>20682874</v>
      </c>
      <c r="D97" s="60">
        <v>0</v>
      </c>
      <c r="E97" s="36"/>
      <c r="F97" s="48">
        <v>128071723.90000001</v>
      </c>
      <c r="G97" s="49">
        <f t="shared" si="16"/>
        <v>0.16149446083937657</v>
      </c>
      <c r="H97" s="23">
        <f t="shared" si="17"/>
        <v>0</v>
      </c>
      <c r="I97" s="24">
        <f t="shared" si="17"/>
        <v>0</v>
      </c>
      <c r="J97" s="32" t="str" cm="1">
        <f t="array" ref="J97">IFERROR(_xlfn.IFS(B97="044 - BLEND TRADICION","BLEND",B97="113 - CAFÉ GOURMET","GOURMET",B97="114 - CAFÉ CONSUMO","CONSUMO",B97="112 - CAFÉ ORGANICO","GOURMET",B97="172 - CAFÉ COSECHA","ESPECIALES",B97="176 - CAFE DESCAFEINADO","GOURMET",B97="147 - CAPSULAS","CAPSULAS",B97="130 - GALLETAS CAFECITAS","DERIVADOS",B97="140 - MERENGUES","DERIVADOS",B97="100 - CAFÉ ESPECIAL","ESPECIALES",B97="141 - AREQUIPE","DERIVADOS",B97="142 - MERMELADA","DERIVADOS",B97="131 - GALLETAS AVENA","DERIVADOS",B97="160 - SOUVENIR","OTROS",B97="148 - CARAMELOS","DERIVADOS",B97="143 - CHOCOFFES","DERIVADOS",B97="162 - CONVENIOS Y DSC POS ","OTROS"),"OTROS")</f>
        <v>GOURMET</v>
      </c>
      <c r="L97" s="27">
        <f t="shared" si="14"/>
        <v>20682874</v>
      </c>
      <c r="M97" s="27">
        <f t="shared" si="15"/>
        <v>20682874</v>
      </c>
    </row>
    <row r="98" spans="1:13" ht="16.5" hidden="1" outlineLevel="1">
      <c r="A98" s="59"/>
      <c r="B98" s="39" t="s">
        <v>22</v>
      </c>
      <c r="C98" s="60">
        <v>1238665</v>
      </c>
      <c r="D98" s="60">
        <v>0</v>
      </c>
      <c r="E98" s="36">
        <v>0</v>
      </c>
      <c r="F98" s="48">
        <v>5287340.72</v>
      </c>
      <c r="G98" s="49">
        <f t="shared" si="16"/>
        <v>0.23426994127966849</v>
      </c>
      <c r="H98" s="23">
        <f t="shared" si="17"/>
        <v>0</v>
      </c>
      <c r="I98" s="24">
        <f t="shared" si="17"/>
        <v>0</v>
      </c>
      <c r="J98" s="32" t="str" cm="1">
        <f t="array" ref="J98">IFERROR(_xlfn.IFS(B98="044 - BLEND TRADICION","BLEND",B98="113 - CAFÉ GOURMET","GOURMET",B98="114 - CAFÉ CONSUMO","CONSUMO",B98="112 - CAFÉ ORGANICO","GOURMET",B98="172 - CAFÉ COSECHA","ESPECIALES",B98="176 - CAFE DESCAFEINADO","GOURMET",B98="147 - CAPSULAS","CAPSULAS",B98="130 - GALLETAS CAFECITAS","DERIVADOS",B98="140 - MERENGUES","DERIVADOS",B98="100 - CAFÉ ESPECIAL","ESPECIALES",B98="141 - AREQUIPE","DERIVADOS",B98="142 - MERMELADA","DERIVADOS",B98="131 - GALLETAS AVENA","DERIVADOS",B98="160 - SOUVENIR","OTROS",B98="148 - CARAMELOS","DERIVADOS",B98="143 - CHOCOFFES","DERIVADOS",B98="162 - CONVENIOS Y DSC POS ","OTROS"),"OTROS")</f>
        <v>DERIVADOS</v>
      </c>
      <c r="L98" s="27">
        <f t="shared" si="14"/>
        <v>1238665</v>
      </c>
      <c r="M98" s="27">
        <f t="shared" si="15"/>
        <v>1238665</v>
      </c>
    </row>
    <row r="99" spans="1:13" ht="16.5" hidden="1" outlineLevel="1">
      <c r="A99" s="59"/>
      <c r="B99" s="39" t="s">
        <v>23</v>
      </c>
      <c r="C99" s="60">
        <v>59660</v>
      </c>
      <c r="D99" s="60">
        <v>0</v>
      </c>
      <c r="E99" s="36">
        <v>0</v>
      </c>
      <c r="F99" s="48">
        <v>0</v>
      </c>
      <c r="G99" s="49" t="str">
        <f t="shared" si="16"/>
        <v>-</v>
      </c>
      <c r="H99" s="23">
        <f t="shared" si="17"/>
        <v>0</v>
      </c>
      <c r="I99" s="24">
        <f t="shared" si="17"/>
        <v>0</v>
      </c>
      <c r="J99" s="32" t="str" cm="1">
        <f t="array" ref="J99">IFERROR(_xlfn.IFS(B99="044 - BLEND TRADICION","BLEND",B99="113 - CAFÉ GOURMET","GOURMET",B99="114 - CAFÉ CONSUMO","CONSUMO",B99="112 - CAFÉ ORGANICO","GOURMET",B99="172 - CAFÉ COSECHA","ESPECIALES",B99="176 - CAFE DESCAFEINADO","GOURMET",B99="147 - CAPSULAS","CAPSULAS",B99="130 - GALLETAS CAFECITAS","DERIVADOS",B99="140 - MERENGUES","DERIVADOS",B99="100 - CAFÉ ESPECIAL","ESPECIALES",B99="141 - AREQUIPE","DERIVADOS",B99="142 - MERMELADA","DERIVADOS",B99="131 - GALLETAS AVENA","DERIVADOS",B99="160 - SOUVENIR","OTROS",B99="148 - CARAMELOS","DERIVADOS",B99="143 - CHOCOFFES","DERIVADOS",B99="162 - CONVENIOS Y DSC POS ","OTROS"),"OTROS")</f>
        <v>DERIVADOS</v>
      </c>
      <c r="L99" s="27">
        <f t="shared" si="14"/>
        <v>59660</v>
      </c>
      <c r="M99" s="27">
        <f t="shared" si="15"/>
        <v>59660</v>
      </c>
    </row>
    <row r="100" spans="1:13" ht="16.5" hidden="1" outlineLevel="1">
      <c r="A100" s="59"/>
      <c r="B100" s="39" t="s">
        <v>24</v>
      </c>
      <c r="C100" s="60">
        <v>898833</v>
      </c>
      <c r="D100" s="60">
        <v>0</v>
      </c>
      <c r="E100" s="36"/>
      <c r="F100" s="48">
        <v>843982.64</v>
      </c>
      <c r="G100" s="49">
        <f t="shared" si="16"/>
        <v>1.0649899149584403</v>
      </c>
      <c r="H100" s="23">
        <f t="shared" si="17"/>
        <v>0</v>
      </c>
      <c r="I100" s="24">
        <f t="shared" si="17"/>
        <v>0</v>
      </c>
      <c r="J100" s="32" t="str" cm="1">
        <f t="array" ref="J100">IFERROR(_xlfn.IFS(B100="044 - BLEND TRADICION","BLEND",B100="113 - CAFÉ GOURMET","GOURMET",B100="114 - CAFÉ CONSUMO","CONSUMO",B100="112 - CAFÉ ORGANICO","GOURMET",B100="172 - CAFÉ COSECHA","ESPECIALES",B100="176 - CAFE DESCAFEINADO","GOURMET",B100="147 - CAPSULAS","CAPSULAS",B100="130 - GALLETAS CAFECITAS","DERIVADOS",B100="140 - MERENGUES","DERIVADOS",B100="100 - CAFÉ ESPECIAL","ESPECIALES",B100="141 - AREQUIPE","DERIVADOS",B100="142 - MERMELADA","DERIVADOS",B100="131 - GALLETAS AVENA","DERIVADOS",B100="160 - SOUVENIR","OTROS",B100="148 - CARAMELOS","DERIVADOS",B100="143 - CHOCOFFES","DERIVADOS",B100="162 - CONVENIOS Y DSC POS ","OTROS"),"OTROS")</f>
        <v>DERIVADOS</v>
      </c>
      <c r="L100" s="27">
        <f t="shared" si="14"/>
        <v>898833</v>
      </c>
      <c r="M100" s="27">
        <f t="shared" si="15"/>
        <v>898833</v>
      </c>
    </row>
    <row r="101" spans="1:13" ht="16.5" hidden="1" outlineLevel="1">
      <c r="A101" s="59"/>
      <c r="B101" s="39" t="s">
        <v>25</v>
      </c>
      <c r="C101" s="60">
        <v>921458</v>
      </c>
      <c r="D101" s="60">
        <v>0</v>
      </c>
      <c r="E101" s="36"/>
      <c r="F101" s="48">
        <v>5547744.04</v>
      </c>
      <c r="G101" s="49">
        <f t="shared" si="16"/>
        <v>0.16609598304394735</v>
      </c>
      <c r="H101" s="23">
        <f t="shared" si="17"/>
        <v>0</v>
      </c>
      <c r="I101" s="24">
        <f t="shared" si="17"/>
        <v>0</v>
      </c>
      <c r="J101" s="32" t="str" cm="1">
        <f t="array" ref="J101">IFERROR(_xlfn.IFS(B101="044 - BLEND TRADICION","BLEND",B101="113 - CAFÉ GOURMET","GOURMET",B101="114 - CAFÉ CONSUMO","CONSUMO",B101="112 - CAFÉ ORGANICO","GOURMET",B101="172 - CAFÉ COSECHA","ESPECIALES",B101="176 - CAFE DESCAFEINADO","GOURMET",B101="147 - CAPSULAS","CAPSULAS",B101="130 - GALLETAS CAFECITAS","DERIVADOS",B101="140 - MERENGUES","DERIVADOS",B101="100 - CAFÉ ESPECIAL","ESPECIALES",B101="141 - AREQUIPE","DERIVADOS",B101="142 - MERMELADA","DERIVADOS",B101="131 - GALLETAS AVENA","DERIVADOS",B101="160 - SOUVENIR","OTROS",B101="148 - CARAMELOS","DERIVADOS",B101="143 - CHOCOFFES","DERIVADOS",B101="162 - CONVENIOS Y DSC POS ","OTROS"),"OTROS")</f>
        <v>DERIVADOS</v>
      </c>
      <c r="L101" s="27">
        <f t="shared" si="14"/>
        <v>921458</v>
      </c>
      <c r="M101" s="27">
        <f t="shared" si="15"/>
        <v>921458</v>
      </c>
    </row>
    <row r="102" spans="1:13" ht="16.5" hidden="1" outlineLevel="1">
      <c r="A102" s="59"/>
      <c r="B102" s="39" t="s">
        <v>26</v>
      </c>
      <c r="C102" s="60">
        <v>0</v>
      </c>
      <c r="D102" s="60">
        <v>0</v>
      </c>
      <c r="E102" s="36"/>
      <c r="F102" s="48">
        <v>1612858.44</v>
      </c>
      <c r="G102" s="49">
        <f t="shared" si="16"/>
        <v>0</v>
      </c>
      <c r="H102" s="23">
        <f t="shared" si="17"/>
        <v>0</v>
      </c>
      <c r="I102" s="24">
        <f t="shared" si="17"/>
        <v>0</v>
      </c>
      <c r="J102" s="32" t="str" cm="1">
        <f t="array" ref="J102">IFERROR(_xlfn.IFS(B102="044 - BLEND TRADICION","BLEND",B102="113 - CAFÉ GOURMET","GOURMET",B102="114 - CAFÉ CONSUMO","CONSUMO",B102="112 - CAFÉ ORGANICO","GOURMET",B102="172 - CAFÉ COSECHA","ESPECIALES",B102="176 - CAFE DESCAFEINADO","GOURMET",B102="147 - CAPSULAS","CAPSULAS",B102="130 - GALLETAS CAFECITAS","DERIVADOS",B102="140 - MERENGUES","DERIVADOS",B102="100 - CAFÉ ESPECIAL","ESPECIALES",B102="141 - AREQUIPE","DERIVADOS",B102="142 - MERMELADA","DERIVADOS",B102="131 - GALLETAS AVENA","DERIVADOS",B102="160 - SOUVENIR","OTROS",B102="148 - CARAMELOS","DERIVADOS",B102="143 - CHOCOFFES","DERIVADOS",B102="162 - CONVENIOS Y DSC POS ","OTROS"),"OTROS")</f>
        <v>CAPSULAS</v>
      </c>
      <c r="L102" s="27">
        <f t="shared" si="14"/>
        <v>0</v>
      </c>
      <c r="M102" s="27">
        <f t="shared" si="15"/>
        <v>0</v>
      </c>
    </row>
    <row r="103" spans="1:13" ht="16.5" hidden="1" outlineLevel="1">
      <c r="A103" s="59"/>
      <c r="B103" s="39" t="s">
        <v>27</v>
      </c>
      <c r="C103" s="60">
        <v>1071567</v>
      </c>
      <c r="D103" s="60">
        <v>0</v>
      </c>
      <c r="E103" s="36"/>
      <c r="F103" s="48">
        <v>6748851.9699999997</v>
      </c>
      <c r="G103" s="49">
        <f t="shared" si="16"/>
        <v>0.15877767133778162</v>
      </c>
      <c r="H103" s="23">
        <f t="shared" si="17"/>
        <v>0</v>
      </c>
      <c r="I103" s="24">
        <f t="shared" si="17"/>
        <v>0</v>
      </c>
      <c r="J103" s="32" t="str" cm="1">
        <f t="array" ref="J103">IFERROR(_xlfn.IFS(B103="044 - BLEND TRADICION","BLEND",B103="113 - CAFÉ GOURMET","GOURMET",B103="114 - CAFÉ CONSUMO","CONSUMO",B103="112 - CAFÉ ORGANICO","GOURMET",B103="172 - CAFÉ COSECHA","ESPECIALES",B103="176 - CAFE DESCAFEINADO","GOURMET",B103="147 - CAPSULAS","CAPSULAS",B103="130 - GALLETAS CAFECITAS","DERIVADOS",B103="140 - MERENGUES","DERIVADOS",B103="100 - CAFÉ ESPECIAL","ESPECIALES",B103="141 - AREQUIPE","DERIVADOS",B103="142 - MERMELADA","DERIVADOS",B103="131 - GALLETAS AVENA","DERIVADOS",B103="160 - SOUVENIR","OTROS",B103="148 - CARAMELOS","DERIVADOS",B103="143 - CHOCOFFES","DERIVADOS",B103="162 - CONVENIOS Y DSC POS ","OTROS"),"OTROS")</f>
        <v>DERIVADOS</v>
      </c>
      <c r="L103" s="27">
        <f t="shared" si="14"/>
        <v>1071567</v>
      </c>
      <c r="M103" s="27">
        <f t="shared" si="15"/>
        <v>1071567</v>
      </c>
    </row>
    <row r="104" spans="1:13" ht="16.5" hidden="1" outlineLevel="1">
      <c r="A104" s="59"/>
      <c r="B104" s="39" t="s">
        <v>28</v>
      </c>
      <c r="C104" s="60">
        <v>2161040</v>
      </c>
      <c r="D104" s="60">
        <v>0</v>
      </c>
      <c r="E104" s="36"/>
      <c r="F104" s="48">
        <v>13175768.16</v>
      </c>
      <c r="G104" s="49">
        <f t="shared" si="16"/>
        <v>0.16401624358879124</v>
      </c>
      <c r="H104" s="23">
        <f t="shared" si="17"/>
        <v>0</v>
      </c>
      <c r="I104" s="24">
        <f t="shared" si="17"/>
        <v>0</v>
      </c>
      <c r="J104" s="32" t="str" cm="1">
        <f t="array" ref="J104">IFERROR(_xlfn.IFS(B104="044 - BLEND TRADICION","BLEND",B104="113 - CAFÉ GOURMET","GOURMET",B104="114 - CAFÉ CONSUMO","CONSUMO",B104="112 - CAFÉ ORGANICO","GOURMET",B104="172 - CAFÉ COSECHA","ESPECIALES",B104="176 - CAFE DESCAFEINADO","GOURMET",B104="147 - CAPSULAS","CAPSULAS",B104="130 - GALLETAS CAFECITAS","DERIVADOS",B104="140 - MERENGUES","DERIVADOS",B104="100 - CAFÉ ESPECIAL","ESPECIALES",B104="141 - AREQUIPE","DERIVADOS",B104="142 - MERMELADA","DERIVADOS",B104="131 - GALLETAS AVENA","DERIVADOS",B104="160 - SOUVENIR","OTROS",B104="148 - CARAMELOS","DERIVADOS",B104="143 - CHOCOFFES","DERIVADOS",B104="162 - CONVENIOS Y DSC POS ","OTROS"),"OTROS")</f>
        <v>OTROS</v>
      </c>
      <c r="L104" s="27">
        <f t="shared" si="14"/>
        <v>2161040</v>
      </c>
      <c r="M104" s="27">
        <f t="shared" si="15"/>
        <v>2161040</v>
      </c>
    </row>
    <row r="105" spans="1:13" ht="16.5" hidden="1" outlineLevel="1">
      <c r="A105" s="59"/>
      <c r="B105" s="39" t="s">
        <v>29</v>
      </c>
      <c r="C105" s="60">
        <v>3438570</v>
      </c>
      <c r="D105" s="60">
        <v>0</v>
      </c>
      <c r="E105" s="36"/>
      <c r="F105" s="48">
        <v>23863639.710000001</v>
      </c>
      <c r="G105" s="49">
        <f t="shared" si="16"/>
        <v>0.14409243693698054</v>
      </c>
      <c r="H105" s="23">
        <f t="shared" si="17"/>
        <v>0</v>
      </c>
      <c r="I105" s="24">
        <f t="shared" si="17"/>
        <v>0</v>
      </c>
      <c r="J105" s="32" t="str" cm="1">
        <f t="array" ref="J105">IFERROR(_xlfn.IFS(B105="044 - BLEND TRADICION","BLEND",B105="113 - CAFÉ GOURMET","GOURMET",B105="114 - CAFÉ CONSUMO","CONSUMO",B105="112 - CAFÉ ORGANICO","GOURMET",B105="172 - CAFÉ COSECHA","ESPECIALES",B105="176 - CAFE DESCAFEINADO","GOURMET",B105="147 - CAPSULAS","CAPSULAS",B105="130 - GALLETAS CAFECITAS","DERIVADOS",B105="140 - MERENGUES","DERIVADOS",B105="100 - CAFÉ ESPECIAL","ESPECIALES",B105="141 - AREQUIPE","DERIVADOS",B105="142 - MERMELADA","DERIVADOS",B105="131 - GALLETAS AVENA","DERIVADOS",B105="160 - SOUVENIR","OTROS",B105="148 - CARAMELOS","DERIVADOS",B105="143 - CHOCOFFES","DERIVADOS",B105="162 - CONVENIOS Y DSC POS ","OTROS"),"OTROS")</f>
        <v>ESPECIALES</v>
      </c>
      <c r="L105" s="27">
        <f t="shared" si="14"/>
        <v>3438570</v>
      </c>
      <c r="M105" s="27">
        <f t="shared" si="15"/>
        <v>3438570</v>
      </c>
    </row>
    <row r="106" spans="1:13" ht="16.5" hidden="1" outlineLevel="1">
      <c r="A106" s="59"/>
      <c r="B106" s="39" t="s">
        <v>30</v>
      </c>
      <c r="C106" s="60">
        <v>1391767</v>
      </c>
      <c r="D106" s="60">
        <v>0</v>
      </c>
      <c r="E106" s="36">
        <v>0</v>
      </c>
      <c r="F106" s="48">
        <v>1665594.24</v>
      </c>
      <c r="G106" s="49">
        <f t="shared" si="16"/>
        <v>0.83559787046333689</v>
      </c>
      <c r="H106" s="23">
        <f t="shared" ref="H106:I124" si="18">IFERROR(+D106/L106*100%,0)</f>
        <v>0</v>
      </c>
      <c r="I106" s="24">
        <f t="shared" si="18"/>
        <v>0</v>
      </c>
      <c r="J106" s="32" t="str" cm="1">
        <f t="array" ref="J106">IFERROR(_xlfn.IFS(B106="044 - BLEND TRADICION","BLEND",B106="113 - CAFÉ GOURMET","GOURMET",B106="114 - CAFÉ CONSUMO","CONSUMO",B106="112 - CAFÉ ORGANICO","GOURMET",B106="172 - CAFÉ COSECHA","ESPECIALES",B106="176 - CAFE DESCAFEINADO","GOURMET",B106="147 - CAPSULAS","CAPSULAS",B106="130 - GALLETAS CAFECITAS","DERIVADOS",B106="140 - MERENGUES","DERIVADOS",B106="100 - CAFÉ ESPECIAL","ESPECIALES",B106="141 - AREQUIPE","DERIVADOS",B106="142 - MERMELADA","DERIVADOS",B106="131 - GALLETAS AVENA","DERIVADOS",B106="160 - SOUVENIR","OTROS",B106="148 - CARAMELOS","DERIVADOS",B106="143 - CHOCOFFES","DERIVADOS",B106="162 - CONVENIOS Y DSC POS ","OTROS"),"OTROS")</f>
        <v>GOURMET</v>
      </c>
      <c r="L106" s="27">
        <f t="shared" si="14"/>
        <v>1391767</v>
      </c>
      <c r="M106" s="27">
        <f t="shared" si="15"/>
        <v>1391767</v>
      </c>
    </row>
    <row r="107" spans="1:13" ht="16.5" hidden="1" outlineLevel="1">
      <c r="A107" s="19" t="s">
        <v>46</v>
      </c>
      <c r="B107" s="56" t="s">
        <v>32</v>
      </c>
      <c r="C107" s="54">
        <f>SUM(C94:C106)</f>
        <v>36299721</v>
      </c>
      <c r="D107" s="54">
        <f>SUM(D94:D106)</f>
        <v>0</v>
      </c>
      <c r="E107" s="54">
        <f>SUM(E94:E106)</f>
        <v>0</v>
      </c>
      <c r="F107" s="54">
        <f>SUM(F94:F106)</f>
        <v>202995714.88999999</v>
      </c>
      <c r="G107" s="55">
        <f t="shared" si="16"/>
        <v>0.17882013430515131</v>
      </c>
      <c r="H107" s="23">
        <f t="shared" si="18"/>
        <v>0</v>
      </c>
      <c r="I107" s="24">
        <f t="shared" si="18"/>
        <v>0</v>
      </c>
      <c r="J107" s="32" t="str" cm="1">
        <f t="array" ref="J107">IFERROR(_xlfn.IFS(B107="044 - BLEND TRADICION","BLEND",B107="113 - CAFÉ GOURMET","GOURMET",B107="114 - CAFÉ CONSUMO","CONSUMO",B107="112 - CAFÉ ORGANICO","GOURMET",B107="172 - CAFÉ COSECHA","ESPECIALES",B107="176 - CAFE DESCAFEINADO","GOURMET",B107="147 - CAPSULAS","CAPSULAS",B107="130 - GALLETAS CAFECITAS","DERIVADOS",B107="140 - MERENGUES","DERIVADOS",B107="100 - CAFÉ ESPECIAL","ESPECIALES",B107="141 - AREQUIPE","DERIVADOS",B107="142 - MERMELADA","DERIVADOS",B107="131 - GALLETAS AVENA","DERIVADOS",B107="160 - SOUVENIR","OTROS",B107="148 - CARAMELOS","DERIVADOS",B107="143 - CHOCOFFES","DERIVADOS",B107="162 - CONVENIOS Y DSC POS ","OTROS"),"OTROS")</f>
        <v>OTROS</v>
      </c>
      <c r="L107" s="27">
        <f t="shared" si="14"/>
        <v>36299721</v>
      </c>
      <c r="M107" s="27">
        <f t="shared" si="15"/>
        <v>36299721</v>
      </c>
    </row>
    <row r="108" spans="1:13" ht="16.5" collapsed="1">
      <c r="A108" s="28" t="s">
        <v>47</v>
      </c>
      <c r="B108" s="29" t="s">
        <v>17</v>
      </c>
      <c r="C108" s="30">
        <f>+C129+C143+C160+C176+C191+C115</f>
        <v>161799753</v>
      </c>
      <c r="D108" s="30">
        <f>+D129+D143+D160+D176+D191+D115</f>
        <v>0</v>
      </c>
      <c r="E108" s="30">
        <f>+E129+E143+E160+E176+E191+E115</f>
        <v>-52019</v>
      </c>
      <c r="F108" s="30">
        <f>+F129+F143+F160+F176+F191+F115</f>
        <v>664228042.13999987</v>
      </c>
      <c r="G108" s="31">
        <f t="shared" si="16"/>
        <v>0.24359066876899085</v>
      </c>
      <c r="H108" s="23">
        <f t="shared" si="18"/>
        <v>0</v>
      </c>
      <c r="I108" s="24">
        <f t="shared" si="18"/>
        <v>-3.2139901440189362E-4</v>
      </c>
      <c r="J108" s="32" t="str" cm="1">
        <f t="array" ref="J108">IFERROR(_xlfn.IFS(B108="044 - BLEND TRADICION","BLEND",B108="113 - CAFÉ GOURMET","GOURMET",B108="114 - CAFÉ CONSUMO","CONSUMO",B108="112 - CAFÉ ORGANICO","GOURMET",B108="172 - CAFÉ COSECHA","ESPECIALES",B108="176 - CAFE DESCAFEINADO","GOURMET",B108="147 - CAPSULAS","CAPSULAS",B108="130 - GALLETAS CAFECITAS","DERIVADOS",B108="140 - MERENGUES","DERIVADOS",B108="100 - CAFÉ ESPECIAL","ESPECIALES",B108="141 - AREQUIPE","DERIVADOS",B108="142 - MERMELADA","DERIVADOS",B108="131 - GALLETAS AVENA","DERIVADOS",B108="160 - SOUVENIR","OTROS",B108="148 - CARAMELOS","DERIVADOS",B108="143 - CHOCOFFES","DERIVADOS",B108="162 - CONVENIOS Y DSC POS ","OTROS"),"OTROS")</f>
        <v>OTROS</v>
      </c>
      <c r="L108" s="27">
        <f t="shared" si="14"/>
        <v>161851772</v>
      </c>
      <c r="M108" s="27">
        <f t="shared" si="15"/>
        <v>161851772</v>
      </c>
    </row>
    <row r="109" spans="1:13" ht="16.5" hidden="1" outlineLevel="1">
      <c r="A109" s="38"/>
      <c r="B109" s="39" t="s">
        <v>19</v>
      </c>
      <c r="C109" s="36">
        <v>0</v>
      </c>
      <c r="D109" s="36">
        <v>0</v>
      </c>
      <c r="E109" s="36">
        <v>0</v>
      </c>
      <c r="F109" s="36">
        <v>397872.45</v>
      </c>
      <c r="G109" s="37">
        <f t="shared" si="16"/>
        <v>0</v>
      </c>
      <c r="H109" s="23">
        <f t="shared" si="18"/>
        <v>0</v>
      </c>
      <c r="I109" s="24">
        <f t="shared" si="18"/>
        <v>0</v>
      </c>
      <c r="J109" s="32" t="str" cm="1">
        <f t="array" ref="J109">IFERROR(_xlfn.IFS(B109="044 - BLEND TRADICION","BLEND",B109="113 - CAFÉ GOURMET","GOURMET",B109="114 - CAFÉ CONSUMO","CONSUMO",B109="112 - CAFÉ ORGANICO","GOURMET",B109="172 - CAFÉ COSECHA","ESPECIALES",B109="176 - CAFE DESCAFEINADO","GOURMET",B109="147 - CAPSULAS","CAPSULAS",B109="130 - GALLETAS CAFECITAS","DERIVADOS",B109="140 - MERENGUES","DERIVADOS",B109="100 - CAFÉ ESPECIAL","ESPECIALES",B109="141 - AREQUIPE","DERIVADOS",B109="142 - MERMELADA","DERIVADOS",B109="131 - GALLETAS AVENA","DERIVADOS",B109="160 - SOUVENIR","OTROS",B109="148 - CARAMELOS","DERIVADOS",B109="143 - CHOCOFFES","DERIVADOS",B109="162 - CONVENIOS Y DSC POS ","OTROS"),"OTROS")</f>
        <v>ESPECIALES</v>
      </c>
      <c r="L109" s="27">
        <f t="shared" si="14"/>
        <v>0</v>
      </c>
      <c r="M109" s="27">
        <f t="shared" si="15"/>
        <v>0</v>
      </c>
    </row>
    <row r="110" spans="1:13" ht="16.5" hidden="1" outlineLevel="1">
      <c r="A110" s="38"/>
      <c r="B110" s="39" t="s">
        <v>20</v>
      </c>
      <c r="C110" s="36">
        <v>0</v>
      </c>
      <c r="D110" s="36">
        <v>0</v>
      </c>
      <c r="E110" s="36"/>
      <c r="F110" s="36">
        <v>550199.43000000005</v>
      </c>
      <c r="G110" s="37">
        <f t="shared" si="16"/>
        <v>0</v>
      </c>
      <c r="H110" s="23">
        <f t="shared" si="18"/>
        <v>0</v>
      </c>
      <c r="I110" s="24">
        <f t="shared" si="18"/>
        <v>0</v>
      </c>
      <c r="J110" s="32" t="str" cm="1">
        <f t="array" ref="J110">IFERROR(_xlfn.IFS(B110="044 - BLEND TRADICION","BLEND",B110="113 - CAFÉ GOURMET","GOURMET",B110="114 - CAFÉ CONSUMO","CONSUMO",B110="112 - CAFÉ ORGANICO","GOURMET",B110="172 - CAFÉ COSECHA","ESPECIALES",B110="176 - CAFE DESCAFEINADO","GOURMET",B110="147 - CAPSULAS","CAPSULAS",B110="130 - GALLETAS CAFECITAS","DERIVADOS",B110="140 - MERENGUES","DERIVADOS",B110="100 - CAFÉ ESPECIAL","ESPECIALES",B110="141 - AREQUIPE","DERIVADOS",B110="142 - MERMELADA","DERIVADOS",B110="131 - GALLETAS AVENA","DERIVADOS",B110="160 - SOUVENIR","OTROS",B110="148 - CARAMELOS","DERIVADOS",B110="143 - CHOCOFFES","DERIVADOS",B110="162 - CONVENIOS Y DSC POS ","OTROS"),"OTROS")</f>
        <v>GOURMET</v>
      </c>
      <c r="L110" s="27">
        <f t="shared" si="14"/>
        <v>0</v>
      </c>
      <c r="M110" s="27">
        <f t="shared" si="15"/>
        <v>0</v>
      </c>
    </row>
    <row r="111" spans="1:13" ht="16.5" hidden="1" outlineLevel="1">
      <c r="A111" s="38"/>
      <c r="B111" s="39" t="s">
        <v>21</v>
      </c>
      <c r="C111" s="36">
        <v>0</v>
      </c>
      <c r="D111" s="36">
        <v>0</v>
      </c>
      <c r="E111" s="36"/>
      <c r="F111" s="36">
        <v>1226924.78</v>
      </c>
      <c r="G111" s="37">
        <f t="shared" si="16"/>
        <v>0</v>
      </c>
      <c r="H111" s="23">
        <f t="shared" si="18"/>
        <v>0</v>
      </c>
      <c r="I111" s="24">
        <f t="shared" si="18"/>
        <v>0</v>
      </c>
      <c r="J111" s="32" t="str" cm="1">
        <f t="array" ref="J111">IFERROR(_xlfn.IFS(B111="044 - BLEND TRADICION","BLEND",B111="113 - CAFÉ GOURMET","GOURMET",B111="114 - CAFÉ CONSUMO","CONSUMO",B111="112 - CAFÉ ORGANICO","GOURMET",B111="172 - CAFÉ COSECHA","ESPECIALES",B111="176 - CAFE DESCAFEINADO","GOURMET",B111="147 - CAPSULAS","CAPSULAS",B111="130 - GALLETAS CAFECITAS","DERIVADOS",B111="140 - MERENGUES","DERIVADOS",B111="100 - CAFÉ ESPECIAL","ESPECIALES",B111="141 - AREQUIPE","DERIVADOS",B111="142 - MERMELADA","DERIVADOS",B111="131 - GALLETAS AVENA","DERIVADOS",B111="160 - SOUVENIR","OTROS",B111="148 - CARAMELOS","DERIVADOS",B111="143 - CHOCOFFES","DERIVADOS",B111="162 - CONVENIOS Y DSC POS ","OTROS"),"OTROS")</f>
        <v>GOURMET</v>
      </c>
      <c r="L111" s="27">
        <f t="shared" si="14"/>
        <v>0</v>
      </c>
      <c r="M111" s="27">
        <f t="shared" si="15"/>
        <v>0</v>
      </c>
    </row>
    <row r="112" spans="1:13" ht="16.5" hidden="1" outlineLevel="1">
      <c r="A112" s="38"/>
      <c r="B112" s="39" t="s">
        <v>22</v>
      </c>
      <c r="C112" s="36">
        <v>0</v>
      </c>
      <c r="D112" s="36">
        <v>0</v>
      </c>
      <c r="E112" s="36"/>
      <c r="F112" s="36">
        <v>231859.77</v>
      </c>
      <c r="G112" s="37">
        <f t="shared" si="16"/>
        <v>0</v>
      </c>
      <c r="H112" s="23">
        <f t="shared" si="18"/>
        <v>0</v>
      </c>
      <c r="I112" s="24">
        <f t="shared" si="18"/>
        <v>0</v>
      </c>
      <c r="J112" s="32" t="str" cm="1">
        <f t="array" ref="J112">IFERROR(_xlfn.IFS(B112="044 - BLEND TRADICION","BLEND",B112="113 - CAFÉ GOURMET","GOURMET",B112="114 - CAFÉ CONSUMO","CONSUMO",B112="112 - CAFÉ ORGANICO","GOURMET",B112="172 - CAFÉ COSECHA","ESPECIALES",B112="176 - CAFE DESCAFEINADO","GOURMET",B112="147 - CAPSULAS","CAPSULAS",B112="130 - GALLETAS CAFECITAS","DERIVADOS",B112="140 - MERENGUES","DERIVADOS",B112="100 - CAFÉ ESPECIAL","ESPECIALES",B112="141 - AREQUIPE","DERIVADOS",B112="142 - MERMELADA","DERIVADOS",B112="131 - GALLETAS AVENA","DERIVADOS",B112="160 - SOUVENIR","OTROS",B112="148 - CARAMELOS","DERIVADOS",B112="143 - CHOCOFFES","DERIVADOS",B112="162 - CONVENIOS Y DSC POS ","OTROS"),"OTROS")</f>
        <v>DERIVADOS</v>
      </c>
      <c r="L112" s="27">
        <f t="shared" si="14"/>
        <v>0</v>
      </c>
      <c r="M112" s="27">
        <f t="shared" si="15"/>
        <v>0</v>
      </c>
    </row>
    <row r="113" spans="1:13" ht="16.5" hidden="1" outlineLevel="1">
      <c r="A113" s="38"/>
      <c r="B113" s="39" t="s">
        <v>28</v>
      </c>
      <c r="C113" s="36">
        <v>0</v>
      </c>
      <c r="D113" s="36">
        <v>0</v>
      </c>
      <c r="E113" s="36"/>
      <c r="F113" s="36">
        <v>197515.99</v>
      </c>
      <c r="G113" s="37">
        <f t="shared" si="16"/>
        <v>0</v>
      </c>
      <c r="H113" s="23">
        <f t="shared" si="18"/>
        <v>0</v>
      </c>
      <c r="I113" s="24">
        <f t="shared" si="18"/>
        <v>0</v>
      </c>
      <c r="J113" s="32" t="str" cm="1">
        <f t="array" ref="J113">IFERROR(_xlfn.IFS(B113="044 - BLEND TRADICION","BLEND",B113="113 - CAFÉ GOURMET","GOURMET",B113="114 - CAFÉ CONSUMO","CONSUMO",B113="112 - CAFÉ ORGANICO","GOURMET",B113="172 - CAFÉ COSECHA","ESPECIALES",B113="176 - CAFE DESCAFEINADO","GOURMET",B113="147 - CAPSULAS","CAPSULAS",B113="130 - GALLETAS CAFECITAS","DERIVADOS",B113="140 - MERENGUES","DERIVADOS",B113="100 - CAFÉ ESPECIAL","ESPECIALES",B113="141 - AREQUIPE","DERIVADOS",B113="142 - MERMELADA","DERIVADOS",B113="131 - GALLETAS AVENA","DERIVADOS",B113="160 - SOUVENIR","OTROS",B113="148 - CARAMELOS","DERIVADOS",B113="143 - CHOCOFFES","DERIVADOS",B113="162 - CONVENIOS Y DSC POS ","OTROS"),"OTROS")</f>
        <v>OTROS</v>
      </c>
      <c r="L113" s="27">
        <f t="shared" si="14"/>
        <v>0</v>
      </c>
      <c r="M113" s="27">
        <f t="shared" si="15"/>
        <v>0</v>
      </c>
    </row>
    <row r="114" spans="1:13" ht="16.5" hidden="1" outlineLevel="1">
      <c r="A114" s="38"/>
      <c r="B114" s="39" t="s">
        <v>29</v>
      </c>
      <c r="C114" s="36">
        <v>0</v>
      </c>
      <c r="D114" s="36">
        <v>0</v>
      </c>
      <c r="E114" s="36"/>
      <c r="F114" s="36">
        <v>934062.72</v>
      </c>
      <c r="G114" s="37">
        <f t="shared" si="16"/>
        <v>0</v>
      </c>
      <c r="H114" s="23">
        <f t="shared" si="18"/>
        <v>0</v>
      </c>
      <c r="I114" s="24">
        <f t="shared" si="18"/>
        <v>0</v>
      </c>
      <c r="J114" s="32" t="str" cm="1">
        <f t="array" ref="J114">IFERROR(_xlfn.IFS(B114="044 - BLEND TRADICION","BLEND",B114="113 - CAFÉ GOURMET","GOURMET",B114="114 - CAFÉ CONSUMO","CONSUMO",B114="112 - CAFÉ ORGANICO","GOURMET",B114="172 - CAFÉ COSECHA","ESPECIALES",B114="176 - CAFE DESCAFEINADO","GOURMET",B114="147 - CAPSULAS","CAPSULAS",B114="130 - GALLETAS CAFECITAS","DERIVADOS",B114="140 - MERENGUES","DERIVADOS",B114="100 - CAFÉ ESPECIAL","ESPECIALES",B114="141 - AREQUIPE","DERIVADOS",B114="142 - MERMELADA","DERIVADOS",B114="131 - GALLETAS AVENA","DERIVADOS",B114="160 - SOUVENIR","OTROS",B114="148 - CARAMELOS","DERIVADOS",B114="143 - CHOCOFFES","DERIVADOS",B114="162 - CONVENIOS Y DSC POS ","OTROS"),"OTROS")</f>
        <v>ESPECIALES</v>
      </c>
      <c r="L114" s="27">
        <f t="shared" si="14"/>
        <v>0</v>
      </c>
      <c r="M114" s="27">
        <f t="shared" si="15"/>
        <v>0</v>
      </c>
    </row>
    <row r="115" spans="1:13" ht="16.5" hidden="1" outlineLevel="1">
      <c r="A115" s="19" t="s">
        <v>48</v>
      </c>
      <c r="B115" s="56" t="s">
        <v>32</v>
      </c>
      <c r="C115" s="54">
        <f>SUM(C109:C114)</f>
        <v>0</v>
      </c>
      <c r="D115" s="54">
        <f>SUM(D109:D114)</f>
        <v>0</v>
      </c>
      <c r="E115" s="54">
        <f>SUM(E109:E114)</f>
        <v>0</v>
      </c>
      <c r="F115" s="54">
        <f>SUM(F109:F114)</f>
        <v>3538435.1399999997</v>
      </c>
      <c r="G115" s="55">
        <f t="shared" si="16"/>
        <v>0</v>
      </c>
      <c r="H115" s="23">
        <f t="shared" si="18"/>
        <v>0</v>
      </c>
      <c r="I115" s="24">
        <f t="shared" si="18"/>
        <v>0</v>
      </c>
      <c r="J115" s="32" t="str" cm="1">
        <f t="array" ref="J115">IFERROR(_xlfn.IFS(B115="044 - BLEND TRADICION","BLEND",B115="113 - CAFÉ GOURMET","GOURMET",B115="114 - CAFÉ CONSUMO","CONSUMO",B115="112 - CAFÉ ORGANICO","GOURMET",B115="172 - CAFÉ COSECHA","ESPECIALES",B115="176 - CAFE DESCAFEINADO","GOURMET",B115="147 - CAPSULAS","CAPSULAS",B115="130 - GALLETAS CAFECITAS","DERIVADOS",B115="140 - MERENGUES","DERIVADOS",B115="100 - CAFÉ ESPECIAL","ESPECIALES",B115="141 - AREQUIPE","DERIVADOS",B115="142 - MERMELADA","DERIVADOS",B115="131 - GALLETAS AVENA","DERIVADOS",B115="160 - SOUVENIR","OTROS",B115="148 - CARAMELOS","DERIVADOS",B115="143 - CHOCOFFES","DERIVADOS",B115="162 - CONVENIOS Y DSC POS ","OTROS"),"OTROS")</f>
        <v>OTROS</v>
      </c>
      <c r="L115" s="27">
        <f t="shared" si="14"/>
        <v>0</v>
      </c>
      <c r="M115" s="27">
        <f t="shared" si="15"/>
        <v>0</v>
      </c>
    </row>
    <row r="116" spans="1:13" ht="16.5" hidden="1" outlineLevel="1">
      <c r="A116" s="33"/>
      <c r="B116" s="39" t="s">
        <v>18</v>
      </c>
      <c r="C116" s="36">
        <v>1065368</v>
      </c>
      <c r="D116" s="36">
        <v>0</v>
      </c>
      <c r="E116" s="36">
        <v>0</v>
      </c>
      <c r="F116" s="36">
        <v>4604527.18</v>
      </c>
      <c r="G116" s="37">
        <f t="shared" si="16"/>
        <v>0.2313740278540391</v>
      </c>
      <c r="H116" s="23">
        <f t="shared" si="18"/>
        <v>0</v>
      </c>
      <c r="I116" s="24">
        <f t="shared" si="18"/>
        <v>0</v>
      </c>
      <c r="J116" s="32" t="str" cm="1">
        <f t="array" ref="J116">IFERROR(_xlfn.IFS(B116="044 - BLEND TRADICION","BLEND",B116="113 - CAFÉ GOURMET","GOURMET",B116="114 - CAFÉ CONSUMO","CONSUMO",B116="112 - CAFÉ ORGANICO","GOURMET",B116="172 - CAFÉ COSECHA","ESPECIALES",B116="176 - CAFE DESCAFEINADO","GOURMET",B116="147 - CAPSULAS","CAPSULAS",B116="130 - GALLETAS CAFECITAS","DERIVADOS",B116="140 - MERENGUES","DERIVADOS",B116="100 - CAFÉ ESPECIAL","ESPECIALES",B116="141 - AREQUIPE","DERIVADOS",B116="142 - MERMELADA","DERIVADOS",B116="131 - GALLETAS AVENA","DERIVADOS",B116="160 - SOUVENIR","OTROS",B116="148 - CARAMELOS","DERIVADOS",B116="143 - CHOCOFFES","DERIVADOS",B116="162 - CONVENIOS Y DSC POS ","OTROS"),"OTROS")</f>
        <v>BLEND</v>
      </c>
      <c r="L116" s="27">
        <f t="shared" si="14"/>
        <v>1065368</v>
      </c>
      <c r="M116" s="27">
        <f t="shared" si="15"/>
        <v>1065368</v>
      </c>
    </row>
    <row r="117" spans="1:13" ht="16.5" hidden="1" outlineLevel="1">
      <c r="A117" s="38"/>
      <c r="B117" s="39" t="s">
        <v>19</v>
      </c>
      <c r="C117" s="36">
        <v>198983</v>
      </c>
      <c r="D117" s="36">
        <v>0</v>
      </c>
      <c r="E117" s="36">
        <v>0</v>
      </c>
      <c r="F117" s="36">
        <v>904271.48</v>
      </c>
      <c r="G117" s="37">
        <f t="shared" si="16"/>
        <v>0.2200478555400199</v>
      </c>
      <c r="H117" s="23">
        <f t="shared" si="18"/>
        <v>0</v>
      </c>
      <c r="I117" s="24">
        <f t="shared" si="18"/>
        <v>0</v>
      </c>
      <c r="J117" s="32" t="str" cm="1">
        <f t="array" ref="J117">IFERROR(_xlfn.IFS(B117="044 - BLEND TRADICION","BLEND",B117="113 - CAFÉ GOURMET","GOURMET",B117="114 - CAFÉ CONSUMO","CONSUMO",B117="112 - CAFÉ ORGANICO","GOURMET",B117="172 - CAFÉ COSECHA","ESPECIALES",B117="176 - CAFE DESCAFEINADO","GOURMET",B117="147 - CAPSULAS","CAPSULAS",B117="130 - GALLETAS CAFECITAS","DERIVADOS",B117="140 - MERENGUES","DERIVADOS",B117="100 - CAFÉ ESPECIAL","ESPECIALES",B117="141 - AREQUIPE","DERIVADOS",B117="142 - MERMELADA","DERIVADOS",B117="131 - GALLETAS AVENA","DERIVADOS",B117="160 - SOUVENIR","OTROS",B117="148 - CARAMELOS","DERIVADOS",B117="143 - CHOCOFFES","DERIVADOS",B117="162 - CONVENIOS Y DSC POS ","OTROS"),"OTROS")</f>
        <v>ESPECIALES</v>
      </c>
      <c r="L117" s="27">
        <f t="shared" si="14"/>
        <v>198983</v>
      </c>
      <c r="M117" s="27">
        <f t="shared" si="15"/>
        <v>198983</v>
      </c>
    </row>
    <row r="118" spans="1:13" ht="16.5" hidden="1" outlineLevel="1">
      <c r="A118" s="38"/>
      <c r="B118" s="39" t="s">
        <v>20</v>
      </c>
      <c r="C118" s="36">
        <v>319902</v>
      </c>
      <c r="D118" s="36">
        <v>0</v>
      </c>
      <c r="E118" s="36">
        <v>0</v>
      </c>
      <c r="F118" s="36">
        <v>1000950.28</v>
      </c>
      <c r="G118" s="37">
        <f t="shared" si="16"/>
        <v>0.31959829213495</v>
      </c>
      <c r="H118" s="23">
        <f t="shared" si="18"/>
        <v>0</v>
      </c>
      <c r="I118" s="24">
        <f t="shared" si="18"/>
        <v>0</v>
      </c>
      <c r="J118" s="32" t="str" cm="1">
        <f t="array" ref="J118">IFERROR(_xlfn.IFS(B118="044 - BLEND TRADICION","BLEND",B118="113 - CAFÉ GOURMET","GOURMET",B118="114 - CAFÉ CONSUMO","CONSUMO",B118="112 - CAFÉ ORGANICO","GOURMET",B118="172 - CAFÉ COSECHA","ESPECIALES",B118="176 - CAFE DESCAFEINADO","GOURMET",B118="147 - CAPSULAS","CAPSULAS",B118="130 - GALLETAS CAFECITAS","DERIVADOS",B118="140 - MERENGUES","DERIVADOS",B118="100 - CAFÉ ESPECIAL","ESPECIALES",B118="141 - AREQUIPE","DERIVADOS",B118="142 - MERMELADA","DERIVADOS",B118="131 - GALLETAS AVENA","DERIVADOS",B118="160 - SOUVENIR","OTROS",B118="148 - CARAMELOS","DERIVADOS",B118="143 - CHOCOFFES","DERIVADOS",B118="162 - CONVENIOS Y DSC POS ","OTROS"),"OTROS")</f>
        <v>GOURMET</v>
      </c>
      <c r="L118" s="27">
        <f t="shared" si="14"/>
        <v>319902</v>
      </c>
      <c r="M118" s="27">
        <f t="shared" si="15"/>
        <v>319902</v>
      </c>
    </row>
    <row r="119" spans="1:13" ht="16.5" hidden="1" outlineLevel="1">
      <c r="A119" s="38"/>
      <c r="B119" s="39" t="s">
        <v>21</v>
      </c>
      <c r="C119" s="36">
        <v>5557884</v>
      </c>
      <c r="D119" s="36">
        <v>0</v>
      </c>
      <c r="E119" s="36">
        <v>0</v>
      </c>
      <c r="F119" s="36">
        <v>29634733.52</v>
      </c>
      <c r="G119" s="37">
        <f t="shared" si="16"/>
        <v>0.18754627897190554</v>
      </c>
      <c r="H119" s="23">
        <f t="shared" si="18"/>
        <v>0</v>
      </c>
      <c r="I119" s="24">
        <f t="shared" si="18"/>
        <v>0</v>
      </c>
      <c r="J119" s="32" t="str" cm="1">
        <f t="array" ref="J119">IFERROR(_xlfn.IFS(B119="044 - BLEND TRADICION","BLEND",B119="113 - CAFÉ GOURMET","GOURMET",B119="114 - CAFÉ CONSUMO","CONSUMO",B119="112 - CAFÉ ORGANICO","GOURMET",B119="172 - CAFÉ COSECHA","ESPECIALES",B119="176 - CAFE DESCAFEINADO","GOURMET",B119="147 - CAPSULAS","CAPSULAS",B119="130 - GALLETAS CAFECITAS","DERIVADOS",B119="140 - MERENGUES","DERIVADOS",B119="100 - CAFÉ ESPECIAL","ESPECIALES",B119="141 - AREQUIPE","DERIVADOS",B119="142 - MERMELADA","DERIVADOS",B119="131 - GALLETAS AVENA","DERIVADOS",B119="160 - SOUVENIR","OTROS",B119="148 - CARAMELOS","DERIVADOS",B119="143 - CHOCOFFES","DERIVADOS",B119="162 - CONVENIOS Y DSC POS ","OTROS"),"OTROS")</f>
        <v>GOURMET</v>
      </c>
      <c r="L119" s="27">
        <f t="shared" si="14"/>
        <v>5557884</v>
      </c>
      <c r="M119" s="27">
        <f t="shared" si="15"/>
        <v>5557884</v>
      </c>
    </row>
    <row r="120" spans="1:13" ht="16.5" hidden="1" outlineLevel="1">
      <c r="A120" s="38"/>
      <c r="B120" s="39" t="s">
        <v>22</v>
      </c>
      <c r="C120" s="36">
        <v>1993425</v>
      </c>
      <c r="D120" s="36">
        <v>0</v>
      </c>
      <c r="E120" s="36"/>
      <c r="F120" s="36">
        <v>7797334.1100000003</v>
      </c>
      <c r="G120" s="37">
        <f t="shared" si="16"/>
        <v>0.25565468554739151</v>
      </c>
      <c r="H120" s="23">
        <f t="shared" si="18"/>
        <v>0</v>
      </c>
      <c r="I120" s="24">
        <f t="shared" si="18"/>
        <v>0</v>
      </c>
      <c r="J120" s="32" t="str" cm="1">
        <f t="array" ref="J120">IFERROR(_xlfn.IFS(B120="044 - BLEND TRADICION","BLEND",B120="113 - CAFÉ GOURMET","GOURMET",B120="114 - CAFÉ CONSUMO","CONSUMO",B120="112 - CAFÉ ORGANICO","GOURMET",B120="172 - CAFÉ COSECHA","ESPECIALES",B120="176 - CAFE DESCAFEINADO","GOURMET",B120="147 - CAPSULAS","CAPSULAS",B120="130 - GALLETAS CAFECITAS","DERIVADOS",B120="140 - MERENGUES","DERIVADOS",B120="100 - CAFÉ ESPECIAL","ESPECIALES",B120="141 - AREQUIPE","DERIVADOS",B120="142 - MERMELADA","DERIVADOS",B120="131 - GALLETAS AVENA","DERIVADOS",B120="160 - SOUVENIR","OTROS",B120="148 - CARAMELOS","DERIVADOS",B120="143 - CHOCOFFES","DERIVADOS",B120="162 - CONVENIOS Y DSC POS ","OTROS"),"OTROS")</f>
        <v>DERIVADOS</v>
      </c>
      <c r="L120" s="27">
        <f t="shared" si="14"/>
        <v>1993425</v>
      </c>
      <c r="M120" s="27">
        <f t="shared" si="15"/>
        <v>1993425</v>
      </c>
    </row>
    <row r="121" spans="1:13" ht="16.5" hidden="1" outlineLevel="1">
      <c r="A121" s="38"/>
      <c r="B121" s="39" t="s">
        <v>23</v>
      </c>
      <c r="C121" s="36">
        <v>0</v>
      </c>
      <c r="D121" s="36">
        <v>0</v>
      </c>
      <c r="E121" s="36">
        <v>0</v>
      </c>
      <c r="F121" s="36">
        <v>251654.35</v>
      </c>
      <c r="G121" s="37">
        <f t="shared" si="16"/>
        <v>0</v>
      </c>
      <c r="H121" s="23">
        <f t="shared" si="18"/>
        <v>0</v>
      </c>
      <c r="I121" s="24">
        <f t="shared" si="18"/>
        <v>0</v>
      </c>
      <c r="J121" s="32" t="str" cm="1">
        <f t="array" ref="J121">IFERROR(_xlfn.IFS(B121="044 - BLEND TRADICION","BLEND",B121="113 - CAFÉ GOURMET","GOURMET",B121="114 - CAFÉ CONSUMO","CONSUMO",B121="112 - CAFÉ ORGANICO","GOURMET",B121="172 - CAFÉ COSECHA","ESPECIALES",B121="176 - CAFE DESCAFEINADO","GOURMET",B121="147 - CAPSULAS","CAPSULAS",B121="130 - GALLETAS CAFECITAS","DERIVADOS",B121="140 - MERENGUES","DERIVADOS",B121="100 - CAFÉ ESPECIAL","ESPECIALES",B121="141 - AREQUIPE","DERIVADOS",B121="142 - MERMELADA","DERIVADOS",B121="131 - GALLETAS AVENA","DERIVADOS",B121="160 - SOUVENIR","OTROS",B121="148 - CARAMELOS","DERIVADOS",B121="143 - CHOCOFFES","DERIVADOS",B121="162 - CONVENIOS Y DSC POS ","OTROS"),"OTROS")</f>
        <v>DERIVADOS</v>
      </c>
      <c r="L121" s="27">
        <f t="shared" si="14"/>
        <v>0</v>
      </c>
      <c r="M121" s="27">
        <f t="shared" si="15"/>
        <v>0</v>
      </c>
    </row>
    <row r="122" spans="1:13" ht="16.5" hidden="1" outlineLevel="1">
      <c r="A122" s="38"/>
      <c r="B122" s="39" t="s">
        <v>24</v>
      </c>
      <c r="C122" s="36">
        <v>177812</v>
      </c>
      <c r="D122" s="36">
        <v>0</v>
      </c>
      <c r="E122" s="36">
        <v>0</v>
      </c>
      <c r="F122" s="36">
        <v>965398.25</v>
      </c>
      <c r="G122" s="37">
        <f t="shared" si="16"/>
        <v>0.18418512774391294</v>
      </c>
      <c r="H122" s="23">
        <f t="shared" si="18"/>
        <v>0</v>
      </c>
      <c r="I122" s="24">
        <f t="shared" si="18"/>
        <v>0</v>
      </c>
      <c r="J122" s="32" t="str" cm="1">
        <f t="array" ref="J122">IFERROR(_xlfn.IFS(B122="044 - BLEND TRADICION","BLEND",B122="113 - CAFÉ GOURMET","GOURMET",B122="114 - CAFÉ CONSUMO","CONSUMO",B122="112 - CAFÉ ORGANICO","GOURMET",B122="172 - CAFÉ COSECHA","ESPECIALES",B122="176 - CAFE DESCAFEINADO","GOURMET",B122="147 - CAPSULAS","CAPSULAS",B122="130 - GALLETAS CAFECITAS","DERIVADOS",B122="140 - MERENGUES","DERIVADOS",B122="100 - CAFÉ ESPECIAL","ESPECIALES",B122="141 - AREQUIPE","DERIVADOS",B122="142 - MERMELADA","DERIVADOS",B122="131 - GALLETAS AVENA","DERIVADOS",B122="160 - SOUVENIR","OTROS",B122="148 - CARAMELOS","DERIVADOS",B122="143 - CHOCOFFES","DERIVADOS",B122="162 - CONVENIOS Y DSC POS ","OTROS"),"OTROS")</f>
        <v>DERIVADOS</v>
      </c>
      <c r="L122" s="27">
        <f t="shared" si="14"/>
        <v>177812</v>
      </c>
      <c r="M122" s="27">
        <f t="shared" si="15"/>
        <v>177812</v>
      </c>
    </row>
    <row r="123" spans="1:13" ht="16.5" hidden="1" outlineLevel="1">
      <c r="A123" s="38"/>
      <c r="B123" s="39" t="s">
        <v>25</v>
      </c>
      <c r="C123" s="36">
        <v>1018995</v>
      </c>
      <c r="D123" s="36">
        <v>0</v>
      </c>
      <c r="E123" s="36"/>
      <c r="F123" s="36">
        <v>4939039.0999999996</v>
      </c>
      <c r="G123" s="37">
        <f t="shared" si="16"/>
        <v>0.20631442257665061</v>
      </c>
      <c r="H123" s="23">
        <f t="shared" si="18"/>
        <v>0</v>
      </c>
      <c r="I123" s="24">
        <f t="shared" si="18"/>
        <v>0</v>
      </c>
      <c r="J123" s="32" t="str" cm="1">
        <f t="array" ref="J123">IFERROR(_xlfn.IFS(B123="044 - BLEND TRADICION","BLEND",B123="113 - CAFÉ GOURMET","GOURMET",B123="114 - CAFÉ CONSUMO","CONSUMO",B123="112 - CAFÉ ORGANICO","GOURMET",B123="172 - CAFÉ COSECHA","ESPECIALES",B123="176 - CAFE DESCAFEINADO","GOURMET",B123="147 - CAPSULAS","CAPSULAS",B123="130 - GALLETAS CAFECITAS","DERIVADOS",B123="140 - MERENGUES","DERIVADOS",B123="100 - CAFÉ ESPECIAL","ESPECIALES",B123="141 - AREQUIPE","DERIVADOS",B123="142 - MERMELADA","DERIVADOS",B123="131 - GALLETAS AVENA","DERIVADOS",B123="160 - SOUVENIR","OTROS",B123="148 - CARAMELOS","DERIVADOS",B123="143 - CHOCOFFES","DERIVADOS",B123="162 - CONVENIOS Y DSC POS ","OTROS"),"OTROS")</f>
        <v>DERIVADOS</v>
      </c>
      <c r="L123" s="27">
        <f t="shared" si="14"/>
        <v>1018995</v>
      </c>
      <c r="M123" s="27">
        <f t="shared" si="15"/>
        <v>1018995</v>
      </c>
    </row>
    <row r="124" spans="1:13" ht="16.5" hidden="1" outlineLevel="1">
      <c r="A124" s="38"/>
      <c r="B124" s="39" t="s">
        <v>26</v>
      </c>
      <c r="C124" s="36">
        <v>228552</v>
      </c>
      <c r="D124" s="36">
        <v>0</v>
      </c>
      <c r="E124" s="36"/>
      <c r="F124" s="36">
        <v>1642173.15</v>
      </c>
      <c r="G124" s="37">
        <f t="shared" si="16"/>
        <v>0.1391765539462145</v>
      </c>
      <c r="H124" s="23">
        <f t="shared" si="18"/>
        <v>0</v>
      </c>
      <c r="I124" s="24">
        <f t="shared" si="18"/>
        <v>0</v>
      </c>
      <c r="J124" s="32" t="str" cm="1">
        <f t="array" ref="J124">IFERROR(_xlfn.IFS(B124="044 - BLEND TRADICION","BLEND",B124="113 - CAFÉ GOURMET","GOURMET",B124="114 - CAFÉ CONSUMO","CONSUMO",B124="112 - CAFÉ ORGANICO","GOURMET",B124="172 - CAFÉ COSECHA","ESPECIALES",B124="176 - CAFE DESCAFEINADO","GOURMET",B124="147 - CAPSULAS","CAPSULAS",B124="130 - GALLETAS CAFECITAS","DERIVADOS",B124="140 - MERENGUES","DERIVADOS",B124="100 - CAFÉ ESPECIAL","ESPECIALES",B124="141 - AREQUIPE","DERIVADOS",B124="142 - MERMELADA","DERIVADOS",B124="131 - GALLETAS AVENA","DERIVADOS",B124="160 - SOUVENIR","OTROS",B124="148 - CARAMELOS","DERIVADOS",B124="143 - CHOCOFFES","DERIVADOS",B124="162 - CONVENIOS Y DSC POS ","OTROS"),"OTROS")</f>
        <v>CAPSULAS</v>
      </c>
      <c r="L124" s="27">
        <f t="shared" si="14"/>
        <v>228552</v>
      </c>
      <c r="M124" s="27">
        <f t="shared" si="15"/>
        <v>228552</v>
      </c>
    </row>
    <row r="125" spans="1:13" ht="16.5" hidden="1" outlineLevel="1">
      <c r="A125" s="38"/>
      <c r="B125" s="39" t="s">
        <v>27</v>
      </c>
      <c r="C125" s="36">
        <v>1561955</v>
      </c>
      <c r="D125" s="36">
        <v>0</v>
      </c>
      <c r="E125" s="36"/>
      <c r="F125" s="36">
        <v>3108561.46</v>
      </c>
      <c r="G125" s="37">
        <f t="shared" si="16"/>
        <v>0.50246875286165327</v>
      </c>
      <c r="H125" s="23">
        <f t="shared" ref="H125:I140" si="19">IFERROR(+D125/L125*100%,0)</f>
        <v>0</v>
      </c>
      <c r="I125" s="24">
        <f t="shared" si="19"/>
        <v>0</v>
      </c>
      <c r="J125" s="32" t="str" cm="1">
        <f t="array" ref="J125">IFERROR(_xlfn.IFS(B125="044 - BLEND TRADICION","BLEND",B125="113 - CAFÉ GOURMET","GOURMET",B125="114 - CAFÉ CONSUMO","CONSUMO",B125="112 - CAFÉ ORGANICO","GOURMET",B125="172 - CAFÉ COSECHA","ESPECIALES",B125="176 - CAFE DESCAFEINADO","GOURMET",B125="147 - CAPSULAS","CAPSULAS",B125="130 - GALLETAS CAFECITAS","DERIVADOS",B125="140 - MERENGUES","DERIVADOS",B125="100 - CAFÉ ESPECIAL","ESPECIALES",B125="141 - AREQUIPE","DERIVADOS",B125="142 - MERMELADA","DERIVADOS",B125="131 - GALLETAS AVENA","DERIVADOS",B125="160 - SOUVENIR","OTROS",B125="148 - CARAMELOS","DERIVADOS",B125="143 - CHOCOFFES","DERIVADOS",B125="162 - CONVENIOS Y DSC POS ","OTROS"),"OTROS")</f>
        <v>DERIVADOS</v>
      </c>
      <c r="L125" s="27">
        <f t="shared" si="14"/>
        <v>1561955</v>
      </c>
      <c r="M125" s="27">
        <f t="shared" si="15"/>
        <v>1561955</v>
      </c>
    </row>
    <row r="126" spans="1:13" ht="16.5" hidden="1" outlineLevel="1">
      <c r="A126" s="38"/>
      <c r="B126" s="39" t="s">
        <v>28</v>
      </c>
      <c r="C126" s="36">
        <v>79379</v>
      </c>
      <c r="D126" s="36">
        <v>0</v>
      </c>
      <c r="E126" s="36">
        <v>0</v>
      </c>
      <c r="F126" s="36">
        <v>1929397.03</v>
      </c>
      <c r="G126" s="37">
        <f t="shared" si="16"/>
        <v>4.1141869073987328E-2</v>
      </c>
      <c r="H126" s="23">
        <f t="shared" si="19"/>
        <v>0</v>
      </c>
      <c r="I126" s="24">
        <f t="shared" si="19"/>
        <v>0</v>
      </c>
      <c r="J126" s="32" t="str" cm="1">
        <f t="array" ref="J126">IFERROR(_xlfn.IFS(B126="044 - BLEND TRADICION","BLEND",B126="113 - CAFÉ GOURMET","GOURMET",B126="114 - CAFÉ CONSUMO","CONSUMO",B126="112 - CAFÉ ORGANICO","GOURMET",B126="172 - CAFÉ COSECHA","ESPECIALES",B126="176 - CAFE DESCAFEINADO","GOURMET",B126="147 - CAPSULAS","CAPSULAS",B126="130 - GALLETAS CAFECITAS","DERIVADOS",B126="140 - MERENGUES","DERIVADOS",B126="100 - CAFÉ ESPECIAL","ESPECIALES",B126="141 - AREQUIPE","DERIVADOS",B126="142 - MERMELADA","DERIVADOS",B126="131 - GALLETAS AVENA","DERIVADOS",B126="160 - SOUVENIR","OTROS",B126="148 - CARAMELOS","DERIVADOS",B126="143 - CHOCOFFES","DERIVADOS",B126="162 - CONVENIOS Y DSC POS ","OTROS"),"OTROS")</f>
        <v>OTROS</v>
      </c>
      <c r="L126" s="27">
        <f t="shared" si="14"/>
        <v>79379</v>
      </c>
      <c r="M126" s="27">
        <f t="shared" si="15"/>
        <v>79379</v>
      </c>
    </row>
    <row r="127" spans="1:13" ht="16.5" hidden="1" outlineLevel="1">
      <c r="A127" s="38"/>
      <c r="B127" s="39" t="s">
        <v>29</v>
      </c>
      <c r="C127" s="36">
        <v>127352</v>
      </c>
      <c r="D127" s="36">
        <v>0</v>
      </c>
      <c r="E127" s="36"/>
      <c r="F127" s="36">
        <v>2019776.56</v>
      </c>
      <c r="G127" s="37">
        <f t="shared" si="16"/>
        <v>6.3052519037056262E-2</v>
      </c>
      <c r="H127" s="23">
        <f t="shared" si="19"/>
        <v>0</v>
      </c>
      <c r="I127" s="24">
        <f t="shared" si="19"/>
        <v>0</v>
      </c>
      <c r="J127" s="32" t="str" cm="1">
        <f t="array" ref="J127">IFERROR(_xlfn.IFS(B127="044 - BLEND TRADICION","BLEND",B127="113 - CAFÉ GOURMET","GOURMET",B127="114 - CAFÉ CONSUMO","CONSUMO",B127="112 - CAFÉ ORGANICO","GOURMET",B127="172 - CAFÉ COSECHA","ESPECIALES",B127="176 - CAFE DESCAFEINADO","GOURMET",B127="147 - CAPSULAS","CAPSULAS",B127="130 - GALLETAS CAFECITAS","DERIVADOS",B127="140 - MERENGUES","DERIVADOS",B127="100 - CAFÉ ESPECIAL","ESPECIALES",B127="141 - AREQUIPE","DERIVADOS",B127="142 - MERMELADA","DERIVADOS",B127="131 - GALLETAS AVENA","DERIVADOS",B127="160 - SOUVENIR","OTROS",B127="148 - CARAMELOS","DERIVADOS",B127="143 - CHOCOFFES","DERIVADOS",B127="162 - CONVENIOS Y DSC POS ","OTROS"),"OTROS")</f>
        <v>ESPECIALES</v>
      </c>
      <c r="L127" s="27">
        <f t="shared" si="14"/>
        <v>127352</v>
      </c>
      <c r="M127" s="27">
        <f t="shared" si="15"/>
        <v>127352</v>
      </c>
    </row>
    <row r="128" spans="1:13" ht="16.5" hidden="1" outlineLevel="1">
      <c r="A128" s="38"/>
      <c r="B128" s="39" t="s">
        <v>30</v>
      </c>
      <c r="C128" s="36">
        <v>0</v>
      </c>
      <c r="D128" s="36">
        <v>0</v>
      </c>
      <c r="E128" s="36">
        <v>0</v>
      </c>
      <c r="F128" s="36">
        <v>75457.58</v>
      </c>
      <c r="G128" s="37">
        <f t="shared" si="16"/>
        <v>0</v>
      </c>
      <c r="H128" s="23">
        <f t="shared" si="19"/>
        <v>0</v>
      </c>
      <c r="I128" s="24">
        <f t="shared" si="19"/>
        <v>0</v>
      </c>
      <c r="J128" s="32" t="str" cm="1">
        <f t="array" ref="J128">IFERROR(_xlfn.IFS(B128="044 - BLEND TRADICION","BLEND",B128="113 - CAFÉ GOURMET","GOURMET",B128="114 - CAFÉ CONSUMO","CONSUMO",B128="112 - CAFÉ ORGANICO","GOURMET",B128="172 - CAFÉ COSECHA","ESPECIALES",B128="176 - CAFE DESCAFEINADO","GOURMET",B128="147 - CAPSULAS","CAPSULAS",B128="130 - GALLETAS CAFECITAS","DERIVADOS",B128="140 - MERENGUES","DERIVADOS",B128="100 - CAFÉ ESPECIAL","ESPECIALES",B128="141 - AREQUIPE","DERIVADOS",B128="142 - MERMELADA","DERIVADOS",B128="131 - GALLETAS AVENA","DERIVADOS",B128="160 - SOUVENIR","OTROS",B128="148 - CARAMELOS","DERIVADOS",B128="143 - CHOCOFFES","DERIVADOS",B128="162 - CONVENIOS Y DSC POS ","OTROS"),"OTROS")</f>
        <v>GOURMET</v>
      </c>
      <c r="L128" s="27">
        <f t="shared" si="14"/>
        <v>0</v>
      </c>
      <c r="M128" s="27">
        <f t="shared" si="15"/>
        <v>0</v>
      </c>
    </row>
    <row r="129" spans="1:13" ht="16.5" hidden="1" outlineLevel="1">
      <c r="A129" s="19" t="s">
        <v>49</v>
      </c>
      <c r="B129" s="56" t="s">
        <v>32</v>
      </c>
      <c r="C129" s="54">
        <f>SUM(C116:C128)</f>
        <v>12329607</v>
      </c>
      <c r="D129" s="54">
        <f>SUM(D116:D128)</f>
        <v>0</v>
      </c>
      <c r="E129" s="54">
        <f>SUM(E116:E128)</f>
        <v>0</v>
      </c>
      <c r="F129" s="58">
        <f>SUM(F116:F128)</f>
        <v>58873274.050000004</v>
      </c>
      <c r="G129" s="55">
        <f t="shared" si="16"/>
        <v>0.20942621586712992</v>
      </c>
      <c r="H129" s="23">
        <f t="shared" si="19"/>
        <v>0</v>
      </c>
      <c r="I129" s="24">
        <f t="shared" si="19"/>
        <v>0</v>
      </c>
      <c r="J129" s="32" t="str" cm="1">
        <f t="array" ref="J129">IFERROR(_xlfn.IFS(B129="044 - BLEND TRADICION","BLEND",B129="113 - CAFÉ GOURMET","GOURMET",B129="114 - CAFÉ CONSUMO","CONSUMO",B129="112 - CAFÉ ORGANICO","GOURMET",B129="172 - CAFÉ COSECHA","ESPECIALES",B129="176 - CAFE DESCAFEINADO","GOURMET",B129="147 - CAPSULAS","CAPSULAS",B129="130 - GALLETAS CAFECITAS","DERIVADOS",B129="140 - MERENGUES","DERIVADOS",B129="100 - CAFÉ ESPECIAL","ESPECIALES",B129="141 - AREQUIPE","DERIVADOS",B129="142 - MERMELADA","DERIVADOS",B129="131 - GALLETAS AVENA","DERIVADOS",B129="160 - SOUVENIR","OTROS",B129="148 - CARAMELOS","DERIVADOS",B129="143 - CHOCOFFES","DERIVADOS",B129="162 - CONVENIOS Y DSC POS ","OTROS"),"OTROS")</f>
        <v>OTROS</v>
      </c>
      <c r="L129" s="27">
        <f t="shared" si="14"/>
        <v>12329607</v>
      </c>
      <c r="M129" s="27">
        <f t="shared" si="15"/>
        <v>12329607</v>
      </c>
    </row>
    <row r="130" spans="1:13" ht="16.5" hidden="1" outlineLevel="1">
      <c r="A130" s="33"/>
      <c r="B130" s="39" t="s">
        <v>18</v>
      </c>
      <c r="C130" s="36">
        <v>844992</v>
      </c>
      <c r="D130" s="36">
        <v>0</v>
      </c>
      <c r="E130" s="36"/>
      <c r="F130" s="36">
        <v>5334403.3099999996</v>
      </c>
      <c r="G130" s="37">
        <f t="shared" si="16"/>
        <v>0.1584042208462112</v>
      </c>
      <c r="H130" s="23">
        <f t="shared" si="19"/>
        <v>0</v>
      </c>
      <c r="I130" s="24">
        <f t="shared" si="19"/>
        <v>0</v>
      </c>
      <c r="J130" s="32" t="str" cm="1">
        <f t="array" ref="J130">IFERROR(_xlfn.IFS(B130="044 - BLEND TRADICION","BLEND",B130="113 - CAFÉ GOURMET","GOURMET",B130="114 - CAFÉ CONSUMO","CONSUMO",B130="112 - CAFÉ ORGANICO","GOURMET",B130="172 - CAFÉ COSECHA","ESPECIALES",B130="176 - CAFE DESCAFEINADO","GOURMET",B130="147 - CAPSULAS","CAPSULAS",B130="130 - GALLETAS CAFECITAS","DERIVADOS",B130="140 - MERENGUES","DERIVADOS",B130="100 - CAFÉ ESPECIAL","ESPECIALES",B130="141 - AREQUIPE","DERIVADOS",B130="142 - MERMELADA","DERIVADOS",B130="131 - GALLETAS AVENA","DERIVADOS",B130="160 - SOUVENIR","OTROS",B130="148 - CARAMELOS","DERIVADOS",B130="143 - CHOCOFFES","DERIVADOS",B130="162 - CONVENIOS Y DSC POS ","OTROS"),"OTROS")</f>
        <v>BLEND</v>
      </c>
      <c r="L130" s="27">
        <f t="shared" si="14"/>
        <v>844992</v>
      </c>
      <c r="M130" s="27">
        <f t="shared" si="15"/>
        <v>844992</v>
      </c>
    </row>
    <row r="131" spans="1:13" ht="16.5" hidden="1" outlineLevel="1">
      <c r="A131" s="38"/>
      <c r="B131" s="39" t="s">
        <v>19</v>
      </c>
      <c r="C131" s="36">
        <v>0</v>
      </c>
      <c r="D131" s="36">
        <v>0</v>
      </c>
      <c r="E131" s="36"/>
      <c r="F131" s="36">
        <v>1332928.3500000001</v>
      </c>
      <c r="G131" s="37">
        <f t="shared" si="16"/>
        <v>0</v>
      </c>
      <c r="H131" s="23">
        <f t="shared" si="19"/>
        <v>0</v>
      </c>
      <c r="I131" s="24">
        <f t="shared" si="19"/>
        <v>0</v>
      </c>
      <c r="J131" s="32" t="str" cm="1">
        <f t="array" ref="J131">IFERROR(_xlfn.IFS(B131="044 - BLEND TRADICION","BLEND",B131="113 - CAFÉ GOURMET","GOURMET",B131="114 - CAFÉ CONSUMO","CONSUMO",B131="112 - CAFÉ ORGANICO","GOURMET",B131="172 - CAFÉ COSECHA","ESPECIALES",B131="176 - CAFE DESCAFEINADO","GOURMET",B131="147 - CAPSULAS","CAPSULAS",B131="130 - GALLETAS CAFECITAS","DERIVADOS",B131="140 - MERENGUES","DERIVADOS",B131="100 - CAFÉ ESPECIAL","ESPECIALES",B131="141 - AREQUIPE","DERIVADOS",B131="142 - MERMELADA","DERIVADOS",B131="131 - GALLETAS AVENA","DERIVADOS",B131="160 - SOUVENIR","OTROS",B131="148 - CARAMELOS","DERIVADOS",B131="143 - CHOCOFFES","DERIVADOS",B131="162 - CONVENIOS Y DSC POS ","OTROS"),"OTROS")</f>
        <v>ESPECIALES</v>
      </c>
      <c r="L131" s="27">
        <f t="shared" si="14"/>
        <v>0</v>
      </c>
      <c r="M131" s="27">
        <f t="shared" si="15"/>
        <v>0</v>
      </c>
    </row>
    <row r="132" spans="1:13" ht="16.5" hidden="1" outlineLevel="1">
      <c r="A132" s="38"/>
      <c r="B132" s="39" t="s">
        <v>20</v>
      </c>
      <c r="C132" s="36">
        <v>767760</v>
      </c>
      <c r="D132" s="36">
        <v>0</v>
      </c>
      <c r="E132" s="36"/>
      <c r="F132" s="36">
        <v>1484611.46</v>
      </c>
      <c r="G132" s="37">
        <f>IFERROR(C132/F132*100%,"-")</f>
        <v>0.51714540853672253</v>
      </c>
      <c r="H132" s="23">
        <f t="shared" si="19"/>
        <v>0</v>
      </c>
      <c r="I132" s="24">
        <f t="shared" si="19"/>
        <v>0</v>
      </c>
      <c r="J132" s="32" t="str" cm="1">
        <f t="array" ref="J132">IFERROR(_xlfn.IFS(B132="044 - BLEND TRADICION","BLEND",B132="113 - CAFÉ GOURMET","GOURMET",B132="114 - CAFÉ CONSUMO","CONSUMO",B132="112 - CAFÉ ORGANICO","GOURMET",B132="172 - CAFÉ COSECHA","ESPECIALES",B132="176 - CAFE DESCAFEINADO","GOURMET",B132="147 - CAPSULAS","CAPSULAS",B132="130 - GALLETAS CAFECITAS","DERIVADOS",B132="140 - MERENGUES","DERIVADOS",B132="100 - CAFÉ ESPECIAL","ESPECIALES",B132="141 - AREQUIPE","DERIVADOS",B132="142 - MERMELADA","DERIVADOS",B132="131 - GALLETAS AVENA","DERIVADOS",B132="160 - SOUVENIR","OTROS",B132="148 - CARAMELOS","DERIVADOS",B132="143 - CHOCOFFES","DERIVADOS",B132="162 - CONVENIOS Y DSC POS ","OTROS"),"OTROS")</f>
        <v>GOURMET</v>
      </c>
      <c r="L132" s="27">
        <f t="shared" si="14"/>
        <v>767760</v>
      </c>
      <c r="M132" s="27">
        <f t="shared" si="15"/>
        <v>767760</v>
      </c>
    </row>
    <row r="133" spans="1:13" ht="16.5" hidden="1" outlineLevel="1">
      <c r="A133" s="38"/>
      <c r="B133" s="39" t="s">
        <v>21</v>
      </c>
      <c r="C133" s="36">
        <v>17262512</v>
      </c>
      <c r="D133" s="36">
        <v>0</v>
      </c>
      <c r="E133" s="36"/>
      <c r="F133" s="36">
        <v>49968995.509999998</v>
      </c>
      <c r="G133" s="37">
        <f t="shared" ref="G133:G142" si="20">IFERROR(C133/F133*100%,"-")</f>
        <v>0.34546445898728056</v>
      </c>
      <c r="H133" s="23">
        <f t="shared" si="19"/>
        <v>0</v>
      </c>
      <c r="I133" s="24">
        <f t="shared" si="19"/>
        <v>0</v>
      </c>
      <c r="J133" s="32" t="str" cm="1">
        <f t="array" ref="J133">IFERROR(_xlfn.IFS(B133="044 - BLEND TRADICION","BLEND",B133="113 - CAFÉ GOURMET","GOURMET",B133="114 - CAFÉ CONSUMO","CONSUMO",B133="112 - CAFÉ ORGANICO","GOURMET",B133="172 - CAFÉ COSECHA","ESPECIALES",B133="176 - CAFE DESCAFEINADO","GOURMET",B133="147 - CAPSULAS","CAPSULAS",B133="130 - GALLETAS CAFECITAS","DERIVADOS",B133="140 - MERENGUES","DERIVADOS",B133="100 - CAFÉ ESPECIAL","ESPECIALES",B133="141 - AREQUIPE","DERIVADOS",B133="142 - MERMELADA","DERIVADOS",B133="131 - GALLETAS AVENA","DERIVADOS",B133="160 - SOUVENIR","OTROS",B133="148 - CARAMELOS","DERIVADOS",B133="143 - CHOCOFFES","DERIVADOS",B133="162 - CONVENIOS Y DSC POS ","OTROS"),"OTROS")</f>
        <v>GOURMET</v>
      </c>
      <c r="L133" s="27">
        <f t="shared" si="14"/>
        <v>17262512</v>
      </c>
      <c r="M133" s="27">
        <f t="shared" si="15"/>
        <v>17262512</v>
      </c>
    </row>
    <row r="134" spans="1:13" ht="16.5" hidden="1" outlineLevel="1">
      <c r="A134" s="38"/>
      <c r="B134" s="39" t="s">
        <v>22</v>
      </c>
      <c r="C134" s="36">
        <v>1809588</v>
      </c>
      <c r="D134" s="36">
        <v>0</v>
      </c>
      <c r="E134" s="36"/>
      <c r="F134" s="36">
        <v>9961569.3200000003</v>
      </c>
      <c r="G134" s="37">
        <f t="shared" si="20"/>
        <v>0.18165691989583022</v>
      </c>
      <c r="H134" s="23">
        <f t="shared" si="19"/>
        <v>0</v>
      </c>
      <c r="I134" s="24">
        <f t="shared" si="19"/>
        <v>0</v>
      </c>
      <c r="J134" s="32" t="str" cm="1">
        <f t="array" ref="J134">IFERROR(_xlfn.IFS(B134="044 - BLEND TRADICION","BLEND",B134="113 - CAFÉ GOURMET","GOURMET",B134="114 - CAFÉ CONSUMO","CONSUMO",B134="112 - CAFÉ ORGANICO","GOURMET",B134="172 - CAFÉ COSECHA","ESPECIALES",B134="176 - CAFE DESCAFEINADO","GOURMET",B134="147 - CAPSULAS","CAPSULAS",B134="130 - GALLETAS CAFECITAS","DERIVADOS",B134="140 - MERENGUES","DERIVADOS",B134="100 - CAFÉ ESPECIAL","ESPECIALES",B134="141 - AREQUIPE","DERIVADOS",B134="142 - MERMELADA","DERIVADOS",B134="131 - GALLETAS AVENA","DERIVADOS",B134="160 - SOUVENIR","OTROS",B134="148 - CARAMELOS","DERIVADOS",B134="143 - CHOCOFFES","DERIVADOS",B134="162 - CONVENIOS Y DSC POS ","OTROS"),"OTROS")</f>
        <v>DERIVADOS</v>
      </c>
      <c r="L134" s="27">
        <f t="shared" ref="L134:L199" si="21">C134-(D134+E134)</f>
        <v>1809588</v>
      </c>
      <c r="M134" s="27">
        <f t="shared" ref="M134:M199" si="22">L134</f>
        <v>1809588</v>
      </c>
    </row>
    <row r="135" spans="1:13" ht="16.5" hidden="1" outlineLevel="1">
      <c r="A135" s="38"/>
      <c r="B135" s="39" t="s">
        <v>23</v>
      </c>
      <c r="C135" s="36">
        <v>0</v>
      </c>
      <c r="D135" s="36">
        <v>0</v>
      </c>
      <c r="E135" s="36"/>
      <c r="F135" s="36">
        <v>11794.96</v>
      </c>
      <c r="G135" s="37">
        <f t="shared" si="20"/>
        <v>0</v>
      </c>
      <c r="H135" s="23">
        <f t="shared" si="19"/>
        <v>0</v>
      </c>
      <c r="I135" s="24">
        <f t="shared" si="19"/>
        <v>0</v>
      </c>
      <c r="J135" s="32" t="str" cm="1">
        <f t="array" ref="J135">IFERROR(_xlfn.IFS(B135="044 - BLEND TRADICION","BLEND",B135="113 - CAFÉ GOURMET","GOURMET",B135="114 - CAFÉ CONSUMO","CONSUMO",B135="112 - CAFÉ ORGANICO","GOURMET",B135="172 - CAFÉ COSECHA","ESPECIALES",B135="176 - CAFE DESCAFEINADO","GOURMET",B135="147 - CAPSULAS","CAPSULAS",B135="130 - GALLETAS CAFECITAS","DERIVADOS",B135="140 - MERENGUES","DERIVADOS",B135="100 - CAFÉ ESPECIAL","ESPECIALES",B135="141 - AREQUIPE","DERIVADOS",B135="142 - MERMELADA","DERIVADOS",B135="131 - GALLETAS AVENA","DERIVADOS",B135="160 - SOUVENIR","OTROS",B135="148 - CARAMELOS","DERIVADOS",B135="143 - CHOCOFFES","DERIVADOS",B135="162 - CONVENIOS Y DSC POS ","OTROS"),"OTROS")</f>
        <v>DERIVADOS</v>
      </c>
      <c r="L135" s="27">
        <f t="shared" si="21"/>
        <v>0</v>
      </c>
      <c r="M135" s="27">
        <f t="shared" si="22"/>
        <v>0</v>
      </c>
    </row>
    <row r="136" spans="1:13" ht="16.5" hidden="1" outlineLevel="1">
      <c r="A136" s="38"/>
      <c r="B136" s="39" t="s">
        <v>24</v>
      </c>
      <c r="C136" s="36">
        <v>172459</v>
      </c>
      <c r="D136" s="36">
        <v>0</v>
      </c>
      <c r="E136" s="36"/>
      <c r="F136" s="36">
        <v>854376.78</v>
      </c>
      <c r="G136" s="37">
        <f t="shared" si="20"/>
        <v>0.20185356629191162</v>
      </c>
      <c r="H136" s="23">
        <f t="shared" si="19"/>
        <v>0</v>
      </c>
      <c r="I136" s="24">
        <f t="shared" si="19"/>
        <v>0</v>
      </c>
      <c r="J136" s="32" t="str" cm="1">
        <f t="array" ref="J136">IFERROR(_xlfn.IFS(B136="044 - BLEND TRADICION","BLEND",B136="113 - CAFÉ GOURMET","GOURMET",B136="114 - CAFÉ CONSUMO","CONSUMO",B136="112 - CAFÉ ORGANICO","GOURMET",B136="172 - CAFÉ COSECHA","ESPECIALES",B136="176 - CAFE DESCAFEINADO","GOURMET",B136="147 - CAPSULAS","CAPSULAS",B136="130 - GALLETAS CAFECITAS","DERIVADOS",B136="140 - MERENGUES","DERIVADOS",B136="100 - CAFÉ ESPECIAL","ESPECIALES",B136="141 - AREQUIPE","DERIVADOS",B136="142 - MERMELADA","DERIVADOS",B136="131 - GALLETAS AVENA","DERIVADOS",B136="160 - SOUVENIR","OTROS",B136="148 - CARAMELOS","DERIVADOS",B136="143 - CHOCOFFES","DERIVADOS",B136="162 - CONVENIOS Y DSC POS ","OTROS"),"OTROS")</f>
        <v>DERIVADOS</v>
      </c>
      <c r="L136" s="27">
        <f t="shared" si="21"/>
        <v>172459</v>
      </c>
      <c r="M136" s="27">
        <f t="shared" si="22"/>
        <v>172459</v>
      </c>
    </row>
    <row r="137" spans="1:13" ht="16.5" hidden="1" outlineLevel="1">
      <c r="A137" s="38"/>
      <c r="B137" s="39" t="s">
        <v>25</v>
      </c>
      <c r="C137" s="36">
        <v>919914</v>
      </c>
      <c r="D137" s="36">
        <v>0</v>
      </c>
      <c r="E137" s="36"/>
      <c r="F137" s="36">
        <v>3865702.13</v>
      </c>
      <c r="G137" s="37">
        <f t="shared" si="20"/>
        <v>0.23796815405433216</v>
      </c>
      <c r="H137" s="23">
        <f t="shared" si="19"/>
        <v>0</v>
      </c>
      <c r="I137" s="24">
        <f t="shared" si="19"/>
        <v>0</v>
      </c>
      <c r="J137" s="32" t="str" cm="1">
        <f t="array" ref="J137">IFERROR(_xlfn.IFS(B137="044 - BLEND TRADICION","BLEND",B137="113 - CAFÉ GOURMET","GOURMET",B137="114 - CAFÉ CONSUMO","CONSUMO",B137="112 - CAFÉ ORGANICO","GOURMET",B137="172 - CAFÉ COSECHA","ESPECIALES",B137="176 - CAFE DESCAFEINADO","GOURMET",B137="147 - CAPSULAS","CAPSULAS",B137="130 - GALLETAS CAFECITAS","DERIVADOS",B137="140 - MERENGUES","DERIVADOS",B137="100 - CAFÉ ESPECIAL","ESPECIALES",B137="141 - AREQUIPE","DERIVADOS",B137="142 - MERMELADA","DERIVADOS",B137="131 - GALLETAS AVENA","DERIVADOS",B137="160 - SOUVENIR","OTROS",B137="148 - CARAMELOS","DERIVADOS",B137="143 - CHOCOFFES","DERIVADOS",B137="162 - CONVENIOS Y DSC POS ","OTROS"),"OTROS")</f>
        <v>DERIVADOS</v>
      </c>
      <c r="L137" s="27">
        <f t="shared" si="21"/>
        <v>919914</v>
      </c>
      <c r="M137" s="27">
        <f t="shared" si="22"/>
        <v>919914</v>
      </c>
    </row>
    <row r="138" spans="1:13" ht="16.5" hidden="1" outlineLevel="1">
      <c r="A138" s="38"/>
      <c r="B138" s="39" t="s">
        <v>26</v>
      </c>
      <c r="C138" s="36">
        <v>238116</v>
      </c>
      <c r="D138" s="36">
        <v>0</v>
      </c>
      <c r="E138" s="36"/>
      <c r="F138" s="36">
        <v>866649.1</v>
      </c>
      <c r="G138" s="37">
        <f t="shared" si="20"/>
        <v>0.27475479983767365</v>
      </c>
      <c r="H138" s="23">
        <f t="shared" si="19"/>
        <v>0</v>
      </c>
      <c r="I138" s="24">
        <f t="shared" si="19"/>
        <v>0</v>
      </c>
      <c r="J138" s="32" t="str" cm="1">
        <f t="array" ref="J138">IFERROR(_xlfn.IFS(B138="044 - BLEND TRADICION","BLEND",B138="113 - CAFÉ GOURMET","GOURMET",B138="114 - CAFÉ CONSUMO","CONSUMO",B138="112 - CAFÉ ORGANICO","GOURMET",B138="172 - CAFÉ COSECHA","ESPECIALES",B138="176 - CAFE DESCAFEINADO","GOURMET",B138="147 - CAPSULAS","CAPSULAS",B138="130 - GALLETAS CAFECITAS","DERIVADOS",B138="140 - MERENGUES","DERIVADOS",B138="100 - CAFÉ ESPECIAL","ESPECIALES",B138="141 - AREQUIPE","DERIVADOS",B138="142 - MERMELADA","DERIVADOS",B138="131 - GALLETAS AVENA","DERIVADOS",B138="160 - SOUVENIR","OTROS",B138="148 - CARAMELOS","DERIVADOS",B138="143 - CHOCOFFES","DERIVADOS",B138="162 - CONVENIOS Y DSC POS ","OTROS"),"OTROS")</f>
        <v>CAPSULAS</v>
      </c>
      <c r="L138" s="27">
        <f t="shared" si="21"/>
        <v>238116</v>
      </c>
      <c r="M138" s="27">
        <f t="shared" si="22"/>
        <v>238116</v>
      </c>
    </row>
    <row r="139" spans="1:13" ht="16.5" hidden="1" outlineLevel="1">
      <c r="A139" s="38"/>
      <c r="B139" s="39" t="s">
        <v>27</v>
      </c>
      <c r="C139" s="36">
        <v>2894883</v>
      </c>
      <c r="D139" s="36">
        <v>0</v>
      </c>
      <c r="E139" s="36"/>
      <c r="F139" s="36">
        <v>6049716.3799999999</v>
      </c>
      <c r="G139" s="37">
        <f t="shared" si="20"/>
        <v>0.47851549034105301</v>
      </c>
      <c r="H139" s="23">
        <f t="shared" si="19"/>
        <v>0</v>
      </c>
      <c r="I139" s="24">
        <f t="shared" si="19"/>
        <v>0</v>
      </c>
      <c r="J139" s="32" t="str" cm="1">
        <f t="array" ref="J139">IFERROR(_xlfn.IFS(B139="044 - BLEND TRADICION","BLEND",B139="113 - CAFÉ GOURMET","GOURMET",B139="114 - CAFÉ CONSUMO","CONSUMO",B139="112 - CAFÉ ORGANICO","GOURMET",B139="172 - CAFÉ COSECHA","ESPECIALES",B139="176 - CAFE DESCAFEINADO","GOURMET",B139="147 - CAPSULAS","CAPSULAS",B139="130 - GALLETAS CAFECITAS","DERIVADOS",B139="140 - MERENGUES","DERIVADOS",B139="100 - CAFÉ ESPECIAL","ESPECIALES",B139="141 - AREQUIPE","DERIVADOS",B139="142 - MERMELADA","DERIVADOS",B139="131 - GALLETAS AVENA","DERIVADOS",B139="160 - SOUVENIR","OTROS",B139="148 - CARAMELOS","DERIVADOS",B139="143 - CHOCOFFES","DERIVADOS",B139="162 - CONVENIOS Y DSC POS ","OTROS"),"OTROS")</f>
        <v>DERIVADOS</v>
      </c>
      <c r="L139" s="27">
        <f t="shared" si="21"/>
        <v>2894883</v>
      </c>
      <c r="M139" s="27">
        <f t="shared" si="22"/>
        <v>2894883</v>
      </c>
    </row>
    <row r="140" spans="1:13" ht="16.5" hidden="1" outlineLevel="1">
      <c r="A140" s="38"/>
      <c r="B140" s="39" t="s">
        <v>28</v>
      </c>
      <c r="C140" s="36">
        <v>152142</v>
      </c>
      <c r="D140" s="36">
        <v>0</v>
      </c>
      <c r="E140" s="36"/>
      <c r="F140" s="36">
        <v>2122980.0499999998</v>
      </c>
      <c r="G140" s="37">
        <f t="shared" si="20"/>
        <v>7.1664356902458884E-2</v>
      </c>
      <c r="H140" s="23">
        <f t="shared" si="19"/>
        <v>0</v>
      </c>
      <c r="I140" s="24">
        <f t="shared" si="19"/>
        <v>0</v>
      </c>
      <c r="J140" s="32" t="str" cm="1">
        <f t="array" ref="J140">IFERROR(_xlfn.IFS(B140="044 - BLEND TRADICION","BLEND",B140="113 - CAFÉ GOURMET","GOURMET",B140="114 - CAFÉ CONSUMO","CONSUMO",B140="112 - CAFÉ ORGANICO","GOURMET",B140="172 - CAFÉ COSECHA","ESPECIALES",B140="176 - CAFE DESCAFEINADO","GOURMET",B140="147 - CAPSULAS","CAPSULAS",B140="130 - GALLETAS CAFECITAS","DERIVADOS",B140="140 - MERENGUES","DERIVADOS",B140="100 - CAFÉ ESPECIAL","ESPECIALES",B140="141 - AREQUIPE","DERIVADOS",B140="142 - MERMELADA","DERIVADOS",B140="131 - GALLETAS AVENA","DERIVADOS",B140="160 - SOUVENIR","OTROS",B140="148 - CARAMELOS","DERIVADOS",B140="143 - CHOCOFFES","DERIVADOS",B140="162 - CONVENIOS Y DSC POS ","OTROS"),"OTROS")</f>
        <v>OTROS</v>
      </c>
      <c r="L140" s="27">
        <f t="shared" si="21"/>
        <v>152142</v>
      </c>
      <c r="M140" s="27">
        <f t="shared" si="22"/>
        <v>152142</v>
      </c>
    </row>
    <row r="141" spans="1:13" ht="16.5" hidden="1" outlineLevel="1">
      <c r="A141" s="38"/>
      <c r="B141" s="39" t="s">
        <v>29</v>
      </c>
      <c r="C141" s="36">
        <v>161938</v>
      </c>
      <c r="D141" s="36">
        <v>0</v>
      </c>
      <c r="E141" s="36"/>
      <c r="F141" s="36">
        <v>6357550.9400000004</v>
      </c>
      <c r="G141" s="37">
        <f t="shared" si="20"/>
        <v>2.5471758154721132E-2</v>
      </c>
      <c r="H141" s="23">
        <f t="shared" ref="H141:I173" si="23">IFERROR(+D141/L141*100%,0)</f>
        <v>0</v>
      </c>
      <c r="I141" s="24">
        <f t="shared" si="23"/>
        <v>0</v>
      </c>
      <c r="J141" s="32" t="str" cm="1">
        <f t="array" ref="J141">IFERROR(_xlfn.IFS(B141="044 - BLEND TRADICION","BLEND",B141="113 - CAFÉ GOURMET","GOURMET",B141="114 - CAFÉ CONSUMO","CONSUMO",B141="112 - CAFÉ ORGANICO","GOURMET",B141="172 - CAFÉ COSECHA","ESPECIALES",B141="176 - CAFE DESCAFEINADO","GOURMET",B141="147 - CAPSULAS","CAPSULAS",B141="130 - GALLETAS CAFECITAS","DERIVADOS",B141="140 - MERENGUES","DERIVADOS",B141="100 - CAFÉ ESPECIAL","ESPECIALES",B141="141 - AREQUIPE","DERIVADOS",B141="142 - MERMELADA","DERIVADOS",B141="131 - GALLETAS AVENA","DERIVADOS",B141="160 - SOUVENIR","OTROS",B141="148 - CARAMELOS","DERIVADOS",B141="143 - CHOCOFFES","DERIVADOS",B141="162 - CONVENIOS Y DSC POS ","OTROS"),"OTROS")</f>
        <v>ESPECIALES</v>
      </c>
      <c r="L141" s="27">
        <f t="shared" si="21"/>
        <v>161938</v>
      </c>
      <c r="M141" s="27">
        <f t="shared" si="22"/>
        <v>161938</v>
      </c>
    </row>
    <row r="142" spans="1:13" ht="16.5" hidden="1" outlineLevel="1">
      <c r="A142" s="38"/>
      <c r="B142" s="61" t="s">
        <v>30</v>
      </c>
      <c r="C142" s="100">
        <v>0</v>
      </c>
      <c r="D142" s="36">
        <v>0</v>
      </c>
      <c r="E142" s="36"/>
      <c r="F142" s="36">
        <v>974571.04</v>
      </c>
      <c r="G142" s="37">
        <f t="shared" si="20"/>
        <v>0</v>
      </c>
      <c r="H142" s="23">
        <f t="shared" si="23"/>
        <v>0</v>
      </c>
      <c r="I142" s="24">
        <f t="shared" si="23"/>
        <v>0</v>
      </c>
      <c r="J142" s="32" t="str" cm="1">
        <f t="array" ref="J142">IFERROR(_xlfn.IFS(B142="044 - BLEND TRADICION","BLEND",B142="113 - CAFÉ GOURMET","GOURMET",B142="114 - CAFÉ CONSUMO","CONSUMO",B142="112 - CAFÉ ORGANICO","GOURMET",B142="172 - CAFÉ COSECHA","ESPECIALES",B142="176 - CAFE DESCAFEINADO","GOURMET",B142="147 - CAPSULAS","CAPSULAS",B142="130 - GALLETAS CAFECITAS","DERIVADOS",B142="140 - MERENGUES","DERIVADOS",B142="100 - CAFÉ ESPECIAL","ESPECIALES",B142="141 - AREQUIPE","DERIVADOS",B142="142 - MERMELADA","DERIVADOS",B142="131 - GALLETAS AVENA","DERIVADOS",B142="160 - SOUVENIR","OTROS",B142="148 - CARAMELOS","DERIVADOS",B142="143 - CHOCOFFES","DERIVADOS",B142="162 - CONVENIOS Y DSC POS ","OTROS"),"OTROS")</f>
        <v>GOURMET</v>
      </c>
      <c r="L142" s="27">
        <f t="shared" si="21"/>
        <v>0</v>
      </c>
      <c r="M142" s="27">
        <f t="shared" si="22"/>
        <v>0</v>
      </c>
    </row>
    <row r="143" spans="1:13" ht="16.5" hidden="1" outlineLevel="1">
      <c r="A143" s="52" t="s">
        <v>51</v>
      </c>
      <c r="B143" s="20" t="s">
        <v>32</v>
      </c>
      <c r="C143" s="21">
        <f>SUM(C130:C142)</f>
        <v>25224304</v>
      </c>
      <c r="D143" s="53">
        <f>SUM(D130:D142)</f>
        <v>0</v>
      </c>
      <c r="E143" s="54">
        <f>SUM(E130:E142)</f>
        <v>0</v>
      </c>
      <c r="F143" s="58">
        <f>SUM(F130:F142)</f>
        <v>89185849.329999968</v>
      </c>
      <c r="G143" s="55">
        <f>IFERROR(C143/F143*100%,"-")</f>
        <v>0.28282854499334964</v>
      </c>
      <c r="H143" s="23">
        <f t="shared" si="23"/>
        <v>0</v>
      </c>
      <c r="I143" s="24">
        <f t="shared" si="23"/>
        <v>0</v>
      </c>
      <c r="J143" s="32" t="str" cm="1">
        <f t="array" ref="J143">IFERROR(_xlfn.IFS(B143="044 - BLEND TRADICION","BLEND",B143="113 - CAFÉ GOURMET","GOURMET",B143="114 - CAFÉ CONSUMO","CONSUMO",B143="112 - CAFÉ ORGANICO","GOURMET",B143="172 - CAFÉ COSECHA","ESPECIALES",B143="176 - CAFE DESCAFEINADO","GOURMET",B143="147 - CAPSULAS","CAPSULAS",B143="130 - GALLETAS CAFECITAS","DERIVADOS",B143="140 - MERENGUES","DERIVADOS",B143="100 - CAFÉ ESPECIAL","ESPECIALES",B143="141 - AREQUIPE","DERIVADOS",B143="142 - MERMELADA","DERIVADOS",B143="131 - GALLETAS AVENA","DERIVADOS",B143="160 - SOUVENIR","OTROS",B143="148 - CARAMELOS","DERIVADOS",B143="143 - CHOCOFFES","DERIVADOS",B143="162 - CONVENIOS Y DSC POS ","OTROS"),"OTROS")</f>
        <v>OTROS</v>
      </c>
      <c r="L143" s="27">
        <f t="shared" si="21"/>
        <v>25224304</v>
      </c>
      <c r="M143" s="27">
        <f t="shared" si="22"/>
        <v>25224304</v>
      </c>
    </row>
    <row r="144" spans="1:13" ht="16.5" hidden="1" outlineLevel="1">
      <c r="A144" s="33"/>
      <c r="B144" s="45" t="s">
        <v>42</v>
      </c>
      <c r="C144" s="46">
        <v>40584</v>
      </c>
      <c r="D144" s="47">
        <v>0</v>
      </c>
      <c r="E144" s="36">
        <v>0</v>
      </c>
      <c r="F144" s="36">
        <v>0</v>
      </c>
      <c r="G144" s="37" t="str">
        <f t="shared" ref="G144:G212" si="24">IFERROR(C144/F144*100%,"-")</f>
        <v>-</v>
      </c>
      <c r="H144" s="23">
        <f t="shared" si="23"/>
        <v>0</v>
      </c>
      <c r="I144" s="24">
        <f t="shared" si="23"/>
        <v>0</v>
      </c>
      <c r="J144" s="32" t="str" cm="1">
        <f t="array" ref="J144">IFERROR(_xlfn.IFS(B144="044 - BLEND TRADICION","BLEND",B144="113 - CAFÉ GOURMET","GOURMET",B144="114 - CAFÉ CONSUMO","CONSUMO",B144="112 - CAFÉ ORGANICO","GOURMET",B144="172 - CAFÉ COSECHA","ESPECIALES",B144="176 - CAFE DESCAFEINADO","GOURMET",B144="147 - CAPSULAS","CAPSULAS",B144="130 - GALLETAS CAFECITAS","DERIVADOS",B144="140 - MERENGUES","DERIVADOS",B144="100 - CAFÉ ESPECIAL","ESPECIALES",B144="141 - AREQUIPE","DERIVADOS",B144="142 - MERMELADA","DERIVADOS",B144="131 - GALLETAS AVENA","DERIVADOS",B144="160 - SOUVENIR","OTROS",B144="148 - CARAMELOS","DERIVADOS",B144="143 - CHOCOFFES","DERIVADOS",B144="162 - CONVENIOS Y DSC POS ","OTROS"),"OTROS")</f>
        <v>OTROS</v>
      </c>
      <c r="L144" s="27">
        <f t="shared" si="21"/>
        <v>40584</v>
      </c>
      <c r="M144" s="27">
        <f t="shared" si="22"/>
        <v>40584</v>
      </c>
    </row>
    <row r="145" spans="1:13" ht="16.5" hidden="1" outlineLevel="1">
      <c r="A145" s="44"/>
      <c r="B145" s="45" t="s">
        <v>18</v>
      </c>
      <c r="C145" s="46">
        <v>3108736</v>
      </c>
      <c r="D145" s="47">
        <v>0</v>
      </c>
      <c r="E145" s="36">
        <v>0</v>
      </c>
      <c r="F145" s="36">
        <v>14379067.41</v>
      </c>
      <c r="G145" s="37">
        <f t="shared" si="24"/>
        <v>0.21619872216733699</v>
      </c>
      <c r="H145" s="23">
        <f t="shared" si="23"/>
        <v>0</v>
      </c>
      <c r="I145" s="24">
        <f t="shared" si="23"/>
        <v>0</v>
      </c>
      <c r="J145" s="32" t="str" cm="1">
        <f t="array" ref="J145">IFERROR(_xlfn.IFS(B145="044 - BLEND TRADICION","BLEND",B145="113 - CAFÉ GOURMET","GOURMET",B145="114 - CAFÉ CONSUMO","CONSUMO",B145="112 - CAFÉ ORGANICO","GOURMET",B145="172 - CAFÉ COSECHA","ESPECIALES",B145="176 - CAFE DESCAFEINADO","GOURMET",B145="147 - CAPSULAS","CAPSULAS",B145="130 - GALLETAS CAFECITAS","DERIVADOS",B145="140 - MERENGUES","DERIVADOS",B145="100 - CAFÉ ESPECIAL","ESPECIALES",B145="141 - AREQUIPE","DERIVADOS",B145="142 - MERMELADA","DERIVADOS",B145="131 - GALLETAS AVENA","DERIVADOS",B145="160 - SOUVENIR","OTROS",B145="148 - CARAMELOS","DERIVADOS",B145="143 - CHOCOFFES","DERIVADOS",B145="162 - CONVENIOS Y DSC POS ","OTROS"),"OTROS")</f>
        <v>BLEND</v>
      </c>
      <c r="L145" s="27">
        <f t="shared" si="21"/>
        <v>3108736</v>
      </c>
      <c r="M145" s="27">
        <f t="shared" si="22"/>
        <v>3108736</v>
      </c>
    </row>
    <row r="146" spans="1:13" ht="16.5" hidden="1" outlineLevel="1">
      <c r="A146" s="44"/>
      <c r="B146" s="45" t="s">
        <v>19</v>
      </c>
      <c r="C146" s="46">
        <v>1055388</v>
      </c>
      <c r="D146" s="47">
        <v>0</v>
      </c>
      <c r="E146" s="36">
        <v>0</v>
      </c>
      <c r="F146" s="36">
        <v>3909295.37</v>
      </c>
      <c r="G146" s="37">
        <f t="shared" si="24"/>
        <v>0.26996885630568251</v>
      </c>
      <c r="H146" s="23">
        <f t="shared" si="23"/>
        <v>0</v>
      </c>
      <c r="I146" s="24">
        <f t="shared" si="23"/>
        <v>0</v>
      </c>
      <c r="J146" s="32" t="str" cm="1">
        <f t="array" ref="J146">IFERROR(_xlfn.IFS(B146="044 - BLEND TRADICION","BLEND",B146="113 - CAFÉ GOURMET","GOURMET",B146="114 - CAFÉ CONSUMO","CONSUMO",B146="112 - CAFÉ ORGANICO","GOURMET",B146="172 - CAFÉ COSECHA","ESPECIALES",B146="176 - CAFE DESCAFEINADO","GOURMET",B146="147 - CAPSULAS","CAPSULAS",B146="130 - GALLETAS CAFECITAS","DERIVADOS",B146="140 - MERENGUES","DERIVADOS",B146="100 - CAFÉ ESPECIAL","ESPECIALES",B146="141 - AREQUIPE","DERIVADOS",B146="142 - MERMELADA","DERIVADOS",B146="131 - GALLETAS AVENA","DERIVADOS",B146="160 - SOUVENIR","OTROS",B146="148 - CARAMELOS","DERIVADOS",B146="143 - CHOCOFFES","DERIVADOS",B146="162 - CONVENIOS Y DSC POS ","OTROS"),"OTROS")</f>
        <v>ESPECIALES</v>
      </c>
      <c r="L146" s="27">
        <f t="shared" si="21"/>
        <v>1055388</v>
      </c>
      <c r="M146" s="27">
        <f t="shared" si="22"/>
        <v>1055388</v>
      </c>
    </row>
    <row r="147" spans="1:13" ht="16.5" hidden="1" outlineLevel="1">
      <c r="A147" s="44"/>
      <c r="B147" s="45" t="s">
        <v>20</v>
      </c>
      <c r="C147" s="46">
        <v>1535520</v>
      </c>
      <c r="D147" s="47">
        <v>0</v>
      </c>
      <c r="E147" s="36">
        <v>0</v>
      </c>
      <c r="F147" s="36">
        <v>4626025.21</v>
      </c>
      <c r="G147" s="37">
        <f t="shared" si="24"/>
        <v>0.3319307462226303</v>
      </c>
      <c r="H147" s="23">
        <f t="shared" si="23"/>
        <v>0</v>
      </c>
      <c r="I147" s="24">
        <f t="shared" si="23"/>
        <v>0</v>
      </c>
      <c r="J147" s="32" t="str" cm="1">
        <f t="array" ref="J147">IFERROR(_xlfn.IFS(B147="044 - BLEND TRADICION","BLEND",B147="113 - CAFÉ GOURMET","GOURMET",B147="114 - CAFÉ CONSUMO","CONSUMO",B147="112 - CAFÉ ORGANICO","GOURMET",B147="172 - CAFÉ COSECHA","ESPECIALES",B147="176 - CAFE DESCAFEINADO","GOURMET",B147="147 - CAPSULAS","CAPSULAS",B147="130 - GALLETAS CAFECITAS","DERIVADOS",B147="140 - MERENGUES","DERIVADOS",B147="100 - CAFÉ ESPECIAL","ESPECIALES",B147="141 - AREQUIPE","DERIVADOS",B147="142 - MERMELADA","DERIVADOS",B147="131 - GALLETAS AVENA","DERIVADOS",B147="160 - SOUVENIR","OTROS",B147="148 - CARAMELOS","DERIVADOS",B147="143 - CHOCOFFES","DERIVADOS",B147="162 - CONVENIOS Y DSC POS ","OTROS"),"OTROS")</f>
        <v>GOURMET</v>
      </c>
      <c r="L147" s="27">
        <f t="shared" si="21"/>
        <v>1535520</v>
      </c>
      <c r="M147" s="27">
        <f t="shared" si="22"/>
        <v>1535520</v>
      </c>
    </row>
    <row r="148" spans="1:13" ht="16.5" hidden="1" outlineLevel="1">
      <c r="A148" s="44"/>
      <c r="B148" s="45" t="s">
        <v>21</v>
      </c>
      <c r="C148" s="46">
        <v>23057965</v>
      </c>
      <c r="D148" s="47">
        <v>0</v>
      </c>
      <c r="E148" s="36"/>
      <c r="F148" s="36">
        <v>114747780.18000001</v>
      </c>
      <c r="G148" s="37">
        <f t="shared" si="24"/>
        <v>0.20094475870321798</v>
      </c>
      <c r="H148" s="23">
        <f t="shared" si="23"/>
        <v>0</v>
      </c>
      <c r="I148" s="24">
        <f t="shared" si="23"/>
        <v>0</v>
      </c>
      <c r="J148" s="32" t="str" cm="1">
        <f t="array" ref="J148">IFERROR(_xlfn.IFS(B148="044 - BLEND TRADICION","BLEND",B148="113 - CAFÉ GOURMET","GOURMET",B148="114 - CAFÉ CONSUMO","CONSUMO",B148="112 - CAFÉ ORGANICO","GOURMET",B148="172 - CAFÉ COSECHA","ESPECIALES",B148="176 - CAFE DESCAFEINADO","GOURMET",B148="147 - CAPSULAS","CAPSULAS",B148="130 - GALLETAS CAFECITAS","DERIVADOS",B148="140 - MERENGUES","DERIVADOS",B148="100 - CAFÉ ESPECIAL","ESPECIALES",B148="141 - AREQUIPE","DERIVADOS",B148="142 - MERMELADA","DERIVADOS",B148="131 - GALLETAS AVENA","DERIVADOS",B148="160 - SOUVENIR","OTROS",B148="148 - CARAMELOS","DERIVADOS",B148="143 - CHOCOFFES","DERIVADOS",B148="162 - CONVENIOS Y DSC POS ","OTROS"),"OTROS")</f>
        <v>GOURMET</v>
      </c>
      <c r="L148" s="27">
        <f t="shared" si="21"/>
        <v>23057965</v>
      </c>
      <c r="M148" s="27">
        <f t="shared" si="22"/>
        <v>23057965</v>
      </c>
    </row>
    <row r="149" spans="1:13" ht="16.5" hidden="1" outlineLevel="1">
      <c r="A149" s="38"/>
      <c r="B149" s="34" t="s">
        <v>38</v>
      </c>
      <c r="C149" s="35">
        <v>0</v>
      </c>
      <c r="D149" s="36">
        <v>0</v>
      </c>
      <c r="E149" s="36"/>
      <c r="F149" s="36">
        <v>353869.81</v>
      </c>
      <c r="G149" s="37">
        <f t="shared" si="24"/>
        <v>0</v>
      </c>
      <c r="H149" s="23">
        <f t="shared" si="23"/>
        <v>0</v>
      </c>
      <c r="I149" s="24">
        <f t="shared" si="23"/>
        <v>0</v>
      </c>
      <c r="J149" s="32" t="str" cm="1">
        <f t="array" ref="J149">IFERROR(_xlfn.IFS(B149="044 - BLEND TRADICION","BLEND",B149="113 - CAFÉ GOURMET","GOURMET",B149="114 - CAFÉ CONSUMO","CONSUMO",B149="112 - CAFÉ ORGANICO","GOURMET",B149="172 - CAFÉ COSECHA","ESPECIALES",B149="176 - CAFE DESCAFEINADO","GOURMET",B149="147 - CAPSULAS","CAPSULAS",B149="130 - GALLETAS CAFECITAS","DERIVADOS",B149="140 - MERENGUES","DERIVADOS",B149="100 - CAFÉ ESPECIAL","ESPECIALES",B149="141 - AREQUIPE","DERIVADOS",B149="142 - MERMELADA","DERIVADOS",B149="131 - GALLETAS AVENA","DERIVADOS",B149="160 - SOUVENIR","OTROS",B149="148 - CARAMELOS","DERIVADOS",B149="143 - CHOCOFFES","DERIVADOS",B149="162 - CONVENIOS Y DSC POS ","OTROS"),"OTROS")</f>
        <v>CONSUMO</v>
      </c>
      <c r="L149" s="27">
        <f t="shared" si="21"/>
        <v>0</v>
      </c>
      <c r="M149" s="27">
        <f t="shared" si="22"/>
        <v>0</v>
      </c>
    </row>
    <row r="150" spans="1:13" ht="16.5" hidden="1" outlineLevel="1">
      <c r="A150" s="38"/>
      <c r="B150" s="39" t="s">
        <v>22</v>
      </c>
      <c r="C150" s="36">
        <v>4175086</v>
      </c>
      <c r="D150" s="36">
        <v>0</v>
      </c>
      <c r="E150" s="36"/>
      <c r="F150" s="36">
        <v>21366443.850000001</v>
      </c>
      <c r="G150" s="37">
        <f t="shared" si="24"/>
        <v>0.1954038785916169</v>
      </c>
      <c r="H150" s="23">
        <f t="shared" si="23"/>
        <v>0</v>
      </c>
      <c r="I150" s="24">
        <f t="shared" si="23"/>
        <v>0</v>
      </c>
      <c r="J150" s="32" t="str" cm="1">
        <f t="array" ref="J150">IFERROR(_xlfn.IFS(B150="044 - BLEND TRADICION","BLEND",B150="113 - CAFÉ GOURMET","GOURMET",B150="114 - CAFÉ CONSUMO","CONSUMO",B150="112 - CAFÉ ORGANICO","GOURMET",B150="172 - CAFÉ COSECHA","ESPECIALES",B150="176 - CAFE DESCAFEINADO","GOURMET",B150="147 - CAPSULAS","CAPSULAS",B150="130 - GALLETAS CAFECITAS","DERIVADOS",B150="140 - MERENGUES","DERIVADOS",B150="100 - CAFÉ ESPECIAL","ESPECIALES",B150="141 - AREQUIPE","DERIVADOS",B150="142 - MERMELADA","DERIVADOS",B150="131 - GALLETAS AVENA","DERIVADOS",B150="160 - SOUVENIR","OTROS",B150="148 - CARAMELOS","DERIVADOS",B150="143 - CHOCOFFES","DERIVADOS",B150="162 - CONVENIOS Y DSC POS ","OTROS"),"OTROS")</f>
        <v>DERIVADOS</v>
      </c>
      <c r="L150" s="27">
        <f t="shared" si="21"/>
        <v>4175086</v>
      </c>
      <c r="M150" s="27">
        <f t="shared" si="22"/>
        <v>4175086</v>
      </c>
    </row>
    <row r="151" spans="1:13" ht="16.5" hidden="1" outlineLevel="1">
      <c r="A151" s="38"/>
      <c r="B151" s="39" t="s">
        <v>23</v>
      </c>
      <c r="C151" s="36">
        <v>59664</v>
      </c>
      <c r="D151" s="36">
        <v>0</v>
      </c>
      <c r="E151" s="36"/>
      <c r="F151" s="36">
        <v>227657.98</v>
      </c>
      <c r="G151" s="37">
        <f t="shared" si="24"/>
        <v>0.26207734953986678</v>
      </c>
      <c r="H151" s="23">
        <f t="shared" si="23"/>
        <v>0</v>
      </c>
      <c r="I151" s="24">
        <f t="shared" si="23"/>
        <v>0</v>
      </c>
      <c r="J151" s="32" t="str" cm="1">
        <f t="array" ref="J151">IFERROR(_xlfn.IFS(B151="044 - BLEND TRADICION","BLEND",B151="113 - CAFÉ GOURMET","GOURMET",B151="114 - CAFÉ CONSUMO","CONSUMO",B151="112 - CAFÉ ORGANICO","GOURMET",B151="172 - CAFÉ COSECHA","ESPECIALES",B151="176 - CAFE DESCAFEINADO","GOURMET",B151="147 - CAPSULAS","CAPSULAS",B151="130 - GALLETAS CAFECITAS","DERIVADOS",B151="140 - MERENGUES","DERIVADOS",B151="100 - CAFÉ ESPECIAL","ESPECIALES",B151="141 - AREQUIPE","DERIVADOS",B151="142 - MERMELADA","DERIVADOS",B151="131 - GALLETAS AVENA","DERIVADOS",B151="160 - SOUVENIR","OTROS",B151="148 - CARAMELOS","DERIVADOS",B151="143 - CHOCOFFES","DERIVADOS",B151="162 - CONVENIOS Y DSC POS ","OTROS"),"OTROS")</f>
        <v>DERIVADOS</v>
      </c>
      <c r="L151" s="27">
        <f t="shared" si="21"/>
        <v>59664</v>
      </c>
      <c r="M151" s="27">
        <f t="shared" si="22"/>
        <v>59664</v>
      </c>
    </row>
    <row r="152" spans="1:13" ht="16.5" hidden="1" outlineLevel="1">
      <c r="A152" s="38"/>
      <c r="B152" s="39" t="s">
        <v>24</v>
      </c>
      <c r="C152" s="36">
        <v>870588</v>
      </c>
      <c r="D152" s="36">
        <v>0</v>
      </c>
      <c r="E152" s="36"/>
      <c r="F152" s="36">
        <v>2117327.71</v>
      </c>
      <c r="G152" s="37">
        <f t="shared" ref="G152:G157" si="25">IFERROR(C152/F152*100%,"-")</f>
        <v>0.41117300637415266</v>
      </c>
      <c r="H152" s="23">
        <f t="shared" ref="H152:H157" si="26">IFERROR(+D152/L152*100%,0)</f>
        <v>0</v>
      </c>
      <c r="I152" s="24">
        <f t="shared" ref="I152:I157" si="27">IFERROR(+E152/M152*100%,0)</f>
        <v>0</v>
      </c>
      <c r="J152" s="32" t="str" cm="1">
        <f t="array" ref="J152">IFERROR(_xlfn.IFS(B152="044 - BLEND TRADICION","BLEND",B152="113 - CAFÉ GOURMET","GOURMET",B152="114 - CAFÉ CONSUMO","CONSUMO",B152="112 - CAFÉ ORGANICO","GOURMET",B152="172 - CAFÉ COSECHA","ESPECIALES",B152="176 - CAFE DESCAFEINADO","GOURMET",B152="147 - CAPSULAS","CAPSULAS",B152="130 - GALLETAS CAFECITAS","DERIVADOS",B152="140 - MERENGUES","DERIVADOS",B152="100 - CAFÉ ESPECIAL","ESPECIALES",B152="141 - AREQUIPE","DERIVADOS",B152="142 - MERMELADA","DERIVADOS",B152="131 - GALLETAS AVENA","DERIVADOS",B152="160 - SOUVENIR","OTROS",B152="148 - CARAMELOS","DERIVADOS",B152="143 - CHOCOFFES","DERIVADOS",B152="162 - CONVENIOS Y DSC POS ","OTROS"),"OTROS")</f>
        <v>DERIVADOS</v>
      </c>
      <c r="L152" s="27">
        <f t="shared" ref="L152:L157" si="28">C152-(D152+E152)</f>
        <v>870588</v>
      </c>
      <c r="M152" s="27">
        <f t="shared" ref="M152:M157" si="29">L152</f>
        <v>870588</v>
      </c>
    </row>
    <row r="153" spans="1:13" ht="16.5" hidden="1" outlineLevel="1">
      <c r="A153" s="38"/>
      <c r="B153" s="39" t="s">
        <v>25</v>
      </c>
      <c r="C153" s="36">
        <v>2797659</v>
      </c>
      <c r="D153" s="36">
        <v>0</v>
      </c>
      <c r="E153" s="36"/>
      <c r="F153" s="36">
        <v>5087944.59</v>
      </c>
      <c r="G153" s="37">
        <f t="shared" si="25"/>
        <v>0.54986035136833122</v>
      </c>
      <c r="H153" s="23">
        <f t="shared" si="26"/>
        <v>0</v>
      </c>
      <c r="I153" s="24">
        <f t="shared" si="27"/>
        <v>0</v>
      </c>
      <c r="J153" s="32" t="str" cm="1">
        <f t="array" ref="J153">IFERROR(_xlfn.IFS(B153="044 - BLEND TRADICION","BLEND",B153="113 - CAFÉ GOURMET","GOURMET",B153="114 - CAFÉ CONSUMO","CONSUMO",B153="112 - CAFÉ ORGANICO","GOURMET",B153="172 - CAFÉ COSECHA","ESPECIALES",B153="176 - CAFE DESCAFEINADO","GOURMET",B153="147 - CAPSULAS","CAPSULAS",B153="130 - GALLETAS CAFECITAS","DERIVADOS",B153="140 - MERENGUES","DERIVADOS",B153="100 - CAFÉ ESPECIAL","ESPECIALES",B153="141 - AREQUIPE","DERIVADOS",B153="142 - MERMELADA","DERIVADOS",B153="131 - GALLETAS AVENA","DERIVADOS",B153="160 - SOUVENIR","OTROS",B153="148 - CARAMELOS","DERIVADOS",B153="143 - CHOCOFFES","DERIVADOS",B153="162 - CONVENIOS Y DSC POS ","OTROS"),"OTROS")</f>
        <v>DERIVADOS</v>
      </c>
      <c r="L153" s="27">
        <f t="shared" si="28"/>
        <v>2797659</v>
      </c>
      <c r="M153" s="27">
        <f t="shared" si="29"/>
        <v>2797659</v>
      </c>
    </row>
    <row r="154" spans="1:13" ht="16.5" hidden="1" outlineLevel="1">
      <c r="A154" s="38"/>
      <c r="B154" s="39" t="s">
        <v>26</v>
      </c>
      <c r="C154" s="36">
        <v>1596590</v>
      </c>
      <c r="D154" s="36">
        <v>0</v>
      </c>
      <c r="E154" s="36"/>
      <c r="F154" s="36">
        <v>4929036.9800000004</v>
      </c>
      <c r="G154" s="37">
        <f t="shared" si="25"/>
        <v>0.32391520016553005</v>
      </c>
      <c r="H154" s="23">
        <f t="shared" si="26"/>
        <v>0</v>
      </c>
      <c r="I154" s="24">
        <f t="shared" si="27"/>
        <v>0</v>
      </c>
      <c r="J154" s="32" t="str" cm="1">
        <f t="array" ref="J154">IFERROR(_xlfn.IFS(B154="044 - BLEND TRADICION","BLEND",B154="113 - CAFÉ GOURMET","GOURMET",B154="114 - CAFÉ CONSUMO","CONSUMO",B154="112 - CAFÉ ORGANICO","GOURMET",B154="172 - CAFÉ COSECHA","ESPECIALES",B154="176 - CAFE DESCAFEINADO","GOURMET",B154="147 - CAPSULAS","CAPSULAS",B154="130 - GALLETAS CAFECITAS","DERIVADOS",B154="140 - MERENGUES","DERIVADOS",B154="100 - CAFÉ ESPECIAL","ESPECIALES",B154="141 - AREQUIPE","DERIVADOS",B154="142 - MERMELADA","DERIVADOS",B154="131 - GALLETAS AVENA","DERIVADOS",B154="160 - SOUVENIR","OTROS",B154="148 - CARAMELOS","DERIVADOS",B154="143 - CHOCOFFES","DERIVADOS",B154="162 - CONVENIOS Y DSC POS ","OTROS"),"OTROS")</f>
        <v>CAPSULAS</v>
      </c>
      <c r="L154" s="27">
        <f t="shared" si="28"/>
        <v>1596590</v>
      </c>
      <c r="M154" s="27">
        <f t="shared" si="29"/>
        <v>1596590</v>
      </c>
    </row>
    <row r="155" spans="1:13" ht="16.5" hidden="1" outlineLevel="1">
      <c r="A155" s="38"/>
      <c r="B155" s="39" t="s">
        <v>27</v>
      </c>
      <c r="C155" s="36">
        <v>1062646</v>
      </c>
      <c r="D155" s="36">
        <v>0</v>
      </c>
      <c r="E155" s="36"/>
      <c r="F155" s="36">
        <v>3748792.41</v>
      </c>
      <c r="G155" s="37">
        <f t="shared" si="25"/>
        <v>0.28346354873248369</v>
      </c>
      <c r="H155" s="23">
        <f t="shared" si="26"/>
        <v>0</v>
      </c>
      <c r="I155" s="24">
        <f t="shared" si="27"/>
        <v>0</v>
      </c>
      <c r="J155" s="32" t="str" cm="1">
        <f t="array" ref="J155">IFERROR(_xlfn.IFS(B155="044 - BLEND TRADICION","BLEND",B155="113 - CAFÉ GOURMET","GOURMET",B155="114 - CAFÉ CONSUMO","CONSUMO",B155="112 - CAFÉ ORGANICO","GOURMET",B155="172 - CAFÉ COSECHA","ESPECIALES",B155="176 - CAFE DESCAFEINADO","GOURMET",B155="147 - CAPSULAS","CAPSULAS",B155="130 - GALLETAS CAFECITAS","DERIVADOS",B155="140 - MERENGUES","DERIVADOS",B155="100 - CAFÉ ESPECIAL","ESPECIALES",B155="141 - AREQUIPE","DERIVADOS",B155="142 - MERMELADA","DERIVADOS",B155="131 - GALLETAS AVENA","DERIVADOS",B155="160 - SOUVENIR","OTROS",B155="148 - CARAMELOS","DERIVADOS",B155="143 - CHOCOFFES","DERIVADOS",B155="162 - CONVENIOS Y DSC POS ","OTROS"),"OTROS")</f>
        <v>DERIVADOS</v>
      </c>
      <c r="L155" s="27">
        <f t="shared" si="28"/>
        <v>1062646</v>
      </c>
      <c r="M155" s="27">
        <f t="shared" si="29"/>
        <v>1062646</v>
      </c>
    </row>
    <row r="156" spans="1:13" ht="16.5" hidden="1" outlineLevel="1">
      <c r="A156" s="38"/>
      <c r="B156" s="39" t="s">
        <v>28</v>
      </c>
      <c r="C156" s="36">
        <v>551240</v>
      </c>
      <c r="D156" s="36">
        <v>0</v>
      </c>
      <c r="E156" s="36">
        <v>0</v>
      </c>
      <c r="F156" s="36">
        <v>3497038.66</v>
      </c>
      <c r="G156" s="37">
        <f t="shared" si="25"/>
        <v>0.15763051358431365</v>
      </c>
      <c r="H156" s="23">
        <f t="shared" si="26"/>
        <v>0</v>
      </c>
      <c r="I156" s="24">
        <f t="shared" si="27"/>
        <v>0</v>
      </c>
      <c r="J156" s="32" t="str" cm="1">
        <f t="array" ref="J156">IFERROR(_xlfn.IFS(B156="044 - BLEND TRADICION","BLEND",B156="113 - CAFÉ GOURMET","GOURMET",B156="114 - CAFÉ CONSUMO","CONSUMO",B156="112 - CAFÉ ORGANICO","GOURMET",B156="172 - CAFÉ COSECHA","ESPECIALES",B156="176 - CAFE DESCAFEINADO","GOURMET",B156="147 - CAPSULAS","CAPSULAS",B156="130 - GALLETAS CAFECITAS","DERIVADOS",B156="140 - MERENGUES","DERIVADOS",B156="100 - CAFÉ ESPECIAL","ESPECIALES",B156="141 - AREQUIPE","DERIVADOS",B156="142 - MERMELADA","DERIVADOS",B156="131 - GALLETAS AVENA","DERIVADOS",B156="160 - SOUVENIR","OTROS",B156="148 - CARAMELOS","DERIVADOS",B156="143 - CHOCOFFES","DERIVADOS",B156="162 - CONVENIOS Y DSC POS ","OTROS"),"OTROS")</f>
        <v>OTROS</v>
      </c>
      <c r="L156" s="27">
        <f t="shared" si="28"/>
        <v>551240</v>
      </c>
      <c r="M156" s="27">
        <f t="shared" si="29"/>
        <v>551240</v>
      </c>
    </row>
    <row r="157" spans="1:13" ht="16.5" hidden="1" outlineLevel="1">
      <c r="A157" s="38"/>
      <c r="B157" s="39" t="s">
        <v>50</v>
      </c>
      <c r="C157" s="36">
        <v>-52019</v>
      </c>
      <c r="D157" s="36"/>
      <c r="E157" s="36">
        <v>-52019</v>
      </c>
      <c r="F157" s="36">
        <v>0</v>
      </c>
      <c r="G157" s="37" t="str">
        <f t="shared" si="25"/>
        <v>-</v>
      </c>
      <c r="H157" s="23">
        <f t="shared" si="26"/>
        <v>0</v>
      </c>
      <c r="I157" s="24">
        <f t="shared" si="27"/>
        <v>0</v>
      </c>
      <c r="J157" s="32" t="str" cm="1">
        <f t="array" ref="J157">IFERROR(_xlfn.IFS(B157="044 - BLEND TRADICION","BLEND",B157="113 - CAFÉ GOURMET","GOURMET",B157="114 - CAFÉ CONSUMO","CONSUMO",B157="112 - CAFÉ ORGANICO","GOURMET",B157="172 - CAFÉ COSECHA","ESPECIALES",B157="176 - CAFE DESCAFEINADO","GOURMET",B157="147 - CAPSULAS","CAPSULAS",B157="130 - GALLETAS CAFECITAS","DERIVADOS",B157="140 - MERENGUES","DERIVADOS",B157="100 - CAFÉ ESPECIAL","ESPECIALES",B157="141 - AREQUIPE","DERIVADOS",B157="142 - MERMELADA","DERIVADOS",B157="131 - GALLETAS AVENA","DERIVADOS",B157="160 - SOUVENIR","OTROS",B157="148 - CARAMELOS","DERIVADOS",B157="143 - CHOCOFFES","DERIVADOS",B157="162 - CONVENIOS Y DSC POS ","OTROS"),"OTROS")</f>
        <v>OTROS</v>
      </c>
      <c r="L157" s="27">
        <f t="shared" si="28"/>
        <v>0</v>
      </c>
      <c r="M157" s="27">
        <f t="shared" si="29"/>
        <v>0</v>
      </c>
    </row>
    <row r="158" spans="1:13" ht="16.5" hidden="1" outlineLevel="1">
      <c r="A158" s="38"/>
      <c r="B158" s="39" t="s">
        <v>29</v>
      </c>
      <c r="C158" s="36">
        <v>992544</v>
      </c>
      <c r="D158" s="36">
        <v>0</v>
      </c>
      <c r="E158" s="36">
        <v>0</v>
      </c>
      <c r="F158" s="36">
        <v>7182790.8499999996</v>
      </c>
      <c r="G158" s="37">
        <f t="shared" si="24"/>
        <v>0.13818361424236653</v>
      </c>
      <c r="H158" s="23">
        <f t="shared" si="23"/>
        <v>0</v>
      </c>
      <c r="I158" s="24">
        <f t="shared" si="23"/>
        <v>0</v>
      </c>
      <c r="J158" s="32" t="str" cm="1">
        <f t="array" ref="J158">IFERROR(_xlfn.IFS(B158="044 - BLEND TRADICION","BLEND",B158="113 - CAFÉ GOURMET","GOURMET",B158="114 - CAFÉ CONSUMO","CONSUMO",B158="112 - CAFÉ ORGANICO","GOURMET",B158="172 - CAFÉ COSECHA","ESPECIALES",B158="176 - CAFE DESCAFEINADO","GOURMET",B158="147 - CAPSULAS","CAPSULAS",B158="130 - GALLETAS CAFECITAS","DERIVADOS",B158="140 - MERENGUES","DERIVADOS",B158="100 - CAFÉ ESPECIAL","ESPECIALES",B158="141 - AREQUIPE","DERIVADOS",B158="142 - MERMELADA","DERIVADOS",B158="131 - GALLETAS AVENA","DERIVADOS",B158="160 - SOUVENIR","OTROS",B158="148 - CARAMELOS","DERIVADOS",B158="143 - CHOCOFFES","DERIVADOS",B158="162 - CONVENIOS Y DSC POS ","OTROS"),"OTROS")</f>
        <v>ESPECIALES</v>
      </c>
      <c r="L158" s="27">
        <f t="shared" si="21"/>
        <v>992544</v>
      </c>
      <c r="M158" s="27">
        <f t="shared" si="22"/>
        <v>992544</v>
      </c>
    </row>
    <row r="159" spans="1:13" ht="16.5" hidden="1" outlineLevel="1">
      <c r="A159" s="38"/>
      <c r="B159" s="39" t="s">
        <v>30</v>
      </c>
      <c r="C159" s="36">
        <v>379572</v>
      </c>
      <c r="D159" s="36">
        <v>0</v>
      </c>
      <c r="E159" s="36"/>
      <c r="F159" s="36">
        <v>1596976.67</v>
      </c>
      <c r="G159" s="37">
        <f t="shared" si="24"/>
        <v>0.23768161873022228</v>
      </c>
      <c r="H159" s="23">
        <f t="shared" si="23"/>
        <v>0</v>
      </c>
      <c r="I159" s="24">
        <f t="shared" si="23"/>
        <v>0</v>
      </c>
      <c r="J159" s="32" t="str" cm="1">
        <f t="array" ref="J159">IFERROR(_xlfn.IFS(B159="044 - BLEND TRADICION","BLEND",B159="113 - CAFÉ GOURMET","GOURMET",B159="114 - CAFÉ CONSUMO","CONSUMO",B159="112 - CAFÉ ORGANICO","GOURMET",B159="172 - CAFÉ COSECHA","ESPECIALES",B159="176 - CAFE DESCAFEINADO","GOURMET",B159="147 - CAPSULAS","CAPSULAS",B159="130 - GALLETAS CAFECITAS","DERIVADOS",B159="140 - MERENGUES","DERIVADOS",B159="100 - CAFÉ ESPECIAL","ESPECIALES",B159="141 - AREQUIPE","DERIVADOS",B159="142 - MERMELADA","DERIVADOS",B159="131 - GALLETAS AVENA","DERIVADOS",B159="160 - SOUVENIR","OTROS",B159="148 - CARAMELOS","DERIVADOS",B159="143 - CHOCOFFES","DERIVADOS",B159="162 - CONVENIOS Y DSC POS ","OTROS"),"OTROS")</f>
        <v>GOURMET</v>
      </c>
      <c r="L159" s="27">
        <f t="shared" si="21"/>
        <v>379572</v>
      </c>
      <c r="M159" s="27">
        <f t="shared" si="22"/>
        <v>379572</v>
      </c>
    </row>
    <row r="160" spans="1:13" ht="16.5" hidden="1" outlineLevel="1">
      <c r="A160" s="19" t="s">
        <v>52</v>
      </c>
      <c r="B160" s="56" t="s">
        <v>32</v>
      </c>
      <c r="C160" s="54">
        <f>SUM(C144:C159)</f>
        <v>41231763</v>
      </c>
      <c r="D160" s="54">
        <f>SUM(D144:D159)</f>
        <v>0</v>
      </c>
      <c r="E160" s="54">
        <f>SUM(E144:E159)</f>
        <v>-52019</v>
      </c>
      <c r="F160" s="58">
        <f>SUM(F144:F159)</f>
        <v>187770047.67999998</v>
      </c>
      <c r="G160" s="55">
        <f t="shared" si="24"/>
        <v>0.21958647563570777</v>
      </c>
      <c r="H160" s="23">
        <f t="shared" si="23"/>
        <v>0</v>
      </c>
      <c r="I160" s="24">
        <f t="shared" si="23"/>
        <v>-1.260034751661076E-3</v>
      </c>
      <c r="J160" s="32" t="str" cm="1">
        <f t="array" ref="J160">IFERROR(_xlfn.IFS(B160="044 - BLEND TRADICION","BLEND",B160="113 - CAFÉ GOURMET","GOURMET",B160="114 - CAFÉ CONSUMO","CONSUMO",B160="112 - CAFÉ ORGANICO","GOURMET",B160="172 - CAFÉ COSECHA","ESPECIALES",B160="176 - CAFE DESCAFEINADO","GOURMET",B160="147 - CAPSULAS","CAPSULAS",B160="130 - GALLETAS CAFECITAS","DERIVADOS",B160="140 - MERENGUES","DERIVADOS",B160="100 - CAFÉ ESPECIAL","ESPECIALES",B160="141 - AREQUIPE","DERIVADOS",B160="142 - MERMELADA","DERIVADOS",B160="131 - GALLETAS AVENA","DERIVADOS",B160="160 - SOUVENIR","OTROS",B160="148 - CARAMELOS","DERIVADOS",B160="143 - CHOCOFFES","DERIVADOS",B160="162 - CONVENIOS Y DSC POS ","OTROS"),"OTROS")</f>
        <v>OTROS</v>
      </c>
      <c r="L160" s="27">
        <f t="shared" si="21"/>
        <v>41283782</v>
      </c>
      <c r="M160" s="27">
        <f t="shared" si="22"/>
        <v>41283782</v>
      </c>
    </row>
    <row r="161" spans="1:13" ht="16.5" hidden="1" outlineLevel="1">
      <c r="A161" s="33"/>
      <c r="B161" s="39" t="s">
        <v>42</v>
      </c>
      <c r="C161" s="36">
        <v>6900</v>
      </c>
      <c r="D161" s="36">
        <v>0</v>
      </c>
      <c r="E161" s="36">
        <v>0</v>
      </c>
      <c r="F161" s="36">
        <v>0</v>
      </c>
      <c r="G161" s="37" t="str">
        <f t="shared" si="24"/>
        <v>-</v>
      </c>
      <c r="H161" s="23">
        <f t="shared" si="23"/>
        <v>0</v>
      </c>
      <c r="I161" s="24">
        <f t="shared" si="23"/>
        <v>0</v>
      </c>
      <c r="J161" s="32" t="str" cm="1">
        <f t="array" ref="J161">IFERROR(_xlfn.IFS(B161="044 - BLEND TRADICION","BLEND",B161="113 - CAFÉ GOURMET","GOURMET",B161="114 - CAFÉ CONSUMO","CONSUMO",B161="112 - CAFÉ ORGANICO","GOURMET",B161="172 - CAFÉ COSECHA","ESPECIALES",B161="176 - CAFE DESCAFEINADO","GOURMET",B161="147 - CAPSULAS","CAPSULAS",B161="130 - GALLETAS CAFECITAS","DERIVADOS",B161="140 - MERENGUES","DERIVADOS",B161="100 - CAFÉ ESPECIAL","ESPECIALES",B161="141 - AREQUIPE","DERIVADOS",B161="142 - MERMELADA","DERIVADOS",B161="131 - GALLETAS AVENA","DERIVADOS",B161="160 - SOUVENIR","OTROS",B161="148 - CARAMELOS","DERIVADOS",B161="143 - CHOCOFFES","DERIVADOS",B161="162 - CONVENIOS Y DSC POS ","OTROS"),"OTROS")</f>
        <v>OTROS</v>
      </c>
      <c r="L161" s="27">
        <f t="shared" si="21"/>
        <v>6900</v>
      </c>
      <c r="M161" s="27">
        <f t="shared" si="22"/>
        <v>6900</v>
      </c>
    </row>
    <row r="162" spans="1:13" ht="16.5" hidden="1" outlineLevel="1">
      <c r="A162" s="38"/>
      <c r="B162" s="39" t="s">
        <v>18</v>
      </c>
      <c r="C162" s="36">
        <v>2143124</v>
      </c>
      <c r="D162" s="36">
        <v>0</v>
      </c>
      <c r="E162" s="36">
        <v>0</v>
      </c>
      <c r="F162" s="36">
        <v>9645193.6699999999</v>
      </c>
      <c r="G162" s="37">
        <f t="shared" si="24"/>
        <v>0.22219605674335827</v>
      </c>
      <c r="H162" s="23">
        <f t="shared" si="23"/>
        <v>0</v>
      </c>
      <c r="I162" s="24">
        <f t="shared" si="23"/>
        <v>0</v>
      </c>
      <c r="J162" s="32" t="str" cm="1">
        <f t="array" ref="J162">IFERROR(_xlfn.IFS(B162="044 - BLEND TRADICION","BLEND",B162="113 - CAFÉ GOURMET","GOURMET",B162="114 - CAFÉ CONSUMO","CONSUMO",B162="112 - CAFÉ ORGANICO","GOURMET",B162="172 - CAFÉ COSECHA","ESPECIALES",B162="176 - CAFE DESCAFEINADO","GOURMET",B162="147 - CAPSULAS","CAPSULAS",B162="130 - GALLETAS CAFECITAS","DERIVADOS",B162="140 - MERENGUES","DERIVADOS",B162="100 - CAFÉ ESPECIAL","ESPECIALES",B162="141 - AREQUIPE","DERIVADOS",B162="142 - MERMELADA","DERIVADOS",B162="131 - GALLETAS AVENA","DERIVADOS",B162="160 - SOUVENIR","OTROS",B162="148 - CARAMELOS","DERIVADOS",B162="143 - CHOCOFFES","DERIVADOS",B162="162 - CONVENIOS Y DSC POS ","OTROS"),"OTROS")</f>
        <v>BLEND</v>
      </c>
      <c r="L162" s="27">
        <f t="shared" si="21"/>
        <v>2143124</v>
      </c>
      <c r="M162" s="27">
        <f t="shared" si="22"/>
        <v>2143124</v>
      </c>
    </row>
    <row r="163" spans="1:13" ht="16.5" hidden="1" outlineLevel="1">
      <c r="A163" s="38"/>
      <c r="B163" s="39" t="s">
        <v>19</v>
      </c>
      <c r="C163" s="36">
        <v>384438</v>
      </c>
      <c r="D163" s="36">
        <v>0</v>
      </c>
      <c r="E163" s="36"/>
      <c r="F163" s="36">
        <v>2739705.11</v>
      </c>
      <c r="G163" s="37">
        <f t="shared" si="24"/>
        <v>0.14032094132933892</v>
      </c>
      <c r="H163" s="23">
        <f t="shared" si="23"/>
        <v>0</v>
      </c>
      <c r="I163" s="24">
        <f t="shared" si="23"/>
        <v>0</v>
      </c>
      <c r="J163" s="32" t="str" cm="1">
        <f t="array" ref="J163">IFERROR(_xlfn.IFS(B163="044 - BLEND TRADICION","BLEND",B163="113 - CAFÉ GOURMET","GOURMET",B163="114 - CAFÉ CONSUMO","CONSUMO",B163="112 - CAFÉ ORGANICO","GOURMET",B163="172 - CAFÉ COSECHA","ESPECIALES",B163="176 - CAFE DESCAFEINADO","GOURMET",B163="147 - CAPSULAS","CAPSULAS",B163="130 - GALLETAS CAFECITAS","DERIVADOS",B163="140 - MERENGUES","DERIVADOS",B163="100 - CAFÉ ESPECIAL","ESPECIALES",B163="141 - AREQUIPE","DERIVADOS",B163="142 - MERMELADA","DERIVADOS",B163="131 - GALLETAS AVENA","DERIVADOS",B163="160 - SOUVENIR","OTROS",B163="148 - CARAMELOS","DERIVADOS",B163="143 - CHOCOFFES","DERIVADOS",B163="162 - CONVENIOS Y DSC POS ","OTROS"),"OTROS")</f>
        <v>ESPECIALES</v>
      </c>
      <c r="L163" s="27">
        <f t="shared" si="21"/>
        <v>384438</v>
      </c>
      <c r="M163" s="27">
        <f t="shared" si="22"/>
        <v>384438</v>
      </c>
    </row>
    <row r="164" spans="1:13" ht="16.5" hidden="1" outlineLevel="1">
      <c r="A164" s="38"/>
      <c r="B164" s="39" t="s">
        <v>20</v>
      </c>
      <c r="C164" s="36">
        <v>30710</v>
      </c>
      <c r="D164" s="36">
        <v>0</v>
      </c>
      <c r="E164" s="36">
        <v>0</v>
      </c>
      <c r="F164" s="36">
        <v>825254.9</v>
      </c>
      <c r="G164" s="37">
        <f t="shared" si="24"/>
        <v>3.7212744813753904E-2</v>
      </c>
      <c r="H164" s="23">
        <f t="shared" si="23"/>
        <v>0</v>
      </c>
      <c r="I164" s="24">
        <f t="shared" si="23"/>
        <v>0</v>
      </c>
      <c r="J164" s="32" t="str" cm="1">
        <f t="array" ref="J164">IFERROR(_xlfn.IFS(B164="044 - BLEND TRADICION","BLEND",B164="113 - CAFÉ GOURMET","GOURMET",B164="114 - CAFÉ CONSUMO","CONSUMO",B164="112 - CAFÉ ORGANICO","GOURMET",B164="172 - CAFÉ COSECHA","ESPECIALES",B164="176 - CAFE DESCAFEINADO","GOURMET",B164="147 - CAPSULAS","CAPSULAS",B164="130 - GALLETAS CAFECITAS","DERIVADOS",B164="140 - MERENGUES","DERIVADOS",B164="100 - CAFÉ ESPECIAL","ESPECIALES",B164="141 - AREQUIPE","DERIVADOS",B164="142 - MERMELADA","DERIVADOS",B164="131 - GALLETAS AVENA","DERIVADOS",B164="160 - SOUVENIR","OTROS",B164="148 - CARAMELOS","DERIVADOS",B164="143 - CHOCOFFES","DERIVADOS",B164="162 - CONVENIOS Y DSC POS ","OTROS"),"OTROS")</f>
        <v>GOURMET</v>
      </c>
      <c r="L164" s="27">
        <f t="shared" si="21"/>
        <v>30710</v>
      </c>
      <c r="M164" s="27">
        <f t="shared" si="22"/>
        <v>30710</v>
      </c>
    </row>
    <row r="165" spans="1:13" ht="16.5" hidden="1" outlineLevel="1">
      <c r="A165" s="38"/>
      <c r="B165" s="39" t="s">
        <v>21</v>
      </c>
      <c r="C165" s="36">
        <v>11752624</v>
      </c>
      <c r="D165" s="36">
        <v>0</v>
      </c>
      <c r="E165" s="36">
        <v>0</v>
      </c>
      <c r="F165" s="36">
        <v>43096072.049999997</v>
      </c>
      <c r="G165" s="37">
        <f t="shared" si="24"/>
        <v>0.27270754481672072</v>
      </c>
      <c r="H165" s="23">
        <f t="shared" si="23"/>
        <v>0</v>
      </c>
      <c r="I165" s="24">
        <f t="shared" si="23"/>
        <v>0</v>
      </c>
      <c r="J165" s="32" t="str" cm="1">
        <f t="array" ref="J165">IFERROR(_xlfn.IFS(B165="044 - BLEND TRADICION","BLEND",B165="113 - CAFÉ GOURMET","GOURMET",B165="114 - CAFÉ CONSUMO","CONSUMO",B165="112 - CAFÉ ORGANICO","GOURMET",B165="172 - CAFÉ COSECHA","ESPECIALES",B165="176 - CAFE DESCAFEINADO","GOURMET",B165="147 - CAPSULAS","CAPSULAS",B165="130 - GALLETAS CAFECITAS","DERIVADOS",B165="140 - MERENGUES","DERIVADOS",B165="100 - CAFÉ ESPECIAL","ESPECIALES",B165="141 - AREQUIPE","DERIVADOS",B165="142 - MERMELADA","DERIVADOS",B165="131 - GALLETAS AVENA","DERIVADOS",B165="160 - SOUVENIR","OTROS",B165="148 - CARAMELOS","DERIVADOS",B165="143 - CHOCOFFES","DERIVADOS",B165="162 - CONVENIOS Y DSC POS ","OTROS"),"OTROS")</f>
        <v>GOURMET</v>
      </c>
      <c r="L165" s="27">
        <f t="shared" si="21"/>
        <v>11752624</v>
      </c>
      <c r="M165" s="27">
        <f t="shared" si="22"/>
        <v>11752624</v>
      </c>
    </row>
    <row r="166" spans="1:13" ht="16.5" hidden="1" outlineLevel="1">
      <c r="A166" s="38"/>
      <c r="B166" s="39" t="s">
        <v>38</v>
      </c>
      <c r="C166" s="36">
        <v>4654476</v>
      </c>
      <c r="D166" s="36">
        <v>0</v>
      </c>
      <c r="E166" s="36">
        <v>0</v>
      </c>
      <c r="F166" s="36">
        <v>16145456.630000001</v>
      </c>
      <c r="G166" s="37">
        <f t="shared" si="24"/>
        <v>0.28828394926604189</v>
      </c>
      <c r="H166" s="23">
        <f t="shared" si="23"/>
        <v>0</v>
      </c>
      <c r="I166" s="24">
        <f t="shared" si="23"/>
        <v>0</v>
      </c>
      <c r="J166" s="32" t="str" cm="1">
        <f t="array" ref="J166">IFERROR(_xlfn.IFS(B166="044 - BLEND TRADICION","BLEND",B166="113 - CAFÉ GOURMET","GOURMET",B166="114 - CAFÉ CONSUMO","CONSUMO",B166="112 - CAFÉ ORGANICO","GOURMET",B166="172 - CAFÉ COSECHA","ESPECIALES",B166="176 - CAFE DESCAFEINADO","GOURMET",B166="147 - CAPSULAS","CAPSULAS",B166="130 - GALLETAS CAFECITAS","DERIVADOS",B166="140 - MERENGUES","DERIVADOS",B166="100 - CAFÉ ESPECIAL","ESPECIALES",B166="141 - AREQUIPE","DERIVADOS",B166="142 - MERMELADA","DERIVADOS",B166="131 - GALLETAS AVENA","DERIVADOS",B166="160 - SOUVENIR","OTROS",B166="148 - CARAMELOS","DERIVADOS",B166="143 - CHOCOFFES","DERIVADOS",B166="162 - CONVENIOS Y DSC POS ","OTROS"),"OTROS")</f>
        <v>CONSUMO</v>
      </c>
      <c r="L166" s="27">
        <f t="shared" si="21"/>
        <v>4654476</v>
      </c>
      <c r="M166" s="27">
        <f t="shared" si="22"/>
        <v>4654476</v>
      </c>
    </row>
    <row r="167" spans="1:13" ht="16.5" hidden="1" outlineLevel="1">
      <c r="A167" s="38"/>
      <c r="B167" s="39" t="s">
        <v>22</v>
      </c>
      <c r="C167" s="36">
        <v>5997323</v>
      </c>
      <c r="D167" s="36">
        <v>0</v>
      </c>
      <c r="E167" s="36"/>
      <c r="F167" s="36">
        <v>33513805.359999999</v>
      </c>
      <c r="G167" s="37">
        <f t="shared" si="24"/>
        <v>0.17895082147723018</v>
      </c>
      <c r="H167" s="23">
        <f t="shared" si="23"/>
        <v>0</v>
      </c>
      <c r="I167" s="24">
        <f t="shared" si="23"/>
        <v>0</v>
      </c>
      <c r="J167" s="32" t="str" cm="1">
        <f t="array" ref="J167">IFERROR(_xlfn.IFS(B167="044 - BLEND TRADICION","BLEND",B167="113 - CAFÉ GOURMET","GOURMET",B167="114 - CAFÉ CONSUMO","CONSUMO",B167="112 - CAFÉ ORGANICO","GOURMET",B167="172 - CAFÉ COSECHA","ESPECIALES",B167="176 - CAFE DESCAFEINADO","GOURMET",B167="147 - CAPSULAS","CAPSULAS",B167="130 - GALLETAS CAFECITAS","DERIVADOS",B167="140 - MERENGUES","DERIVADOS",B167="100 - CAFÉ ESPECIAL","ESPECIALES",B167="141 - AREQUIPE","DERIVADOS",B167="142 - MERMELADA","DERIVADOS",B167="131 - GALLETAS AVENA","DERIVADOS",B167="160 - SOUVENIR","OTROS",B167="148 - CARAMELOS","DERIVADOS",B167="143 - CHOCOFFES","DERIVADOS",B167="162 - CONVENIOS Y DSC POS ","OTROS"),"OTROS")</f>
        <v>DERIVADOS</v>
      </c>
      <c r="L167" s="27">
        <f t="shared" si="21"/>
        <v>5997323</v>
      </c>
      <c r="M167" s="27">
        <f t="shared" si="22"/>
        <v>5997323</v>
      </c>
    </row>
    <row r="168" spans="1:13" ht="16.5" hidden="1" outlineLevel="1">
      <c r="A168" s="38"/>
      <c r="B168" s="39" t="s">
        <v>23</v>
      </c>
      <c r="C168" s="36">
        <v>0</v>
      </c>
      <c r="D168" s="36">
        <v>0</v>
      </c>
      <c r="E168" s="36"/>
      <c r="F168" s="36">
        <v>174887.86</v>
      </c>
      <c r="G168" s="37">
        <f t="shared" si="24"/>
        <v>0</v>
      </c>
      <c r="H168" s="23">
        <f t="shared" si="23"/>
        <v>0</v>
      </c>
      <c r="I168" s="24">
        <f t="shared" si="23"/>
        <v>0</v>
      </c>
      <c r="J168" s="32" t="str" cm="1">
        <f t="array" ref="J168">IFERROR(_xlfn.IFS(B168="044 - BLEND TRADICION","BLEND",B168="113 - CAFÉ GOURMET","GOURMET",B168="114 - CAFÉ CONSUMO","CONSUMO",B168="112 - CAFÉ ORGANICO","GOURMET",B168="172 - CAFÉ COSECHA","ESPECIALES",B168="176 - CAFE DESCAFEINADO","GOURMET",B168="147 - CAPSULAS","CAPSULAS",B168="130 - GALLETAS CAFECITAS","DERIVADOS",B168="140 - MERENGUES","DERIVADOS",B168="100 - CAFÉ ESPECIAL","ESPECIALES",B168="141 - AREQUIPE","DERIVADOS",B168="142 - MERMELADA","DERIVADOS",B168="131 - GALLETAS AVENA","DERIVADOS",B168="160 - SOUVENIR","OTROS",B168="148 - CARAMELOS","DERIVADOS",B168="143 - CHOCOFFES","DERIVADOS",B168="162 - CONVENIOS Y DSC POS ","OTROS"),"OTROS")</f>
        <v>DERIVADOS</v>
      </c>
      <c r="L168" s="27">
        <f t="shared" si="21"/>
        <v>0</v>
      </c>
      <c r="M168" s="27">
        <f t="shared" si="22"/>
        <v>0</v>
      </c>
    </row>
    <row r="169" spans="1:13" ht="16.5" hidden="1" outlineLevel="1">
      <c r="A169" s="38"/>
      <c r="B169" s="39" t="s">
        <v>24</v>
      </c>
      <c r="C169" s="36">
        <v>370597</v>
      </c>
      <c r="D169" s="36">
        <v>0</v>
      </c>
      <c r="E169" s="36">
        <v>0</v>
      </c>
      <c r="F169" s="36">
        <v>2405932.35</v>
      </c>
      <c r="G169" s="37">
        <f t="shared" si="24"/>
        <v>0.15403467183938069</v>
      </c>
      <c r="H169" s="23">
        <f t="shared" si="23"/>
        <v>0</v>
      </c>
      <c r="I169" s="24">
        <f t="shared" si="23"/>
        <v>0</v>
      </c>
      <c r="J169" s="32" t="str" cm="1">
        <f t="array" ref="J169">IFERROR(_xlfn.IFS(B169="044 - BLEND TRADICION","BLEND",B169="113 - CAFÉ GOURMET","GOURMET",B169="114 - CAFÉ CONSUMO","CONSUMO",B169="112 - CAFÉ ORGANICO","GOURMET",B169="172 - CAFÉ COSECHA","ESPECIALES",B169="176 - CAFE DESCAFEINADO","GOURMET",B169="147 - CAPSULAS","CAPSULAS",B169="130 - GALLETAS CAFECITAS","DERIVADOS",B169="140 - MERENGUES","DERIVADOS",B169="100 - CAFÉ ESPECIAL","ESPECIALES",B169="141 - AREQUIPE","DERIVADOS",B169="142 - MERMELADA","DERIVADOS",B169="131 - GALLETAS AVENA","DERIVADOS",B169="160 - SOUVENIR","OTROS",B169="148 - CARAMELOS","DERIVADOS",B169="143 - CHOCOFFES","DERIVADOS",B169="162 - CONVENIOS Y DSC POS ","OTROS"),"OTROS")</f>
        <v>DERIVADOS</v>
      </c>
      <c r="L169" s="27">
        <f t="shared" si="21"/>
        <v>370597</v>
      </c>
      <c r="M169" s="27">
        <f t="shared" si="22"/>
        <v>370597</v>
      </c>
    </row>
    <row r="170" spans="1:13" ht="16.5" hidden="1" outlineLevel="1">
      <c r="A170" s="38"/>
      <c r="B170" s="39" t="s">
        <v>25</v>
      </c>
      <c r="C170" s="36">
        <v>2965361</v>
      </c>
      <c r="D170" s="36">
        <v>0</v>
      </c>
      <c r="E170" s="36"/>
      <c r="F170" s="36">
        <v>9395897.5299999993</v>
      </c>
      <c r="G170" s="37">
        <f t="shared" si="24"/>
        <v>0.31560167514938831</v>
      </c>
      <c r="H170" s="23">
        <f t="shared" si="23"/>
        <v>0</v>
      </c>
      <c r="I170" s="24">
        <f t="shared" si="23"/>
        <v>0</v>
      </c>
      <c r="J170" s="32" t="str" cm="1">
        <f t="array" ref="J170">IFERROR(_xlfn.IFS(B170="044 - BLEND TRADICION","BLEND",B170="113 - CAFÉ GOURMET","GOURMET",B170="114 - CAFÉ CONSUMO","CONSUMO",B170="112 - CAFÉ ORGANICO","GOURMET",B170="172 - CAFÉ COSECHA","ESPECIALES",B170="176 - CAFE DESCAFEINADO","GOURMET",B170="147 - CAPSULAS","CAPSULAS",B170="130 - GALLETAS CAFECITAS","DERIVADOS",B170="140 - MERENGUES","DERIVADOS",B170="100 - CAFÉ ESPECIAL","ESPECIALES",B170="141 - AREQUIPE","DERIVADOS",B170="142 - MERMELADA","DERIVADOS",B170="131 - GALLETAS AVENA","DERIVADOS",B170="160 - SOUVENIR","OTROS",B170="148 - CARAMELOS","DERIVADOS",B170="143 - CHOCOFFES","DERIVADOS",B170="162 - CONVENIOS Y DSC POS ","OTROS"),"OTROS")</f>
        <v>DERIVADOS</v>
      </c>
      <c r="L170" s="27">
        <f t="shared" si="21"/>
        <v>2965361</v>
      </c>
      <c r="M170" s="27">
        <f t="shared" si="22"/>
        <v>2965361</v>
      </c>
    </row>
    <row r="171" spans="1:13" ht="16.5" hidden="1" outlineLevel="1">
      <c r="A171" s="38"/>
      <c r="B171" s="39" t="s">
        <v>26</v>
      </c>
      <c r="C171" s="36">
        <v>227476</v>
      </c>
      <c r="D171" s="36">
        <v>0</v>
      </c>
      <c r="E171" s="36"/>
      <c r="F171" s="36">
        <v>297105.94</v>
      </c>
      <c r="G171" s="37">
        <f t="shared" si="24"/>
        <v>0.76563935409706041</v>
      </c>
      <c r="H171" s="23">
        <f t="shared" si="23"/>
        <v>0</v>
      </c>
      <c r="I171" s="24">
        <f t="shared" si="23"/>
        <v>0</v>
      </c>
      <c r="J171" s="32" t="str" cm="1">
        <f t="array" ref="J171">IFERROR(_xlfn.IFS(B171="044 - BLEND TRADICION","BLEND",B171="113 - CAFÉ GOURMET","GOURMET",B171="114 - CAFÉ CONSUMO","CONSUMO",B171="112 - CAFÉ ORGANICO","GOURMET",B171="172 - CAFÉ COSECHA","ESPECIALES",B171="176 - CAFE DESCAFEINADO","GOURMET",B171="147 - CAPSULAS","CAPSULAS",B171="130 - GALLETAS CAFECITAS","DERIVADOS",B171="140 - MERENGUES","DERIVADOS",B171="100 - CAFÉ ESPECIAL","ESPECIALES",B171="141 - AREQUIPE","DERIVADOS",B171="142 - MERMELADA","DERIVADOS",B171="131 - GALLETAS AVENA","DERIVADOS",B171="160 - SOUVENIR","OTROS",B171="148 - CARAMELOS","DERIVADOS",B171="143 - CHOCOFFES","DERIVADOS",B171="162 - CONVENIOS Y DSC POS ","OTROS"),"OTROS")</f>
        <v>CAPSULAS</v>
      </c>
      <c r="L171" s="27">
        <f t="shared" si="21"/>
        <v>227476</v>
      </c>
      <c r="M171" s="27">
        <f t="shared" si="22"/>
        <v>227476</v>
      </c>
    </row>
    <row r="172" spans="1:13" ht="16.5" hidden="1" outlineLevel="1">
      <c r="A172" s="38"/>
      <c r="B172" s="39" t="s">
        <v>27</v>
      </c>
      <c r="C172" s="36">
        <v>2727793</v>
      </c>
      <c r="D172" s="36">
        <v>0</v>
      </c>
      <c r="E172" s="36">
        <v>0</v>
      </c>
      <c r="F172" s="36">
        <v>18205206.140000001</v>
      </c>
      <c r="G172" s="37">
        <f t="shared" si="24"/>
        <v>0.14983587546457741</v>
      </c>
      <c r="H172" s="23">
        <f t="shared" si="23"/>
        <v>0</v>
      </c>
      <c r="I172" s="24">
        <f t="shared" si="23"/>
        <v>0</v>
      </c>
      <c r="J172" s="32" t="str" cm="1">
        <f t="array" ref="J172">IFERROR(_xlfn.IFS(B172="044 - BLEND TRADICION","BLEND",B172="113 - CAFÉ GOURMET","GOURMET",B172="114 - CAFÉ CONSUMO","CONSUMO",B172="112 - CAFÉ ORGANICO","GOURMET",B172="172 - CAFÉ COSECHA","ESPECIALES",B172="176 - CAFE DESCAFEINADO","GOURMET",B172="147 - CAPSULAS","CAPSULAS",B172="130 - GALLETAS CAFECITAS","DERIVADOS",B172="140 - MERENGUES","DERIVADOS",B172="100 - CAFÉ ESPECIAL","ESPECIALES",B172="141 - AREQUIPE","DERIVADOS",B172="142 - MERMELADA","DERIVADOS",B172="131 - GALLETAS AVENA","DERIVADOS",B172="160 - SOUVENIR","OTROS",B172="148 - CARAMELOS","DERIVADOS",B172="143 - CHOCOFFES","DERIVADOS",B172="162 - CONVENIOS Y DSC POS ","OTROS"),"OTROS")</f>
        <v>DERIVADOS</v>
      </c>
      <c r="L172" s="27">
        <f t="shared" si="21"/>
        <v>2727793</v>
      </c>
      <c r="M172" s="27">
        <f t="shared" si="22"/>
        <v>2727793</v>
      </c>
    </row>
    <row r="173" spans="1:13" ht="16.5" hidden="1" outlineLevel="1">
      <c r="A173" s="38"/>
      <c r="B173" s="39" t="s">
        <v>28</v>
      </c>
      <c r="C173" s="36">
        <v>764019</v>
      </c>
      <c r="D173" s="36">
        <v>0</v>
      </c>
      <c r="E173" s="36"/>
      <c r="F173" s="36">
        <v>6286220.4699999997</v>
      </c>
      <c r="G173" s="37">
        <f t="shared" si="24"/>
        <v>0.12153868984490136</v>
      </c>
      <c r="H173" s="23">
        <f t="shared" si="23"/>
        <v>0</v>
      </c>
      <c r="I173" s="24">
        <f t="shared" si="23"/>
        <v>0</v>
      </c>
      <c r="J173" s="32" t="str" cm="1">
        <f t="array" ref="J173">IFERROR(_xlfn.IFS(B173="044 - BLEND TRADICION","BLEND",B173="113 - CAFÉ GOURMET","GOURMET",B173="114 - CAFÉ CONSUMO","CONSUMO",B173="112 - CAFÉ ORGANICO","GOURMET",B173="172 - CAFÉ COSECHA","ESPECIALES",B173="176 - CAFE DESCAFEINADO","GOURMET",B173="147 - CAPSULAS","CAPSULAS",B173="130 - GALLETAS CAFECITAS","DERIVADOS",B173="140 - MERENGUES","DERIVADOS",B173="100 - CAFÉ ESPECIAL","ESPECIALES",B173="141 - AREQUIPE","DERIVADOS",B173="142 - MERMELADA","DERIVADOS",B173="131 - GALLETAS AVENA","DERIVADOS",B173="160 - SOUVENIR","OTROS",B173="148 - CARAMELOS","DERIVADOS",B173="143 - CHOCOFFES","DERIVADOS",B173="162 - CONVENIOS Y DSC POS ","OTROS"),"OTROS")</f>
        <v>OTROS</v>
      </c>
      <c r="L173" s="27">
        <f t="shared" si="21"/>
        <v>764019</v>
      </c>
      <c r="M173" s="27">
        <f t="shared" si="22"/>
        <v>764019</v>
      </c>
    </row>
    <row r="174" spans="1:13" ht="16.5" hidden="1" outlineLevel="1">
      <c r="A174" s="38"/>
      <c r="B174" s="39" t="s">
        <v>29</v>
      </c>
      <c r="C174" s="36">
        <v>358812</v>
      </c>
      <c r="D174" s="36">
        <v>0</v>
      </c>
      <c r="E174" s="36"/>
      <c r="F174" s="36">
        <v>2023867.68</v>
      </c>
      <c r="G174" s="37">
        <f t="shared" si="24"/>
        <v>0.17729024656394532</v>
      </c>
      <c r="H174" s="23">
        <f t="shared" ref="H174:I189" si="30">IFERROR(+D174/L174*100%,0)</f>
        <v>0</v>
      </c>
      <c r="I174" s="24">
        <f t="shared" si="30"/>
        <v>0</v>
      </c>
      <c r="J174" s="32" t="str" cm="1">
        <f t="array" ref="J174">IFERROR(_xlfn.IFS(B174="044 - BLEND TRADICION","BLEND",B174="113 - CAFÉ GOURMET","GOURMET",B174="114 - CAFÉ CONSUMO","CONSUMO",B174="112 - CAFÉ ORGANICO","GOURMET",B174="172 - CAFÉ COSECHA","ESPECIALES",B174="176 - CAFE DESCAFEINADO","GOURMET",B174="147 - CAPSULAS","CAPSULAS",B174="130 - GALLETAS CAFECITAS","DERIVADOS",B174="140 - MERENGUES","DERIVADOS",B174="100 - CAFÉ ESPECIAL","ESPECIALES",B174="141 - AREQUIPE","DERIVADOS",B174="142 - MERMELADA","DERIVADOS",B174="131 - GALLETAS AVENA","DERIVADOS",B174="160 - SOUVENIR","OTROS",B174="148 - CARAMELOS","DERIVADOS",B174="143 - CHOCOFFES","DERIVADOS",B174="162 - CONVENIOS Y DSC POS ","OTROS"),"OTROS")</f>
        <v>ESPECIALES</v>
      </c>
      <c r="L174" s="27">
        <f t="shared" si="21"/>
        <v>358812</v>
      </c>
      <c r="M174" s="27">
        <f t="shared" si="22"/>
        <v>358812</v>
      </c>
    </row>
    <row r="175" spans="1:13" ht="16.5" hidden="1" outlineLevel="1">
      <c r="A175" s="38"/>
      <c r="B175" s="39" t="s">
        <v>30</v>
      </c>
      <c r="C175" s="36">
        <v>126524</v>
      </c>
      <c r="D175" s="36">
        <v>0</v>
      </c>
      <c r="E175" s="36"/>
      <c r="F175" s="36">
        <v>160123.85</v>
      </c>
      <c r="G175" s="37">
        <f t="shared" si="24"/>
        <v>0.79016336417092137</v>
      </c>
      <c r="H175" s="23">
        <f t="shared" si="30"/>
        <v>0</v>
      </c>
      <c r="I175" s="24">
        <f t="shared" si="30"/>
        <v>0</v>
      </c>
      <c r="J175" s="32" t="str" cm="1">
        <f t="array" ref="J175">IFERROR(_xlfn.IFS(B175="044 - BLEND TRADICION","BLEND",B175="113 - CAFÉ GOURMET","GOURMET",B175="114 - CAFÉ CONSUMO","CONSUMO",B175="112 - CAFÉ ORGANICO","GOURMET",B175="172 - CAFÉ COSECHA","ESPECIALES",B175="176 - CAFE DESCAFEINADO","GOURMET",B175="147 - CAPSULAS","CAPSULAS",B175="130 - GALLETAS CAFECITAS","DERIVADOS",B175="140 - MERENGUES","DERIVADOS",B175="100 - CAFÉ ESPECIAL","ESPECIALES",B175="141 - AREQUIPE","DERIVADOS",B175="142 - MERMELADA","DERIVADOS",B175="131 - GALLETAS AVENA","DERIVADOS",B175="160 - SOUVENIR","OTROS",B175="148 - CARAMELOS","DERIVADOS",B175="143 - CHOCOFFES","DERIVADOS",B175="162 - CONVENIOS Y DSC POS ","OTROS"),"OTROS")</f>
        <v>GOURMET</v>
      </c>
      <c r="L175" s="27">
        <f t="shared" si="21"/>
        <v>126524</v>
      </c>
      <c r="M175" s="27">
        <f t="shared" si="22"/>
        <v>126524</v>
      </c>
    </row>
    <row r="176" spans="1:13" ht="16.5" hidden="1" outlineLevel="1">
      <c r="A176" s="19" t="s">
        <v>53</v>
      </c>
      <c r="B176" s="56" t="s">
        <v>32</v>
      </c>
      <c r="C176" s="54">
        <f>SUM(C161:C175)</f>
        <v>32510177</v>
      </c>
      <c r="D176" s="54">
        <f>SUM(D161:D175)</f>
        <v>0</v>
      </c>
      <c r="E176" s="54">
        <f>SUM(E161:E175)</f>
        <v>0</v>
      </c>
      <c r="F176" s="54">
        <f>SUM(F161:F175)</f>
        <v>144914729.53999999</v>
      </c>
      <c r="G176" s="55">
        <f t="shared" si="24"/>
        <v>0.22434004537148447</v>
      </c>
      <c r="H176" s="23">
        <f t="shared" si="30"/>
        <v>0</v>
      </c>
      <c r="I176" s="24">
        <f t="shared" si="30"/>
        <v>0</v>
      </c>
      <c r="J176" s="32" t="str" cm="1">
        <f t="array" ref="J176">IFERROR(_xlfn.IFS(B176="044 - BLEND TRADICION","BLEND",B176="113 - CAFÉ GOURMET","GOURMET",B176="114 - CAFÉ CONSUMO","CONSUMO",B176="112 - CAFÉ ORGANICO","GOURMET",B176="172 - CAFÉ COSECHA","ESPECIALES",B176="176 - CAFE DESCAFEINADO","GOURMET",B176="147 - CAPSULAS","CAPSULAS",B176="130 - GALLETAS CAFECITAS","DERIVADOS",B176="140 - MERENGUES","DERIVADOS",B176="100 - CAFÉ ESPECIAL","ESPECIALES",B176="141 - AREQUIPE","DERIVADOS",B176="142 - MERMELADA","DERIVADOS",B176="131 - GALLETAS AVENA","DERIVADOS",B176="160 - SOUVENIR","OTROS",B176="148 - CARAMELOS","DERIVADOS",B176="143 - CHOCOFFES","DERIVADOS",B176="162 - CONVENIOS Y DSC POS ","OTROS"),"OTROS")</f>
        <v>OTROS</v>
      </c>
      <c r="L176" s="27">
        <f t="shared" si="21"/>
        <v>32510177</v>
      </c>
      <c r="M176" s="27">
        <f t="shared" si="22"/>
        <v>32510177</v>
      </c>
    </row>
    <row r="177" spans="1:13" ht="16.5" hidden="1" outlineLevel="1">
      <c r="A177" s="33"/>
      <c r="B177" s="39" t="s">
        <v>42</v>
      </c>
      <c r="C177" s="36">
        <v>40584</v>
      </c>
      <c r="D177" s="36">
        <v>0</v>
      </c>
      <c r="E177" s="36">
        <v>0</v>
      </c>
      <c r="F177" s="36">
        <v>0</v>
      </c>
      <c r="G177" s="37" t="str">
        <f t="shared" si="24"/>
        <v>-</v>
      </c>
      <c r="H177" s="23">
        <f t="shared" si="30"/>
        <v>0</v>
      </c>
      <c r="I177" s="24">
        <f t="shared" si="30"/>
        <v>0</v>
      </c>
      <c r="J177" s="32" t="str" cm="1">
        <f t="array" ref="J177">IFERROR(_xlfn.IFS(B177="044 - BLEND TRADICION","BLEND",B177="113 - CAFÉ GOURMET","GOURMET",B177="114 - CAFÉ CONSUMO","CONSUMO",B177="112 - CAFÉ ORGANICO","GOURMET",B177="172 - CAFÉ COSECHA","ESPECIALES",B177="176 - CAFE DESCAFEINADO","GOURMET",B177="147 - CAPSULAS","CAPSULAS",B177="130 - GALLETAS CAFECITAS","DERIVADOS",B177="140 - MERENGUES","DERIVADOS",B177="100 - CAFÉ ESPECIAL","ESPECIALES",B177="141 - AREQUIPE","DERIVADOS",B177="142 - MERMELADA","DERIVADOS",B177="131 - GALLETAS AVENA","DERIVADOS",B177="160 - SOUVENIR","OTROS",B177="148 - CARAMELOS","DERIVADOS",B177="143 - CHOCOFFES","DERIVADOS",B177="162 - CONVENIOS Y DSC POS ","OTROS"),"OTROS")</f>
        <v>OTROS</v>
      </c>
      <c r="L177" s="27">
        <f t="shared" si="21"/>
        <v>40584</v>
      </c>
      <c r="M177" s="27">
        <f t="shared" si="22"/>
        <v>40584</v>
      </c>
    </row>
    <row r="178" spans="1:13" ht="16.5" hidden="1" outlineLevel="1">
      <c r="A178" s="33"/>
      <c r="B178" s="39" t="s">
        <v>18</v>
      </c>
      <c r="C178" s="36">
        <v>3212404</v>
      </c>
      <c r="D178" s="36">
        <v>0</v>
      </c>
      <c r="E178" s="36"/>
      <c r="F178" s="36">
        <v>10236889.550000001</v>
      </c>
      <c r="G178" s="37">
        <f t="shared" si="24"/>
        <v>0.31380664842671863</v>
      </c>
      <c r="H178" s="23">
        <f t="shared" si="30"/>
        <v>0</v>
      </c>
      <c r="I178" s="24">
        <f t="shared" si="30"/>
        <v>0</v>
      </c>
      <c r="J178" s="32" t="str" cm="1">
        <f t="array" ref="J178">IFERROR(_xlfn.IFS(B178="044 - BLEND TRADICION","BLEND",B178="113 - CAFÉ GOURMET","GOURMET",B178="114 - CAFÉ CONSUMO","CONSUMO",B178="112 - CAFÉ ORGANICO","GOURMET",B178="172 - CAFÉ COSECHA","ESPECIALES",B178="176 - CAFE DESCAFEINADO","GOURMET",B178="147 - CAPSULAS","CAPSULAS",B178="130 - GALLETAS CAFECITAS","DERIVADOS",B178="140 - MERENGUES","DERIVADOS",B178="100 - CAFÉ ESPECIAL","ESPECIALES",B178="141 - AREQUIPE","DERIVADOS",B178="142 - MERMELADA","DERIVADOS",B178="131 - GALLETAS AVENA","DERIVADOS",B178="160 - SOUVENIR","OTROS",B178="148 - CARAMELOS","DERIVADOS",B178="143 - CHOCOFFES","DERIVADOS",B178="162 - CONVENIOS Y DSC POS ","OTROS"),"OTROS")</f>
        <v>BLEND</v>
      </c>
      <c r="L178" s="27">
        <f t="shared" si="21"/>
        <v>3212404</v>
      </c>
      <c r="M178" s="27">
        <f t="shared" si="22"/>
        <v>3212404</v>
      </c>
    </row>
    <row r="179" spans="1:13" ht="16.5" hidden="1" outlineLevel="1">
      <c r="A179" s="38"/>
      <c r="B179" s="39" t="s">
        <v>19</v>
      </c>
      <c r="C179" s="36">
        <v>2223347</v>
      </c>
      <c r="D179" s="36">
        <v>0</v>
      </c>
      <c r="E179" s="36">
        <v>0</v>
      </c>
      <c r="F179" s="36">
        <v>6016526.7400000002</v>
      </c>
      <c r="G179" s="37">
        <f t="shared" si="24"/>
        <v>0.36953995155018621</v>
      </c>
      <c r="H179" s="23">
        <f t="shared" si="30"/>
        <v>0</v>
      </c>
      <c r="I179" s="24">
        <f t="shared" si="30"/>
        <v>0</v>
      </c>
      <c r="J179" s="32" t="str" cm="1">
        <f t="array" ref="J179">IFERROR(_xlfn.IFS(B179="044 - BLEND TRADICION","BLEND",B179="113 - CAFÉ GOURMET","GOURMET",B179="114 - CAFÉ CONSUMO","CONSUMO",B179="112 - CAFÉ ORGANICO","GOURMET",B179="172 - CAFÉ COSECHA","ESPECIALES",B179="176 - CAFE DESCAFEINADO","GOURMET",B179="147 - CAPSULAS","CAPSULAS",B179="130 - GALLETAS CAFECITAS","DERIVADOS",B179="140 - MERENGUES","DERIVADOS",B179="100 - CAFÉ ESPECIAL","ESPECIALES",B179="141 - AREQUIPE","DERIVADOS",B179="142 - MERMELADA","DERIVADOS",B179="131 - GALLETAS AVENA","DERIVADOS",B179="160 - SOUVENIR","OTROS",B179="148 - CARAMELOS","DERIVADOS",B179="143 - CHOCOFFES","DERIVADOS",B179="162 - CONVENIOS Y DSC POS ","OTROS"),"OTROS")</f>
        <v>ESPECIALES</v>
      </c>
      <c r="L179" s="27">
        <f t="shared" si="21"/>
        <v>2223347</v>
      </c>
      <c r="M179" s="27">
        <f t="shared" si="22"/>
        <v>2223347</v>
      </c>
    </row>
    <row r="180" spans="1:13" ht="16.5" hidden="1" outlineLevel="1">
      <c r="A180" s="38"/>
      <c r="B180" s="39" t="s">
        <v>20</v>
      </c>
      <c r="C180" s="36">
        <v>629565</v>
      </c>
      <c r="D180" s="36">
        <v>0</v>
      </c>
      <c r="E180" s="36">
        <v>0</v>
      </c>
      <c r="F180" s="36">
        <v>1636189.73</v>
      </c>
      <c r="G180" s="37">
        <f t="shared" si="24"/>
        <v>0.38477505906359649</v>
      </c>
      <c r="H180" s="23">
        <f t="shared" si="30"/>
        <v>0</v>
      </c>
      <c r="I180" s="24">
        <f t="shared" si="30"/>
        <v>0</v>
      </c>
      <c r="J180" s="32" t="str" cm="1">
        <f t="array" ref="J180">IFERROR(_xlfn.IFS(B180="044 - BLEND TRADICION","BLEND",B180="113 - CAFÉ GOURMET","GOURMET",B180="114 - CAFÉ CONSUMO","CONSUMO",B180="112 - CAFÉ ORGANICO","GOURMET",B180="172 - CAFÉ COSECHA","ESPECIALES",B180="176 - CAFE DESCAFEINADO","GOURMET",B180="147 - CAPSULAS","CAPSULAS",B180="130 - GALLETAS CAFECITAS","DERIVADOS",B180="140 - MERENGUES","DERIVADOS",B180="100 - CAFÉ ESPECIAL","ESPECIALES",B180="141 - AREQUIPE","DERIVADOS",B180="142 - MERMELADA","DERIVADOS",B180="131 - GALLETAS AVENA","DERIVADOS",B180="160 - SOUVENIR","OTROS",B180="148 - CARAMELOS","DERIVADOS",B180="143 - CHOCOFFES","DERIVADOS",B180="162 - CONVENIOS Y DSC POS ","OTROS"),"OTROS")</f>
        <v>GOURMET</v>
      </c>
      <c r="L180" s="27">
        <f t="shared" si="21"/>
        <v>629565</v>
      </c>
      <c r="M180" s="27">
        <f t="shared" si="22"/>
        <v>629565</v>
      </c>
    </row>
    <row r="181" spans="1:13" ht="16.5" hidden="1" outlineLevel="1">
      <c r="A181" s="38"/>
      <c r="B181" s="39" t="s">
        <v>21</v>
      </c>
      <c r="C181" s="36">
        <v>20227389</v>
      </c>
      <c r="D181" s="36">
        <v>0</v>
      </c>
      <c r="E181" s="36"/>
      <c r="F181" s="36">
        <v>64517931.119999997</v>
      </c>
      <c r="G181" s="37">
        <f t="shared" si="24"/>
        <v>0.31351577226458344</v>
      </c>
      <c r="H181" s="23">
        <f t="shared" si="30"/>
        <v>0</v>
      </c>
      <c r="I181" s="24">
        <f t="shared" si="30"/>
        <v>0</v>
      </c>
      <c r="J181" s="32" t="str" cm="1">
        <f t="array" ref="J181">IFERROR(_xlfn.IFS(B181="044 - BLEND TRADICION","BLEND",B181="113 - CAFÉ GOURMET","GOURMET",B181="114 - CAFÉ CONSUMO","CONSUMO",B181="112 - CAFÉ ORGANICO","GOURMET",B181="172 - CAFÉ COSECHA","ESPECIALES",B181="176 - CAFE DESCAFEINADO","GOURMET",B181="147 - CAPSULAS","CAPSULAS",B181="130 - GALLETAS CAFECITAS","DERIVADOS",B181="140 - MERENGUES","DERIVADOS",B181="100 - CAFÉ ESPECIAL","ESPECIALES",B181="141 - AREQUIPE","DERIVADOS",B181="142 - MERMELADA","DERIVADOS",B181="131 - GALLETAS AVENA","DERIVADOS",B181="160 - SOUVENIR","OTROS",B181="148 - CARAMELOS","DERIVADOS",B181="143 - CHOCOFFES","DERIVADOS",B181="162 - CONVENIOS Y DSC POS ","OTROS"),"OTROS")</f>
        <v>GOURMET</v>
      </c>
      <c r="L181" s="27">
        <f t="shared" si="21"/>
        <v>20227389</v>
      </c>
      <c r="M181" s="27">
        <f t="shared" si="22"/>
        <v>20227389</v>
      </c>
    </row>
    <row r="182" spans="1:13" ht="16.5" hidden="1" outlineLevel="1">
      <c r="A182" s="38"/>
      <c r="B182" s="39" t="s">
        <v>38</v>
      </c>
      <c r="C182" s="36">
        <v>2857497</v>
      </c>
      <c r="D182" s="36">
        <v>0</v>
      </c>
      <c r="E182" s="36"/>
      <c r="F182" s="36">
        <v>9597044.6699999999</v>
      </c>
      <c r="G182" s="37">
        <f t="shared" si="24"/>
        <v>0.29774759816763469</v>
      </c>
      <c r="H182" s="23">
        <f t="shared" si="30"/>
        <v>0</v>
      </c>
      <c r="I182" s="24">
        <f t="shared" si="30"/>
        <v>0</v>
      </c>
      <c r="J182" s="32" t="str" cm="1">
        <f t="array" ref="J182">IFERROR(_xlfn.IFS(B182="044 - BLEND TRADICION","BLEND",B182="113 - CAFÉ GOURMET","GOURMET",B182="114 - CAFÉ CONSUMO","CONSUMO",B182="112 - CAFÉ ORGANICO","GOURMET",B182="172 - CAFÉ COSECHA","ESPECIALES",B182="176 - CAFE DESCAFEINADO","GOURMET",B182="147 - CAPSULAS","CAPSULAS",B182="130 - GALLETAS CAFECITAS","DERIVADOS",B182="140 - MERENGUES","DERIVADOS",B182="100 - CAFÉ ESPECIAL","ESPECIALES",B182="141 - AREQUIPE","DERIVADOS",B182="142 - MERMELADA","DERIVADOS",B182="131 - GALLETAS AVENA","DERIVADOS",B182="160 - SOUVENIR","OTROS",B182="148 - CARAMELOS","DERIVADOS",B182="143 - CHOCOFFES","DERIVADOS",B182="162 - CONVENIOS Y DSC POS ","OTROS"),"OTROS")</f>
        <v>CONSUMO</v>
      </c>
      <c r="L182" s="27">
        <f t="shared" si="21"/>
        <v>2857497</v>
      </c>
      <c r="M182" s="27">
        <f t="shared" si="22"/>
        <v>2857497</v>
      </c>
    </row>
    <row r="183" spans="1:13" ht="16.5" hidden="1" outlineLevel="1">
      <c r="A183" s="38"/>
      <c r="B183" s="39" t="s">
        <v>22</v>
      </c>
      <c r="C183" s="36">
        <v>6248942</v>
      </c>
      <c r="D183" s="36">
        <v>0</v>
      </c>
      <c r="E183" s="36"/>
      <c r="F183" s="36">
        <v>25972256.75</v>
      </c>
      <c r="G183" s="37">
        <f t="shared" si="24"/>
        <v>0.24060065554372745</v>
      </c>
      <c r="H183" s="23">
        <f t="shared" si="30"/>
        <v>0</v>
      </c>
      <c r="I183" s="24">
        <f t="shared" si="30"/>
        <v>0</v>
      </c>
      <c r="J183" s="32" t="str" cm="1">
        <f t="array" ref="J183">IFERROR(_xlfn.IFS(B183="044 - BLEND TRADICION","BLEND",B183="113 - CAFÉ GOURMET","GOURMET",B183="114 - CAFÉ CONSUMO","CONSUMO",B183="112 - CAFÉ ORGANICO","GOURMET",B183="172 - CAFÉ COSECHA","ESPECIALES",B183="176 - CAFE DESCAFEINADO","GOURMET",B183="147 - CAPSULAS","CAPSULAS",B183="130 - GALLETAS CAFECITAS","DERIVADOS",B183="140 - MERENGUES","DERIVADOS",B183="100 - CAFÉ ESPECIAL","ESPECIALES",B183="141 - AREQUIPE","DERIVADOS",B183="142 - MERMELADA","DERIVADOS",B183="131 - GALLETAS AVENA","DERIVADOS",B183="160 - SOUVENIR","OTROS",B183="148 - CARAMELOS","DERIVADOS",B183="143 - CHOCOFFES","DERIVADOS",B183="162 - CONVENIOS Y DSC POS ","OTROS"),"OTROS")</f>
        <v>DERIVADOS</v>
      </c>
      <c r="L183" s="27">
        <f t="shared" si="21"/>
        <v>6248942</v>
      </c>
      <c r="M183" s="27">
        <f t="shared" si="22"/>
        <v>6248942</v>
      </c>
    </row>
    <row r="184" spans="1:13" ht="16.5" hidden="1" outlineLevel="1">
      <c r="A184" s="38"/>
      <c r="B184" s="39" t="s">
        <v>24</v>
      </c>
      <c r="C184" s="36">
        <v>576908</v>
      </c>
      <c r="D184" s="36">
        <v>0</v>
      </c>
      <c r="E184" s="36"/>
      <c r="F184" s="36">
        <v>2464599.98</v>
      </c>
      <c r="G184" s="37">
        <f t="shared" si="24"/>
        <v>0.23407774270938686</v>
      </c>
      <c r="H184" s="23">
        <f t="shared" si="30"/>
        <v>0</v>
      </c>
      <c r="I184" s="24">
        <f t="shared" si="30"/>
        <v>0</v>
      </c>
      <c r="J184" s="32" t="str" cm="1">
        <f t="array" ref="J184">IFERROR(_xlfn.IFS(B184="044 - BLEND TRADICION","BLEND",B184="113 - CAFÉ GOURMET","GOURMET",B184="114 - CAFÉ CONSUMO","CONSUMO",B184="112 - CAFÉ ORGANICO","GOURMET",B184="172 - CAFÉ COSECHA","ESPECIALES",B184="176 - CAFE DESCAFEINADO","GOURMET",B184="147 - CAPSULAS","CAPSULAS",B184="130 - GALLETAS CAFECITAS","DERIVADOS",B184="140 - MERENGUES","DERIVADOS",B184="100 - CAFÉ ESPECIAL","ESPECIALES",B184="141 - AREQUIPE","DERIVADOS",B184="142 - MERMELADA","DERIVADOS",B184="131 - GALLETAS AVENA","DERIVADOS",B184="160 - SOUVENIR","OTROS",B184="148 - CARAMELOS","DERIVADOS",B184="143 - CHOCOFFES","DERIVADOS",B184="162 - CONVENIOS Y DSC POS ","OTROS"),"OTROS")</f>
        <v>DERIVADOS</v>
      </c>
      <c r="L184" s="27">
        <f t="shared" si="21"/>
        <v>576908</v>
      </c>
      <c r="M184" s="27">
        <f t="shared" si="22"/>
        <v>576908</v>
      </c>
    </row>
    <row r="185" spans="1:13" ht="16.5" hidden="1" outlineLevel="1">
      <c r="A185" s="38"/>
      <c r="B185" s="39" t="s">
        <v>25</v>
      </c>
      <c r="C185" s="36">
        <v>3052744</v>
      </c>
      <c r="D185" s="36">
        <v>0</v>
      </c>
      <c r="E185" s="36"/>
      <c r="F185" s="36">
        <v>12421685.26</v>
      </c>
      <c r="G185" s="37">
        <f t="shared" si="24"/>
        <v>0.24575924571445792</v>
      </c>
      <c r="H185" s="23">
        <f t="shared" si="30"/>
        <v>0</v>
      </c>
      <c r="I185" s="24">
        <f t="shared" si="30"/>
        <v>0</v>
      </c>
      <c r="J185" s="32" t="str" cm="1">
        <f t="array" ref="J185">IFERROR(_xlfn.IFS(B185="044 - BLEND TRADICION","BLEND",B185="113 - CAFÉ GOURMET","GOURMET",B185="114 - CAFÉ CONSUMO","CONSUMO",B185="112 - CAFÉ ORGANICO","GOURMET",B185="172 - CAFÉ COSECHA","ESPECIALES",B185="176 - CAFE DESCAFEINADO","GOURMET",B185="147 - CAPSULAS","CAPSULAS",B185="130 - GALLETAS CAFECITAS","DERIVADOS",B185="140 - MERENGUES","DERIVADOS",B185="100 - CAFÉ ESPECIAL","ESPECIALES",B185="141 - AREQUIPE","DERIVADOS",B185="142 - MERMELADA","DERIVADOS",B185="131 - GALLETAS AVENA","DERIVADOS",B185="160 - SOUVENIR","OTROS",B185="148 - CARAMELOS","DERIVADOS",B185="143 - CHOCOFFES","DERIVADOS",B185="162 - CONVENIOS Y DSC POS ","OTROS"),"OTROS")</f>
        <v>DERIVADOS</v>
      </c>
      <c r="L185" s="27">
        <f t="shared" si="21"/>
        <v>3052744</v>
      </c>
      <c r="M185" s="27">
        <f t="shared" si="22"/>
        <v>3052744</v>
      </c>
    </row>
    <row r="186" spans="1:13" ht="16.5" hidden="1" outlineLevel="1">
      <c r="A186" s="38"/>
      <c r="B186" s="39" t="s">
        <v>26</v>
      </c>
      <c r="C186" s="36">
        <v>186433</v>
      </c>
      <c r="D186" s="36">
        <v>0</v>
      </c>
      <c r="E186" s="36"/>
      <c r="F186" s="36">
        <v>2257638.58</v>
      </c>
      <c r="G186" s="37">
        <f t="shared" si="24"/>
        <v>8.2578762451871277E-2</v>
      </c>
      <c r="H186" s="23">
        <f t="shared" si="30"/>
        <v>0</v>
      </c>
      <c r="I186" s="24">
        <f t="shared" si="30"/>
        <v>0</v>
      </c>
      <c r="J186" s="32" t="str" cm="1">
        <f t="array" ref="J186">IFERROR(_xlfn.IFS(B186="044 - BLEND TRADICION","BLEND",B186="113 - CAFÉ GOURMET","GOURMET",B186="114 - CAFÉ CONSUMO","CONSUMO",B186="112 - CAFÉ ORGANICO","GOURMET",B186="172 - CAFÉ COSECHA","ESPECIALES",B186="176 - CAFE DESCAFEINADO","GOURMET",B186="147 - CAPSULAS","CAPSULAS",B186="130 - GALLETAS CAFECITAS","DERIVADOS",B186="140 - MERENGUES","DERIVADOS",B186="100 - CAFÉ ESPECIAL","ESPECIALES",B186="141 - AREQUIPE","DERIVADOS",B186="142 - MERMELADA","DERIVADOS",B186="131 - GALLETAS AVENA","DERIVADOS",B186="160 - SOUVENIR","OTROS",B186="148 - CARAMELOS","DERIVADOS",B186="143 - CHOCOFFES","DERIVADOS",B186="162 - CONVENIOS Y DSC POS ","OTROS"),"OTROS")</f>
        <v>CAPSULAS</v>
      </c>
      <c r="L186" s="27">
        <f t="shared" si="21"/>
        <v>186433</v>
      </c>
      <c r="M186" s="27">
        <f t="shared" si="22"/>
        <v>186433</v>
      </c>
    </row>
    <row r="187" spans="1:13" ht="16.5" hidden="1" outlineLevel="1">
      <c r="A187" s="38"/>
      <c r="B187" s="39" t="s">
        <v>27</v>
      </c>
      <c r="C187" s="36">
        <v>5859442</v>
      </c>
      <c r="D187" s="36">
        <v>0</v>
      </c>
      <c r="E187" s="36"/>
      <c r="F187" s="36">
        <v>20712565.039999999</v>
      </c>
      <c r="G187" s="37">
        <f t="shared" si="24"/>
        <v>0.28289311288506641</v>
      </c>
      <c r="H187" s="23">
        <f t="shared" si="30"/>
        <v>0</v>
      </c>
      <c r="I187" s="24">
        <f t="shared" si="30"/>
        <v>0</v>
      </c>
      <c r="J187" s="32" t="str" cm="1">
        <f t="array" ref="J187">IFERROR(_xlfn.IFS(B187="044 - BLEND TRADICION","BLEND",B187="113 - CAFÉ GOURMET","GOURMET",B187="114 - CAFÉ CONSUMO","CONSUMO",B187="112 - CAFÉ ORGANICO","GOURMET",B187="172 - CAFÉ COSECHA","ESPECIALES",B187="176 - CAFE DESCAFEINADO","GOURMET",B187="147 - CAPSULAS","CAPSULAS",B187="130 - GALLETAS CAFECITAS","DERIVADOS",B187="140 - MERENGUES","DERIVADOS",B187="100 - CAFÉ ESPECIAL","ESPECIALES",B187="141 - AREQUIPE","DERIVADOS",B187="142 - MERMELADA","DERIVADOS",B187="131 - GALLETAS AVENA","DERIVADOS",B187="160 - SOUVENIR","OTROS",B187="148 - CARAMELOS","DERIVADOS",B187="143 - CHOCOFFES","DERIVADOS",B187="162 - CONVENIOS Y DSC POS ","OTROS"),"OTROS")</f>
        <v>DERIVADOS</v>
      </c>
      <c r="L187" s="27">
        <f t="shared" si="21"/>
        <v>5859442</v>
      </c>
      <c r="M187" s="27">
        <f t="shared" si="22"/>
        <v>5859442</v>
      </c>
    </row>
    <row r="188" spans="1:13" ht="16.5" hidden="1" outlineLevel="1">
      <c r="A188" s="38"/>
      <c r="B188" s="39" t="s">
        <v>28</v>
      </c>
      <c r="C188" s="36">
        <v>2706176</v>
      </c>
      <c r="D188" s="36">
        <v>0</v>
      </c>
      <c r="E188" s="36"/>
      <c r="F188" s="36">
        <v>14886549.630000001</v>
      </c>
      <c r="G188" s="37">
        <f t="shared" si="24"/>
        <v>0.18178665085335827</v>
      </c>
      <c r="H188" s="23">
        <f t="shared" si="30"/>
        <v>0</v>
      </c>
      <c r="I188" s="24">
        <f t="shared" si="30"/>
        <v>0</v>
      </c>
      <c r="J188" s="32" t="str" cm="1">
        <f t="array" ref="J188">IFERROR(_xlfn.IFS(B188="044 - BLEND TRADICION","BLEND",B188="113 - CAFÉ GOURMET","GOURMET",B188="114 - CAFÉ CONSUMO","CONSUMO",B188="112 - CAFÉ ORGANICO","GOURMET",B188="172 - CAFÉ COSECHA","ESPECIALES",B188="176 - CAFE DESCAFEINADO","GOURMET",B188="147 - CAPSULAS","CAPSULAS",B188="130 - GALLETAS CAFECITAS","DERIVADOS",B188="140 - MERENGUES","DERIVADOS",B188="100 - CAFÉ ESPECIAL","ESPECIALES",B188="141 - AREQUIPE","DERIVADOS",B188="142 - MERMELADA","DERIVADOS",B188="131 - GALLETAS AVENA","DERIVADOS",B188="160 - SOUVENIR","OTROS",B188="148 - CARAMELOS","DERIVADOS",B188="143 - CHOCOFFES","DERIVADOS",B188="162 - CONVENIOS Y DSC POS ","OTROS"),"OTROS")</f>
        <v>OTROS</v>
      </c>
      <c r="L188" s="27">
        <f t="shared" si="21"/>
        <v>2706176</v>
      </c>
      <c r="M188" s="27">
        <f t="shared" si="22"/>
        <v>2706176</v>
      </c>
    </row>
    <row r="189" spans="1:13" ht="16.5" hidden="1" outlineLevel="1">
      <c r="A189" s="38"/>
      <c r="B189" s="39" t="s">
        <v>29</v>
      </c>
      <c r="C189" s="36">
        <v>2410444</v>
      </c>
      <c r="D189" s="36">
        <v>0</v>
      </c>
      <c r="E189" s="36"/>
      <c r="F189" s="36">
        <v>8209679.5599999996</v>
      </c>
      <c r="G189" s="37">
        <f t="shared" si="24"/>
        <v>0.29360999809839106</v>
      </c>
      <c r="H189" s="23">
        <f t="shared" si="30"/>
        <v>0</v>
      </c>
      <c r="I189" s="24">
        <f t="shared" si="30"/>
        <v>0</v>
      </c>
      <c r="J189" s="32" t="str" cm="1">
        <f t="array" ref="J189">IFERROR(_xlfn.IFS(B189="044 - BLEND TRADICION","BLEND",B189="113 - CAFÉ GOURMET","GOURMET",B189="114 - CAFÉ CONSUMO","CONSUMO",B189="112 - CAFÉ ORGANICO","GOURMET",B189="172 - CAFÉ COSECHA","ESPECIALES",B189="176 - CAFE DESCAFEINADO","GOURMET",B189="147 - CAPSULAS","CAPSULAS",B189="130 - GALLETAS CAFECITAS","DERIVADOS",B189="140 - MERENGUES","DERIVADOS",B189="100 - CAFÉ ESPECIAL","ESPECIALES",B189="141 - AREQUIPE","DERIVADOS",B189="142 - MERMELADA","DERIVADOS",B189="131 - GALLETAS AVENA","DERIVADOS",B189="160 - SOUVENIR","OTROS",B189="148 - CARAMELOS","DERIVADOS",B189="143 - CHOCOFFES","DERIVADOS",B189="162 - CONVENIOS Y DSC POS ","OTROS"),"OTROS")</f>
        <v>ESPECIALES</v>
      </c>
      <c r="L189" s="27">
        <f t="shared" si="21"/>
        <v>2410444</v>
      </c>
      <c r="M189" s="27">
        <f t="shared" si="22"/>
        <v>2410444</v>
      </c>
    </row>
    <row r="190" spans="1:13" ht="16.5" hidden="1" outlineLevel="1">
      <c r="A190" s="38"/>
      <c r="B190" s="39" t="s">
        <v>30</v>
      </c>
      <c r="C190" s="36">
        <v>272027</v>
      </c>
      <c r="D190" s="36">
        <v>0</v>
      </c>
      <c r="E190" s="36"/>
      <c r="F190" s="36">
        <v>1016149.79</v>
      </c>
      <c r="G190" s="37">
        <f t="shared" si="24"/>
        <v>0.26770364239311606</v>
      </c>
      <c r="H190" s="23">
        <f t="shared" ref="H190:I256" si="31">IFERROR(+D190/L190*100%,0)</f>
        <v>0</v>
      </c>
      <c r="I190" s="24">
        <f t="shared" si="31"/>
        <v>0</v>
      </c>
      <c r="J190" s="32" t="str" cm="1">
        <f t="array" ref="J190">IFERROR(_xlfn.IFS(B190="044 - BLEND TRADICION","BLEND",B190="113 - CAFÉ GOURMET","GOURMET",B190="114 - CAFÉ CONSUMO","CONSUMO",B190="112 - CAFÉ ORGANICO","GOURMET",B190="172 - CAFÉ COSECHA","ESPECIALES",B190="176 - CAFE DESCAFEINADO","GOURMET",B190="147 - CAPSULAS","CAPSULAS",B190="130 - GALLETAS CAFECITAS","DERIVADOS",B190="140 - MERENGUES","DERIVADOS",B190="100 - CAFÉ ESPECIAL","ESPECIALES",B190="141 - AREQUIPE","DERIVADOS",B190="142 - MERMELADA","DERIVADOS",B190="131 - GALLETAS AVENA","DERIVADOS",B190="160 - SOUVENIR","OTROS",B190="148 - CARAMELOS","DERIVADOS",B190="143 - CHOCOFFES","DERIVADOS",B190="162 - CONVENIOS Y DSC POS ","OTROS"),"OTROS")</f>
        <v>GOURMET</v>
      </c>
      <c r="L190" s="27">
        <f t="shared" si="21"/>
        <v>272027</v>
      </c>
      <c r="M190" s="27">
        <f t="shared" si="22"/>
        <v>272027</v>
      </c>
    </row>
    <row r="191" spans="1:13" ht="16.5" hidden="1" outlineLevel="1">
      <c r="A191" s="19" t="s">
        <v>54</v>
      </c>
      <c r="B191" s="56" t="s">
        <v>32</v>
      </c>
      <c r="C191" s="54">
        <f>SUM(C177:C190)</f>
        <v>50503902</v>
      </c>
      <c r="D191" s="54">
        <f>SUM(D177:D190)</f>
        <v>0</v>
      </c>
      <c r="E191" s="54">
        <f>SUM(E177:E190)</f>
        <v>0</v>
      </c>
      <c r="F191" s="58">
        <f>SUM(F177:F190)</f>
        <v>179945706.40000001</v>
      </c>
      <c r="G191" s="55">
        <f t="shared" si="24"/>
        <v>0.28066188969096734</v>
      </c>
      <c r="H191" s="23">
        <f t="shared" si="31"/>
        <v>0</v>
      </c>
      <c r="I191" s="24">
        <f t="shared" si="31"/>
        <v>0</v>
      </c>
      <c r="J191" s="32" t="str" cm="1">
        <f t="array" ref="J191">IFERROR(_xlfn.IFS(B191="044 - BLEND TRADICION","BLEND",B191="113 - CAFÉ GOURMET","GOURMET",B191="114 - CAFÉ CONSUMO","CONSUMO",B191="112 - CAFÉ ORGANICO","GOURMET",B191="172 - CAFÉ COSECHA","ESPECIALES",B191="176 - CAFE DESCAFEINADO","GOURMET",B191="147 - CAPSULAS","CAPSULAS",B191="130 - GALLETAS CAFECITAS","DERIVADOS",B191="140 - MERENGUES","DERIVADOS",B191="100 - CAFÉ ESPECIAL","ESPECIALES",B191="141 - AREQUIPE","DERIVADOS",B191="142 - MERMELADA","DERIVADOS",B191="131 - GALLETAS AVENA","DERIVADOS",B191="160 - SOUVENIR","OTROS",B191="148 - CARAMELOS","DERIVADOS",B191="143 - CHOCOFFES","DERIVADOS",B191="162 - CONVENIOS Y DSC POS ","OTROS"),"OTROS")</f>
        <v>OTROS</v>
      </c>
      <c r="L191" s="27">
        <f t="shared" si="21"/>
        <v>50503902</v>
      </c>
      <c r="M191" s="27">
        <f t="shared" si="22"/>
        <v>50503902</v>
      </c>
    </row>
    <row r="192" spans="1:13" ht="16.5" collapsed="1">
      <c r="A192" s="28" t="s">
        <v>55</v>
      </c>
      <c r="B192" s="29" t="s">
        <v>17</v>
      </c>
      <c r="C192" s="30">
        <f>+C207</f>
        <v>68534921</v>
      </c>
      <c r="D192" s="30">
        <f t="shared" ref="D192:E192" si="32">+D207</f>
        <v>0</v>
      </c>
      <c r="E192" s="30">
        <f t="shared" si="32"/>
        <v>0</v>
      </c>
      <c r="F192" s="30">
        <f>+F207</f>
        <v>251466278.25</v>
      </c>
      <c r="G192" s="31">
        <f t="shared" si="24"/>
        <v>0.27254119907029722</v>
      </c>
      <c r="H192" s="23">
        <f t="shared" si="31"/>
        <v>0</v>
      </c>
      <c r="I192" s="24">
        <f t="shared" si="31"/>
        <v>0</v>
      </c>
      <c r="J192" s="32" t="str" cm="1">
        <f t="array" ref="J192">IFERROR(_xlfn.IFS(B192="044 - BLEND TRADICION","BLEND",B192="113 - CAFÉ GOURMET","GOURMET",B192="114 - CAFÉ CONSUMO","CONSUMO",B192="112 - CAFÉ ORGANICO","GOURMET",B192="172 - CAFÉ COSECHA","ESPECIALES",B192="176 - CAFE DESCAFEINADO","GOURMET",B192="147 - CAPSULAS","CAPSULAS",B192="130 - GALLETAS CAFECITAS","DERIVADOS",B192="140 - MERENGUES","DERIVADOS",B192="100 - CAFÉ ESPECIAL","ESPECIALES",B192="141 - AREQUIPE","DERIVADOS",B192="142 - MERMELADA","DERIVADOS",B192="131 - GALLETAS AVENA","DERIVADOS",B192="160 - SOUVENIR","OTROS",B192="148 - CARAMELOS","DERIVADOS",B192="143 - CHOCOFFES","DERIVADOS",B192="162 - CONVENIOS Y DSC POS ","OTROS"),"OTROS")</f>
        <v>OTROS</v>
      </c>
      <c r="L192" s="27">
        <f t="shared" si="21"/>
        <v>68534921</v>
      </c>
      <c r="M192" s="27">
        <f t="shared" si="22"/>
        <v>68534921</v>
      </c>
    </row>
    <row r="193" spans="1:13" ht="16.5" hidden="1" outlineLevel="1">
      <c r="A193" s="38"/>
      <c r="B193" s="39" t="s">
        <v>34</v>
      </c>
      <c r="C193" s="36">
        <v>2116004</v>
      </c>
      <c r="D193" s="36">
        <v>0</v>
      </c>
      <c r="E193" s="36">
        <v>0</v>
      </c>
      <c r="F193" s="36">
        <v>4405498.4400000004</v>
      </c>
      <c r="G193" s="37">
        <f t="shared" si="24"/>
        <v>0.48030978306282179</v>
      </c>
      <c r="H193" s="23">
        <f t="shared" si="31"/>
        <v>0</v>
      </c>
      <c r="I193" s="24">
        <f t="shared" si="31"/>
        <v>0</v>
      </c>
      <c r="J193" s="32" t="str" cm="1">
        <f t="array" ref="J193">IFERROR(_xlfn.IFS(B193="044 - BLEND TRADICION","BLEND",B193="113 - CAFÉ GOURMET","GOURMET",B193="114 - CAFÉ CONSUMO","CONSUMO",B193="112 - CAFÉ ORGANICO","GOURMET",B193="172 - CAFÉ COSECHA","ESPECIALES",B193="176 - CAFE DESCAFEINADO","GOURMET",B193="147 - CAPSULAS","CAPSULAS",B193="130 - GALLETAS CAFECITAS","DERIVADOS",B193="140 - MERENGUES","DERIVADOS",B193="100 - CAFÉ ESPECIAL","ESPECIALES",B193="141 - AREQUIPE","DERIVADOS",B193="142 - MERMELADA","DERIVADOS",B193="131 - GALLETAS AVENA","DERIVADOS",B193="160 - SOUVENIR","OTROS",B193="148 - CARAMELOS","DERIVADOS",B193="143 - CHOCOFFES","DERIVADOS",B193="162 - CONVENIOS Y DSC POS ","OTROS"),"OTROS")</f>
        <v>OTROS</v>
      </c>
      <c r="K193" s="62"/>
      <c r="L193" s="27">
        <f t="shared" si="21"/>
        <v>2116004</v>
      </c>
      <c r="M193" s="27">
        <f t="shared" si="22"/>
        <v>2116004</v>
      </c>
    </row>
    <row r="194" spans="1:13" ht="16.5" hidden="1" outlineLevel="1">
      <c r="A194" s="38"/>
      <c r="B194" s="39" t="s">
        <v>18</v>
      </c>
      <c r="C194" s="36">
        <v>523500</v>
      </c>
      <c r="D194" s="36">
        <v>0</v>
      </c>
      <c r="E194" s="36"/>
      <c r="F194" s="36">
        <v>1752263.11</v>
      </c>
      <c r="G194" s="37">
        <f t="shared" si="24"/>
        <v>0.29875650352531818</v>
      </c>
      <c r="H194" s="23">
        <f t="shared" si="31"/>
        <v>0</v>
      </c>
      <c r="I194" s="24">
        <f t="shared" si="31"/>
        <v>0</v>
      </c>
      <c r="J194" s="32" t="str" cm="1">
        <f t="array" ref="J194">IFERROR(_xlfn.IFS(B194="044 - BLEND TRADICION","BLEND",B194="113 - CAFÉ GOURMET","GOURMET",B194="114 - CAFÉ CONSUMO","CONSUMO",B194="112 - CAFÉ ORGANICO","GOURMET",B194="172 - CAFÉ COSECHA","ESPECIALES",B194="176 - CAFE DESCAFEINADO","GOURMET",B194="147 - CAPSULAS","CAPSULAS",B194="130 - GALLETAS CAFECITAS","DERIVADOS",B194="140 - MERENGUES","DERIVADOS",B194="100 - CAFÉ ESPECIAL","ESPECIALES",B194="141 - AREQUIPE","DERIVADOS",B194="142 - MERMELADA","DERIVADOS",B194="131 - GALLETAS AVENA","DERIVADOS",B194="160 - SOUVENIR","OTROS",B194="148 - CARAMELOS","DERIVADOS",B194="143 - CHOCOFFES","DERIVADOS",B194="162 - CONVENIOS Y DSC POS ","OTROS"),"OTROS")</f>
        <v>BLEND</v>
      </c>
      <c r="K194" s="62"/>
      <c r="L194" s="27">
        <f t="shared" si="21"/>
        <v>523500</v>
      </c>
      <c r="M194" s="27">
        <f t="shared" si="22"/>
        <v>523500</v>
      </c>
    </row>
    <row r="195" spans="1:13" ht="16.5" hidden="1" outlineLevel="1">
      <c r="A195" s="38"/>
      <c r="B195" s="39" t="s">
        <v>19</v>
      </c>
      <c r="C195" s="36">
        <v>959243</v>
      </c>
      <c r="D195" s="36">
        <v>0</v>
      </c>
      <c r="E195" s="36"/>
      <c r="F195" s="36">
        <v>5187386.37</v>
      </c>
      <c r="G195" s="37">
        <f t="shared" si="24"/>
        <v>0.18491836381179372</v>
      </c>
      <c r="H195" s="23">
        <f t="shared" si="31"/>
        <v>0</v>
      </c>
      <c r="I195" s="24">
        <f t="shared" si="31"/>
        <v>0</v>
      </c>
      <c r="J195" s="32" t="str" cm="1">
        <f t="array" ref="J195">IFERROR(_xlfn.IFS(B195="044 - BLEND TRADICION","BLEND",B195="113 - CAFÉ GOURMET","GOURMET",B195="114 - CAFÉ CONSUMO","CONSUMO",B195="112 - CAFÉ ORGANICO","GOURMET",B195="172 - CAFÉ COSECHA","ESPECIALES",B195="176 - CAFE DESCAFEINADO","GOURMET",B195="147 - CAPSULAS","CAPSULAS",B195="130 - GALLETAS CAFECITAS","DERIVADOS",B195="140 - MERENGUES","DERIVADOS",B195="100 - CAFÉ ESPECIAL","ESPECIALES",B195="141 - AREQUIPE","DERIVADOS",B195="142 - MERMELADA","DERIVADOS",B195="131 - GALLETAS AVENA","DERIVADOS",B195="160 - SOUVENIR","OTROS",B195="148 - CARAMELOS","DERIVADOS",B195="143 - CHOCOFFES","DERIVADOS",B195="162 - CONVENIOS Y DSC POS ","OTROS"),"OTROS")</f>
        <v>ESPECIALES</v>
      </c>
      <c r="K195" s="62"/>
      <c r="L195" s="27">
        <f t="shared" si="21"/>
        <v>959243</v>
      </c>
      <c r="M195" s="27">
        <f t="shared" si="22"/>
        <v>959243</v>
      </c>
    </row>
    <row r="196" spans="1:13" ht="16.5" hidden="1" outlineLevel="1">
      <c r="A196" s="38"/>
      <c r="B196" s="39" t="s">
        <v>20</v>
      </c>
      <c r="C196" s="36">
        <v>924209</v>
      </c>
      <c r="D196" s="36">
        <v>0</v>
      </c>
      <c r="E196" s="36"/>
      <c r="F196" s="36">
        <v>7440163.29</v>
      </c>
      <c r="G196" s="37">
        <f t="shared" si="24"/>
        <v>0.12421891348032497</v>
      </c>
      <c r="H196" s="23">
        <f t="shared" si="31"/>
        <v>0</v>
      </c>
      <c r="I196" s="24">
        <f t="shared" si="31"/>
        <v>0</v>
      </c>
      <c r="J196" s="32" t="str" cm="1">
        <f t="array" ref="J196">IFERROR(_xlfn.IFS(B196="044 - BLEND TRADICION","BLEND",B196="113 - CAFÉ GOURMET","GOURMET",B196="114 - CAFÉ CONSUMO","CONSUMO",B196="112 - CAFÉ ORGANICO","GOURMET",B196="172 - CAFÉ COSECHA","ESPECIALES",B196="176 - CAFE DESCAFEINADO","GOURMET",B196="147 - CAPSULAS","CAPSULAS",B196="130 - GALLETAS CAFECITAS","DERIVADOS",B196="140 - MERENGUES","DERIVADOS",B196="100 - CAFÉ ESPECIAL","ESPECIALES",B196="141 - AREQUIPE","DERIVADOS",B196="142 - MERMELADA","DERIVADOS",B196="131 - GALLETAS AVENA","DERIVADOS",B196="160 - SOUVENIR","OTROS",B196="148 - CARAMELOS","DERIVADOS",B196="143 - CHOCOFFES","DERIVADOS",B196="162 - CONVENIOS Y DSC POS ","OTROS"),"OTROS")</f>
        <v>GOURMET</v>
      </c>
      <c r="K196" s="62"/>
      <c r="L196" s="27">
        <f t="shared" si="21"/>
        <v>924209</v>
      </c>
      <c r="M196" s="27">
        <f t="shared" si="22"/>
        <v>924209</v>
      </c>
    </row>
    <row r="197" spans="1:13" ht="16.5" hidden="1" outlineLevel="1">
      <c r="A197" s="38"/>
      <c r="B197" s="39" t="s">
        <v>21</v>
      </c>
      <c r="C197" s="36">
        <v>35827712</v>
      </c>
      <c r="D197" s="36">
        <v>0</v>
      </c>
      <c r="E197" s="36"/>
      <c r="F197" s="36">
        <v>142013899.65000001</v>
      </c>
      <c r="G197" s="37">
        <f t="shared" si="24"/>
        <v>0.25228313628665289</v>
      </c>
      <c r="H197" s="23">
        <f t="shared" si="31"/>
        <v>0</v>
      </c>
      <c r="I197" s="24">
        <f t="shared" si="31"/>
        <v>0</v>
      </c>
      <c r="J197" s="32" t="str" cm="1">
        <f t="array" ref="J197">IFERROR(_xlfn.IFS(B197="044 - BLEND TRADICION","BLEND",B197="113 - CAFÉ GOURMET","GOURMET",B197="114 - CAFÉ CONSUMO","CONSUMO",B197="112 - CAFÉ ORGANICO","GOURMET",B197="172 - CAFÉ COSECHA","ESPECIALES",B197="176 - CAFE DESCAFEINADO","GOURMET",B197="147 - CAPSULAS","CAPSULAS",B197="130 - GALLETAS CAFECITAS","DERIVADOS",B197="140 - MERENGUES","DERIVADOS",B197="100 - CAFÉ ESPECIAL","ESPECIALES",B197="141 - AREQUIPE","DERIVADOS",B197="142 - MERMELADA","DERIVADOS",B197="131 - GALLETAS AVENA","DERIVADOS",B197="160 - SOUVENIR","OTROS",B197="148 - CARAMELOS","DERIVADOS",B197="143 - CHOCOFFES","DERIVADOS",B197="162 - CONVENIOS Y DSC POS ","OTROS"),"OTROS")</f>
        <v>GOURMET</v>
      </c>
      <c r="K197" s="62"/>
      <c r="L197" s="27">
        <f t="shared" si="21"/>
        <v>35827712</v>
      </c>
      <c r="M197" s="27">
        <f t="shared" si="22"/>
        <v>35827712</v>
      </c>
    </row>
    <row r="198" spans="1:13" ht="16.5" hidden="1" outlineLevel="1">
      <c r="A198" s="38"/>
      <c r="B198" s="39" t="s">
        <v>22</v>
      </c>
      <c r="C198" s="36">
        <v>405773</v>
      </c>
      <c r="D198" s="36">
        <v>0</v>
      </c>
      <c r="E198" s="36"/>
      <c r="F198" s="36">
        <v>2033308.06</v>
      </c>
      <c r="G198" s="37">
        <f t="shared" si="24"/>
        <v>0.19956297227287831</v>
      </c>
      <c r="H198" s="23">
        <f t="shared" si="31"/>
        <v>0</v>
      </c>
      <c r="I198" s="24">
        <f t="shared" si="31"/>
        <v>0</v>
      </c>
      <c r="J198" s="32" t="str" cm="1">
        <f t="array" ref="J198">IFERROR(_xlfn.IFS(B198="044 - BLEND TRADICION","BLEND",B198="113 - CAFÉ GOURMET","GOURMET",B198="114 - CAFÉ CONSUMO","CONSUMO",B198="112 - CAFÉ ORGANICO","GOURMET",B198="172 - CAFÉ COSECHA","ESPECIALES",B198="176 - CAFE DESCAFEINADO","GOURMET",B198="147 - CAPSULAS","CAPSULAS",B198="130 - GALLETAS CAFECITAS","DERIVADOS",B198="140 - MERENGUES","DERIVADOS",B198="100 - CAFÉ ESPECIAL","ESPECIALES",B198="141 - AREQUIPE","DERIVADOS",B198="142 - MERMELADA","DERIVADOS",B198="131 - GALLETAS AVENA","DERIVADOS",B198="160 - SOUVENIR","OTROS",B198="148 - CARAMELOS","DERIVADOS",B198="143 - CHOCOFFES","DERIVADOS",B198="162 - CONVENIOS Y DSC POS ","OTROS"),"OTROS")</f>
        <v>DERIVADOS</v>
      </c>
      <c r="K198" s="62"/>
      <c r="L198" s="27">
        <f t="shared" si="21"/>
        <v>405773</v>
      </c>
      <c r="M198" s="27">
        <f t="shared" si="22"/>
        <v>405773</v>
      </c>
    </row>
    <row r="199" spans="1:13" ht="16.5" hidden="1" outlineLevel="1">
      <c r="A199" s="38"/>
      <c r="B199" s="39" t="s">
        <v>24</v>
      </c>
      <c r="C199" s="36">
        <v>0</v>
      </c>
      <c r="D199" s="36">
        <v>0</v>
      </c>
      <c r="E199" s="36"/>
      <c r="F199" s="36">
        <v>5794.52</v>
      </c>
      <c r="G199" s="37">
        <f t="shared" si="24"/>
        <v>0</v>
      </c>
      <c r="H199" s="23">
        <f t="shared" si="31"/>
        <v>0</v>
      </c>
      <c r="I199" s="24">
        <f t="shared" si="31"/>
        <v>0</v>
      </c>
      <c r="J199" s="32" t="str" cm="1">
        <f t="array" ref="J199">IFERROR(_xlfn.IFS(B199="044 - BLEND TRADICION","BLEND",B199="113 - CAFÉ GOURMET","GOURMET",B199="114 - CAFÉ CONSUMO","CONSUMO",B199="112 - CAFÉ ORGANICO","GOURMET",B199="172 - CAFÉ COSECHA","ESPECIALES",B199="176 - CAFE DESCAFEINADO","GOURMET",B199="147 - CAPSULAS","CAPSULAS",B199="130 - GALLETAS CAFECITAS","DERIVADOS",B199="140 - MERENGUES","DERIVADOS",B199="100 - CAFÉ ESPECIAL","ESPECIALES",B199="141 - AREQUIPE","DERIVADOS",B199="142 - MERMELADA","DERIVADOS",B199="131 - GALLETAS AVENA","DERIVADOS",B199="160 - SOUVENIR","OTROS",B199="148 - CARAMELOS","DERIVADOS",B199="143 - CHOCOFFES","DERIVADOS",B199="162 - CONVENIOS Y DSC POS ","OTROS"),"OTROS")</f>
        <v>DERIVADOS</v>
      </c>
      <c r="K199" s="62"/>
      <c r="L199" s="27">
        <f t="shared" si="21"/>
        <v>0</v>
      </c>
      <c r="M199" s="27">
        <f t="shared" si="22"/>
        <v>0</v>
      </c>
    </row>
    <row r="200" spans="1:13" ht="16.5" hidden="1" outlineLevel="1">
      <c r="A200" s="38"/>
      <c r="B200" s="39" t="s">
        <v>25</v>
      </c>
      <c r="C200" s="36">
        <v>870428</v>
      </c>
      <c r="D200" s="36">
        <v>0</v>
      </c>
      <c r="E200" s="36"/>
      <c r="F200" s="36">
        <v>3644356.83</v>
      </c>
      <c r="G200" s="37">
        <f t="shared" si="24"/>
        <v>0.23884269312892722</v>
      </c>
      <c r="H200" s="23">
        <f t="shared" si="31"/>
        <v>0</v>
      </c>
      <c r="I200" s="24">
        <f t="shared" si="31"/>
        <v>0</v>
      </c>
      <c r="J200" s="32" t="str" cm="1">
        <f t="array" ref="J200">IFERROR(_xlfn.IFS(B200="044 - BLEND TRADICION","BLEND",B200="113 - CAFÉ GOURMET","GOURMET",B200="114 - CAFÉ CONSUMO","CONSUMO",B200="112 - CAFÉ ORGANICO","GOURMET",B200="172 - CAFÉ COSECHA","ESPECIALES",B200="176 - CAFE DESCAFEINADO","GOURMET",B200="147 - CAPSULAS","CAPSULAS",B200="130 - GALLETAS CAFECITAS","DERIVADOS",B200="140 - MERENGUES","DERIVADOS",B200="100 - CAFÉ ESPECIAL","ESPECIALES",B200="141 - AREQUIPE","DERIVADOS",B200="142 - MERMELADA","DERIVADOS",B200="131 - GALLETAS AVENA","DERIVADOS",B200="160 - SOUVENIR","OTROS",B200="148 - CARAMELOS","DERIVADOS",B200="143 - CHOCOFFES","DERIVADOS",B200="162 - CONVENIOS Y DSC POS ","OTROS"),"OTROS")</f>
        <v>DERIVADOS</v>
      </c>
      <c r="K200" s="62"/>
      <c r="L200" s="27">
        <f t="shared" ref="L200:L251" si="33">C200-(D200+E200)</f>
        <v>870428</v>
      </c>
      <c r="M200" s="27">
        <f t="shared" ref="M200:M264" si="34">L200</f>
        <v>870428</v>
      </c>
    </row>
    <row r="201" spans="1:13" ht="16.5" hidden="1" outlineLevel="1">
      <c r="A201" s="38"/>
      <c r="B201" s="39" t="s">
        <v>26</v>
      </c>
      <c r="C201" s="36">
        <v>22090437</v>
      </c>
      <c r="D201" s="36">
        <v>0</v>
      </c>
      <c r="E201" s="36"/>
      <c r="F201" s="36">
        <v>59490908.259999998</v>
      </c>
      <c r="G201" s="37">
        <f t="shared" si="24"/>
        <v>0.3713245880102487</v>
      </c>
      <c r="H201" s="23">
        <f t="shared" si="31"/>
        <v>0</v>
      </c>
      <c r="I201" s="24">
        <f t="shared" si="31"/>
        <v>0</v>
      </c>
      <c r="J201" s="32" t="str" cm="1">
        <f t="array" ref="J201">IFERROR(_xlfn.IFS(B201="044 - BLEND TRADICION","BLEND",B201="113 - CAFÉ GOURMET","GOURMET",B201="114 - CAFÉ CONSUMO","CONSUMO",B201="112 - CAFÉ ORGANICO","GOURMET",B201="172 - CAFÉ COSECHA","ESPECIALES",B201="176 - CAFE DESCAFEINADO","GOURMET",B201="147 - CAPSULAS","CAPSULAS",B201="130 - GALLETAS CAFECITAS","DERIVADOS",B201="140 - MERENGUES","DERIVADOS",B201="100 - CAFÉ ESPECIAL","ESPECIALES",B201="141 - AREQUIPE","DERIVADOS",B201="142 - MERMELADA","DERIVADOS",B201="131 - GALLETAS AVENA","DERIVADOS",B201="160 - SOUVENIR","OTROS",B201="148 - CARAMELOS","DERIVADOS",B201="143 - CHOCOFFES","DERIVADOS",B201="162 - CONVENIOS Y DSC POS ","OTROS"),"OTROS")</f>
        <v>CAPSULAS</v>
      </c>
      <c r="K201" s="62"/>
      <c r="L201" s="27">
        <f t="shared" si="33"/>
        <v>22090437</v>
      </c>
      <c r="M201" s="27">
        <f t="shared" si="34"/>
        <v>22090437</v>
      </c>
    </row>
    <row r="202" spans="1:13" ht="16.5" hidden="1" outlineLevel="1">
      <c r="A202" s="38"/>
      <c r="B202" s="39" t="s">
        <v>27</v>
      </c>
      <c r="C202" s="36">
        <v>95547</v>
      </c>
      <c r="D202" s="36">
        <v>0</v>
      </c>
      <c r="E202" s="36"/>
      <c r="F202" s="36">
        <v>3108564.42</v>
      </c>
      <c r="G202" s="37">
        <f t="shared" si="24"/>
        <v>3.0736696137054802E-2</v>
      </c>
      <c r="H202" s="23">
        <f t="shared" si="31"/>
        <v>0</v>
      </c>
      <c r="I202" s="24">
        <f t="shared" si="31"/>
        <v>0</v>
      </c>
      <c r="J202" s="32" t="str" cm="1">
        <f t="array" ref="J202">IFERROR(_xlfn.IFS(B202="044 - BLEND TRADICION","BLEND",B202="113 - CAFÉ GOURMET","GOURMET",B202="114 - CAFÉ CONSUMO","CONSUMO",B202="112 - CAFÉ ORGANICO","GOURMET",B202="172 - CAFÉ COSECHA","ESPECIALES",B202="176 - CAFE DESCAFEINADO","GOURMET",B202="147 - CAPSULAS","CAPSULAS",B202="130 - GALLETAS CAFECITAS","DERIVADOS",B202="140 - MERENGUES","DERIVADOS",B202="100 - CAFÉ ESPECIAL","ESPECIALES",B202="141 - AREQUIPE","DERIVADOS",B202="142 - MERMELADA","DERIVADOS",B202="131 - GALLETAS AVENA","DERIVADOS",B202="160 - SOUVENIR","OTROS",B202="148 - CARAMELOS","DERIVADOS",B202="143 - CHOCOFFES","DERIVADOS",B202="162 - CONVENIOS Y DSC POS ","OTROS"),"OTROS")</f>
        <v>DERIVADOS</v>
      </c>
      <c r="K202" s="62"/>
      <c r="L202" s="27">
        <f t="shared" si="33"/>
        <v>95547</v>
      </c>
      <c r="M202" s="27">
        <f t="shared" si="34"/>
        <v>95547</v>
      </c>
    </row>
    <row r="203" spans="1:13" ht="16.5" hidden="1" outlineLevel="1">
      <c r="A203" s="38"/>
      <c r="B203" s="39" t="s">
        <v>28</v>
      </c>
      <c r="C203" s="36">
        <v>1063757</v>
      </c>
      <c r="D203" s="36">
        <v>0</v>
      </c>
      <c r="E203" s="36"/>
      <c r="F203" s="36">
        <v>7821246.9800000004</v>
      </c>
      <c r="G203" s="37">
        <f t="shared" si="24"/>
        <v>0.13600861892229874</v>
      </c>
      <c r="H203" s="23">
        <f t="shared" si="31"/>
        <v>0</v>
      </c>
      <c r="I203" s="24">
        <f t="shared" si="31"/>
        <v>0</v>
      </c>
      <c r="J203" s="32" t="str" cm="1">
        <f t="array" ref="J203">IFERROR(_xlfn.IFS(B203="044 - BLEND TRADICION","BLEND",B203="113 - CAFÉ GOURMET","GOURMET",B203="114 - CAFÉ CONSUMO","CONSUMO",B203="112 - CAFÉ ORGANICO","GOURMET",B203="172 - CAFÉ COSECHA","ESPECIALES",B203="176 - CAFE DESCAFEINADO","GOURMET",B203="147 - CAPSULAS","CAPSULAS",B203="130 - GALLETAS CAFECITAS","DERIVADOS",B203="140 - MERENGUES","DERIVADOS",B203="100 - CAFÉ ESPECIAL","ESPECIALES",B203="141 - AREQUIPE","DERIVADOS",B203="142 - MERMELADA","DERIVADOS",B203="131 - GALLETAS AVENA","DERIVADOS",B203="160 - SOUVENIR","OTROS",B203="148 - CARAMELOS","DERIVADOS",B203="143 - CHOCOFFES","DERIVADOS",B203="162 - CONVENIOS Y DSC POS ","OTROS"),"OTROS")</f>
        <v>OTROS</v>
      </c>
      <c r="K203" s="62"/>
      <c r="L203" s="27">
        <f t="shared" si="33"/>
        <v>1063757</v>
      </c>
      <c r="M203" s="27">
        <f t="shared" si="34"/>
        <v>1063757</v>
      </c>
    </row>
    <row r="204" spans="1:13" ht="16.5" hidden="1" outlineLevel="1">
      <c r="A204" s="38"/>
      <c r="B204" s="39" t="s">
        <v>29</v>
      </c>
      <c r="C204" s="36">
        <v>1798709</v>
      </c>
      <c r="D204" s="36">
        <v>0</v>
      </c>
      <c r="E204" s="36"/>
      <c r="F204" s="36">
        <v>12404965.970000001</v>
      </c>
      <c r="G204" s="37">
        <f t="shared" si="24"/>
        <v>0.14499910796611398</v>
      </c>
      <c r="H204" s="23">
        <f t="shared" si="31"/>
        <v>0</v>
      </c>
      <c r="I204" s="24">
        <f t="shared" si="31"/>
        <v>0</v>
      </c>
      <c r="J204" s="32" t="str" cm="1">
        <f t="array" ref="J204">IFERROR(_xlfn.IFS(B204="044 - BLEND TRADICION","BLEND",B204="113 - CAFÉ GOURMET","GOURMET",B204="114 - CAFÉ CONSUMO","CONSUMO",B204="112 - CAFÉ ORGANICO","GOURMET",B204="172 - CAFÉ COSECHA","ESPECIALES",B204="176 - CAFE DESCAFEINADO","GOURMET",B204="147 - CAPSULAS","CAPSULAS",B204="130 - GALLETAS CAFECITAS","DERIVADOS",B204="140 - MERENGUES","DERIVADOS",B204="100 - CAFÉ ESPECIAL","ESPECIALES",B204="141 - AREQUIPE","DERIVADOS",B204="142 - MERMELADA","DERIVADOS",B204="131 - GALLETAS AVENA","DERIVADOS",B204="160 - SOUVENIR","OTROS",B204="148 - CARAMELOS","DERIVADOS",B204="143 - CHOCOFFES","DERIVADOS",B204="162 - CONVENIOS Y DSC POS ","OTROS"),"OTROS")</f>
        <v>ESPECIALES</v>
      </c>
      <c r="K204" s="62"/>
      <c r="L204" s="27">
        <f t="shared" si="33"/>
        <v>1798709</v>
      </c>
      <c r="M204" s="27">
        <f t="shared" si="34"/>
        <v>1798709</v>
      </c>
    </row>
    <row r="205" spans="1:13" ht="16.5" hidden="1" outlineLevel="1">
      <c r="A205" s="38"/>
      <c r="B205" s="39" t="s">
        <v>30</v>
      </c>
      <c r="C205" s="36">
        <v>1834602</v>
      </c>
      <c r="D205" s="36">
        <v>0</v>
      </c>
      <c r="E205" s="36"/>
      <c r="F205" s="36">
        <v>2157922.35</v>
      </c>
      <c r="G205" s="37">
        <f t="shared" si="24"/>
        <v>0.8501705355616711</v>
      </c>
      <c r="H205" s="23">
        <f t="shared" si="31"/>
        <v>0</v>
      </c>
      <c r="I205" s="24">
        <f t="shared" si="31"/>
        <v>0</v>
      </c>
      <c r="J205" s="32" t="str" cm="1">
        <f t="array" ref="J205">IFERROR(_xlfn.IFS(B205="044 - BLEND TRADICION","BLEND",B205="113 - CAFÉ GOURMET","GOURMET",B205="114 - CAFÉ CONSUMO","CONSUMO",B205="112 - CAFÉ ORGANICO","GOURMET",B205="172 - CAFÉ COSECHA","ESPECIALES",B205="176 - CAFE DESCAFEINADO","GOURMET",B205="147 - CAPSULAS","CAPSULAS",B205="130 - GALLETAS CAFECITAS","DERIVADOS",B205="140 - MERENGUES","DERIVADOS",B205="100 - CAFÉ ESPECIAL","ESPECIALES",B205="141 - AREQUIPE","DERIVADOS",B205="142 - MERMELADA","DERIVADOS",B205="131 - GALLETAS AVENA","DERIVADOS",B205="160 - SOUVENIR","OTROS",B205="148 - CARAMELOS","DERIVADOS",B205="143 - CHOCOFFES","DERIVADOS",B205="162 - CONVENIOS Y DSC POS ","OTROS"),"OTROS")</f>
        <v>GOURMET</v>
      </c>
      <c r="K205" s="62"/>
      <c r="L205" s="27">
        <f t="shared" si="33"/>
        <v>1834602</v>
      </c>
      <c r="M205" s="27">
        <f t="shared" si="34"/>
        <v>1834602</v>
      </c>
    </row>
    <row r="206" spans="1:13" ht="16.5" hidden="1" outlineLevel="1">
      <c r="A206" s="38"/>
      <c r="B206" s="39" t="s">
        <v>31</v>
      </c>
      <c r="C206" s="36">
        <v>25000</v>
      </c>
      <c r="D206" s="36">
        <v>0</v>
      </c>
      <c r="E206" s="36"/>
      <c r="F206" s="36">
        <v>0</v>
      </c>
      <c r="G206" s="37" t="str">
        <f t="shared" si="24"/>
        <v>-</v>
      </c>
      <c r="H206" s="23">
        <f t="shared" si="31"/>
        <v>0</v>
      </c>
      <c r="I206" s="24">
        <f t="shared" si="31"/>
        <v>0</v>
      </c>
      <c r="J206" s="32" t="str" cm="1">
        <f t="array" ref="J206">IFERROR(_xlfn.IFS(B206="044 - BLEND TRADICION","BLEND",B206="113 - CAFÉ GOURMET","GOURMET",B206="114 - CAFÉ CONSUMO","CONSUMO",B206="112 - CAFÉ ORGANICO","GOURMET",B206="172 - CAFÉ COSECHA","ESPECIALES",B206="176 - CAFE DESCAFEINADO","GOURMET",B206="147 - CAPSULAS","CAPSULAS",B206="130 - GALLETAS CAFECITAS","DERIVADOS",B206="140 - MERENGUES","DERIVADOS",B206="100 - CAFÉ ESPECIAL","ESPECIALES",B206="141 - AREQUIPE","DERIVADOS",B206="142 - MERMELADA","DERIVADOS",B206="131 - GALLETAS AVENA","DERIVADOS",B206="160 - SOUVENIR","OTROS",B206="148 - CARAMELOS","DERIVADOS",B206="143 - CHOCOFFES","DERIVADOS",B206="162 - CONVENIOS Y DSC POS ","OTROS"),"OTROS")</f>
        <v>OTROS</v>
      </c>
      <c r="K206" s="62"/>
      <c r="L206" s="27">
        <f t="shared" si="33"/>
        <v>25000</v>
      </c>
      <c r="M206" s="27">
        <f t="shared" si="34"/>
        <v>25000</v>
      </c>
    </row>
    <row r="207" spans="1:13" ht="16.5" hidden="1" outlineLevel="1">
      <c r="A207" s="19" t="s">
        <v>56</v>
      </c>
      <c r="B207" s="56" t="s">
        <v>32</v>
      </c>
      <c r="C207" s="54">
        <f>SUM(C193:C206)</f>
        <v>68534921</v>
      </c>
      <c r="D207" s="54">
        <f>SUM(D193:D206)</f>
        <v>0</v>
      </c>
      <c r="E207" s="54">
        <f>SUM(E193:E206)</f>
        <v>0</v>
      </c>
      <c r="F207" s="58">
        <f>SUM(F193:F206)</f>
        <v>251466278.25</v>
      </c>
      <c r="G207" s="55">
        <f t="shared" si="24"/>
        <v>0.27254119907029722</v>
      </c>
      <c r="H207" s="23">
        <f t="shared" si="31"/>
        <v>0</v>
      </c>
      <c r="I207" s="24">
        <f t="shared" si="31"/>
        <v>0</v>
      </c>
      <c r="J207" s="32" t="str" cm="1">
        <f t="array" ref="J207">IFERROR(_xlfn.IFS(B207="044 - BLEND TRADICION","BLEND",B207="113 - CAFÉ GOURMET","GOURMET",B207="114 - CAFÉ CONSUMO","CONSUMO",B207="112 - CAFÉ ORGANICO","GOURMET",B207="172 - CAFÉ COSECHA","ESPECIALES",B207="176 - CAFE DESCAFEINADO","GOURMET",B207="147 - CAPSULAS","CAPSULAS",B207="130 - GALLETAS CAFECITAS","DERIVADOS",B207="140 - MERENGUES","DERIVADOS",B207="100 - CAFÉ ESPECIAL","ESPECIALES",B207="141 - AREQUIPE","DERIVADOS",B207="142 - MERMELADA","DERIVADOS",B207="131 - GALLETAS AVENA","DERIVADOS",B207="160 - SOUVENIR","OTROS",B207="148 - CARAMELOS","DERIVADOS",B207="143 - CHOCOFFES","DERIVADOS",B207="162 - CONVENIOS Y DSC POS ","OTROS"),"OTROS")</f>
        <v>OTROS</v>
      </c>
      <c r="K207" s="62">
        <f>C207-E207</f>
        <v>68534921</v>
      </c>
      <c r="L207" s="27">
        <f t="shared" si="33"/>
        <v>68534921</v>
      </c>
      <c r="M207" s="27">
        <f t="shared" si="34"/>
        <v>68534921</v>
      </c>
    </row>
    <row r="208" spans="1:13" ht="16.5" collapsed="1">
      <c r="A208" s="28" t="s">
        <v>57</v>
      </c>
      <c r="B208" s="29" t="s">
        <v>17</v>
      </c>
      <c r="C208" s="30">
        <f>+C223</f>
        <v>73378540</v>
      </c>
      <c r="D208" s="30">
        <f>+D223</f>
        <v>0</v>
      </c>
      <c r="E208" s="30">
        <f>+E223</f>
        <v>0</v>
      </c>
      <c r="F208" s="30">
        <f>+F223</f>
        <v>242185563.47000003</v>
      </c>
      <c r="G208" s="31">
        <f t="shared" si="24"/>
        <v>0.30298478137442547</v>
      </c>
      <c r="H208" s="23">
        <f t="shared" si="31"/>
        <v>0</v>
      </c>
      <c r="I208" s="24">
        <f t="shared" si="31"/>
        <v>0</v>
      </c>
      <c r="J208" s="32" t="str" cm="1">
        <f t="array" ref="J208">IFERROR(_xlfn.IFS(B208="044 - BLEND TRADICION","BLEND",B208="113 - CAFÉ GOURMET","GOURMET",B208="114 - CAFÉ CONSUMO","CONSUMO",B208="112 - CAFÉ ORGANICO","GOURMET",B208="172 - CAFÉ COSECHA","ESPECIALES",B208="176 - CAFE DESCAFEINADO","GOURMET",B208="147 - CAPSULAS","CAPSULAS",B208="130 - GALLETAS CAFECITAS","DERIVADOS",B208="140 - MERENGUES","DERIVADOS",B208="100 - CAFÉ ESPECIAL","ESPECIALES",B208="141 - AREQUIPE","DERIVADOS",B208="142 - MERMELADA","DERIVADOS",B208="131 - GALLETAS AVENA","DERIVADOS",B208="160 - SOUVENIR","OTROS",B208="148 - CARAMELOS","DERIVADOS",B208="143 - CHOCOFFES","DERIVADOS",B208="162 - CONVENIOS Y DSC POS ","OTROS"),"OTROS")</f>
        <v>OTROS</v>
      </c>
      <c r="K208" s="62">
        <f>C208-E208</f>
        <v>73378540</v>
      </c>
      <c r="L208" s="27">
        <f t="shared" si="33"/>
        <v>73378540</v>
      </c>
      <c r="M208" s="27">
        <f t="shared" si="34"/>
        <v>73378540</v>
      </c>
    </row>
    <row r="209" spans="1:13" ht="15.75" hidden="1" customHeight="1" outlineLevel="1">
      <c r="A209" s="44"/>
      <c r="B209" s="45" t="s">
        <v>34</v>
      </c>
      <c r="C209" s="46">
        <v>71575</v>
      </c>
      <c r="D209" s="46">
        <v>0</v>
      </c>
      <c r="E209" s="46"/>
      <c r="F209" s="46">
        <v>183711.31</v>
      </c>
      <c r="G209" s="37">
        <f t="shared" si="24"/>
        <v>0.38960584408221793</v>
      </c>
      <c r="H209" s="23">
        <f t="shared" si="31"/>
        <v>0</v>
      </c>
      <c r="I209" s="24">
        <f t="shared" si="31"/>
        <v>0</v>
      </c>
      <c r="J209" s="32" t="str" cm="1">
        <f t="array" ref="J209">IFERROR(_xlfn.IFS(B209="044 - BLEND TRADICION","BLEND",B209="113 - CAFÉ GOURMET","GOURMET",B209="114 - CAFÉ CONSUMO","CONSUMO",B209="112 - CAFÉ ORGANICO","GOURMET",B209="172 - CAFÉ COSECHA","ESPECIALES",B209="176 - CAFE DESCAFEINADO","GOURMET",B209="147 - CAPSULAS","CAPSULAS",B209="130 - GALLETAS CAFECITAS","DERIVADOS",B209="140 - MERENGUES","DERIVADOS",B209="100 - CAFÉ ESPECIAL","ESPECIALES",B209="141 - AREQUIPE","DERIVADOS",B209="142 - MERMELADA","DERIVADOS",B209="131 - GALLETAS AVENA","DERIVADOS",B209="160 - SOUVENIR","OTROS",B209="148 - CARAMELOS","DERIVADOS",B209="143 - CHOCOFFES","DERIVADOS",B209="162 - CONVENIOS Y DSC POS ","OTROS"),"OTROS")</f>
        <v>OTROS</v>
      </c>
      <c r="K209" s="62">
        <f>C209-E209</f>
        <v>71575</v>
      </c>
      <c r="L209" s="27">
        <f t="shared" si="33"/>
        <v>71575</v>
      </c>
      <c r="M209" s="27">
        <f t="shared" si="34"/>
        <v>71575</v>
      </c>
    </row>
    <row r="210" spans="1:13" ht="15.75" hidden="1" customHeight="1" outlineLevel="1">
      <c r="A210" s="44"/>
      <c r="B210" s="45" t="s">
        <v>18</v>
      </c>
      <c r="C210" s="46">
        <v>2573800</v>
      </c>
      <c r="D210" s="46">
        <v>0</v>
      </c>
      <c r="E210" s="46"/>
      <c r="F210" s="46">
        <v>22057449.760000002</v>
      </c>
      <c r="G210" s="37">
        <f t="shared" si="24"/>
        <v>0.11668620026361559</v>
      </c>
      <c r="H210" s="23">
        <f t="shared" si="31"/>
        <v>0</v>
      </c>
      <c r="I210" s="24">
        <f t="shared" si="31"/>
        <v>0</v>
      </c>
      <c r="J210" s="32" t="str" cm="1">
        <f t="array" ref="J210">IFERROR(_xlfn.IFS(B210="044 - BLEND TRADICION","BLEND",B210="113 - CAFÉ GOURMET","GOURMET",B210="114 - CAFÉ CONSUMO","CONSUMO",B210="112 - CAFÉ ORGANICO","GOURMET",B210="172 - CAFÉ COSECHA","ESPECIALES",B210="176 - CAFE DESCAFEINADO","GOURMET",B210="147 - CAPSULAS","CAPSULAS",B210="130 - GALLETAS CAFECITAS","DERIVADOS",B210="140 - MERENGUES","DERIVADOS",B210="100 - CAFÉ ESPECIAL","ESPECIALES",B210="141 - AREQUIPE","DERIVADOS",B210="142 - MERMELADA","DERIVADOS",B210="131 - GALLETAS AVENA","DERIVADOS",B210="160 - SOUVENIR","OTROS",B210="148 - CARAMELOS","DERIVADOS",B210="143 - CHOCOFFES","DERIVADOS",B210="162 - CONVENIOS Y DSC POS ","OTROS"),"OTROS")</f>
        <v>BLEND</v>
      </c>
      <c r="K210" s="62">
        <f>C210-E210</f>
        <v>2573800</v>
      </c>
      <c r="L210" s="27">
        <f t="shared" si="33"/>
        <v>2573800</v>
      </c>
      <c r="M210" s="27">
        <f t="shared" si="34"/>
        <v>2573800</v>
      </c>
    </row>
    <row r="211" spans="1:13" ht="15.75" hidden="1" customHeight="1" outlineLevel="1">
      <c r="A211" s="44"/>
      <c r="B211" s="45" t="s">
        <v>19</v>
      </c>
      <c r="C211" s="46">
        <v>2292547</v>
      </c>
      <c r="D211" s="46">
        <v>0</v>
      </c>
      <c r="E211" s="46"/>
      <c r="F211" s="46">
        <v>4724786.33</v>
      </c>
      <c r="G211" s="37">
        <f t="shared" si="24"/>
        <v>0.48521707435603761</v>
      </c>
      <c r="H211" s="23">
        <f t="shared" si="31"/>
        <v>0</v>
      </c>
      <c r="I211" s="24">
        <f t="shared" si="31"/>
        <v>0</v>
      </c>
      <c r="J211" s="32" t="str" cm="1">
        <f t="array" ref="J211">IFERROR(_xlfn.IFS(B211="044 - BLEND TRADICION","BLEND",B211="113 - CAFÉ GOURMET","GOURMET",B211="114 - CAFÉ CONSUMO","CONSUMO",B211="112 - CAFÉ ORGANICO","GOURMET",B211="172 - CAFÉ COSECHA","ESPECIALES",B211="176 - CAFE DESCAFEINADO","GOURMET",B211="147 - CAPSULAS","CAPSULAS",B211="130 - GALLETAS CAFECITAS","DERIVADOS",B211="140 - MERENGUES","DERIVADOS",B211="100 - CAFÉ ESPECIAL","ESPECIALES",B211="141 - AREQUIPE","DERIVADOS",B211="142 - MERMELADA","DERIVADOS",B211="131 - GALLETAS AVENA","DERIVADOS",B211="160 - SOUVENIR","OTROS",B211="148 - CARAMELOS","DERIVADOS",B211="143 - CHOCOFFES","DERIVADOS",B211="162 - CONVENIOS Y DSC POS ","OTROS"),"OTROS")</f>
        <v>ESPECIALES</v>
      </c>
      <c r="K211" s="62"/>
      <c r="L211" s="27">
        <f t="shared" si="33"/>
        <v>2292547</v>
      </c>
      <c r="M211" s="27">
        <f t="shared" si="34"/>
        <v>2292547</v>
      </c>
    </row>
    <row r="212" spans="1:13" ht="15.75" hidden="1" customHeight="1" outlineLevel="1">
      <c r="A212" s="44"/>
      <c r="B212" s="45" t="s">
        <v>20</v>
      </c>
      <c r="C212" s="46">
        <v>2464560</v>
      </c>
      <c r="D212" s="46">
        <v>0</v>
      </c>
      <c r="E212" s="46"/>
      <c r="F212" s="46">
        <v>4267385.9800000004</v>
      </c>
      <c r="G212" s="37">
        <f t="shared" si="24"/>
        <v>0.57753388410391693</v>
      </c>
      <c r="H212" s="23">
        <f t="shared" si="31"/>
        <v>0</v>
      </c>
      <c r="I212" s="24">
        <f t="shared" si="31"/>
        <v>0</v>
      </c>
      <c r="J212" s="32" t="str" cm="1">
        <f t="array" ref="J212">IFERROR(_xlfn.IFS(B212="044 - BLEND TRADICION","BLEND",B212="113 - CAFÉ GOURMET","GOURMET",B212="114 - CAFÉ CONSUMO","CONSUMO",B212="112 - CAFÉ ORGANICO","GOURMET",B212="172 - CAFÉ COSECHA","ESPECIALES",B212="176 - CAFE DESCAFEINADO","GOURMET",B212="147 - CAPSULAS","CAPSULAS",B212="130 - GALLETAS CAFECITAS","DERIVADOS",B212="140 - MERENGUES","DERIVADOS",B212="100 - CAFÉ ESPECIAL","ESPECIALES",B212="141 - AREQUIPE","DERIVADOS",B212="142 - MERMELADA","DERIVADOS",B212="131 - GALLETAS AVENA","DERIVADOS",B212="160 - SOUVENIR","OTROS",B212="148 - CARAMELOS","DERIVADOS",B212="143 - CHOCOFFES","DERIVADOS",B212="162 - CONVENIOS Y DSC POS ","OTROS"),"OTROS")</f>
        <v>GOURMET</v>
      </c>
      <c r="K212" s="62"/>
      <c r="L212" s="27">
        <f t="shared" si="33"/>
        <v>2464560</v>
      </c>
      <c r="M212" s="27">
        <f t="shared" si="34"/>
        <v>2464560</v>
      </c>
    </row>
    <row r="213" spans="1:13" ht="15.75" hidden="1" customHeight="1" outlineLevel="1">
      <c r="A213" s="44"/>
      <c r="B213" s="45" t="s">
        <v>21</v>
      </c>
      <c r="C213" s="46">
        <v>43442576</v>
      </c>
      <c r="D213" s="46">
        <v>0</v>
      </c>
      <c r="E213" s="46"/>
      <c r="F213" s="46">
        <v>156321504.86000001</v>
      </c>
      <c r="G213" s="37">
        <f t="shared" ref="G213:G268" si="35">IFERROR(C213/F213*100%,"-")</f>
        <v>0.27790530828696114</v>
      </c>
      <c r="H213" s="23">
        <f t="shared" si="31"/>
        <v>0</v>
      </c>
      <c r="I213" s="24">
        <f t="shared" si="31"/>
        <v>0</v>
      </c>
      <c r="J213" s="32" t="str" cm="1">
        <f t="array" ref="J213">IFERROR(_xlfn.IFS(B213="044 - BLEND TRADICION","BLEND",B213="113 - CAFÉ GOURMET","GOURMET",B213="114 - CAFÉ CONSUMO","CONSUMO",B213="112 - CAFÉ ORGANICO","GOURMET",B213="172 - CAFÉ COSECHA","ESPECIALES",B213="176 - CAFE DESCAFEINADO","GOURMET",B213="147 - CAPSULAS","CAPSULAS",B213="130 - GALLETAS CAFECITAS","DERIVADOS",B213="140 - MERENGUES","DERIVADOS",B213="100 - CAFÉ ESPECIAL","ESPECIALES",B213="141 - AREQUIPE","DERIVADOS",B213="142 - MERMELADA","DERIVADOS",B213="131 - GALLETAS AVENA","DERIVADOS",B213="160 - SOUVENIR","OTROS",B213="148 - CARAMELOS","DERIVADOS",B213="143 - CHOCOFFES","DERIVADOS",B213="162 - CONVENIOS Y DSC POS ","OTROS"),"OTROS")</f>
        <v>GOURMET</v>
      </c>
      <c r="K213" s="62">
        <f t="shared" ref="K213" si="36">C213-E213</f>
        <v>43442576</v>
      </c>
      <c r="L213" s="27">
        <f t="shared" si="33"/>
        <v>43442576</v>
      </c>
      <c r="M213" s="27">
        <f t="shared" si="34"/>
        <v>43442576</v>
      </c>
    </row>
    <row r="214" spans="1:13" ht="15.75" hidden="1" customHeight="1" outlineLevel="1">
      <c r="A214" s="44"/>
      <c r="B214" s="45" t="s">
        <v>22</v>
      </c>
      <c r="C214" s="46">
        <v>1123399</v>
      </c>
      <c r="D214" s="46">
        <v>0</v>
      </c>
      <c r="E214" s="46"/>
      <c r="F214" s="46">
        <v>7161969.0599999996</v>
      </c>
      <c r="G214" s="37">
        <f t="shared" si="35"/>
        <v>0.15685616491618856</v>
      </c>
      <c r="H214" s="23">
        <f t="shared" si="31"/>
        <v>0</v>
      </c>
      <c r="I214" s="24">
        <f t="shared" si="31"/>
        <v>0</v>
      </c>
      <c r="J214" s="32" t="str" cm="1">
        <f t="array" ref="J214">IFERROR(_xlfn.IFS(B214="044 - BLEND TRADICION","BLEND",B214="113 - CAFÉ GOURMET","GOURMET",B214="114 - CAFÉ CONSUMO","CONSUMO",B214="112 - CAFÉ ORGANICO","GOURMET",B214="172 - CAFÉ COSECHA","ESPECIALES",B214="176 - CAFE DESCAFEINADO","GOURMET",B214="147 - CAPSULAS","CAPSULAS",B214="130 - GALLETAS CAFECITAS","DERIVADOS",B214="140 - MERENGUES","DERIVADOS",B214="100 - CAFÉ ESPECIAL","ESPECIALES",B214="141 - AREQUIPE","DERIVADOS",B214="142 - MERMELADA","DERIVADOS",B214="131 - GALLETAS AVENA","DERIVADOS",B214="160 - SOUVENIR","OTROS",B214="148 - CARAMELOS","DERIVADOS",B214="143 - CHOCOFFES","DERIVADOS",B214="162 - CONVENIOS Y DSC POS ","OTROS"),"OTROS")</f>
        <v>DERIVADOS</v>
      </c>
      <c r="K214" s="62"/>
      <c r="L214" s="27">
        <f t="shared" si="33"/>
        <v>1123399</v>
      </c>
      <c r="M214" s="27">
        <f t="shared" si="34"/>
        <v>1123399</v>
      </c>
    </row>
    <row r="215" spans="1:13" ht="15.75" hidden="1" customHeight="1" outlineLevel="1">
      <c r="A215" s="44"/>
      <c r="B215" s="45" t="s">
        <v>23</v>
      </c>
      <c r="C215" s="46">
        <v>0</v>
      </c>
      <c r="D215" s="46">
        <v>0</v>
      </c>
      <c r="E215" s="46"/>
      <c r="F215" s="46">
        <v>19945.96</v>
      </c>
      <c r="G215" s="37">
        <f t="shared" si="35"/>
        <v>0</v>
      </c>
      <c r="H215" s="23">
        <f t="shared" si="31"/>
        <v>0</v>
      </c>
      <c r="I215" s="24">
        <f t="shared" si="31"/>
        <v>0</v>
      </c>
      <c r="J215" s="32" t="str" cm="1">
        <f t="array" ref="J215">IFERROR(_xlfn.IFS(B215="044 - BLEND TRADICION","BLEND",B215="113 - CAFÉ GOURMET","GOURMET",B215="114 - CAFÉ CONSUMO","CONSUMO",B215="112 - CAFÉ ORGANICO","GOURMET",B215="172 - CAFÉ COSECHA","ESPECIALES",B215="176 - CAFE DESCAFEINADO","GOURMET",B215="147 - CAPSULAS","CAPSULAS",B215="130 - GALLETAS CAFECITAS","DERIVADOS",B215="140 - MERENGUES","DERIVADOS",B215="100 - CAFÉ ESPECIAL","ESPECIALES",B215="141 - AREQUIPE","DERIVADOS",B215="142 - MERMELADA","DERIVADOS",B215="131 - GALLETAS AVENA","DERIVADOS",B215="160 - SOUVENIR","OTROS",B215="148 - CARAMELOS","DERIVADOS",B215="143 - CHOCOFFES","DERIVADOS",B215="162 - CONVENIOS Y DSC POS ","OTROS"),"OTROS")</f>
        <v>DERIVADOS</v>
      </c>
      <c r="K215" s="62"/>
      <c r="L215" s="27">
        <f t="shared" si="33"/>
        <v>0</v>
      </c>
      <c r="M215" s="27">
        <f t="shared" si="34"/>
        <v>0</v>
      </c>
    </row>
    <row r="216" spans="1:13" ht="15.75" hidden="1" customHeight="1" outlineLevel="1">
      <c r="A216" s="44"/>
      <c r="B216" s="45" t="s">
        <v>24</v>
      </c>
      <c r="C216" s="46">
        <v>334049</v>
      </c>
      <c r="D216" s="46">
        <v>0</v>
      </c>
      <c r="E216" s="46"/>
      <c r="F216" s="46">
        <v>1393477.12</v>
      </c>
      <c r="G216" s="37">
        <f t="shared" si="35"/>
        <v>0.23972334759253167</v>
      </c>
      <c r="H216" s="23">
        <f t="shared" si="31"/>
        <v>0</v>
      </c>
      <c r="I216" s="24">
        <f t="shared" si="31"/>
        <v>0</v>
      </c>
      <c r="J216" s="32" t="str" cm="1">
        <f t="array" ref="J216">IFERROR(_xlfn.IFS(B216="044 - BLEND TRADICION","BLEND",B216="113 - CAFÉ GOURMET","GOURMET",B216="114 - CAFÉ CONSUMO","CONSUMO",B216="112 - CAFÉ ORGANICO","GOURMET",B216="172 - CAFÉ COSECHA","ESPECIALES",B216="176 - CAFE DESCAFEINADO","GOURMET",B216="147 - CAPSULAS","CAPSULAS",B216="130 - GALLETAS CAFECITAS","DERIVADOS",B216="140 - MERENGUES","DERIVADOS",B216="100 - CAFÉ ESPECIAL","ESPECIALES",B216="141 - AREQUIPE","DERIVADOS",B216="142 - MERMELADA","DERIVADOS",B216="131 - GALLETAS AVENA","DERIVADOS",B216="160 - SOUVENIR","OTROS",B216="148 - CARAMELOS","DERIVADOS",B216="143 - CHOCOFFES","DERIVADOS",B216="162 - CONVENIOS Y DSC POS ","OTROS"),"OTROS")</f>
        <v>DERIVADOS</v>
      </c>
      <c r="K216" s="62">
        <f t="shared" ref="K216" si="37">C216-E216</f>
        <v>334049</v>
      </c>
      <c r="L216" s="27">
        <f t="shared" si="33"/>
        <v>334049</v>
      </c>
      <c r="M216" s="27">
        <f t="shared" si="34"/>
        <v>334049</v>
      </c>
    </row>
    <row r="217" spans="1:13" ht="15.75" hidden="1" customHeight="1" outlineLevel="1">
      <c r="A217" s="44"/>
      <c r="B217" s="45" t="s">
        <v>25</v>
      </c>
      <c r="C217" s="46">
        <v>1022308</v>
      </c>
      <c r="D217" s="46">
        <v>0</v>
      </c>
      <c r="E217" s="46"/>
      <c r="F217" s="46">
        <v>2683173.4900000002</v>
      </c>
      <c r="G217" s="37">
        <f t="shared" si="35"/>
        <v>0.38100704401339325</v>
      </c>
      <c r="H217" s="23">
        <f t="shared" si="31"/>
        <v>0</v>
      </c>
      <c r="I217" s="24">
        <f t="shared" si="31"/>
        <v>0</v>
      </c>
      <c r="J217" s="32" t="str" cm="1">
        <f t="array" ref="J217">IFERROR(_xlfn.IFS(B217="044 - BLEND TRADICION","BLEND",B217="113 - CAFÉ GOURMET","GOURMET",B217="114 - CAFÉ CONSUMO","CONSUMO",B217="112 - CAFÉ ORGANICO","GOURMET",B217="172 - CAFÉ COSECHA","ESPECIALES",B217="176 - CAFE DESCAFEINADO","GOURMET",B217="147 - CAPSULAS","CAPSULAS",B217="130 - GALLETAS CAFECITAS","DERIVADOS",B217="140 - MERENGUES","DERIVADOS",B217="100 - CAFÉ ESPECIAL","ESPECIALES",B217="141 - AREQUIPE","DERIVADOS",B217="142 - MERMELADA","DERIVADOS",B217="131 - GALLETAS AVENA","DERIVADOS",B217="160 - SOUVENIR","OTROS",B217="148 - CARAMELOS","DERIVADOS",B217="143 - CHOCOFFES","DERIVADOS",B217="162 - CONVENIOS Y DSC POS ","OTROS"),"OTROS")</f>
        <v>DERIVADOS</v>
      </c>
      <c r="K217" s="62"/>
      <c r="L217" s="27">
        <f t="shared" si="33"/>
        <v>1022308</v>
      </c>
      <c r="M217" s="27">
        <f t="shared" si="34"/>
        <v>1022308</v>
      </c>
    </row>
    <row r="218" spans="1:13" ht="15.75" hidden="1" customHeight="1" outlineLevel="1">
      <c r="A218" s="44"/>
      <c r="B218" s="45" t="s">
        <v>26</v>
      </c>
      <c r="C218" s="46">
        <v>7625161</v>
      </c>
      <c r="D218" s="46">
        <v>0</v>
      </c>
      <c r="E218" s="46"/>
      <c r="F218" s="46">
        <v>14923818.029999999</v>
      </c>
      <c r="G218" s="37">
        <f t="shared" si="35"/>
        <v>0.51093902275354941</v>
      </c>
      <c r="H218" s="23">
        <f t="shared" si="31"/>
        <v>0</v>
      </c>
      <c r="I218" s="24">
        <f t="shared" si="31"/>
        <v>0</v>
      </c>
      <c r="J218" s="32" t="str" cm="1">
        <f t="array" ref="J218">IFERROR(_xlfn.IFS(B218="044 - BLEND TRADICION","BLEND",B218="113 - CAFÉ GOURMET","GOURMET",B218="114 - CAFÉ CONSUMO","CONSUMO",B218="112 - CAFÉ ORGANICO","GOURMET",B218="172 - CAFÉ COSECHA","ESPECIALES",B218="176 - CAFE DESCAFEINADO","GOURMET",B218="147 - CAPSULAS","CAPSULAS",B218="130 - GALLETAS CAFECITAS","DERIVADOS",B218="140 - MERENGUES","DERIVADOS",B218="100 - CAFÉ ESPECIAL","ESPECIALES",B218="141 - AREQUIPE","DERIVADOS",B218="142 - MERMELADA","DERIVADOS",B218="131 - GALLETAS AVENA","DERIVADOS",B218="160 - SOUVENIR","OTROS",B218="148 - CARAMELOS","DERIVADOS",B218="143 - CHOCOFFES","DERIVADOS",B218="162 - CONVENIOS Y DSC POS ","OTROS"),"OTROS")</f>
        <v>CAPSULAS</v>
      </c>
      <c r="K218" s="62"/>
      <c r="L218" s="27">
        <f t="shared" si="33"/>
        <v>7625161</v>
      </c>
      <c r="M218" s="27">
        <f t="shared" si="34"/>
        <v>7625161</v>
      </c>
    </row>
    <row r="219" spans="1:13" ht="15.75" hidden="1" customHeight="1" outlineLevel="1">
      <c r="A219" s="44"/>
      <c r="B219" s="45" t="s">
        <v>27</v>
      </c>
      <c r="C219" s="46">
        <v>1019132</v>
      </c>
      <c r="D219" s="46">
        <v>0</v>
      </c>
      <c r="E219" s="46"/>
      <c r="F219" s="46">
        <v>3692134.82</v>
      </c>
      <c r="G219" s="37">
        <f t="shared" si="35"/>
        <v>0.2760278401751321</v>
      </c>
      <c r="H219" s="23">
        <f t="shared" si="31"/>
        <v>0</v>
      </c>
      <c r="I219" s="24">
        <f t="shared" si="31"/>
        <v>0</v>
      </c>
      <c r="J219" s="32" t="str" cm="1">
        <f t="array" ref="J219">IFERROR(_xlfn.IFS(B219="044 - BLEND TRADICION","BLEND",B219="113 - CAFÉ GOURMET","GOURMET",B219="114 - CAFÉ CONSUMO","CONSUMO",B219="112 - CAFÉ ORGANICO","GOURMET",B219="172 - CAFÉ COSECHA","ESPECIALES",B219="176 - CAFE DESCAFEINADO","GOURMET",B219="147 - CAPSULAS","CAPSULAS",B219="130 - GALLETAS CAFECITAS","DERIVADOS",B219="140 - MERENGUES","DERIVADOS",B219="100 - CAFÉ ESPECIAL","ESPECIALES",B219="141 - AREQUIPE","DERIVADOS",B219="142 - MERMELADA","DERIVADOS",B219="131 - GALLETAS AVENA","DERIVADOS",B219="160 - SOUVENIR","OTROS",B219="148 - CARAMELOS","DERIVADOS",B219="143 - CHOCOFFES","DERIVADOS",B219="162 - CONVENIOS Y DSC POS ","OTROS"),"OTROS")</f>
        <v>DERIVADOS</v>
      </c>
      <c r="K219" s="62">
        <f t="shared" ref="K219" si="38">C219-E219</f>
        <v>1019132</v>
      </c>
      <c r="L219" s="27">
        <f t="shared" si="33"/>
        <v>1019132</v>
      </c>
      <c r="M219" s="27">
        <f t="shared" si="34"/>
        <v>1019132</v>
      </c>
    </row>
    <row r="220" spans="1:13" ht="15.75" hidden="1" customHeight="1" outlineLevel="1">
      <c r="A220" s="44"/>
      <c r="B220" s="45" t="s">
        <v>28</v>
      </c>
      <c r="C220" s="46">
        <v>5272575</v>
      </c>
      <c r="D220" s="46">
        <v>0</v>
      </c>
      <c r="E220" s="46"/>
      <c r="F220" s="46">
        <v>11283255.869999999</v>
      </c>
      <c r="G220" s="37">
        <f t="shared" si="35"/>
        <v>0.46729198209700801</v>
      </c>
      <c r="H220" s="23">
        <f t="shared" si="31"/>
        <v>0</v>
      </c>
      <c r="I220" s="24">
        <f t="shared" si="31"/>
        <v>0</v>
      </c>
      <c r="J220" s="32" t="str" cm="1">
        <f t="array" ref="J220">IFERROR(_xlfn.IFS(B220="044 - BLEND TRADICION","BLEND",B220="113 - CAFÉ GOURMET","GOURMET",B220="114 - CAFÉ CONSUMO","CONSUMO",B220="112 - CAFÉ ORGANICO","GOURMET",B220="172 - CAFÉ COSECHA","ESPECIALES",B220="176 - CAFE DESCAFEINADO","GOURMET",B220="147 - CAPSULAS","CAPSULAS",B220="130 - GALLETAS CAFECITAS","DERIVADOS",B220="140 - MERENGUES","DERIVADOS",B220="100 - CAFÉ ESPECIAL","ESPECIALES",B220="141 - AREQUIPE","DERIVADOS",B220="142 - MERMELADA","DERIVADOS",B220="131 - GALLETAS AVENA","DERIVADOS",B220="160 - SOUVENIR","OTROS",B220="148 - CARAMELOS","DERIVADOS",B220="143 - CHOCOFFES","DERIVADOS",B220="162 - CONVENIOS Y DSC POS ","OTROS"),"OTROS")</f>
        <v>OTROS</v>
      </c>
      <c r="K220" s="62"/>
      <c r="L220" s="27">
        <f t="shared" si="33"/>
        <v>5272575</v>
      </c>
      <c r="M220" s="27">
        <f t="shared" si="34"/>
        <v>5272575</v>
      </c>
    </row>
    <row r="221" spans="1:13" ht="15.75" hidden="1" customHeight="1" outlineLevel="1">
      <c r="A221" s="44"/>
      <c r="B221" s="45" t="s">
        <v>29</v>
      </c>
      <c r="C221" s="46">
        <v>6136858</v>
      </c>
      <c r="D221" s="46">
        <v>0</v>
      </c>
      <c r="E221" s="46"/>
      <c r="F221" s="46">
        <v>12790414.619999999</v>
      </c>
      <c r="G221" s="37">
        <f t="shared" si="35"/>
        <v>0.47980133422758431</v>
      </c>
      <c r="H221" s="23">
        <f t="shared" si="31"/>
        <v>0</v>
      </c>
      <c r="I221" s="24">
        <f t="shared" si="31"/>
        <v>0</v>
      </c>
      <c r="J221" s="32" t="str" cm="1">
        <f t="array" ref="J221">IFERROR(_xlfn.IFS(B221="044 - BLEND TRADICION","BLEND",B221="113 - CAFÉ GOURMET","GOURMET",B221="114 - CAFÉ CONSUMO","CONSUMO",B221="112 - CAFÉ ORGANICO","GOURMET",B221="172 - CAFÉ COSECHA","ESPECIALES",B221="176 - CAFE DESCAFEINADO","GOURMET",B221="147 - CAPSULAS","CAPSULAS",B221="130 - GALLETAS CAFECITAS","DERIVADOS",B221="140 - MERENGUES","DERIVADOS",B221="100 - CAFÉ ESPECIAL","ESPECIALES",B221="141 - AREQUIPE","DERIVADOS",B221="142 - MERMELADA","DERIVADOS",B221="131 - GALLETAS AVENA","DERIVADOS",B221="160 - SOUVENIR","OTROS",B221="148 - CARAMELOS","DERIVADOS",B221="143 - CHOCOFFES","DERIVADOS",B221="162 - CONVENIOS Y DSC POS ","OTROS"),"OTROS")</f>
        <v>ESPECIALES</v>
      </c>
      <c r="K221" s="62"/>
      <c r="L221" s="27">
        <f t="shared" si="33"/>
        <v>6136858</v>
      </c>
      <c r="M221" s="27">
        <f t="shared" si="34"/>
        <v>6136858</v>
      </c>
    </row>
    <row r="222" spans="1:13" ht="15.75" hidden="1" customHeight="1" outlineLevel="1">
      <c r="A222" s="44"/>
      <c r="B222" s="45" t="s">
        <v>30</v>
      </c>
      <c r="C222" s="46">
        <v>0</v>
      </c>
      <c r="D222" s="46">
        <v>0</v>
      </c>
      <c r="E222" s="46"/>
      <c r="F222" s="46">
        <v>682536.26</v>
      </c>
      <c r="G222" s="37">
        <f t="shared" si="35"/>
        <v>0</v>
      </c>
      <c r="H222" s="23">
        <f t="shared" si="31"/>
        <v>0</v>
      </c>
      <c r="I222" s="24">
        <f t="shared" si="31"/>
        <v>0</v>
      </c>
      <c r="J222" s="32" t="str" cm="1">
        <f t="array" ref="J222">IFERROR(_xlfn.IFS(B222="044 - BLEND TRADICION","BLEND",B222="113 - CAFÉ GOURMET","GOURMET",B222="114 - CAFÉ CONSUMO","CONSUMO",B222="112 - CAFÉ ORGANICO","GOURMET",B222="172 - CAFÉ COSECHA","ESPECIALES",B222="176 - CAFE DESCAFEINADO","GOURMET",B222="147 - CAPSULAS","CAPSULAS",B222="130 - GALLETAS CAFECITAS","DERIVADOS",B222="140 - MERENGUES","DERIVADOS",B222="100 - CAFÉ ESPECIAL","ESPECIALES",B222="141 - AREQUIPE","DERIVADOS",B222="142 - MERMELADA","DERIVADOS",B222="131 - GALLETAS AVENA","DERIVADOS",B222="160 - SOUVENIR","OTROS",B222="148 - CARAMELOS","DERIVADOS",B222="143 - CHOCOFFES","DERIVADOS",B222="162 - CONVENIOS Y DSC POS ","OTROS"),"OTROS")</f>
        <v>GOURMET</v>
      </c>
      <c r="K222" s="62">
        <f t="shared" ref="K222" si="39">C222-E222</f>
        <v>0</v>
      </c>
      <c r="L222" s="27">
        <f t="shared" si="33"/>
        <v>0</v>
      </c>
      <c r="M222" s="27">
        <f t="shared" si="34"/>
        <v>0</v>
      </c>
    </row>
    <row r="223" spans="1:13" ht="15.75" hidden="1" customHeight="1" outlineLevel="1">
      <c r="A223" s="19" t="s">
        <v>58</v>
      </c>
      <c r="B223" s="40" t="s">
        <v>32</v>
      </c>
      <c r="C223" s="41">
        <f>SUM(C209:C222)</f>
        <v>73378540</v>
      </c>
      <c r="D223" s="41">
        <f>SUM(D209:D222)</f>
        <v>0</v>
      </c>
      <c r="E223" s="41">
        <f>SUM(E209:E222)</f>
        <v>0</v>
      </c>
      <c r="F223" s="41">
        <f>SUM(F209:F222)</f>
        <v>242185563.47000003</v>
      </c>
      <c r="G223" s="42">
        <f t="shared" si="35"/>
        <v>0.30298478137442547</v>
      </c>
      <c r="H223" s="43">
        <f t="shared" si="31"/>
        <v>0</v>
      </c>
      <c r="I223" s="24">
        <f t="shared" si="31"/>
        <v>0</v>
      </c>
      <c r="J223" s="32" t="str" cm="1">
        <f t="array" ref="J223">IFERROR(_xlfn.IFS(B223="044 - BLEND TRADICION","BLEND",B223="113 - CAFÉ GOURMET","GOURMET",B223="114 - CAFÉ CONSUMO","CONSUMO",B223="112 - CAFÉ ORGANICO","GOURMET",B223="172 - CAFÉ COSECHA","ESPECIALES",B223="176 - CAFE DESCAFEINADO","GOURMET",B223="147 - CAPSULAS","CAPSULAS",B223="130 - GALLETAS CAFECITAS","DERIVADOS",B223="140 - MERENGUES","DERIVADOS",B223="100 - CAFÉ ESPECIAL","ESPECIALES",B223="141 - AREQUIPE","DERIVADOS",B223="142 - MERMELADA","DERIVADOS",B223="131 - GALLETAS AVENA","DERIVADOS",B223="160 - SOUVENIR","OTROS",B223="148 - CARAMELOS","DERIVADOS",B223="143 - CHOCOFFES","DERIVADOS",B223="162 - CONVENIOS Y DSC POS ","OTROS"),"OTROS")</f>
        <v>OTROS</v>
      </c>
      <c r="L223" s="27">
        <f t="shared" si="33"/>
        <v>73378540</v>
      </c>
      <c r="M223" s="27">
        <f t="shared" si="34"/>
        <v>73378540</v>
      </c>
    </row>
    <row r="224" spans="1:13" ht="16.5" collapsed="1">
      <c r="A224" s="28" t="s">
        <v>59</v>
      </c>
      <c r="B224" s="29" t="s">
        <v>17</v>
      </c>
      <c r="C224" s="30">
        <f>+C238</f>
        <v>69429267</v>
      </c>
      <c r="D224" s="30">
        <f>+D238</f>
        <v>0</v>
      </c>
      <c r="E224" s="30">
        <f>+E238</f>
        <v>0</v>
      </c>
      <c r="F224" s="30">
        <f>+F238</f>
        <v>278548044.25999999</v>
      </c>
      <c r="G224" s="31">
        <f t="shared" si="35"/>
        <v>0.24925418946827685</v>
      </c>
      <c r="H224" s="23">
        <f t="shared" si="31"/>
        <v>0</v>
      </c>
      <c r="I224" s="24">
        <f t="shared" si="31"/>
        <v>0</v>
      </c>
      <c r="J224" s="32" t="str" cm="1">
        <f t="array" ref="J224">IFERROR(_xlfn.IFS(B224="044 - BLEND TRADICION","BLEND",B224="113 - CAFÉ GOURMET","GOURMET",B224="114 - CAFÉ CONSUMO","CONSUMO",B224="112 - CAFÉ ORGANICO","GOURMET",B224="172 - CAFÉ COSECHA","ESPECIALES",B224="176 - CAFE DESCAFEINADO","GOURMET",B224="147 - CAPSULAS","CAPSULAS",B224="130 - GALLETAS CAFECITAS","DERIVADOS",B224="140 - MERENGUES","DERIVADOS",B224="100 - CAFÉ ESPECIAL","ESPECIALES",B224="141 - AREQUIPE","DERIVADOS",B224="142 - MERMELADA","DERIVADOS",B224="131 - GALLETAS AVENA","DERIVADOS",B224="160 - SOUVENIR","OTROS",B224="148 - CARAMELOS","DERIVADOS",B224="143 - CHOCOFFES","DERIVADOS",B224="162 - CONVENIOS Y DSC POS ","OTROS"),"OTROS")</f>
        <v>OTROS</v>
      </c>
      <c r="K224" s="6"/>
      <c r="L224" s="27">
        <f t="shared" si="33"/>
        <v>69429267</v>
      </c>
      <c r="M224" s="27">
        <f t="shared" si="34"/>
        <v>69429267</v>
      </c>
    </row>
    <row r="225" spans="1:13" ht="15.75" hidden="1" customHeight="1" outlineLevel="2">
      <c r="A225" s="33"/>
      <c r="B225" s="39" t="s">
        <v>18</v>
      </c>
      <c r="C225" s="36">
        <v>2608000</v>
      </c>
      <c r="D225" s="36">
        <v>0</v>
      </c>
      <c r="E225" s="36">
        <v>0</v>
      </c>
      <c r="F225" s="35">
        <v>12548768.83</v>
      </c>
      <c r="G225" s="37">
        <f t="shared" si="35"/>
        <v>0.20782915322857215</v>
      </c>
      <c r="H225" s="23">
        <f t="shared" si="31"/>
        <v>0</v>
      </c>
      <c r="I225" s="24">
        <f t="shared" si="31"/>
        <v>0</v>
      </c>
      <c r="J225" s="32" t="str" cm="1">
        <f t="array" ref="J225">IFERROR(_xlfn.IFS(B225="044 - BLEND TRADICION","BLEND",B225="113 - CAFÉ GOURMET","GOURMET",B225="114 - CAFÉ CONSUMO","CONSUMO",B225="112 - CAFÉ ORGANICO","GOURMET",B225="172 - CAFÉ COSECHA","ESPECIALES",B225="176 - CAFE DESCAFEINADO","GOURMET",B225="147 - CAPSULAS","CAPSULAS",B225="130 - GALLETAS CAFECITAS","DERIVADOS",B225="140 - MERENGUES","DERIVADOS",B225="100 - CAFÉ ESPECIAL","ESPECIALES",B225="141 - AREQUIPE","DERIVADOS",B225="142 - MERMELADA","DERIVADOS",B225="131 - GALLETAS AVENA","DERIVADOS",B225="160 - SOUVENIR","OTROS",B225="148 - CARAMELOS","DERIVADOS",B225="143 - CHOCOFFES","DERIVADOS",B225="162 - CONVENIOS Y DSC POS ","OTROS"),"OTROS")</f>
        <v>BLEND</v>
      </c>
      <c r="K225" s="6"/>
      <c r="L225" s="27">
        <f t="shared" si="33"/>
        <v>2608000</v>
      </c>
      <c r="M225" s="27">
        <f t="shared" si="34"/>
        <v>2608000</v>
      </c>
    </row>
    <row r="226" spans="1:13" ht="15.75" hidden="1" customHeight="1" outlineLevel="2">
      <c r="A226" s="33"/>
      <c r="B226" s="39" t="s">
        <v>19</v>
      </c>
      <c r="C226" s="36">
        <v>7219079</v>
      </c>
      <c r="D226" s="36">
        <v>0</v>
      </c>
      <c r="E226" s="36"/>
      <c r="F226" s="35">
        <v>15024939.119999999</v>
      </c>
      <c r="G226" s="37">
        <f t="shared" si="35"/>
        <v>0.48047309492193141</v>
      </c>
      <c r="H226" s="23">
        <f t="shared" si="31"/>
        <v>0</v>
      </c>
      <c r="I226" s="24">
        <f t="shared" si="31"/>
        <v>0</v>
      </c>
      <c r="J226" s="32" t="str" cm="1">
        <f t="array" ref="J226">IFERROR(_xlfn.IFS(B226="044 - BLEND TRADICION","BLEND",B226="113 - CAFÉ GOURMET","GOURMET",B226="114 - CAFÉ CONSUMO","CONSUMO",B226="112 - CAFÉ ORGANICO","GOURMET",B226="172 - CAFÉ COSECHA","ESPECIALES",B226="176 - CAFE DESCAFEINADO","GOURMET",B226="147 - CAPSULAS","CAPSULAS",B226="130 - GALLETAS CAFECITAS","DERIVADOS",B226="140 - MERENGUES","DERIVADOS",B226="100 - CAFÉ ESPECIAL","ESPECIALES",B226="141 - AREQUIPE","DERIVADOS",B226="142 - MERMELADA","DERIVADOS",B226="131 - GALLETAS AVENA","DERIVADOS",B226="160 - SOUVENIR","OTROS",B226="148 - CARAMELOS","DERIVADOS",B226="143 - CHOCOFFES","DERIVADOS",B226="162 - CONVENIOS Y DSC POS ","OTROS"),"OTROS")</f>
        <v>ESPECIALES</v>
      </c>
      <c r="K226" s="6"/>
      <c r="L226" s="27">
        <f t="shared" si="33"/>
        <v>7219079</v>
      </c>
      <c r="M226" s="27">
        <f t="shared" si="34"/>
        <v>7219079</v>
      </c>
    </row>
    <row r="227" spans="1:13" ht="15.75" hidden="1" customHeight="1" outlineLevel="2">
      <c r="A227" s="38"/>
      <c r="B227" s="39" t="s">
        <v>20</v>
      </c>
      <c r="C227" s="36">
        <v>3860557</v>
      </c>
      <c r="D227" s="36">
        <v>0</v>
      </c>
      <c r="E227" s="36">
        <v>0</v>
      </c>
      <c r="F227" s="36">
        <v>16967408.859999999</v>
      </c>
      <c r="G227" s="37">
        <f t="shared" si="35"/>
        <v>0.22752778764594467</v>
      </c>
      <c r="H227" s="23">
        <f t="shared" si="31"/>
        <v>0</v>
      </c>
      <c r="I227" s="24">
        <f t="shared" si="31"/>
        <v>0</v>
      </c>
      <c r="J227" s="32" t="str" cm="1">
        <f t="array" ref="J227">IFERROR(_xlfn.IFS(B227="044 - BLEND TRADICION","BLEND",B227="113 - CAFÉ GOURMET","GOURMET",B227="114 - CAFÉ CONSUMO","CONSUMO",B227="112 - CAFÉ ORGANICO","GOURMET",B227="172 - CAFÉ COSECHA","ESPECIALES",B227="176 - CAFE DESCAFEINADO","GOURMET",B227="147 - CAPSULAS","CAPSULAS",B227="130 - GALLETAS CAFECITAS","DERIVADOS",B227="140 - MERENGUES","DERIVADOS",B227="100 - CAFÉ ESPECIAL","ESPECIALES",B227="141 - AREQUIPE","DERIVADOS",B227="142 - MERMELADA","DERIVADOS",B227="131 - GALLETAS AVENA","DERIVADOS",B227="160 - SOUVENIR","OTROS",B227="148 - CARAMELOS","DERIVADOS",B227="143 - CHOCOFFES","DERIVADOS",B227="162 - CONVENIOS Y DSC POS ","OTROS"),"OTROS")</f>
        <v>GOURMET</v>
      </c>
      <c r="K227" s="6"/>
      <c r="L227" s="27">
        <f t="shared" si="33"/>
        <v>3860557</v>
      </c>
      <c r="M227" s="27">
        <f t="shared" si="34"/>
        <v>3860557</v>
      </c>
    </row>
    <row r="228" spans="1:13" ht="15.75" hidden="1" customHeight="1" outlineLevel="2">
      <c r="A228" s="38"/>
      <c r="B228" s="39" t="s">
        <v>21</v>
      </c>
      <c r="C228" s="36">
        <v>41567495</v>
      </c>
      <c r="D228" s="36">
        <v>0</v>
      </c>
      <c r="E228" s="36">
        <v>0</v>
      </c>
      <c r="F228" s="36">
        <v>189138509.15000001</v>
      </c>
      <c r="G228" s="37">
        <f t="shared" si="35"/>
        <v>0.2197727749193269</v>
      </c>
      <c r="H228" s="23">
        <f t="shared" si="31"/>
        <v>0</v>
      </c>
      <c r="I228" s="24">
        <f t="shared" si="31"/>
        <v>0</v>
      </c>
      <c r="J228" s="32" t="str" cm="1">
        <f t="array" ref="J228">IFERROR(_xlfn.IFS(B228="044 - BLEND TRADICION","BLEND",B228="113 - CAFÉ GOURMET","GOURMET",B228="114 - CAFÉ CONSUMO","CONSUMO",B228="112 - CAFÉ ORGANICO","GOURMET",B228="172 - CAFÉ COSECHA","ESPECIALES",B228="176 - CAFE DESCAFEINADO","GOURMET",B228="147 - CAPSULAS","CAPSULAS",B228="130 - GALLETAS CAFECITAS","DERIVADOS",B228="140 - MERENGUES","DERIVADOS",B228="100 - CAFÉ ESPECIAL","ESPECIALES",B228="141 - AREQUIPE","DERIVADOS",B228="142 - MERMELADA","DERIVADOS",B228="131 - GALLETAS AVENA","DERIVADOS",B228="160 - SOUVENIR","OTROS",B228="148 - CARAMELOS","DERIVADOS",B228="143 - CHOCOFFES","DERIVADOS",B228="162 - CONVENIOS Y DSC POS ","OTROS"),"OTROS")</f>
        <v>GOURMET</v>
      </c>
      <c r="K228" s="6"/>
      <c r="L228" s="27">
        <f t="shared" si="33"/>
        <v>41567495</v>
      </c>
      <c r="M228" s="27">
        <f t="shared" si="34"/>
        <v>41567495</v>
      </c>
    </row>
    <row r="229" spans="1:13" ht="15.75" hidden="1" customHeight="1" outlineLevel="2">
      <c r="A229" s="38"/>
      <c r="B229" s="39" t="s">
        <v>38</v>
      </c>
      <c r="C229" s="36">
        <v>0</v>
      </c>
      <c r="D229" s="36">
        <v>0</v>
      </c>
      <c r="E229" s="36">
        <v>0</v>
      </c>
      <c r="F229" s="36">
        <v>1194829.97</v>
      </c>
      <c r="G229" s="37">
        <f t="shared" si="35"/>
        <v>0</v>
      </c>
      <c r="H229" s="23">
        <f t="shared" si="31"/>
        <v>0</v>
      </c>
      <c r="I229" s="24">
        <f t="shared" si="31"/>
        <v>0</v>
      </c>
      <c r="J229" s="32" t="str" cm="1">
        <f t="array" ref="J229">IFERROR(_xlfn.IFS(B229="044 - BLEND TRADICION","BLEND",B229="113 - CAFÉ GOURMET","GOURMET",B229="114 - CAFÉ CONSUMO","CONSUMO",B229="112 - CAFÉ ORGANICO","GOURMET",B229="172 - CAFÉ COSECHA","ESPECIALES",B229="176 - CAFE DESCAFEINADO","GOURMET",B229="147 - CAPSULAS","CAPSULAS",B229="130 - GALLETAS CAFECITAS","DERIVADOS",B229="140 - MERENGUES","DERIVADOS",B229="100 - CAFÉ ESPECIAL","ESPECIALES",B229="141 - AREQUIPE","DERIVADOS",B229="142 - MERMELADA","DERIVADOS",B229="131 - GALLETAS AVENA","DERIVADOS",B229="160 - SOUVENIR","OTROS",B229="148 - CARAMELOS","DERIVADOS",B229="143 - CHOCOFFES","DERIVADOS",B229="162 - CONVENIOS Y DSC POS ","OTROS"),"OTROS")</f>
        <v>CONSUMO</v>
      </c>
      <c r="K229" s="6"/>
      <c r="L229" s="27">
        <f t="shared" si="33"/>
        <v>0</v>
      </c>
      <c r="M229" s="27">
        <f t="shared" si="34"/>
        <v>0</v>
      </c>
    </row>
    <row r="230" spans="1:13" ht="15.75" hidden="1" customHeight="1" outlineLevel="2">
      <c r="A230" s="38"/>
      <c r="B230" s="39" t="s">
        <v>22</v>
      </c>
      <c r="C230" s="36">
        <v>1733195</v>
      </c>
      <c r="D230" s="36">
        <v>0</v>
      </c>
      <c r="E230" s="36"/>
      <c r="F230" s="36">
        <v>4066253.4</v>
      </c>
      <c r="G230" s="37">
        <f t="shared" si="35"/>
        <v>0.42623880744864551</v>
      </c>
      <c r="H230" s="23">
        <f t="shared" si="31"/>
        <v>0</v>
      </c>
      <c r="I230" s="24">
        <f t="shared" si="31"/>
        <v>0</v>
      </c>
      <c r="J230" s="32" t="str" cm="1">
        <f t="array" ref="J230">IFERROR(_xlfn.IFS(B230="044 - BLEND TRADICION","BLEND",B230="113 - CAFÉ GOURMET","GOURMET",B230="114 - CAFÉ CONSUMO","CONSUMO",B230="112 - CAFÉ ORGANICO","GOURMET",B230="172 - CAFÉ COSECHA","ESPECIALES",B230="176 - CAFE DESCAFEINADO","GOURMET",B230="147 - CAPSULAS","CAPSULAS",B230="130 - GALLETAS CAFECITAS","DERIVADOS",B230="140 - MERENGUES","DERIVADOS",B230="100 - CAFÉ ESPECIAL","ESPECIALES",B230="141 - AREQUIPE","DERIVADOS",B230="142 - MERMELADA","DERIVADOS",B230="131 - GALLETAS AVENA","DERIVADOS",B230="160 - SOUVENIR","OTROS",B230="148 - CARAMELOS","DERIVADOS",B230="143 - CHOCOFFES","DERIVADOS",B230="162 - CONVENIOS Y DSC POS ","OTROS"),"OTROS")</f>
        <v>DERIVADOS</v>
      </c>
      <c r="K230" s="6"/>
      <c r="L230" s="27">
        <f t="shared" si="33"/>
        <v>1733195</v>
      </c>
      <c r="M230" s="27">
        <f t="shared" si="34"/>
        <v>1733195</v>
      </c>
    </row>
    <row r="231" spans="1:13" ht="15.75" hidden="1" customHeight="1" outlineLevel="2">
      <c r="A231" s="38"/>
      <c r="B231" s="39" t="s">
        <v>24</v>
      </c>
      <c r="C231" s="36">
        <v>51477</v>
      </c>
      <c r="D231" s="36">
        <v>0</v>
      </c>
      <c r="E231" s="36"/>
      <c r="F231" s="36">
        <v>552955.56000000006</v>
      </c>
      <c r="G231" s="37">
        <f t="shared" si="35"/>
        <v>9.3094280487929254E-2</v>
      </c>
      <c r="H231" s="23">
        <f t="shared" si="31"/>
        <v>0</v>
      </c>
      <c r="I231" s="24">
        <f t="shared" si="31"/>
        <v>0</v>
      </c>
      <c r="J231" s="32" t="str" cm="1">
        <f t="array" ref="J231">IFERROR(_xlfn.IFS(B231="044 - BLEND TRADICION","BLEND",B231="113 - CAFÉ GOURMET","GOURMET",B231="114 - CAFÉ CONSUMO","CONSUMO",B231="112 - CAFÉ ORGANICO","GOURMET",B231="172 - CAFÉ COSECHA","ESPECIALES",B231="176 - CAFE DESCAFEINADO","GOURMET",B231="147 - CAPSULAS","CAPSULAS",B231="130 - GALLETAS CAFECITAS","DERIVADOS",B231="140 - MERENGUES","DERIVADOS",B231="100 - CAFÉ ESPECIAL","ESPECIALES",B231="141 - AREQUIPE","DERIVADOS",B231="142 - MERMELADA","DERIVADOS",B231="131 - GALLETAS AVENA","DERIVADOS",B231="160 - SOUVENIR","OTROS",B231="148 - CARAMELOS","DERIVADOS",B231="143 - CHOCOFFES","DERIVADOS",B231="162 - CONVENIOS Y DSC POS ","OTROS"),"OTROS")</f>
        <v>DERIVADOS</v>
      </c>
      <c r="K231" s="6"/>
      <c r="L231" s="27">
        <f t="shared" si="33"/>
        <v>51477</v>
      </c>
      <c r="M231" s="27">
        <f t="shared" si="34"/>
        <v>51477</v>
      </c>
    </row>
    <row r="232" spans="1:13" ht="15.75" hidden="1" customHeight="1" outlineLevel="2">
      <c r="A232" s="38"/>
      <c r="B232" s="39" t="s">
        <v>25</v>
      </c>
      <c r="C232" s="36">
        <v>615992</v>
      </c>
      <c r="D232" s="36">
        <v>0</v>
      </c>
      <c r="E232" s="36"/>
      <c r="F232" s="36">
        <v>2361213.7599999998</v>
      </c>
      <c r="G232" s="37">
        <f t="shared" si="35"/>
        <v>0.26087938772642089</v>
      </c>
      <c r="H232" s="23">
        <f t="shared" si="31"/>
        <v>0</v>
      </c>
      <c r="I232" s="24">
        <f t="shared" si="31"/>
        <v>0</v>
      </c>
      <c r="J232" s="32" t="str" cm="1">
        <f t="array" ref="J232">IFERROR(_xlfn.IFS(B232="044 - BLEND TRADICION","BLEND",B232="113 - CAFÉ GOURMET","GOURMET",B232="114 - CAFÉ CONSUMO","CONSUMO",B232="112 - CAFÉ ORGANICO","GOURMET",B232="172 - CAFÉ COSECHA","ESPECIALES",B232="176 - CAFE DESCAFEINADO","GOURMET",B232="147 - CAPSULAS","CAPSULAS",B232="130 - GALLETAS CAFECITAS","DERIVADOS",B232="140 - MERENGUES","DERIVADOS",B232="100 - CAFÉ ESPECIAL","ESPECIALES",B232="141 - AREQUIPE","DERIVADOS",B232="142 - MERMELADA","DERIVADOS",B232="131 - GALLETAS AVENA","DERIVADOS",B232="160 - SOUVENIR","OTROS",B232="148 - CARAMELOS","DERIVADOS",B232="143 - CHOCOFFES","DERIVADOS",B232="162 - CONVENIOS Y DSC POS ","OTROS"),"OTROS")</f>
        <v>DERIVADOS</v>
      </c>
      <c r="K232" s="6"/>
      <c r="L232" s="27">
        <f t="shared" si="33"/>
        <v>615992</v>
      </c>
      <c r="M232" s="27">
        <f t="shared" si="34"/>
        <v>615992</v>
      </c>
    </row>
    <row r="233" spans="1:13" ht="15.75" hidden="1" customHeight="1" outlineLevel="2">
      <c r="A233" s="38"/>
      <c r="B233" s="39" t="s">
        <v>26</v>
      </c>
      <c r="C233" s="36">
        <v>1605381</v>
      </c>
      <c r="D233" s="36">
        <v>0</v>
      </c>
      <c r="E233" s="36"/>
      <c r="F233" s="36">
        <v>4996182.5999999996</v>
      </c>
      <c r="G233" s="37">
        <f t="shared" si="35"/>
        <v>0.32132152255604113</v>
      </c>
      <c r="H233" s="23">
        <f t="shared" si="31"/>
        <v>0</v>
      </c>
      <c r="I233" s="24">
        <f t="shared" si="31"/>
        <v>0</v>
      </c>
      <c r="J233" s="32" t="str" cm="1">
        <f t="array" ref="J233">IFERROR(_xlfn.IFS(B233="044 - BLEND TRADICION","BLEND",B233="113 - CAFÉ GOURMET","GOURMET",B233="114 - CAFÉ CONSUMO","CONSUMO",B233="112 - CAFÉ ORGANICO","GOURMET",B233="172 - CAFÉ COSECHA","ESPECIALES",B233="176 - CAFE DESCAFEINADO","GOURMET",B233="147 - CAPSULAS","CAPSULAS",B233="130 - GALLETAS CAFECITAS","DERIVADOS",B233="140 - MERENGUES","DERIVADOS",B233="100 - CAFÉ ESPECIAL","ESPECIALES",B233="141 - AREQUIPE","DERIVADOS",B233="142 - MERMELADA","DERIVADOS",B233="131 - GALLETAS AVENA","DERIVADOS",B233="160 - SOUVENIR","OTROS",B233="148 - CARAMELOS","DERIVADOS",B233="143 - CHOCOFFES","DERIVADOS",B233="162 - CONVENIOS Y DSC POS ","OTROS"),"OTROS")</f>
        <v>CAPSULAS</v>
      </c>
      <c r="K233" s="6"/>
      <c r="L233" s="27">
        <f t="shared" si="33"/>
        <v>1605381</v>
      </c>
      <c r="M233" s="27">
        <f t="shared" si="34"/>
        <v>1605381</v>
      </c>
    </row>
    <row r="234" spans="1:13" ht="15.75" hidden="1" customHeight="1" outlineLevel="2">
      <c r="A234" s="38"/>
      <c r="B234" s="39" t="s">
        <v>27</v>
      </c>
      <c r="C234" s="36">
        <v>89298</v>
      </c>
      <c r="D234" s="36">
        <v>0</v>
      </c>
      <c r="E234" s="36">
        <v>0</v>
      </c>
      <c r="F234" s="36">
        <v>1098154.5900000001</v>
      </c>
      <c r="G234" s="37">
        <f t="shared" si="35"/>
        <v>8.1316420122598584E-2</v>
      </c>
      <c r="H234" s="23">
        <f t="shared" si="31"/>
        <v>0</v>
      </c>
      <c r="I234" s="24">
        <f t="shared" si="31"/>
        <v>0</v>
      </c>
      <c r="J234" s="32" t="str" cm="1">
        <f t="array" ref="J234">IFERROR(_xlfn.IFS(B234="044 - BLEND TRADICION","BLEND",B234="113 - CAFÉ GOURMET","GOURMET",B234="114 - CAFÉ CONSUMO","CONSUMO",B234="112 - CAFÉ ORGANICO","GOURMET",B234="172 - CAFÉ COSECHA","ESPECIALES",B234="176 - CAFE DESCAFEINADO","GOURMET",B234="147 - CAPSULAS","CAPSULAS",B234="130 - GALLETAS CAFECITAS","DERIVADOS",B234="140 - MERENGUES","DERIVADOS",B234="100 - CAFÉ ESPECIAL","ESPECIALES",B234="141 - AREQUIPE","DERIVADOS",B234="142 - MERMELADA","DERIVADOS",B234="131 - GALLETAS AVENA","DERIVADOS",B234="160 - SOUVENIR","OTROS",B234="148 - CARAMELOS","DERIVADOS",B234="143 - CHOCOFFES","DERIVADOS",B234="162 - CONVENIOS Y DSC POS ","OTROS"),"OTROS")</f>
        <v>DERIVADOS</v>
      </c>
      <c r="K234" s="6"/>
      <c r="L234" s="27">
        <f t="shared" si="33"/>
        <v>89298</v>
      </c>
      <c r="M234" s="27">
        <f t="shared" si="34"/>
        <v>89298</v>
      </c>
    </row>
    <row r="235" spans="1:13" ht="15.75" hidden="1" customHeight="1" outlineLevel="2">
      <c r="A235" s="38"/>
      <c r="B235" s="39" t="s">
        <v>28</v>
      </c>
      <c r="C235" s="36">
        <v>2956850</v>
      </c>
      <c r="D235" s="36">
        <v>0</v>
      </c>
      <c r="E235" s="36"/>
      <c r="F235" s="36">
        <v>4332933.07</v>
      </c>
      <c r="G235" s="37">
        <f t="shared" si="35"/>
        <v>0.68241303344203275</v>
      </c>
      <c r="H235" s="23">
        <f t="shared" si="31"/>
        <v>0</v>
      </c>
      <c r="I235" s="24">
        <f t="shared" si="31"/>
        <v>0</v>
      </c>
      <c r="J235" s="32" t="str" cm="1">
        <f t="array" ref="J235">IFERROR(_xlfn.IFS(B235="044 - BLEND TRADICION","BLEND",B235="113 - CAFÉ GOURMET","GOURMET",B235="114 - CAFÉ CONSUMO","CONSUMO",B235="112 - CAFÉ ORGANICO","GOURMET",B235="172 - CAFÉ COSECHA","ESPECIALES",B235="176 - CAFE DESCAFEINADO","GOURMET",B235="147 - CAPSULAS","CAPSULAS",B235="130 - GALLETAS CAFECITAS","DERIVADOS",B235="140 - MERENGUES","DERIVADOS",B235="100 - CAFÉ ESPECIAL","ESPECIALES",B235="141 - AREQUIPE","DERIVADOS",B235="142 - MERMELADA","DERIVADOS",B235="131 - GALLETAS AVENA","DERIVADOS",B235="160 - SOUVENIR","OTROS",B235="148 - CARAMELOS","DERIVADOS",B235="143 - CHOCOFFES","DERIVADOS",B235="162 - CONVENIOS Y DSC POS ","OTROS"),"OTROS")</f>
        <v>OTROS</v>
      </c>
      <c r="K235" s="6"/>
      <c r="L235" s="27">
        <f t="shared" si="33"/>
        <v>2956850</v>
      </c>
      <c r="M235" s="27">
        <f t="shared" si="34"/>
        <v>2956850</v>
      </c>
    </row>
    <row r="236" spans="1:13" ht="15.75" hidden="1" customHeight="1" outlineLevel="2">
      <c r="A236" s="38"/>
      <c r="B236" s="39" t="s">
        <v>29</v>
      </c>
      <c r="C236" s="36">
        <v>5793441</v>
      </c>
      <c r="D236" s="36">
        <v>0</v>
      </c>
      <c r="E236" s="36"/>
      <c r="F236" s="36">
        <v>19696186.350000001</v>
      </c>
      <c r="G236" s="37">
        <f t="shared" si="35"/>
        <v>0.2941402410116819</v>
      </c>
      <c r="H236" s="23">
        <f t="shared" si="31"/>
        <v>0</v>
      </c>
      <c r="I236" s="24">
        <f t="shared" si="31"/>
        <v>0</v>
      </c>
      <c r="J236" s="32" t="str" cm="1">
        <f t="array" ref="J236">IFERROR(_xlfn.IFS(B236="044 - BLEND TRADICION","BLEND",B236="113 - CAFÉ GOURMET","GOURMET",B236="114 - CAFÉ CONSUMO","CONSUMO",B236="112 - CAFÉ ORGANICO","GOURMET",B236="172 - CAFÉ COSECHA","ESPECIALES",B236="176 - CAFE DESCAFEINADO","GOURMET",B236="147 - CAPSULAS","CAPSULAS",B236="130 - GALLETAS CAFECITAS","DERIVADOS",B236="140 - MERENGUES","DERIVADOS",B236="100 - CAFÉ ESPECIAL","ESPECIALES",B236="141 - AREQUIPE","DERIVADOS",B236="142 - MERMELADA","DERIVADOS",B236="131 - GALLETAS AVENA","DERIVADOS",B236="160 - SOUVENIR","OTROS",B236="148 - CARAMELOS","DERIVADOS",B236="143 - CHOCOFFES","DERIVADOS",B236="162 - CONVENIOS Y DSC POS ","OTROS"),"OTROS")</f>
        <v>ESPECIALES</v>
      </c>
      <c r="K236" s="6"/>
      <c r="L236" s="27">
        <f t="shared" si="33"/>
        <v>5793441</v>
      </c>
      <c r="M236" s="27">
        <f t="shared" si="34"/>
        <v>5793441</v>
      </c>
    </row>
    <row r="237" spans="1:13" ht="15.75" hidden="1" customHeight="1" outlineLevel="2">
      <c r="A237" s="38"/>
      <c r="B237" s="39" t="s">
        <v>30</v>
      </c>
      <c r="C237" s="36">
        <v>1328502</v>
      </c>
      <c r="D237" s="36">
        <v>0</v>
      </c>
      <c r="E237" s="36"/>
      <c r="F237" s="36">
        <v>6569709</v>
      </c>
      <c r="G237" s="37">
        <f t="shared" si="35"/>
        <v>0.20221626254678859</v>
      </c>
      <c r="H237" s="23">
        <f t="shared" si="31"/>
        <v>0</v>
      </c>
      <c r="I237" s="24">
        <f t="shared" si="31"/>
        <v>0</v>
      </c>
      <c r="J237" s="32" t="str" cm="1">
        <f t="array" ref="J237">IFERROR(_xlfn.IFS(B237="044 - BLEND TRADICION","BLEND",B237="113 - CAFÉ GOURMET","GOURMET",B237="114 - CAFÉ CONSUMO","CONSUMO",B237="112 - CAFÉ ORGANICO","GOURMET",B237="172 - CAFÉ COSECHA","ESPECIALES",B237="176 - CAFE DESCAFEINADO","GOURMET",B237="147 - CAPSULAS","CAPSULAS",B237="130 - GALLETAS CAFECITAS","DERIVADOS",B237="140 - MERENGUES","DERIVADOS",B237="100 - CAFÉ ESPECIAL","ESPECIALES",B237="141 - AREQUIPE","DERIVADOS",B237="142 - MERMELADA","DERIVADOS",B237="131 - GALLETAS AVENA","DERIVADOS",B237="160 - SOUVENIR","OTROS",B237="148 - CARAMELOS","DERIVADOS",B237="143 - CHOCOFFES","DERIVADOS",B237="162 - CONVENIOS Y DSC POS ","OTROS"),"OTROS")</f>
        <v>GOURMET</v>
      </c>
      <c r="K237" s="6"/>
      <c r="L237" s="27">
        <f t="shared" si="33"/>
        <v>1328502</v>
      </c>
      <c r="M237" s="27">
        <f t="shared" si="34"/>
        <v>1328502</v>
      </c>
    </row>
    <row r="238" spans="1:13" ht="15.75" hidden="1" customHeight="1" outlineLevel="2">
      <c r="A238" s="19" t="s">
        <v>60</v>
      </c>
      <c r="B238" s="56" t="s">
        <v>32</v>
      </c>
      <c r="C238" s="54">
        <f>SUM(C225:C237)</f>
        <v>69429267</v>
      </c>
      <c r="D238" s="54">
        <f>SUM(D225:D237)</f>
        <v>0</v>
      </c>
      <c r="E238" s="54">
        <f>SUM(E225:E237)</f>
        <v>0</v>
      </c>
      <c r="F238" s="58">
        <f>SUM(F225:F237)</f>
        <v>278548044.25999999</v>
      </c>
      <c r="G238" s="55">
        <f t="shared" si="35"/>
        <v>0.24925418946827685</v>
      </c>
      <c r="H238" s="23">
        <f t="shared" si="31"/>
        <v>0</v>
      </c>
      <c r="I238" s="24">
        <f t="shared" si="31"/>
        <v>0</v>
      </c>
      <c r="J238" s="32" t="str" cm="1">
        <f t="array" ref="J238">IFERROR(_xlfn.IFS(B238="044 - BLEND TRADICION","BLEND",B238="113 - CAFÉ GOURMET","GOURMET",B238="114 - CAFÉ CONSUMO","CONSUMO",B238="112 - CAFÉ ORGANICO","GOURMET",B238="172 - CAFÉ COSECHA","ESPECIALES",B238="176 - CAFE DESCAFEINADO","GOURMET",B238="147 - CAPSULAS","CAPSULAS",B238="130 - GALLETAS CAFECITAS","DERIVADOS",B238="140 - MERENGUES","DERIVADOS",B238="100 - CAFÉ ESPECIAL","ESPECIALES",B238="141 - AREQUIPE","DERIVADOS",B238="142 - MERMELADA","DERIVADOS",B238="131 - GALLETAS AVENA","DERIVADOS",B238="160 - SOUVENIR","OTROS",B238="148 - CARAMELOS","DERIVADOS",B238="143 - CHOCOFFES","DERIVADOS",B238="162 - CONVENIOS Y DSC POS ","OTROS"),"OTROS")</f>
        <v>OTROS</v>
      </c>
      <c r="K238" s="6"/>
      <c r="L238" s="27">
        <f t="shared" si="33"/>
        <v>69429267</v>
      </c>
      <c r="M238" s="27">
        <f t="shared" si="34"/>
        <v>69429267</v>
      </c>
    </row>
    <row r="239" spans="1:13" ht="16.5" collapsed="1">
      <c r="A239" s="28" t="s">
        <v>61</v>
      </c>
      <c r="B239" s="29" t="s">
        <v>17</v>
      </c>
      <c r="C239" s="30">
        <f>+C242+C250+C254</f>
        <v>56591947</v>
      </c>
      <c r="D239" s="30"/>
      <c r="E239" s="30">
        <f>+E242+E250+E254</f>
        <v>-185271</v>
      </c>
      <c r="F239" s="30">
        <f>+F242+F250+F254</f>
        <v>468781637.60000002</v>
      </c>
      <c r="G239" s="31">
        <f t="shared" si="35"/>
        <v>0.12072133902200438</v>
      </c>
      <c r="H239" s="23">
        <f t="shared" si="31"/>
        <v>0</v>
      </c>
      <c r="I239" s="24">
        <f t="shared" si="31"/>
        <v>-3.2631221910168263E-3</v>
      </c>
      <c r="J239" s="32" t="str" cm="1">
        <f t="array" ref="J239">IFERROR(_xlfn.IFS(B239="044 - BLEND TRADICION","BLEND",B239="113 - CAFÉ GOURMET","GOURMET",B239="114 - CAFÉ CONSUMO","CONSUMO",B239="112 - CAFÉ ORGANICO","GOURMET",B239="172 - CAFÉ COSECHA","ESPECIALES",B239="176 - CAFE DESCAFEINADO","GOURMET",B239="147 - CAPSULAS","CAPSULAS",B239="130 - GALLETAS CAFECITAS","DERIVADOS",B239="140 - MERENGUES","DERIVADOS",B239="100 - CAFÉ ESPECIAL","ESPECIALES",B239="141 - AREQUIPE","DERIVADOS",B239="142 - MERMELADA","DERIVADOS",B239="131 - GALLETAS AVENA","DERIVADOS",B239="160 - SOUVENIR","OTROS",B239="148 - CARAMELOS","DERIVADOS",B239="143 - CHOCOFFES","DERIVADOS",B239="162 - CONVENIOS Y DSC POS ","OTROS"),"OTROS")</f>
        <v>OTROS</v>
      </c>
      <c r="K239" s="6"/>
      <c r="L239" s="27">
        <f t="shared" si="33"/>
        <v>56777218</v>
      </c>
      <c r="M239" s="27">
        <f t="shared" si="34"/>
        <v>56777218</v>
      </c>
    </row>
    <row r="240" spans="1:13" ht="15.75" hidden="1" customHeight="1" outlineLevel="1">
      <c r="A240" s="33"/>
      <c r="B240" s="45" t="s">
        <v>62</v>
      </c>
      <c r="C240" s="46">
        <v>39351</v>
      </c>
      <c r="D240" s="46">
        <v>0</v>
      </c>
      <c r="E240" s="46">
        <v>0</v>
      </c>
      <c r="F240" s="46">
        <v>0</v>
      </c>
      <c r="G240" s="37" t="str">
        <f t="shared" si="35"/>
        <v>-</v>
      </c>
      <c r="H240" s="23">
        <f t="shared" si="31"/>
        <v>0</v>
      </c>
      <c r="I240" s="24">
        <f t="shared" si="31"/>
        <v>0</v>
      </c>
      <c r="J240" s="32" t="str" cm="1">
        <f t="array" ref="J240">IFERROR(_xlfn.IFS(B240="044 - BLEND TRADICION","BLEND",B240="113 - CAFÉ GOURMET","GOURMET",B240="114 - CAFÉ CONSUMO","CONSUMO",B240="112 - CAFÉ ORGANICO","GOURMET",B240="172 - CAFÉ COSECHA","ESPECIALES",B240="176 - CAFE DESCAFEINADO","GOURMET",B240="147 - CAPSULAS","CAPSULAS",B240="130 - GALLETAS CAFECITAS","DERIVADOS",B240="140 - MERENGUES","DERIVADOS",B240="100 - CAFÉ ESPECIAL","ESPECIALES",B240="141 - AREQUIPE","DERIVADOS",B240="142 - MERMELADA","DERIVADOS",B240="131 - GALLETAS AVENA","DERIVADOS",B240="160 - SOUVENIR","OTROS",B240="148 - CARAMELOS","DERIVADOS",B240="143 - CHOCOFFES","DERIVADOS",B240="162 - CONVENIOS Y DSC POS ","OTROS"),"OTROS")</f>
        <v>OTROS</v>
      </c>
      <c r="K240" s="6"/>
      <c r="L240" s="27">
        <f t="shared" si="33"/>
        <v>39351</v>
      </c>
      <c r="M240" s="27">
        <f t="shared" si="34"/>
        <v>39351</v>
      </c>
    </row>
    <row r="241" spans="1:13" ht="15.75" hidden="1" customHeight="1" outlineLevel="1">
      <c r="A241" s="33"/>
      <c r="B241" s="45" t="s">
        <v>39</v>
      </c>
      <c r="C241" s="46">
        <v>10800000</v>
      </c>
      <c r="D241" s="46">
        <v>0</v>
      </c>
      <c r="E241" s="46"/>
      <c r="F241" s="46">
        <v>0</v>
      </c>
      <c r="G241" s="37" t="str">
        <f t="shared" si="35"/>
        <v>-</v>
      </c>
      <c r="H241" s="23">
        <f t="shared" si="31"/>
        <v>0</v>
      </c>
      <c r="I241" s="24">
        <f t="shared" si="31"/>
        <v>0</v>
      </c>
      <c r="J241" s="32" t="str" cm="1">
        <f t="array" ref="J241">IFERROR(_xlfn.IFS(B241="044 - BLEND TRADICION","BLEND",B241="113 - CAFÉ GOURMET","GOURMET",B241="114 - CAFÉ CONSUMO","CONSUMO",B241="112 - CAFÉ ORGANICO","GOURMET",B241="172 - CAFÉ COSECHA","ESPECIALES",B241="176 - CAFE DESCAFEINADO","GOURMET",B241="147 - CAPSULAS","CAPSULAS",B241="130 - GALLETAS CAFECITAS","DERIVADOS",B241="140 - MERENGUES","DERIVADOS",B241="100 - CAFÉ ESPECIAL","ESPECIALES",B241="141 - AREQUIPE","DERIVADOS",B241="142 - MERMELADA","DERIVADOS",B241="131 - GALLETAS AVENA","DERIVADOS",B241="160 - SOUVENIR","OTROS",B241="148 - CARAMELOS","DERIVADOS",B241="143 - CHOCOFFES","DERIVADOS",B241="162 - CONVENIOS Y DSC POS ","OTROS"),"OTROS")</f>
        <v>OTROS</v>
      </c>
      <c r="K241" s="6"/>
      <c r="L241" s="27">
        <f t="shared" si="33"/>
        <v>10800000</v>
      </c>
      <c r="M241" s="27">
        <f t="shared" si="34"/>
        <v>10800000</v>
      </c>
    </row>
    <row r="242" spans="1:13" ht="15.75" hidden="1" customHeight="1" outlineLevel="1">
      <c r="A242" s="52" t="s">
        <v>63</v>
      </c>
      <c r="B242" s="20" t="s">
        <v>32</v>
      </c>
      <c r="C242" s="21">
        <f>SUM(C240:C241)</f>
        <v>10839351</v>
      </c>
      <c r="D242" s="21"/>
      <c r="E242" s="21">
        <v>0</v>
      </c>
      <c r="F242" s="21">
        <v>0</v>
      </c>
      <c r="G242" s="55" t="str">
        <f t="shared" si="35"/>
        <v>-</v>
      </c>
      <c r="H242" s="23">
        <f t="shared" si="31"/>
        <v>0</v>
      </c>
      <c r="I242" s="24">
        <f t="shared" si="31"/>
        <v>0</v>
      </c>
      <c r="J242" s="32" t="str" cm="1">
        <f t="array" ref="J242">IFERROR(_xlfn.IFS(B242="044 - BLEND TRADICION","BLEND",B242="113 - CAFÉ GOURMET","GOURMET",B242="114 - CAFÉ CONSUMO","CONSUMO",B242="112 - CAFÉ ORGANICO","GOURMET",B242="172 - CAFÉ COSECHA","ESPECIALES",B242="176 - CAFE DESCAFEINADO","GOURMET",B242="147 - CAPSULAS","CAPSULAS",B242="130 - GALLETAS CAFECITAS","DERIVADOS",B242="140 - MERENGUES","DERIVADOS",B242="100 - CAFÉ ESPECIAL","ESPECIALES",B242="141 - AREQUIPE","DERIVADOS",B242="142 - MERMELADA","DERIVADOS",B242="131 - GALLETAS AVENA","DERIVADOS",B242="160 - SOUVENIR","OTROS",B242="148 - CARAMELOS","DERIVADOS",B242="143 - CHOCOFFES","DERIVADOS",B242="162 - CONVENIOS Y DSC POS ","OTROS"),"OTROS")</f>
        <v>OTROS</v>
      </c>
      <c r="K242" s="6"/>
      <c r="L242" s="27">
        <f t="shared" si="33"/>
        <v>10839351</v>
      </c>
      <c r="M242" s="27">
        <f t="shared" si="34"/>
        <v>10839351</v>
      </c>
    </row>
    <row r="243" spans="1:13" ht="15.75" hidden="1" customHeight="1" outlineLevel="1">
      <c r="A243" s="33"/>
      <c r="B243" s="45" t="s">
        <v>18</v>
      </c>
      <c r="C243" s="151">
        <v>28900000</v>
      </c>
      <c r="D243" s="152">
        <v>0</v>
      </c>
      <c r="E243" s="36"/>
      <c r="F243" s="36">
        <v>413971911.05000001</v>
      </c>
      <c r="G243" s="37">
        <f t="shared" si="35"/>
        <v>6.9811499835092494E-2</v>
      </c>
      <c r="H243" s="23">
        <f t="shared" si="31"/>
        <v>0</v>
      </c>
      <c r="I243" s="24">
        <f t="shared" si="31"/>
        <v>0</v>
      </c>
      <c r="J243" s="32" t="str" cm="1">
        <f t="array" ref="J243">IFERROR(_xlfn.IFS(B243="044 - BLEND TRADICION","BLEND",B243="113 - CAFÉ GOURMET","GOURMET",B243="114 - CAFÉ CONSUMO","CONSUMO",B243="112 - CAFÉ ORGANICO","GOURMET",B243="172 - CAFÉ COSECHA","ESPECIALES",B243="176 - CAFE DESCAFEINADO","GOURMET",B243="147 - CAPSULAS","CAPSULAS",B243="130 - GALLETAS CAFECITAS","DERIVADOS",B243="140 - MERENGUES","DERIVADOS",B243="100 - CAFÉ ESPECIAL","ESPECIALES",B243="141 - AREQUIPE","DERIVADOS",B243="142 - MERMELADA","DERIVADOS",B243="131 - GALLETAS AVENA","DERIVADOS",B243="160 - SOUVENIR","OTROS",B243="148 - CARAMELOS","DERIVADOS",B243="143 - CHOCOFFES","DERIVADOS",B243="162 - CONVENIOS Y DSC POS ","OTROS"),"OTROS")</f>
        <v>BLEND</v>
      </c>
      <c r="K243" s="6"/>
      <c r="L243" s="27">
        <f t="shared" si="33"/>
        <v>28900000</v>
      </c>
      <c r="M243" s="27">
        <f t="shared" si="34"/>
        <v>28900000</v>
      </c>
    </row>
    <row r="244" spans="1:13" ht="15.75" hidden="1" customHeight="1" outlineLevel="1">
      <c r="A244" s="33"/>
      <c r="B244" s="45" t="s">
        <v>20</v>
      </c>
      <c r="C244" s="151">
        <v>2053771</v>
      </c>
      <c r="D244" s="152">
        <v>0</v>
      </c>
      <c r="E244" s="36"/>
      <c r="F244" s="36">
        <v>4542701.25</v>
      </c>
      <c r="G244" s="37">
        <f t="shared" si="35"/>
        <v>0.45210347037459264</v>
      </c>
      <c r="H244" s="23">
        <f t="shared" si="31"/>
        <v>0</v>
      </c>
      <c r="I244" s="24">
        <f t="shared" si="31"/>
        <v>0</v>
      </c>
      <c r="J244" s="32" t="str" cm="1">
        <f t="array" ref="J244">IFERROR(_xlfn.IFS(B244="044 - BLEND TRADICION","BLEND",B244="113 - CAFÉ GOURMET","GOURMET",B244="114 - CAFÉ CONSUMO","CONSUMO",B244="112 - CAFÉ ORGANICO","GOURMET",B244="172 - CAFÉ COSECHA","ESPECIALES",B244="176 - CAFE DESCAFEINADO","GOURMET",B244="147 - CAPSULAS","CAPSULAS",B244="130 - GALLETAS CAFECITAS","DERIVADOS",B244="140 - MERENGUES","DERIVADOS",B244="100 - CAFÉ ESPECIAL","ESPECIALES",B244="141 - AREQUIPE","DERIVADOS",B244="142 - MERMELADA","DERIVADOS",B244="131 - GALLETAS AVENA","DERIVADOS",B244="160 - SOUVENIR","OTROS",B244="148 - CARAMELOS","DERIVADOS",B244="143 - CHOCOFFES","DERIVADOS",B244="162 - CONVENIOS Y DSC POS ","OTROS"),"OTROS")</f>
        <v>GOURMET</v>
      </c>
      <c r="K244" s="6"/>
      <c r="L244" s="27">
        <f t="shared" si="33"/>
        <v>2053771</v>
      </c>
      <c r="M244" s="27">
        <f t="shared" si="34"/>
        <v>2053771</v>
      </c>
    </row>
    <row r="245" spans="1:13" ht="15.75" hidden="1" customHeight="1" outlineLevel="1">
      <c r="A245" s="33"/>
      <c r="B245" s="45" t="s">
        <v>21</v>
      </c>
      <c r="C245" s="151">
        <v>11134326</v>
      </c>
      <c r="D245" s="152">
        <v>0</v>
      </c>
      <c r="E245" s="36"/>
      <c r="F245" s="36">
        <v>25938878.649999999</v>
      </c>
      <c r="G245" s="37">
        <f t="shared" si="35"/>
        <v>0.42925240332237724</v>
      </c>
      <c r="H245" s="23">
        <f t="shared" si="31"/>
        <v>0</v>
      </c>
      <c r="I245" s="24">
        <f t="shared" si="31"/>
        <v>0</v>
      </c>
      <c r="J245" s="32" t="str" cm="1">
        <f t="array" ref="J245">IFERROR(_xlfn.IFS(B245="044 - BLEND TRADICION","BLEND",B245="113 - CAFÉ GOURMET","GOURMET",B245="114 - CAFÉ CONSUMO","CONSUMO",B245="112 - CAFÉ ORGANICO","GOURMET",B245="172 - CAFÉ COSECHA","ESPECIALES",B245="176 - CAFE DESCAFEINADO","GOURMET",B245="147 - CAPSULAS","CAPSULAS",B245="130 - GALLETAS CAFECITAS","DERIVADOS",B245="140 - MERENGUES","DERIVADOS",B245="100 - CAFÉ ESPECIAL","ESPECIALES",B245="141 - AREQUIPE","DERIVADOS",B245="142 - MERMELADA","DERIVADOS",B245="131 - GALLETAS AVENA","DERIVADOS",B245="160 - SOUVENIR","OTROS",B245="148 - CARAMELOS","DERIVADOS",B245="143 - CHOCOFFES","DERIVADOS",B245="162 - CONVENIOS Y DSC POS ","OTROS"),"OTROS")</f>
        <v>GOURMET</v>
      </c>
      <c r="K245" s="6"/>
      <c r="L245" s="27">
        <f t="shared" si="33"/>
        <v>11134326</v>
      </c>
      <c r="M245" s="27">
        <f t="shared" si="34"/>
        <v>11134326</v>
      </c>
    </row>
    <row r="246" spans="1:13" ht="15.75" hidden="1" customHeight="1" outlineLevel="1">
      <c r="A246" s="33"/>
      <c r="B246" s="45" t="s">
        <v>22</v>
      </c>
      <c r="C246" s="151">
        <v>0</v>
      </c>
      <c r="D246" s="152">
        <v>0</v>
      </c>
      <c r="E246" s="36"/>
      <c r="F246" s="36">
        <v>21964513.23</v>
      </c>
      <c r="G246" s="37">
        <f t="shared" si="35"/>
        <v>0</v>
      </c>
      <c r="H246" s="23">
        <f t="shared" si="31"/>
        <v>0</v>
      </c>
      <c r="I246" s="24">
        <f t="shared" si="31"/>
        <v>0</v>
      </c>
      <c r="J246" s="32" t="str" cm="1">
        <f t="array" ref="J246">IFERROR(_xlfn.IFS(B246="044 - BLEND TRADICION","BLEND",B246="113 - CAFÉ GOURMET","GOURMET",B246="114 - CAFÉ CONSUMO","CONSUMO",B246="112 - CAFÉ ORGANICO","GOURMET",B246="172 - CAFÉ COSECHA","ESPECIALES",B246="176 - CAFE DESCAFEINADO","GOURMET",B246="147 - CAPSULAS","CAPSULAS",B246="130 - GALLETAS CAFECITAS","DERIVADOS",B246="140 - MERENGUES","DERIVADOS",B246="100 - CAFÉ ESPECIAL","ESPECIALES",B246="141 - AREQUIPE","DERIVADOS",B246="142 - MERMELADA","DERIVADOS",B246="131 - GALLETAS AVENA","DERIVADOS",B246="160 - SOUVENIR","OTROS",B246="148 - CARAMELOS","DERIVADOS",B246="143 - CHOCOFFES","DERIVADOS",B246="162 - CONVENIOS Y DSC POS ","OTROS"),"OTROS")</f>
        <v>DERIVADOS</v>
      </c>
      <c r="K246" s="6"/>
      <c r="L246" s="27">
        <f t="shared" si="33"/>
        <v>0</v>
      </c>
      <c r="M246" s="27">
        <f t="shared" si="34"/>
        <v>0</v>
      </c>
    </row>
    <row r="247" spans="1:13" ht="15.75" hidden="1" customHeight="1" outlineLevel="1">
      <c r="A247" s="33"/>
      <c r="B247" s="45" t="s">
        <v>50</v>
      </c>
      <c r="C247" s="151">
        <v>-185271</v>
      </c>
      <c r="D247" s="152">
        <v>0</v>
      </c>
      <c r="E247" s="152">
        <v>-185271</v>
      </c>
      <c r="F247" s="36"/>
      <c r="G247" s="37"/>
      <c r="H247" s="23"/>
      <c r="I247" s="24"/>
      <c r="J247" s="32"/>
      <c r="K247" s="6"/>
      <c r="L247" s="27"/>
      <c r="M247" s="27"/>
    </row>
    <row r="248" spans="1:13" ht="15.75" hidden="1" customHeight="1" outlineLevel="1">
      <c r="A248" s="33"/>
      <c r="B248" s="45" t="s">
        <v>29</v>
      </c>
      <c r="C248" s="151">
        <v>0</v>
      </c>
      <c r="D248" s="152">
        <v>0</v>
      </c>
      <c r="E248" s="36">
        <v>0</v>
      </c>
      <c r="F248" s="36">
        <v>2363633.42</v>
      </c>
      <c r="G248" s="37">
        <f t="shared" si="35"/>
        <v>0</v>
      </c>
      <c r="H248" s="23">
        <f t="shared" si="31"/>
        <v>0</v>
      </c>
      <c r="I248" s="24">
        <f t="shared" si="31"/>
        <v>0</v>
      </c>
      <c r="J248" s="32" t="str" cm="1">
        <f t="array" ref="J248">IFERROR(_xlfn.IFS(B248="044 - BLEND TRADICION","BLEND",B248="113 - CAFÉ GOURMET","GOURMET",B248="114 - CAFÉ CONSUMO","CONSUMO",B248="112 - CAFÉ ORGANICO","GOURMET",B248="172 - CAFÉ COSECHA","ESPECIALES",B248="176 - CAFE DESCAFEINADO","GOURMET",B248="147 - CAPSULAS","CAPSULAS",B248="130 - GALLETAS CAFECITAS","DERIVADOS",B248="140 - MERENGUES","DERIVADOS",B248="100 - CAFÉ ESPECIAL","ESPECIALES",B248="141 - AREQUIPE","DERIVADOS",B248="142 - MERMELADA","DERIVADOS",B248="131 - GALLETAS AVENA","DERIVADOS",B248="160 - SOUVENIR","OTROS",B248="148 - CARAMELOS","DERIVADOS",B248="143 - CHOCOFFES","DERIVADOS",B248="162 - CONVENIOS Y DSC POS ","OTROS"),"OTROS")</f>
        <v>ESPECIALES</v>
      </c>
      <c r="K248" s="6"/>
      <c r="L248" s="27">
        <f t="shared" si="33"/>
        <v>0</v>
      </c>
      <c r="M248" s="27">
        <f t="shared" si="34"/>
        <v>0</v>
      </c>
    </row>
    <row r="249" spans="1:13" ht="15.75" hidden="1" customHeight="1" outlineLevel="1">
      <c r="A249" s="44"/>
      <c r="B249" s="45" t="s">
        <v>92</v>
      </c>
      <c r="C249" s="151">
        <v>3845520</v>
      </c>
      <c r="D249" s="152">
        <v>0</v>
      </c>
      <c r="E249" s="36">
        <v>0</v>
      </c>
      <c r="F249" s="36">
        <v>0</v>
      </c>
      <c r="G249" s="37" t="str">
        <f t="shared" si="35"/>
        <v>-</v>
      </c>
      <c r="H249" s="23">
        <f t="shared" si="31"/>
        <v>0</v>
      </c>
      <c r="I249" s="24">
        <f t="shared" si="31"/>
        <v>0</v>
      </c>
      <c r="J249" s="32" t="str" cm="1">
        <f t="array" ref="J249">IFERROR(_xlfn.IFS(B249="044 - BLEND TRADICION","BLEND",B249="113 - CAFÉ GOURMET","GOURMET",B249="114 - CAFÉ CONSUMO","CONSUMO",B249="112 - CAFÉ ORGANICO","GOURMET",B249="172 - CAFÉ COSECHA","ESPECIALES",B249="176 - CAFE DESCAFEINADO","GOURMET",B249="147 - CAPSULAS","CAPSULAS",B249="130 - GALLETAS CAFECITAS","DERIVADOS",B249="140 - MERENGUES","DERIVADOS",B249="100 - CAFÉ ESPECIAL","ESPECIALES",B249="141 - AREQUIPE","DERIVADOS",B249="142 - MERMELADA","DERIVADOS",B249="131 - GALLETAS AVENA","DERIVADOS",B249="160 - SOUVENIR","OTROS",B249="148 - CARAMELOS","DERIVADOS",B249="143 - CHOCOFFES","DERIVADOS",B249="162 - CONVENIOS Y DSC POS ","OTROS"),"OTROS")</f>
        <v>OTROS</v>
      </c>
      <c r="K249" s="6"/>
      <c r="L249" s="27">
        <f t="shared" si="33"/>
        <v>3845520</v>
      </c>
      <c r="M249" s="27">
        <f t="shared" si="34"/>
        <v>3845520</v>
      </c>
    </row>
    <row r="250" spans="1:13" ht="15.75" hidden="1" customHeight="1" outlineLevel="1">
      <c r="A250" s="19" t="s">
        <v>64</v>
      </c>
      <c r="B250" s="40" t="s">
        <v>32</v>
      </c>
      <c r="C250" s="54">
        <f>SUM(C243:C249)</f>
        <v>45748346</v>
      </c>
      <c r="D250" s="54">
        <f>SUM(D243:D249)</f>
        <v>0</v>
      </c>
      <c r="E250" s="54">
        <f>SUM(E243:E249)</f>
        <v>-185271</v>
      </c>
      <c r="F250" s="54">
        <f>SUM(F243:F249)</f>
        <v>468781637.60000002</v>
      </c>
      <c r="G250" s="55">
        <f t="shared" si="35"/>
        <v>9.7589884779224118E-2</v>
      </c>
      <c r="H250" s="23">
        <f t="shared" si="31"/>
        <v>0</v>
      </c>
      <c r="I250" s="24">
        <f t="shared" si="31"/>
        <v>-4.03345114320085E-3</v>
      </c>
      <c r="J250" s="32" t="str" cm="1">
        <f t="array" ref="J250">IFERROR(_xlfn.IFS(B250="044 - BLEND TRADICION","BLEND",B250="113 - CAFÉ GOURMET","GOURMET",B250="114 - CAFÉ CONSUMO","CONSUMO",B250="112 - CAFÉ ORGANICO","GOURMET",B250="172 - CAFÉ COSECHA","ESPECIALES",B250="176 - CAFE DESCAFEINADO","GOURMET",B250="147 - CAPSULAS","CAPSULAS",B250="130 - GALLETAS CAFECITAS","DERIVADOS",B250="140 - MERENGUES","DERIVADOS",B250="100 - CAFÉ ESPECIAL","ESPECIALES",B250="141 - AREQUIPE","DERIVADOS",B250="142 - MERMELADA","DERIVADOS",B250="131 - GALLETAS AVENA","DERIVADOS",B250="160 - SOUVENIR","OTROS",B250="148 - CARAMELOS","DERIVADOS",B250="143 - CHOCOFFES","DERIVADOS",B250="162 - CONVENIOS Y DSC POS ","OTROS"),"OTROS")</f>
        <v>OTROS</v>
      </c>
      <c r="L250" s="27">
        <f t="shared" si="33"/>
        <v>45933617</v>
      </c>
      <c r="M250" s="27">
        <f t="shared" si="34"/>
        <v>45933617</v>
      </c>
    </row>
    <row r="251" spans="1:13" ht="15.75" hidden="1" customHeight="1" outlineLevel="1">
      <c r="A251" s="33"/>
      <c r="B251" s="39" t="s">
        <v>24</v>
      </c>
      <c r="C251" s="36">
        <v>4250</v>
      </c>
      <c r="D251" s="36"/>
      <c r="E251" s="36">
        <v>0</v>
      </c>
      <c r="F251" s="36">
        <v>0</v>
      </c>
      <c r="G251" s="37" t="str">
        <f t="shared" si="35"/>
        <v>-</v>
      </c>
      <c r="H251" s="23">
        <f t="shared" si="31"/>
        <v>0</v>
      </c>
      <c r="I251" s="24">
        <f t="shared" si="31"/>
        <v>0</v>
      </c>
      <c r="J251" s="32" t="str" cm="1">
        <f t="array" ref="J251">IFERROR(_xlfn.IFS(B251="044 - BLEND TRADICION","BLEND",B251="113 - CAFÉ GOURMET","GOURMET",B251="114 - CAFÉ CONSUMO","CONSUMO",B251="112 - CAFÉ ORGANICO","GOURMET",B251="172 - CAFÉ COSECHA","ESPECIALES",B251="176 - CAFE DESCAFEINADO","GOURMET",B251="147 - CAPSULAS","CAPSULAS",B251="130 - GALLETAS CAFECITAS","DERIVADOS",B251="140 - MERENGUES","DERIVADOS",B251="100 - CAFÉ ESPECIAL","ESPECIALES",B251="141 - AREQUIPE","DERIVADOS",B251="142 - MERMELADA","DERIVADOS",B251="131 - GALLETAS AVENA","DERIVADOS",B251="160 - SOUVENIR","OTROS",B251="148 - CARAMELOS","DERIVADOS",B251="143 - CHOCOFFES","DERIVADOS",B251="162 - CONVENIOS Y DSC POS ","OTROS"),"OTROS")</f>
        <v>DERIVADOS</v>
      </c>
      <c r="L251" s="27">
        <f t="shared" si="33"/>
        <v>4250</v>
      </c>
      <c r="M251" s="27">
        <f t="shared" si="34"/>
        <v>4250</v>
      </c>
    </row>
    <row r="252" spans="1:13" ht="15.75" hidden="1" customHeight="1" outlineLevel="1">
      <c r="A252" s="33"/>
      <c r="B252" s="39" t="s">
        <v>25</v>
      </c>
      <c r="C252" s="36">
        <v>0</v>
      </c>
      <c r="D252" s="36">
        <v>0</v>
      </c>
      <c r="E252" s="36"/>
      <c r="F252" s="36">
        <v>0</v>
      </c>
      <c r="G252" s="37" t="str">
        <f t="shared" si="35"/>
        <v>-</v>
      </c>
      <c r="H252" s="23">
        <f t="shared" si="31"/>
        <v>0</v>
      </c>
      <c r="I252" s="24">
        <f t="shared" si="31"/>
        <v>0</v>
      </c>
      <c r="J252" s="32" t="str" cm="1">
        <f t="array" ref="J252">IFERROR(_xlfn.IFS(B252="044 - BLEND TRADICION","BLEND",B252="113 - CAFÉ GOURMET","GOURMET",B252="114 - CAFÉ CONSUMO","CONSUMO",B252="112 - CAFÉ ORGANICO","GOURMET",B252="172 - CAFÉ COSECHA","ESPECIALES",B252="176 - CAFE DESCAFEINADO","GOURMET",B252="147 - CAPSULAS","CAPSULAS",B252="130 - GALLETAS CAFECITAS","DERIVADOS",B252="140 - MERENGUES","DERIVADOS",B252="100 - CAFÉ ESPECIAL","ESPECIALES",B252="141 - AREQUIPE","DERIVADOS",B252="142 - MERMELADA","DERIVADOS",B252="131 - GALLETAS AVENA","DERIVADOS",B252="160 - SOUVENIR","OTROS",B252="148 - CARAMELOS","DERIVADOS",B252="143 - CHOCOFFES","DERIVADOS",B252="162 - CONVENIOS Y DSC POS ","OTROS"),"OTROS")</f>
        <v>DERIVADOS</v>
      </c>
      <c r="K252" s="6"/>
      <c r="L252" s="27">
        <f>C252-(D252+E252)</f>
        <v>0</v>
      </c>
      <c r="M252" s="27">
        <f t="shared" si="34"/>
        <v>0</v>
      </c>
    </row>
    <row r="253" spans="1:13" ht="15.75" hidden="1" customHeight="1" outlineLevel="1">
      <c r="A253" s="38"/>
      <c r="B253" s="39" t="s">
        <v>29</v>
      </c>
      <c r="C253" s="36">
        <v>0</v>
      </c>
      <c r="D253" s="36">
        <v>0</v>
      </c>
      <c r="E253" s="36">
        <v>0</v>
      </c>
      <c r="F253" s="36">
        <v>0</v>
      </c>
      <c r="G253" s="37" t="str">
        <f t="shared" si="35"/>
        <v>-</v>
      </c>
      <c r="H253" s="23">
        <f t="shared" si="31"/>
        <v>0</v>
      </c>
      <c r="I253" s="24">
        <f t="shared" si="31"/>
        <v>0</v>
      </c>
      <c r="J253" s="32" t="str" cm="1">
        <f t="array" ref="J253">IFERROR(_xlfn.IFS(B253="044 - BLEND TRADICION","BLEND",B253="113 - CAFÉ GOURMET","GOURMET",B253="114 - CAFÉ CONSUMO","CONSUMO",B253="112 - CAFÉ ORGANICO","GOURMET",B253="172 - CAFÉ COSECHA","ESPECIALES",B253="176 - CAFE DESCAFEINADO","GOURMET",B253="147 - CAPSULAS","CAPSULAS",B253="130 - GALLETAS CAFECITAS","DERIVADOS",B253="140 - MERENGUES","DERIVADOS",B253="100 - CAFÉ ESPECIAL","ESPECIALES",B253="141 - AREQUIPE","DERIVADOS",B253="142 - MERMELADA","DERIVADOS",B253="131 - GALLETAS AVENA","DERIVADOS",B253="160 - SOUVENIR","OTROS",B253="148 - CARAMELOS","DERIVADOS",B253="143 - CHOCOFFES","DERIVADOS",B253="162 - CONVENIOS Y DSC POS ","OTROS"),"OTROS")</f>
        <v>ESPECIALES</v>
      </c>
      <c r="K253" s="6"/>
      <c r="L253" s="27">
        <f t="shared" ref="L253:L269" si="40">C253-(D253+E253)</f>
        <v>0</v>
      </c>
      <c r="M253" s="27">
        <f t="shared" si="34"/>
        <v>0</v>
      </c>
    </row>
    <row r="254" spans="1:13" ht="15.75" hidden="1" customHeight="1" outlineLevel="1">
      <c r="A254" s="19" t="s">
        <v>65</v>
      </c>
      <c r="B254" s="56" t="s">
        <v>32</v>
      </c>
      <c r="C254" s="54">
        <f>SUM(C251:C253)</f>
        <v>4250</v>
      </c>
      <c r="D254" s="54">
        <f>SUM(D251:D253)</f>
        <v>0</v>
      </c>
      <c r="E254" s="57">
        <v>0</v>
      </c>
      <c r="F254" s="58">
        <v>0</v>
      </c>
      <c r="G254" s="55" t="str">
        <f t="shared" si="35"/>
        <v>-</v>
      </c>
      <c r="H254" s="23">
        <f t="shared" si="31"/>
        <v>0</v>
      </c>
      <c r="I254" s="24">
        <f t="shared" si="31"/>
        <v>0</v>
      </c>
      <c r="J254" s="32" t="str" cm="1">
        <f t="array" ref="J254">IFERROR(_xlfn.IFS(B254="044 - BLEND TRADICION","BLEND",B254="113 - CAFÉ GOURMET","GOURMET",B254="114 - CAFÉ CONSUMO","CONSUMO",B254="112 - CAFÉ ORGANICO","GOURMET",B254="172 - CAFÉ COSECHA","ESPECIALES",B254="176 - CAFE DESCAFEINADO","GOURMET",B254="147 - CAPSULAS","CAPSULAS",B254="130 - GALLETAS CAFECITAS","DERIVADOS",B254="140 - MERENGUES","DERIVADOS",B254="100 - CAFÉ ESPECIAL","ESPECIALES",B254="141 - AREQUIPE","DERIVADOS",B254="142 - MERMELADA","DERIVADOS",B254="131 - GALLETAS AVENA","DERIVADOS",B254="160 - SOUVENIR","OTROS",B254="148 - CARAMELOS","DERIVADOS",B254="143 - CHOCOFFES","DERIVADOS",B254="162 - CONVENIOS Y DSC POS ","OTROS"),"OTROS")</f>
        <v>OTROS</v>
      </c>
      <c r="K254" s="6"/>
      <c r="L254" s="27">
        <f t="shared" si="40"/>
        <v>4250</v>
      </c>
      <c r="M254" s="27">
        <f t="shared" si="34"/>
        <v>4250</v>
      </c>
    </row>
    <row r="255" spans="1:13" ht="17" collapsed="1" thickBot="1">
      <c r="A255" s="63" t="s">
        <v>66</v>
      </c>
      <c r="B255" s="64" t="s">
        <v>17</v>
      </c>
      <c r="C255" s="65">
        <f>+C268</f>
        <v>291019046</v>
      </c>
      <c r="D255" s="65">
        <f>+D268</f>
        <v>-46670439</v>
      </c>
      <c r="E255" s="65">
        <f>+E268</f>
        <v>0</v>
      </c>
      <c r="F255" s="65">
        <f>+F268</f>
        <v>3060120402.4200006</v>
      </c>
      <c r="G255" s="66">
        <f t="shared" si="35"/>
        <v>9.5100521459827753E-2</v>
      </c>
      <c r="H255" s="23">
        <f t="shared" si="31"/>
        <v>-0.13820518871056942</v>
      </c>
      <c r="I255" s="24">
        <f t="shared" si="31"/>
        <v>0</v>
      </c>
      <c r="J255" s="32" t="str" cm="1">
        <f t="array" ref="J255">IFERROR(_xlfn.IFS(B255="044 - BLEND TRADICION","BLEND",B255="113 - CAFÉ GOURMET","GOURMET",B255="114 - CAFÉ CONSUMO","CONSUMO",B255="112 - CAFÉ ORGANICO","GOURMET",B255="172 - CAFÉ COSECHA","ESPECIALES",B255="176 - CAFE DESCAFEINADO","GOURMET",B255="147 - CAPSULAS","CAPSULAS",B255="130 - GALLETAS CAFECITAS","DERIVADOS",B255="140 - MERENGUES","DERIVADOS",B255="100 - CAFÉ ESPECIAL","ESPECIALES",B255="141 - AREQUIPE","DERIVADOS",B255="142 - MERMELADA","DERIVADOS",B255="131 - GALLETAS AVENA","DERIVADOS",B255="160 - SOUVENIR","OTROS",B255="148 - CARAMELOS","DERIVADOS",B255="143 - CHOCOFFES","DERIVADOS",B255="162 - CONVENIOS Y DSC POS ","OTROS"),"OTROS")</f>
        <v>OTROS</v>
      </c>
      <c r="K255" s="6"/>
      <c r="L255" s="27">
        <f t="shared" si="40"/>
        <v>337689485</v>
      </c>
      <c r="M255" s="27">
        <f t="shared" si="34"/>
        <v>337689485</v>
      </c>
    </row>
    <row r="256" spans="1:13" s="26" customFormat="1" ht="15.75" hidden="1" customHeight="1" outlineLevel="1">
      <c r="A256" s="67"/>
      <c r="B256" s="34" t="s">
        <v>18</v>
      </c>
      <c r="C256" s="68">
        <v>521600</v>
      </c>
      <c r="D256" s="68">
        <v>0</v>
      </c>
      <c r="E256" s="35">
        <v>0</v>
      </c>
      <c r="F256" s="35">
        <v>4301469.12</v>
      </c>
      <c r="G256" s="49">
        <f t="shared" si="35"/>
        <v>0.12126089609124056</v>
      </c>
      <c r="H256" s="23">
        <f t="shared" si="31"/>
        <v>0</v>
      </c>
      <c r="I256" s="24">
        <f t="shared" si="31"/>
        <v>0</v>
      </c>
      <c r="J256" s="32" t="str" cm="1">
        <f t="array" ref="J256">IFERROR(_xlfn.IFS(B256="044 - BLEND TRADICION","BLEND",B256="113 - CAFÉ GOURMET","GOURMET",B256="114 - CAFÉ CONSUMO","CONSUMO",B256="112 - CAFÉ ORGANICO","GOURMET",B256="172 - CAFÉ COSECHA","ESPECIALES",B256="176 - CAFE DESCAFEINADO","GOURMET",B256="147 - CAPSULAS","CAPSULAS",B256="130 - GALLETAS CAFECITAS","DERIVADOS",B256="140 - MERENGUES","DERIVADOS",B256="100 - CAFÉ ESPECIAL","ESPECIALES",B256="141 - AREQUIPE","DERIVADOS",B256="142 - MERMELADA","DERIVADOS",B256="131 - GALLETAS AVENA","DERIVADOS",B256="160 - SOUVENIR","OTROS",B256="148 - CARAMELOS","DERIVADOS",B256="143 - CHOCOFFES","DERIVADOS",B256="162 - CONVENIOS Y DSC POS ","OTROS"),"OTROS")</f>
        <v>BLEND</v>
      </c>
      <c r="L256" s="27">
        <f t="shared" si="40"/>
        <v>521600</v>
      </c>
      <c r="M256" s="27">
        <f t="shared" si="34"/>
        <v>521600</v>
      </c>
    </row>
    <row r="257" spans="1:13" s="26" customFormat="1" ht="15.75" hidden="1" customHeight="1" outlineLevel="1">
      <c r="A257" s="67"/>
      <c r="B257" s="39" t="s">
        <v>19</v>
      </c>
      <c r="C257" s="60">
        <v>18522837</v>
      </c>
      <c r="D257" s="60">
        <v>-6284991</v>
      </c>
      <c r="E257" s="36"/>
      <c r="F257" s="35">
        <v>133747007.69</v>
      </c>
      <c r="G257" s="37">
        <f t="shared" si="35"/>
        <v>0.13849159932558938</v>
      </c>
      <c r="H257" s="23">
        <f t="shared" ref="H257:I269" si="41">IFERROR(+D257/L257*100%,0)</f>
        <v>-0.25334708866894756</v>
      </c>
      <c r="I257" s="24">
        <f t="shared" si="41"/>
        <v>0</v>
      </c>
      <c r="J257" s="32" t="str" cm="1">
        <f t="array" ref="J257">IFERROR(_xlfn.IFS(B257="044 - BLEND TRADICION","BLEND",B257="113 - CAFÉ GOURMET","GOURMET",B257="114 - CAFÉ CONSUMO","CONSUMO",B257="112 - CAFÉ ORGANICO","GOURMET",B257="172 - CAFÉ COSECHA","ESPECIALES",B257="176 - CAFE DESCAFEINADO","GOURMET",B257="147 - CAPSULAS","CAPSULAS",B257="130 - GALLETAS CAFECITAS","DERIVADOS",B257="140 - MERENGUES","DERIVADOS",B257="100 - CAFÉ ESPECIAL","ESPECIALES",B257="141 - AREQUIPE","DERIVADOS",B257="142 - MERMELADA","DERIVADOS",B257="131 - GALLETAS AVENA","DERIVADOS",B257="160 - SOUVENIR","OTROS",B257="148 - CARAMELOS","DERIVADOS",B257="143 - CHOCOFFES","DERIVADOS",B257="162 - CONVENIOS Y DSC POS ","OTROS"),"OTROS")</f>
        <v>ESPECIALES</v>
      </c>
      <c r="L257" s="27">
        <f t="shared" si="40"/>
        <v>24807828</v>
      </c>
      <c r="M257" s="27">
        <f t="shared" si="34"/>
        <v>24807828</v>
      </c>
    </row>
    <row r="258" spans="1:13" s="26" customFormat="1" ht="15.75" hidden="1" customHeight="1" outlineLevel="1">
      <c r="A258" s="69"/>
      <c r="B258" s="39" t="s">
        <v>20</v>
      </c>
      <c r="C258" s="60">
        <v>19226340</v>
      </c>
      <c r="D258" s="60">
        <v>-351898</v>
      </c>
      <c r="E258" s="36">
        <v>0</v>
      </c>
      <c r="F258" s="36">
        <v>166140099.77000001</v>
      </c>
      <c r="G258" s="37">
        <f t="shared" si="35"/>
        <v>0.1157236574831509</v>
      </c>
      <c r="H258" s="23">
        <f t="shared" si="41"/>
        <v>-1.7973936163203245E-2</v>
      </c>
      <c r="I258" s="24">
        <f t="shared" si="41"/>
        <v>0</v>
      </c>
      <c r="J258" s="32" t="str" cm="1">
        <f t="array" ref="J258">IFERROR(_xlfn.IFS(B258="044 - BLEND TRADICION","BLEND",B258="113 - CAFÉ GOURMET","GOURMET",B258="114 - CAFÉ CONSUMO","CONSUMO",B258="112 - CAFÉ ORGANICO","GOURMET",B258="172 - CAFÉ COSECHA","ESPECIALES",B258="176 - CAFE DESCAFEINADO","GOURMET",B258="147 - CAPSULAS","CAPSULAS",B258="130 - GALLETAS CAFECITAS","DERIVADOS",B258="140 - MERENGUES","DERIVADOS",B258="100 - CAFÉ ESPECIAL","ESPECIALES",B258="141 - AREQUIPE","DERIVADOS",B258="142 - MERMELADA","DERIVADOS",B258="131 - GALLETAS AVENA","DERIVADOS",B258="160 - SOUVENIR","OTROS",B258="148 - CARAMELOS","DERIVADOS",B258="143 - CHOCOFFES","DERIVADOS",B258="162 - CONVENIOS Y DSC POS ","OTROS"),"OTROS")</f>
        <v>GOURMET</v>
      </c>
      <c r="L258" s="27">
        <f t="shared" si="40"/>
        <v>19578238</v>
      </c>
      <c r="M258" s="27">
        <f t="shared" si="34"/>
        <v>19578238</v>
      </c>
    </row>
    <row r="259" spans="1:13" s="26" customFormat="1" ht="15.75" hidden="1" customHeight="1" outlineLevel="1">
      <c r="A259" s="69"/>
      <c r="B259" s="39" t="s">
        <v>21</v>
      </c>
      <c r="C259" s="60">
        <v>237359082</v>
      </c>
      <c r="D259" s="60">
        <v>-9774975</v>
      </c>
      <c r="E259" s="36">
        <v>0</v>
      </c>
      <c r="F259" s="35">
        <v>2016617010.9000001</v>
      </c>
      <c r="G259" s="37">
        <f t="shared" si="35"/>
        <v>0.11770161647801856</v>
      </c>
      <c r="H259" s="23">
        <f t="shared" si="41"/>
        <v>-3.9553330361100335E-2</v>
      </c>
      <c r="I259" s="24">
        <f t="shared" si="41"/>
        <v>0</v>
      </c>
      <c r="J259" s="32" t="str" cm="1">
        <f t="array" ref="J259">IFERROR(_xlfn.IFS(B259="044 - BLEND TRADICION","BLEND",B259="113 - CAFÉ GOURMET","GOURMET",B259="114 - CAFÉ CONSUMO","CONSUMO",B259="112 - CAFÉ ORGANICO","GOURMET",B259="172 - CAFÉ COSECHA","ESPECIALES",B259="176 - CAFE DESCAFEINADO","GOURMET",B259="147 - CAPSULAS","CAPSULAS",B259="130 - GALLETAS CAFECITAS","DERIVADOS",B259="140 - MERENGUES","DERIVADOS",B259="100 - CAFÉ ESPECIAL","ESPECIALES",B259="141 - AREQUIPE","DERIVADOS",B259="142 - MERMELADA","DERIVADOS",B259="131 - GALLETAS AVENA","DERIVADOS",B259="160 - SOUVENIR","OTROS",B259="148 - CARAMELOS","DERIVADOS",B259="143 - CHOCOFFES","DERIVADOS",B259="162 - CONVENIOS Y DSC POS ","OTROS"),"OTROS")</f>
        <v>GOURMET</v>
      </c>
      <c r="L259" s="27">
        <f t="shared" si="40"/>
        <v>247134057</v>
      </c>
      <c r="M259" s="27">
        <f t="shared" si="34"/>
        <v>247134057</v>
      </c>
    </row>
    <row r="260" spans="1:13" s="26" customFormat="1" ht="15.75" hidden="1" customHeight="1" outlineLevel="1">
      <c r="A260" s="69"/>
      <c r="B260" s="39" t="s">
        <v>22</v>
      </c>
      <c r="C260" s="60">
        <v>13963655</v>
      </c>
      <c r="D260" s="60">
        <v>-2367734</v>
      </c>
      <c r="E260" s="36">
        <v>0</v>
      </c>
      <c r="F260" s="36">
        <v>61087901.090000004</v>
      </c>
      <c r="G260" s="37">
        <f t="shared" si="35"/>
        <v>0.22858298862531765</v>
      </c>
      <c r="H260" s="23">
        <f t="shared" si="41"/>
        <v>-0.14498056472722559</v>
      </c>
      <c r="I260" s="24">
        <f t="shared" si="41"/>
        <v>0</v>
      </c>
      <c r="J260" s="32" t="str" cm="1">
        <f t="array" ref="J260">IFERROR(_xlfn.IFS(B260="044 - BLEND TRADICION","BLEND",B260="113 - CAFÉ GOURMET","GOURMET",B260="114 - CAFÉ CONSUMO","CONSUMO",B260="112 - CAFÉ ORGANICO","GOURMET",B260="172 - CAFÉ COSECHA","ESPECIALES",B260="176 - CAFE DESCAFEINADO","GOURMET",B260="147 - CAPSULAS","CAPSULAS",B260="130 - GALLETAS CAFECITAS","DERIVADOS",B260="140 - MERENGUES","DERIVADOS",B260="100 - CAFÉ ESPECIAL","ESPECIALES",B260="141 - AREQUIPE","DERIVADOS",B260="142 - MERMELADA","DERIVADOS",B260="131 - GALLETAS AVENA","DERIVADOS",B260="160 - SOUVENIR","OTROS",B260="148 - CARAMELOS","DERIVADOS",B260="143 - CHOCOFFES","DERIVADOS",B260="162 - CONVENIOS Y DSC POS ","OTROS"),"OTROS")</f>
        <v>DERIVADOS</v>
      </c>
      <c r="L260" s="27">
        <f t="shared" si="40"/>
        <v>16331389</v>
      </c>
      <c r="M260" s="27">
        <f t="shared" si="34"/>
        <v>16331389</v>
      </c>
    </row>
    <row r="261" spans="1:13" s="26" customFormat="1" ht="15.75" hidden="1" customHeight="1" outlineLevel="1">
      <c r="A261" s="69"/>
      <c r="B261" s="39" t="s">
        <v>24</v>
      </c>
      <c r="C261" s="60">
        <v>1702679</v>
      </c>
      <c r="D261" s="60">
        <v>-168057</v>
      </c>
      <c r="E261" s="36"/>
      <c r="F261" s="35">
        <v>7233101.0300000003</v>
      </c>
      <c r="G261" s="37">
        <f t="shared" si="35"/>
        <v>0.23540097019770231</v>
      </c>
      <c r="H261" s="23">
        <f t="shared" si="41"/>
        <v>-8.9834696076838208E-2</v>
      </c>
      <c r="I261" s="24">
        <f t="shared" si="41"/>
        <v>0</v>
      </c>
      <c r="J261" s="32" t="str" cm="1">
        <f t="array" ref="J261">IFERROR(_xlfn.IFS(B261="044 - BLEND TRADICION","BLEND",B261="113 - CAFÉ GOURMET","GOURMET",B261="114 - CAFÉ CONSUMO","CONSUMO",B261="112 - CAFÉ ORGANICO","GOURMET",B261="172 - CAFÉ COSECHA","ESPECIALES",B261="176 - CAFE DESCAFEINADO","GOURMET",B261="147 - CAPSULAS","CAPSULAS",B261="130 - GALLETAS CAFECITAS","DERIVADOS",B261="140 - MERENGUES","DERIVADOS",B261="100 - CAFÉ ESPECIAL","ESPECIALES",B261="141 - AREQUIPE","DERIVADOS",B261="142 - MERMELADA","DERIVADOS",B261="131 - GALLETAS AVENA","DERIVADOS",B261="160 - SOUVENIR","OTROS",B261="148 - CARAMELOS","DERIVADOS",B261="143 - CHOCOFFES","DERIVADOS",B261="162 - CONVENIOS Y DSC POS ","OTROS"),"OTROS")</f>
        <v>DERIVADOS</v>
      </c>
      <c r="L261" s="27">
        <f t="shared" si="40"/>
        <v>1870736</v>
      </c>
      <c r="M261" s="27">
        <f t="shared" si="34"/>
        <v>1870736</v>
      </c>
    </row>
    <row r="262" spans="1:13" s="26" customFormat="1" ht="15.75" hidden="1" customHeight="1" outlineLevel="1">
      <c r="A262" s="69"/>
      <c r="B262" s="39" t="s">
        <v>25</v>
      </c>
      <c r="C262" s="60">
        <v>1536508</v>
      </c>
      <c r="D262" s="60">
        <v>-149012</v>
      </c>
      <c r="E262" s="36"/>
      <c r="F262" s="35">
        <v>8769038.3300000001</v>
      </c>
      <c r="G262" s="37">
        <f t="shared" si="35"/>
        <v>0.17521966972631536</v>
      </c>
      <c r="H262" s="23">
        <f t="shared" si="41"/>
        <v>-8.8407138449855233E-2</v>
      </c>
      <c r="I262" s="24">
        <f t="shared" si="41"/>
        <v>0</v>
      </c>
      <c r="J262" s="32" t="str" cm="1">
        <f t="array" ref="J262">IFERROR(_xlfn.IFS(B262="044 - BLEND TRADICION","BLEND",B262="113 - CAFÉ GOURMET","GOURMET",B262="114 - CAFÉ CONSUMO","CONSUMO",B262="112 - CAFÉ ORGANICO","GOURMET",B262="172 - CAFÉ COSECHA","ESPECIALES",B262="176 - CAFE DESCAFEINADO","GOURMET",B262="147 - CAPSULAS","CAPSULAS",B262="130 - GALLETAS CAFECITAS","DERIVADOS",B262="140 - MERENGUES","DERIVADOS",B262="100 - CAFÉ ESPECIAL","ESPECIALES",B262="141 - AREQUIPE","DERIVADOS",B262="142 - MERMELADA","DERIVADOS",B262="131 - GALLETAS AVENA","DERIVADOS",B262="160 - SOUVENIR","OTROS",B262="148 - CARAMELOS","DERIVADOS",B262="143 - CHOCOFFES","DERIVADOS",B262="162 - CONVENIOS Y DSC POS ","OTROS"),"OTROS")</f>
        <v>DERIVADOS</v>
      </c>
      <c r="L262" s="27">
        <f t="shared" si="40"/>
        <v>1685520</v>
      </c>
      <c r="M262" s="27">
        <f t="shared" si="34"/>
        <v>1685520</v>
      </c>
    </row>
    <row r="263" spans="1:13" s="26" customFormat="1" ht="15.75" hidden="1" customHeight="1" outlineLevel="1">
      <c r="A263" s="69"/>
      <c r="B263" s="39" t="s">
        <v>26</v>
      </c>
      <c r="C263" s="60">
        <v>-16892786</v>
      </c>
      <c r="D263" s="60">
        <v>-24435333</v>
      </c>
      <c r="E263" s="36">
        <v>0</v>
      </c>
      <c r="F263" s="36">
        <v>155253232.08000001</v>
      </c>
      <c r="G263" s="37">
        <f t="shared" si="35"/>
        <v>-0.10880795055716046</v>
      </c>
      <c r="H263" s="23">
        <f t="shared" si="41"/>
        <v>-3.239665990811857</v>
      </c>
      <c r="I263" s="24">
        <f t="shared" si="41"/>
        <v>0</v>
      </c>
      <c r="J263" s="32" t="str" cm="1">
        <f t="array" ref="J263">IFERROR(_xlfn.IFS(B263="044 - BLEND TRADICION","BLEND",B263="113 - CAFÉ GOURMET","GOURMET",B263="114 - CAFÉ CONSUMO","CONSUMO",B263="112 - CAFÉ ORGANICO","GOURMET",B263="172 - CAFÉ COSECHA","ESPECIALES",B263="176 - CAFE DESCAFEINADO","GOURMET",B263="147 - CAPSULAS","CAPSULAS",B263="130 - GALLETAS CAFECITAS","DERIVADOS",B263="140 - MERENGUES","DERIVADOS",B263="100 - CAFÉ ESPECIAL","ESPECIALES",B263="141 - AREQUIPE","DERIVADOS",B263="142 - MERMELADA","DERIVADOS",B263="131 - GALLETAS AVENA","DERIVADOS",B263="160 - SOUVENIR","OTROS",B263="148 - CARAMELOS","DERIVADOS",B263="143 - CHOCOFFES","DERIVADOS",B263="162 - CONVENIOS Y DSC POS ","OTROS"),"OTROS")</f>
        <v>CAPSULAS</v>
      </c>
      <c r="L263" s="27">
        <f t="shared" si="40"/>
        <v>7542547</v>
      </c>
      <c r="M263" s="27">
        <f t="shared" si="34"/>
        <v>7542547</v>
      </c>
    </row>
    <row r="264" spans="1:13" s="26" customFormat="1" ht="15.75" hidden="1" customHeight="1" outlineLevel="1">
      <c r="A264" s="69"/>
      <c r="B264" s="39" t="s">
        <v>27</v>
      </c>
      <c r="C264" s="60">
        <v>0</v>
      </c>
      <c r="D264" s="60">
        <v>0</v>
      </c>
      <c r="E264" s="36">
        <v>0</v>
      </c>
      <c r="F264" s="35">
        <v>5439026.3600000003</v>
      </c>
      <c r="G264" s="37">
        <f t="shared" si="35"/>
        <v>0</v>
      </c>
      <c r="H264" s="23">
        <f t="shared" si="41"/>
        <v>0</v>
      </c>
      <c r="I264" s="24">
        <f t="shared" si="41"/>
        <v>0</v>
      </c>
      <c r="J264" s="32" t="str" cm="1">
        <f t="array" ref="J264">IFERROR(_xlfn.IFS(B264="044 - BLEND TRADICION","BLEND",B264="113 - CAFÉ GOURMET","GOURMET",B264="114 - CAFÉ CONSUMO","CONSUMO",B264="112 - CAFÉ ORGANICO","GOURMET",B264="172 - CAFÉ COSECHA","ESPECIALES",B264="176 - CAFE DESCAFEINADO","GOURMET",B264="147 - CAPSULAS","CAPSULAS",B264="130 - GALLETAS CAFECITAS","DERIVADOS",B264="140 - MERENGUES","DERIVADOS",B264="100 - CAFÉ ESPECIAL","ESPECIALES",B264="141 - AREQUIPE","DERIVADOS",B264="142 - MERMELADA","DERIVADOS",B264="131 - GALLETAS AVENA","DERIVADOS",B264="160 - SOUVENIR","OTROS",B264="148 - CARAMELOS","DERIVADOS",B264="143 - CHOCOFFES","DERIVADOS",B264="162 - CONVENIOS Y DSC POS ","OTROS"),"OTROS")</f>
        <v>DERIVADOS</v>
      </c>
      <c r="L264" s="27">
        <f t="shared" si="40"/>
        <v>0</v>
      </c>
      <c r="M264" s="27">
        <f t="shared" si="34"/>
        <v>0</v>
      </c>
    </row>
    <row r="265" spans="1:13" s="26" customFormat="1" ht="15.75" hidden="1" customHeight="1" outlineLevel="1">
      <c r="A265" s="69"/>
      <c r="B265" s="39" t="s">
        <v>28</v>
      </c>
      <c r="C265" s="60">
        <v>5861619</v>
      </c>
      <c r="D265" s="60">
        <v>-1217631</v>
      </c>
      <c r="E265" s="36">
        <v>0</v>
      </c>
      <c r="F265" s="36">
        <v>137373469.31999999</v>
      </c>
      <c r="G265" s="37">
        <f t="shared" si="35"/>
        <v>4.26692215681461E-2</v>
      </c>
      <c r="H265" s="23">
        <f t="shared" si="41"/>
        <v>-0.17199999999999999</v>
      </c>
      <c r="I265" s="24">
        <f t="shared" si="41"/>
        <v>0</v>
      </c>
      <c r="J265" s="32" t="str" cm="1">
        <f t="array" ref="J265">IFERROR(_xlfn.IFS(B265="044 - BLEND TRADICION","BLEND",B265="113 - CAFÉ GOURMET","GOURMET",B265="114 - CAFÉ CONSUMO","CONSUMO",B265="112 - CAFÉ ORGANICO","GOURMET",B265="172 - CAFÉ COSECHA","ESPECIALES",B265="176 - CAFE DESCAFEINADO","GOURMET",B265="147 - CAPSULAS","CAPSULAS",B265="130 - GALLETAS CAFECITAS","DERIVADOS",B265="140 - MERENGUES","DERIVADOS",B265="100 - CAFÉ ESPECIAL","ESPECIALES",B265="141 - AREQUIPE","DERIVADOS",B265="142 - MERMELADA","DERIVADOS",B265="131 - GALLETAS AVENA","DERIVADOS",B265="160 - SOUVENIR","OTROS",B265="148 - CARAMELOS","DERIVADOS",B265="143 - CHOCOFFES","DERIVADOS",B265="162 - CONVENIOS Y DSC POS ","OTROS"),"OTROS")</f>
        <v>OTROS</v>
      </c>
      <c r="L265" s="27">
        <f t="shared" si="40"/>
        <v>7079250</v>
      </c>
      <c r="M265" s="27">
        <f t="shared" ref="M265:M268" si="42">L265</f>
        <v>7079250</v>
      </c>
    </row>
    <row r="266" spans="1:13" s="26" customFormat="1" ht="15.75" hidden="1" customHeight="1" outlineLevel="1">
      <c r="A266" s="69"/>
      <c r="B266" s="39" t="s">
        <v>29</v>
      </c>
      <c r="C266" s="60">
        <v>7703539</v>
      </c>
      <c r="D266" s="60">
        <v>-1887989</v>
      </c>
      <c r="E266" s="36">
        <v>0</v>
      </c>
      <c r="F266" s="36">
        <v>320749097.20999998</v>
      </c>
      <c r="G266" s="37">
        <f t="shared" si="35"/>
        <v>2.4017336500736463E-2</v>
      </c>
      <c r="H266" s="23">
        <f t="shared" si="41"/>
        <v>-0.19683923145509244</v>
      </c>
      <c r="I266" s="24">
        <f t="shared" si="41"/>
        <v>0</v>
      </c>
      <c r="J266" s="32" t="str" cm="1">
        <f t="array" ref="J266">IFERROR(_xlfn.IFS(B266="044 - BLEND TRADICION","BLEND",B266="113 - CAFÉ GOURMET","GOURMET",B266="114 - CAFÉ CONSUMO","CONSUMO",B266="112 - CAFÉ ORGANICO","GOURMET",B266="172 - CAFÉ COSECHA","ESPECIALES",B266="176 - CAFE DESCAFEINADO","GOURMET",B266="147 - CAPSULAS","CAPSULAS",B266="130 - GALLETAS CAFECITAS","DERIVADOS",B266="140 - MERENGUES","DERIVADOS",B266="100 - CAFÉ ESPECIAL","ESPECIALES",B266="141 - AREQUIPE","DERIVADOS",B266="142 - MERMELADA","DERIVADOS",B266="131 - GALLETAS AVENA","DERIVADOS",B266="160 - SOUVENIR","OTROS",B266="148 - CARAMELOS","DERIVADOS",B266="143 - CHOCOFFES","DERIVADOS",B266="162 - CONVENIOS Y DSC POS ","OTROS"),"OTROS")</f>
        <v>ESPECIALES</v>
      </c>
      <c r="L266" s="27">
        <f t="shared" si="40"/>
        <v>9591528</v>
      </c>
      <c r="M266" s="27">
        <f t="shared" si="42"/>
        <v>9591528</v>
      </c>
    </row>
    <row r="267" spans="1:13" s="26" customFormat="1" ht="15.75" hidden="1" customHeight="1" outlineLevel="1">
      <c r="A267" s="69"/>
      <c r="B267" s="39" t="s">
        <v>30</v>
      </c>
      <c r="C267" s="60">
        <v>1513973</v>
      </c>
      <c r="D267" s="60">
        <v>-32819</v>
      </c>
      <c r="E267" s="60">
        <v>0</v>
      </c>
      <c r="F267" s="36">
        <v>43409949.520000003</v>
      </c>
      <c r="G267" s="37">
        <f t="shared" si="35"/>
        <v>3.4876175087521728E-2</v>
      </c>
      <c r="H267" s="23">
        <f t="shared" si="41"/>
        <v>-2.1217461688449384E-2</v>
      </c>
      <c r="I267" s="24">
        <f t="shared" si="41"/>
        <v>0</v>
      </c>
      <c r="J267" s="32" t="str" cm="1">
        <f t="array" ref="J267">IFERROR(_xlfn.IFS(B267="044 - BLEND TRADICION","BLEND",B267="113 - CAFÉ GOURMET","GOURMET",B267="114 - CAFÉ CONSUMO","CONSUMO",B267="112 - CAFÉ ORGANICO","GOURMET",B267="172 - CAFÉ COSECHA","ESPECIALES",B267="176 - CAFE DESCAFEINADO","GOURMET",B267="147 - CAPSULAS","CAPSULAS",B267="130 - GALLETAS CAFECITAS","DERIVADOS",B267="140 - MERENGUES","DERIVADOS",B267="100 - CAFÉ ESPECIAL","ESPECIALES",B267="141 - AREQUIPE","DERIVADOS",B267="142 - MERMELADA","DERIVADOS",B267="131 - GALLETAS AVENA","DERIVADOS",B267="160 - SOUVENIR","OTROS",B267="148 - CARAMELOS","DERIVADOS",B267="143 - CHOCOFFES","DERIVADOS",B267="162 - CONVENIOS Y DSC POS ","OTROS"),"OTROS")</f>
        <v>GOURMET</v>
      </c>
      <c r="L267" s="27">
        <f t="shared" si="40"/>
        <v>1546792</v>
      </c>
      <c r="M267" s="27">
        <f t="shared" si="42"/>
        <v>1546792</v>
      </c>
    </row>
    <row r="268" spans="1:13" s="26" customFormat="1" ht="15.75" hidden="1" customHeight="1" outlineLevel="1" thickBot="1">
      <c r="A268" s="70" t="s">
        <v>66</v>
      </c>
      <c r="B268" s="56" t="s">
        <v>32</v>
      </c>
      <c r="C268" s="54">
        <f>SUM(C256:C267)</f>
        <v>291019046</v>
      </c>
      <c r="D268" s="54">
        <f>SUM(D256:D267)</f>
        <v>-46670439</v>
      </c>
      <c r="E268" s="54">
        <f>SUM(E256:E267)</f>
        <v>0</v>
      </c>
      <c r="F268" s="71">
        <f>SUM(F256:F267)</f>
        <v>3060120402.4200006</v>
      </c>
      <c r="G268" s="72">
        <f t="shared" si="35"/>
        <v>9.5100521459827753E-2</v>
      </c>
      <c r="H268" s="73">
        <f t="shared" si="41"/>
        <v>-0.13820518871056942</v>
      </c>
      <c r="I268" s="74">
        <f t="shared" si="41"/>
        <v>0</v>
      </c>
      <c r="J268" s="32"/>
      <c r="L268" s="27">
        <f t="shared" si="40"/>
        <v>337689485</v>
      </c>
      <c r="M268" s="27">
        <f t="shared" si="42"/>
        <v>337689485</v>
      </c>
    </row>
    <row r="269" spans="1:13" s="26" customFormat="1" ht="17" collapsed="1" thickBot="1">
      <c r="A269" s="181" t="s">
        <v>67</v>
      </c>
      <c r="B269" s="182"/>
      <c r="C269" s="75">
        <f>+C59+C108+C192+C208+C239+C5+C224+C255+C21</f>
        <v>993829452</v>
      </c>
      <c r="D269" s="75">
        <f>+D59+D108+D192+D208+D239+D5+D224+D255+D21</f>
        <v>-62855148</v>
      </c>
      <c r="E269" s="75">
        <f>+E59+E108+E192+E208+E239+E5+E224+E255+E21</f>
        <v>-2584562</v>
      </c>
      <c r="F269" s="75">
        <f>+F59+F108+F192+F208+F239+F5+F224+F255+F21</f>
        <v>6068096467.1400003</v>
      </c>
      <c r="G269" s="76">
        <f>IFERROR(C269/F269*100%,"-")</f>
        <v>0.1637794417708737</v>
      </c>
      <c r="H269" s="76">
        <f t="shared" si="41"/>
        <v>-5.9338221346237965E-2</v>
      </c>
      <c r="I269" s="77">
        <f t="shared" si="41"/>
        <v>-2.4399483084356988E-3</v>
      </c>
      <c r="J269" s="32"/>
      <c r="L269" s="27">
        <f t="shared" si="40"/>
        <v>1059269162</v>
      </c>
      <c r="M269" s="27">
        <f>L269</f>
        <v>1059269162</v>
      </c>
    </row>
    <row r="270" spans="1:13" s="26" customFormat="1" ht="16.5">
      <c r="A270" s="6" t="s">
        <v>68</v>
      </c>
      <c r="B270" s="6" t="s">
        <v>68</v>
      </c>
      <c r="C270" s="78"/>
      <c r="D270" s="78"/>
      <c r="E270" s="78"/>
      <c r="F270" s="79"/>
      <c r="G270" s="79"/>
      <c r="H270" s="6"/>
      <c r="I270" s="6"/>
      <c r="J270" s="32"/>
    </row>
    <row r="271" spans="1:13" s="26" customFormat="1" ht="16.5">
      <c r="A271" s="183" t="s">
        <v>69</v>
      </c>
      <c r="B271" s="184"/>
      <c r="C271" s="187"/>
      <c r="D271" s="187"/>
      <c r="E271" s="187"/>
      <c r="F271" s="188"/>
      <c r="G271" s="79"/>
      <c r="H271" s="6"/>
      <c r="I271" s="6"/>
      <c r="J271" s="32"/>
    </row>
    <row r="272" spans="1:13" s="26" customFormat="1" ht="16.5">
      <c r="A272" s="185"/>
      <c r="B272" s="186"/>
      <c r="C272" s="171"/>
      <c r="D272" s="171"/>
      <c r="E272" s="171"/>
      <c r="F272" s="172"/>
      <c r="G272" s="79"/>
      <c r="H272" s="6"/>
      <c r="I272" s="6"/>
      <c r="J272" s="32"/>
    </row>
    <row r="273" spans="1:10" s="26" customFormat="1" ht="16.5">
      <c r="A273" s="80"/>
      <c r="B273" s="12" t="s">
        <v>2</v>
      </c>
      <c r="C273" s="13" t="s">
        <v>3</v>
      </c>
      <c r="D273" s="13" t="s">
        <v>4</v>
      </c>
      <c r="E273" s="13" t="s">
        <v>6</v>
      </c>
      <c r="F273" s="15" t="s">
        <v>7</v>
      </c>
      <c r="G273" s="81" t="s">
        <v>8</v>
      </c>
      <c r="H273" s="6"/>
      <c r="I273" s="6"/>
      <c r="J273" s="32"/>
    </row>
    <row r="274" spans="1:10" s="26" customFormat="1" ht="16.5">
      <c r="A274" s="82"/>
      <c r="B274" s="83" t="s">
        <v>62</v>
      </c>
      <c r="C274" s="84">
        <v>18333</v>
      </c>
      <c r="D274" s="84">
        <v>0</v>
      </c>
      <c r="E274" s="84">
        <v>0</v>
      </c>
      <c r="F274" s="85" t="str">
        <f>IFERROR(C274/E274*100%,"-")</f>
        <v>-</v>
      </c>
      <c r="G274" s="85">
        <f t="shared" ref="G274:G295" si="43">IFERROR((D274/C274)*100%,"-")</f>
        <v>0</v>
      </c>
      <c r="H274" s="6"/>
      <c r="I274" s="6"/>
      <c r="J274" s="32"/>
    </row>
    <row r="275" spans="1:10" s="26" customFormat="1" ht="16.5">
      <c r="A275" s="82"/>
      <c r="B275" s="83" t="s">
        <v>34</v>
      </c>
      <c r="C275" s="84">
        <v>31135539</v>
      </c>
      <c r="D275" s="84">
        <v>-2726312</v>
      </c>
      <c r="E275" s="84">
        <v>54501464.539999999</v>
      </c>
      <c r="F275" s="85">
        <f t="shared" ref="F275:F295" si="44">IFERROR(C275/E275*100%,"-")</f>
        <v>0.57127894200253726</v>
      </c>
      <c r="G275" s="85">
        <f t="shared" si="43"/>
        <v>-8.7562704470926289E-2</v>
      </c>
      <c r="H275" s="6"/>
      <c r="I275" s="6"/>
      <c r="J275" s="32"/>
    </row>
    <row r="276" spans="1:10" s="26" customFormat="1" ht="16.5">
      <c r="A276" s="82"/>
      <c r="B276" s="83" t="s">
        <v>42</v>
      </c>
      <c r="C276" s="84">
        <v>436199</v>
      </c>
      <c r="D276" s="84">
        <v>0</v>
      </c>
      <c r="E276" s="84">
        <v>0</v>
      </c>
      <c r="F276" s="85" t="str">
        <f t="shared" si="44"/>
        <v>-</v>
      </c>
      <c r="G276" s="85">
        <f t="shared" si="43"/>
        <v>0</v>
      </c>
      <c r="H276" s="6"/>
      <c r="I276" s="6"/>
      <c r="J276" s="32"/>
    </row>
    <row r="277" spans="1:10" s="26" customFormat="1" ht="16.5">
      <c r="A277" s="82"/>
      <c r="B277" s="83" t="s">
        <v>18</v>
      </c>
      <c r="C277" s="84">
        <v>46023124</v>
      </c>
      <c r="D277" s="84">
        <v>0</v>
      </c>
      <c r="E277" s="84">
        <v>507299188.97000003</v>
      </c>
      <c r="F277" s="85">
        <f t="shared" si="44"/>
        <v>9.0721856057849229E-2</v>
      </c>
      <c r="G277" s="85">
        <f t="shared" si="43"/>
        <v>0</v>
      </c>
      <c r="H277" s="6"/>
      <c r="I277" s="6"/>
      <c r="J277" s="32"/>
    </row>
    <row r="278" spans="1:10" s="26" customFormat="1" ht="16.5">
      <c r="A278" s="82"/>
      <c r="B278" s="83" t="s">
        <v>36</v>
      </c>
      <c r="C278" s="84">
        <v>15646</v>
      </c>
      <c r="D278" s="84">
        <v>0</v>
      </c>
      <c r="E278" s="84">
        <v>0</v>
      </c>
      <c r="F278" s="85" t="str">
        <f t="shared" si="44"/>
        <v>-</v>
      </c>
      <c r="G278" s="85">
        <f t="shared" si="43"/>
        <v>0</v>
      </c>
      <c r="H278" s="6"/>
      <c r="I278" s="6"/>
      <c r="J278" s="32"/>
    </row>
    <row r="279" spans="1:10" s="26" customFormat="1" ht="16.5">
      <c r="A279" s="82"/>
      <c r="B279" s="83" t="s">
        <v>19</v>
      </c>
      <c r="C279" s="84">
        <v>37706821</v>
      </c>
      <c r="D279" s="84">
        <v>-6284991</v>
      </c>
      <c r="E279" s="84">
        <v>191019804.03</v>
      </c>
      <c r="F279" s="85">
        <f t="shared" si="44"/>
        <v>0.19739744363928924</v>
      </c>
      <c r="G279" s="85">
        <f t="shared" si="43"/>
        <v>-0.16668047937533637</v>
      </c>
      <c r="H279" s="6"/>
      <c r="I279" s="6"/>
      <c r="J279" s="32"/>
    </row>
    <row r="280" spans="1:10" s="26" customFormat="1" ht="16.5">
      <c r="A280" s="82"/>
      <c r="B280" s="83" t="s">
        <v>20</v>
      </c>
      <c r="C280" s="84">
        <v>34865682</v>
      </c>
      <c r="D280" s="84">
        <v>-351898</v>
      </c>
      <c r="E280" s="84">
        <v>223501100.75</v>
      </c>
      <c r="F280" s="85">
        <f t="shared" si="44"/>
        <v>0.15599780888327458</v>
      </c>
      <c r="G280" s="85">
        <f t="shared" si="43"/>
        <v>-1.0092961898751902E-2</v>
      </c>
      <c r="H280" s="6"/>
      <c r="I280" s="6"/>
      <c r="J280" s="32"/>
    </row>
    <row r="281" spans="1:10" s="26" customFormat="1" ht="16.5">
      <c r="A281" s="82"/>
      <c r="B281" s="83" t="s">
        <v>21</v>
      </c>
      <c r="C281" s="84">
        <v>623819986</v>
      </c>
      <c r="D281" s="84">
        <v>-20561730</v>
      </c>
      <c r="E281" s="84">
        <v>3601471598.6100001</v>
      </c>
      <c r="F281" s="85">
        <f t="shared" ref="F281:F290" si="45">IFERROR(C281/E281*100%,"-")</f>
        <v>0.17321252408064675</v>
      </c>
      <c r="G281" s="85">
        <f t="shared" ref="G281:G290" si="46">IFERROR((D281/C281)*100%,"-")</f>
        <v>-3.296099910463593E-2</v>
      </c>
      <c r="H281" s="6"/>
      <c r="I281" s="6"/>
      <c r="J281" s="32"/>
    </row>
    <row r="282" spans="1:10" s="26" customFormat="1" ht="16.5">
      <c r="A282" s="82"/>
      <c r="B282" s="83" t="s">
        <v>38</v>
      </c>
      <c r="C282" s="84">
        <v>22487289</v>
      </c>
      <c r="D282" s="84">
        <v>0</v>
      </c>
      <c r="E282" s="84">
        <v>53476353.159999996</v>
      </c>
      <c r="F282" s="85">
        <f t="shared" si="45"/>
        <v>0.42050902260890077</v>
      </c>
      <c r="G282" s="85">
        <f t="shared" si="46"/>
        <v>0</v>
      </c>
      <c r="H282" s="6"/>
      <c r="I282" s="6"/>
      <c r="J282" s="32"/>
    </row>
    <row r="283" spans="1:10" s="26" customFormat="1" ht="16.5">
      <c r="A283" s="82"/>
      <c r="B283" s="83" t="s">
        <v>22</v>
      </c>
      <c r="C283" s="84">
        <v>43736433</v>
      </c>
      <c r="D283" s="84">
        <v>-2367734</v>
      </c>
      <c r="E283" s="84">
        <v>217515060.65000001</v>
      </c>
      <c r="F283" s="85">
        <f t="shared" si="45"/>
        <v>0.20107312509443009</v>
      </c>
      <c r="G283" s="85">
        <f t="shared" si="46"/>
        <v>-5.413642214489691E-2</v>
      </c>
      <c r="H283" s="6"/>
      <c r="I283" s="6"/>
      <c r="J283" s="32"/>
    </row>
    <row r="284" spans="1:10" s="26" customFormat="1" ht="16.5">
      <c r="A284" s="82"/>
      <c r="B284" s="83" t="s">
        <v>23</v>
      </c>
      <c r="C284" s="84">
        <v>9129</v>
      </c>
      <c r="D284" s="84">
        <v>-343068</v>
      </c>
      <c r="E284" s="84">
        <v>2178053.21</v>
      </c>
      <c r="F284" s="85">
        <f t="shared" si="45"/>
        <v>4.1913576574192143E-3</v>
      </c>
      <c r="G284" s="85">
        <f t="shared" si="46"/>
        <v>-37.580019717384161</v>
      </c>
      <c r="H284" s="6"/>
      <c r="I284" s="6"/>
      <c r="J284" s="32"/>
    </row>
    <row r="285" spans="1:10" s="26" customFormat="1" ht="16.5">
      <c r="A285" s="82"/>
      <c r="B285" s="83" t="s">
        <v>24</v>
      </c>
      <c r="C285" s="84">
        <v>6251841</v>
      </c>
      <c r="D285" s="84">
        <v>-168057</v>
      </c>
      <c r="E285" s="84">
        <v>22254856.469999999</v>
      </c>
      <c r="F285" s="85">
        <f t="shared" si="45"/>
        <v>0.28092030197667683</v>
      </c>
      <c r="G285" s="85">
        <f t="shared" si="46"/>
        <v>-2.6881201873176237E-2</v>
      </c>
      <c r="H285" s="6"/>
      <c r="I285" s="6"/>
      <c r="J285" s="32"/>
    </row>
    <row r="286" spans="1:10" s="26" customFormat="1" ht="16.5">
      <c r="A286" s="82"/>
      <c r="B286" s="83" t="s">
        <v>25</v>
      </c>
      <c r="C286" s="84">
        <v>21587589</v>
      </c>
      <c r="D286" s="84">
        <v>-149012</v>
      </c>
      <c r="E286" s="84">
        <v>73446237.840000004</v>
      </c>
      <c r="F286" s="85">
        <f t="shared" si="45"/>
        <v>0.29392368669757857</v>
      </c>
      <c r="G286" s="85">
        <f t="shared" si="46"/>
        <v>-6.9026698627623496E-3</v>
      </c>
      <c r="H286" s="6"/>
      <c r="I286" s="6"/>
      <c r="J286" s="32"/>
    </row>
    <row r="287" spans="1:10" s="26" customFormat="1" ht="16.5">
      <c r="A287" s="82"/>
      <c r="B287" s="83" t="s">
        <v>26</v>
      </c>
      <c r="C287" s="84">
        <v>27439360</v>
      </c>
      <c r="D287" s="84">
        <v>-26255171</v>
      </c>
      <c r="E287" s="84">
        <v>283274900.44</v>
      </c>
      <c r="F287" s="85">
        <f t="shared" si="45"/>
        <v>9.6864776785304654E-2</v>
      </c>
      <c r="G287" s="85">
        <f t="shared" si="46"/>
        <v>-0.95684341763073189</v>
      </c>
      <c r="H287" s="6"/>
      <c r="I287" s="6"/>
      <c r="J287" s="32"/>
    </row>
    <row r="288" spans="1:10" s="26" customFormat="1" ht="16.5">
      <c r="A288" s="82"/>
      <c r="B288" s="83" t="s">
        <v>27</v>
      </c>
      <c r="C288" s="84">
        <v>22755402</v>
      </c>
      <c r="D288" s="84">
        <v>0</v>
      </c>
      <c r="E288" s="84">
        <v>86150297.260000005</v>
      </c>
      <c r="F288" s="85">
        <f t="shared" si="45"/>
        <v>0.26413608221599766</v>
      </c>
      <c r="G288" s="85">
        <f t="shared" si="46"/>
        <v>0</v>
      </c>
      <c r="H288" s="6"/>
      <c r="I288" s="6"/>
      <c r="J288" s="32"/>
    </row>
    <row r="289" spans="1:31" s="26" customFormat="1" ht="16.5">
      <c r="A289" s="82"/>
      <c r="B289" s="83" t="s">
        <v>28</v>
      </c>
      <c r="C289" s="84">
        <v>26610187</v>
      </c>
      <c r="D289" s="84">
        <v>-1217631</v>
      </c>
      <c r="E289" s="84">
        <v>247793209.88999999</v>
      </c>
      <c r="F289" s="85">
        <f t="shared" si="45"/>
        <v>0.10738868515328873</v>
      </c>
      <c r="G289" s="85">
        <f t="shared" si="46"/>
        <v>-4.5758077536245799E-2</v>
      </c>
      <c r="H289" s="6"/>
      <c r="I289" s="6"/>
      <c r="J289" s="32"/>
    </row>
    <row r="290" spans="1:31" s="26" customFormat="1" ht="16.5">
      <c r="A290" s="82"/>
      <c r="B290" s="83" t="s">
        <v>39</v>
      </c>
      <c r="C290" s="84">
        <v>21018</v>
      </c>
      <c r="D290" s="84">
        <v>0</v>
      </c>
      <c r="E290" s="84">
        <v>0</v>
      </c>
      <c r="F290" s="85" t="str">
        <f t="shared" si="45"/>
        <v>-</v>
      </c>
      <c r="G290" s="85">
        <f t="shared" si="46"/>
        <v>0</v>
      </c>
      <c r="H290" s="6"/>
      <c r="I290" s="6"/>
      <c r="J290" s="32"/>
    </row>
    <row r="291" spans="1:31" s="26" customFormat="1" ht="16.5">
      <c r="A291" s="82"/>
      <c r="B291" s="83" t="s">
        <v>50</v>
      </c>
      <c r="C291" s="84">
        <f>-2584562+10800000</f>
        <v>8215438</v>
      </c>
      <c r="D291" s="84">
        <v>-2584562</v>
      </c>
      <c r="E291" s="84">
        <v>0</v>
      </c>
      <c r="F291" s="85" t="str">
        <f t="shared" si="44"/>
        <v>-</v>
      </c>
      <c r="G291" s="85">
        <f t="shared" si="43"/>
        <v>-0.31459819914653364</v>
      </c>
      <c r="H291" s="6"/>
      <c r="I291" s="6"/>
      <c r="J291" s="32"/>
    </row>
    <row r="292" spans="1:31" s="26" customFormat="1" ht="16.5">
      <c r="A292" s="82"/>
      <c r="B292" s="83" t="s">
        <v>29</v>
      </c>
      <c r="C292" s="84">
        <v>29894248</v>
      </c>
      <c r="D292" s="84">
        <v>-1887989</v>
      </c>
      <c r="E292" s="84">
        <v>442463603.77999997</v>
      </c>
      <c r="F292" s="85">
        <f t="shared" si="44"/>
        <v>6.7563179761253089E-2</v>
      </c>
      <c r="G292" s="85">
        <f t="shared" si="43"/>
        <v>-6.3155594347113195E-2</v>
      </c>
      <c r="H292" s="6"/>
      <c r="I292" s="6"/>
      <c r="J292" s="32"/>
    </row>
    <row r="293" spans="1:31" s="26" customFormat="1">
      <c r="A293" s="82"/>
      <c r="B293" s="83" t="s">
        <v>30</v>
      </c>
      <c r="C293" s="84">
        <v>7402404</v>
      </c>
      <c r="D293" s="84">
        <v>-32819</v>
      </c>
      <c r="E293" s="84">
        <v>61750737.539999999</v>
      </c>
      <c r="F293" s="85">
        <f t="shared" si="44"/>
        <v>0.11987555606449199</v>
      </c>
      <c r="G293" s="85">
        <f t="shared" si="43"/>
        <v>-4.4335596922297138E-3</v>
      </c>
      <c r="H293" s="6"/>
      <c r="I293" s="6"/>
    </row>
    <row r="294" spans="1:31" s="26" customFormat="1">
      <c r="A294" s="82"/>
      <c r="B294" s="83" t="s">
        <v>92</v>
      </c>
      <c r="C294" s="84">
        <v>3845520</v>
      </c>
      <c r="D294" s="84">
        <v>0</v>
      </c>
      <c r="E294" s="84">
        <v>0</v>
      </c>
      <c r="F294" s="85" t="str">
        <f t="shared" si="44"/>
        <v>-</v>
      </c>
      <c r="G294" s="85">
        <f t="shared" si="43"/>
        <v>0</v>
      </c>
      <c r="H294" s="6"/>
      <c r="I294" s="6"/>
    </row>
    <row r="295" spans="1:31" s="26" customFormat="1" ht="16.5">
      <c r="A295" s="82"/>
      <c r="B295" s="83" t="s">
        <v>31</v>
      </c>
      <c r="C295" s="84">
        <v>-447736</v>
      </c>
      <c r="D295" s="84">
        <v>-508736</v>
      </c>
      <c r="E295" s="84">
        <v>0</v>
      </c>
      <c r="F295" s="85" t="str">
        <f t="shared" si="44"/>
        <v>-</v>
      </c>
      <c r="G295" s="85">
        <f t="shared" si="43"/>
        <v>1.1362409991602194</v>
      </c>
      <c r="H295" s="6"/>
      <c r="I295" s="6"/>
      <c r="J295" s="32"/>
    </row>
    <row r="296" spans="1:31" s="79" customFormat="1" ht="16.5">
      <c r="A296" s="82"/>
      <c r="B296" s="86" t="s">
        <v>32</v>
      </c>
      <c r="C296" s="87">
        <f>SUM(C274:C295)</f>
        <v>993829452</v>
      </c>
      <c r="D296" s="87">
        <f>SUM(D274:D295)</f>
        <v>-65439710</v>
      </c>
      <c r="E296" s="87">
        <f>SUM(E274:E295)</f>
        <v>6068096467.1399994</v>
      </c>
      <c r="F296" s="88">
        <f>C296/E296*100%</f>
        <v>0.1637794417708737</v>
      </c>
      <c r="G296" s="88">
        <v>2.1700000000000001E-2</v>
      </c>
      <c r="H296" s="6"/>
      <c r="I296" s="27"/>
      <c r="J296" s="32"/>
      <c r="K296" s="26"/>
      <c r="L296" s="26"/>
      <c r="M296" s="26"/>
      <c r="O296" s="26"/>
      <c r="P296" s="26"/>
      <c r="R296" s="26"/>
      <c r="S296" s="26"/>
      <c r="U296" s="26"/>
      <c r="V296" s="26"/>
      <c r="X296" s="26"/>
      <c r="Y296" s="26"/>
      <c r="Z296" s="26"/>
      <c r="AA296" s="26"/>
      <c r="AB296" s="26"/>
      <c r="AC296" s="26"/>
      <c r="AD296" s="26"/>
      <c r="AE296" s="26"/>
    </row>
    <row r="297" spans="1:31" s="79" customFormat="1">
      <c r="A297" s="89"/>
      <c r="B297" s="90"/>
      <c r="C297" s="91"/>
      <c r="D297" s="91"/>
      <c r="E297" s="91"/>
      <c r="F297" s="92"/>
      <c r="H297" s="6"/>
      <c r="I297" s="6"/>
      <c r="J297" s="83" t="s">
        <v>50</v>
      </c>
      <c r="K297" s="26"/>
      <c r="L297" s="93"/>
      <c r="M297" s="26"/>
      <c r="O297" s="26"/>
      <c r="P297" s="26"/>
      <c r="R297" s="26"/>
      <c r="S297" s="26"/>
      <c r="X297" s="26"/>
      <c r="Y297" s="26"/>
      <c r="Z297" s="26"/>
      <c r="AA297" s="26"/>
      <c r="AB297" s="26"/>
      <c r="AD297" s="26"/>
      <c r="AE297" s="26"/>
    </row>
    <row r="298" spans="1:31" s="79" customFormat="1" ht="16.5">
      <c r="A298" s="165">
        <f>+A1</f>
        <v>46240</v>
      </c>
      <c r="B298" s="166"/>
      <c r="C298" s="169"/>
      <c r="D298" s="169"/>
      <c r="E298" s="169"/>
      <c r="F298" s="170"/>
      <c r="H298" s="6"/>
      <c r="I298" s="6"/>
      <c r="J298" s="32"/>
      <c r="K298" s="26"/>
      <c r="L298" s="27"/>
      <c r="M298" s="26"/>
      <c r="O298" s="26"/>
      <c r="P298" s="26"/>
      <c r="R298" s="26"/>
      <c r="S298" s="26"/>
      <c r="X298" s="26"/>
      <c r="Y298" s="26"/>
      <c r="Z298" s="26"/>
      <c r="AA298" s="26"/>
      <c r="AB298" s="26"/>
      <c r="AD298" s="26"/>
      <c r="AE298" s="26"/>
    </row>
    <row r="299" spans="1:31" s="78" customFormat="1">
      <c r="A299" s="167"/>
      <c r="B299" s="168"/>
      <c r="C299" s="171"/>
      <c r="D299" s="171"/>
      <c r="E299" s="171"/>
      <c r="F299" s="172"/>
      <c r="G299" s="94">
        <f>+H2</f>
        <v>0.19047619047619047</v>
      </c>
      <c r="H299" s="6"/>
      <c r="I299" s="6"/>
      <c r="J299" s="27"/>
      <c r="K299" s="26"/>
      <c r="L299" s="26"/>
      <c r="M299" s="26"/>
      <c r="O299" s="26"/>
      <c r="P299" s="26"/>
      <c r="R299" s="26"/>
      <c r="S299" s="26"/>
      <c r="U299" s="79"/>
      <c r="V299" s="79"/>
      <c r="X299" s="26"/>
      <c r="Y299" s="26"/>
      <c r="Z299" s="26"/>
      <c r="AA299" s="26"/>
      <c r="AB299" s="26"/>
      <c r="AC299" s="79"/>
      <c r="AD299" s="26"/>
      <c r="AE299" s="26"/>
    </row>
    <row r="300" spans="1:31">
      <c r="A300" s="95" t="s">
        <v>1</v>
      </c>
      <c r="B300" s="12" t="s">
        <v>2</v>
      </c>
      <c r="C300" s="13" t="s">
        <v>3</v>
      </c>
      <c r="D300" s="13" t="s">
        <v>4</v>
      </c>
      <c r="E300" s="13" t="s">
        <v>6</v>
      </c>
      <c r="F300" s="15" t="s">
        <v>7</v>
      </c>
      <c r="G300" s="81" t="s">
        <v>8</v>
      </c>
      <c r="O300" s="26"/>
      <c r="P300" s="26"/>
      <c r="R300" s="26"/>
      <c r="S300" s="26"/>
      <c r="U300" s="78"/>
      <c r="V300" s="78"/>
      <c r="X300" s="26"/>
      <c r="Y300" s="26"/>
      <c r="Z300" s="79"/>
      <c r="AA300" s="26"/>
      <c r="AB300" s="26"/>
      <c r="AC300" s="78"/>
      <c r="AD300" s="79"/>
      <c r="AE300" s="79"/>
    </row>
    <row r="301" spans="1:31">
      <c r="A301" s="173" t="s">
        <v>69</v>
      </c>
      <c r="B301" s="174"/>
      <c r="C301" s="96">
        <f>+C5+C59+C108+C192+C208+C224+C239+C255+C21</f>
        <v>993829452</v>
      </c>
      <c r="D301" s="96">
        <f>+D5+D59+D108+D192+D208+D224+D239+D255+D21</f>
        <v>-62855148</v>
      </c>
      <c r="E301" s="97">
        <f>+F59+F108+F192+F208+F5+F239+F224+F255+F21</f>
        <v>6068096467.1400003</v>
      </c>
      <c r="F301" s="31">
        <f>C301/E301*100%</f>
        <v>0.1637794417708737</v>
      </c>
      <c r="G301" s="31">
        <f>D301/C301*100%</f>
        <v>-6.324540681855341E-2</v>
      </c>
      <c r="L301" s="98"/>
      <c r="M301" s="98"/>
      <c r="O301" s="26"/>
      <c r="P301" s="26"/>
      <c r="R301" s="26"/>
      <c r="S301" s="26"/>
      <c r="X301" s="79"/>
      <c r="Y301" s="79"/>
      <c r="Z301" s="79"/>
      <c r="AA301" s="26"/>
      <c r="AB301" s="26"/>
      <c r="AD301" s="79"/>
      <c r="AE301" s="79"/>
    </row>
    <row r="302" spans="1:31" s="26" customFormat="1">
      <c r="A302" s="99"/>
      <c r="B302" s="6"/>
      <c r="C302" s="78"/>
      <c r="D302" s="6"/>
      <c r="E302" s="6"/>
      <c r="F302" s="6"/>
      <c r="G302" s="6"/>
      <c r="H302" s="6"/>
      <c r="I302" s="6"/>
      <c r="J302" s="6"/>
      <c r="L302" s="98"/>
      <c r="M302" s="98"/>
      <c r="U302" s="6"/>
      <c r="V302" s="6"/>
      <c r="X302" s="79"/>
      <c r="Y302" s="79"/>
      <c r="Z302" s="79"/>
      <c r="AC302" s="6"/>
      <c r="AD302" s="79"/>
      <c r="AE302" s="79"/>
    </row>
    <row r="303" spans="1:31">
      <c r="J303" s="78"/>
      <c r="O303" s="26"/>
      <c r="P303" s="26"/>
      <c r="R303" s="26"/>
      <c r="S303" s="26"/>
      <c r="X303" s="26"/>
      <c r="Y303" s="26"/>
      <c r="Z303" s="26"/>
      <c r="AA303" s="26"/>
      <c r="AB303" s="26"/>
      <c r="AD303" s="26"/>
      <c r="AE303" s="26"/>
    </row>
    <row r="304" spans="1:31">
      <c r="O304" s="26"/>
      <c r="P304" s="26"/>
      <c r="R304" s="26"/>
      <c r="S304" s="26"/>
      <c r="X304" s="26"/>
      <c r="Y304" s="26"/>
      <c r="Z304" s="26"/>
      <c r="AA304" s="26"/>
      <c r="AB304" s="26"/>
      <c r="AD304" s="26"/>
      <c r="AE304" s="26"/>
    </row>
    <row r="305" spans="15:31">
      <c r="O305" s="26"/>
      <c r="P305" s="26"/>
      <c r="R305" s="26"/>
      <c r="S305" s="26"/>
      <c r="X305" s="26"/>
      <c r="Y305" s="26"/>
      <c r="Z305" s="26"/>
      <c r="AA305" s="26"/>
      <c r="AB305" s="26"/>
      <c r="AD305" s="26"/>
      <c r="AE305" s="26"/>
    </row>
    <row r="306" spans="15:31">
      <c r="O306" s="26"/>
      <c r="P306" s="26"/>
      <c r="R306" s="26"/>
      <c r="S306" s="26"/>
      <c r="X306" s="26"/>
      <c r="Y306" s="26"/>
      <c r="AA306" s="26"/>
      <c r="AB306" s="26"/>
    </row>
    <row r="307" spans="15:31">
      <c r="O307" s="26"/>
      <c r="P307" s="26"/>
      <c r="R307" s="26"/>
      <c r="S307" s="26"/>
      <c r="AA307" s="26"/>
      <c r="AB307" s="26"/>
    </row>
    <row r="308" spans="15:31">
      <c r="O308" s="26"/>
      <c r="P308" s="26"/>
      <c r="R308" s="26"/>
      <c r="S308" s="26"/>
      <c r="AA308" s="26"/>
      <c r="AB308" s="26"/>
    </row>
  </sheetData>
  <mergeCells count="10">
    <mergeCell ref="A298:B299"/>
    <mergeCell ref="C298:F298"/>
    <mergeCell ref="C299:F299"/>
    <mergeCell ref="A301:B301"/>
    <mergeCell ref="A1:B2"/>
    <mergeCell ref="C2:G2"/>
    <mergeCell ref="A269:B269"/>
    <mergeCell ref="A271:B272"/>
    <mergeCell ref="C271:F271"/>
    <mergeCell ref="C272:F272"/>
  </mergeCells>
  <conditionalFormatting sqref="F274:F295">
    <cfRule type="top10" dxfId="13" priority="1" bottom="1" rank="3"/>
    <cfRule type="top10" dxfId="12" priority="2" rank="3"/>
  </conditionalFormatting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F962D-1904-4474-9E43-6FB580FE35B6}">
  <dimension ref="A1:AE311"/>
  <sheetViews>
    <sheetView showGridLines="0" zoomScale="70" zoomScaleNormal="70" zoomScaleSheetLayoutView="70" workbookViewId="0">
      <selection activeCell="M285" sqref="M285"/>
    </sheetView>
  </sheetViews>
  <sheetFormatPr baseColWidth="10" defaultColWidth="11.453125" defaultRowHeight="15.5" outlineLevelRow="2"/>
  <cols>
    <col min="1" max="1" width="36.7265625" style="6" customWidth="1"/>
    <col min="2" max="2" width="30.7265625" style="6" customWidth="1"/>
    <col min="3" max="3" width="18.81640625" style="78" bestFit="1" customWidth="1"/>
    <col min="4" max="4" width="18" style="78" customWidth="1"/>
    <col min="5" max="5" width="28.7265625" style="78" customWidth="1"/>
    <col min="6" max="6" width="22.26953125" style="79" bestFit="1" customWidth="1"/>
    <col min="7" max="7" width="18.7265625" style="79" bestFit="1" customWidth="1"/>
    <col min="8" max="8" width="11.81640625" style="6" customWidth="1"/>
    <col min="9" max="9" width="13.1796875" style="6" bestFit="1" customWidth="1"/>
    <col min="10" max="10" width="13.81640625" style="6" customWidth="1"/>
    <col min="11" max="11" width="3.26953125" style="26" customWidth="1"/>
    <col min="12" max="12" width="19.54296875" style="26" customWidth="1"/>
    <col min="13" max="13" width="18.81640625" style="26" customWidth="1"/>
    <col min="14" max="14" width="11.453125" style="6"/>
    <col min="15" max="15" width="21.7265625" style="6" bestFit="1" customWidth="1"/>
    <col min="16" max="16" width="13" style="6" bestFit="1" customWidth="1"/>
    <col min="17" max="17" width="11.453125" style="6"/>
    <col min="18" max="18" width="21.7265625" style="6" bestFit="1" customWidth="1"/>
    <col min="19" max="19" width="13" style="6" bestFit="1" customWidth="1"/>
    <col min="20" max="20" width="11.453125" style="6"/>
    <col min="21" max="21" width="22.26953125" style="6" bestFit="1" customWidth="1"/>
    <col min="22" max="22" width="13.54296875" style="6" bestFit="1" customWidth="1"/>
    <col min="23" max="23" width="11.453125" style="6"/>
    <col min="24" max="24" width="22.26953125" style="6" bestFit="1" customWidth="1"/>
    <col min="25" max="25" width="14.26953125" style="6" bestFit="1" customWidth="1"/>
    <col min="26" max="26" width="11.453125" style="6"/>
    <col min="27" max="27" width="22.26953125" style="6" bestFit="1" customWidth="1"/>
    <col min="28" max="28" width="13" style="6" bestFit="1" customWidth="1"/>
    <col min="29" max="29" width="11.453125" style="6"/>
    <col min="30" max="30" width="26.54296875" style="6" bestFit="1" customWidth="1"/>
    <col min="31" max="31" width="14.26953125" style="6" bestFit="1" customWidth="1"/>
    <col min="32" max="16384" width="11.453125" style="6"/>
  </cols>
  <sheetData>
    <row r="1" spans="1:13">
      <c r="A1" s="175">
        <v>46243</v>
      </c>
      <c r="B1" s="176"/>
      <c r="C1" s="1"/>
      <c r="D1" s="1"/>
      <c r="E1" s="1"/>
      <c r="F1" s="2"/>
      <c r="G1" s="2"/>
      <c r="H1" s="3"/>
      <c r="I1" s="4" t="s">
        <v>0</v>
      </c>
      <c r="J1" s="5"/>
      <c r="K1" s="6"/>
      <c r="L1" s="6"/>
      <c r="M1" s="6"/>
    </row>
    <row r="2" spans="1:13">
      <c r="A2" s="177"/>
      <c r="B2" s="178"/>
      <c r="C2" s="179"/>
      <c r="D2" s="179"/>
      <c r="E2" s="179"/>
      <c r="F2" s="179"/>
      <c r="G2" s="180"/>
      <c r="H2" s="7">
        <f>+M2/100</f>
        <v>0.19047619047619047</v>
      </c>
      <c r="I2" s="8">
        <v>4</v>
      </c>
      <c r="J2" s="9"/>
      <c r="K2" s="6"/>
      <c r="L2" s="10">
        <f>100/21</f>
        <v>4.7619047619047619</v>
      </c>
      <c r="M2" s="10">
        <f>L2*I2</f>
        <v>19.047619047619047</v>
      </c>
    </row>
    <row r="3" spans="1:13" ht="31">
      <c r="A3" s="11" t="s">
        <v>1</v>
      </c>
      <c r="B3" s="12" t="s">
        <v>2</v>
      </c>
      <c r="C3" s="13" t="s">
        <v>3</v>
      </c>
      <c r="D3" s="13" t="s">
        <v>4</v>
      </c>
      <c r="E3" s="14" t="s">
        <v>5</v>
      </c>
      <c r="F3" s="13" t="s">
        <v>6</v>
      </c>
      <c r="G3" s="15" t="s">
        <v>7</v>
      </c>
      <c r="H3" s="16" t="s">
        <v>8</v>
      </c>
      <c r="I3" s="17" t="s">
        <v>9</v>
      </c>
      <c r="J3" s="18" t="s">
        <v>10</v>
      </c>
      <c r="K3" s="6"/>
      <c r="L3" s="6"/>
      <c r="M3" s="6"/>
    </row>
    <row r="4" spans="1:13" ht="18.75" hidden="1" customHeight="1" outlineLevel="1">
      <c r="A4" s="19" t="s">
        <v>11</v>
      </c>
      <c r="B4" s="20" t="s">
        <v>12</v>
      </c>
      <c r="C4" s="21" t="s">
        <v>13</v>
      </c>
      <c r="D4" s="21" t="s">
        <v>14</v>
      </c>
      <c r="E4" s="14" t="s">
        <v>5</v>
      </c>
      <c r="F4" s="21" t="s">
        <v>6</v>
      </c>
      <c r="G4" s="22" t="s">
        <v>15</v>
      </c>
      <c r="H4" s="23">
        <f t="shared" ref="H4:I19" si="0">IFERROR(+D4/L4*100%,0)</f>
        <v>0</v>
      </c>
      <c r="I4" s="24">
        <f t="shared" si="0"/>
        <v>0</v>
      </c>
      <c r="J4" s="25"/>
      <c r="L4" s="27"/>
      <c r="M4" s="27"/>
    </row>
    <row r="5" spans="1:13" ht="16.5" collapsed="1">
      <c r="A5" s="28" t="s">
        <v>16</v>
      </c>
      <c r="B5" s="29" t="s">
        <v>17</v>
      </c>
      <c r="C5" s="30">
        <f>+C20</f>
        <v>20422526</v>
      </c>
      <c r="D5" s="30">
        <f>+D20</f>
        <v>-508736</v>
      </c>
      <c r="E5" s="30">
        <f>+E20</f>
        <v>0</v>
      </c>
      <c r="F5" s="30">
        <f>+F20</f>
        <v>132391087.09</v>
      </c>
      <c r="G5" s="31">
        <f t="shared" ref="G5" si="1">IFERROR(C5/F5*100%,"-")</f>
        <v>0.154259070220616</v>
      </c>
      <c r="H5" s="23">
        <f t="shared" si="0"/>
        <v>-2.4305080123692493E-2</v>
      </c>
      <c r="I5" s="24">
        <f t="shared" si="0"/>
        <v>0</v>
      </c>
      <c r="J5" s="32"/>
      <c r="L5" s="27">
        <f t="shared" ref="L5:L70" si="2">C5-(D5+E5)</f>
        <v>20931262</v>
      </c>
      <c r="M5" s="27">
        <f t="shared" ref="M5:M70" si="3">L5</f>
        <v>20931262</v>
      </c>
    </row>
    <row r="6" spans="1:13" ht="16.5" hidden="1" outlineLevel="1">
      <c r="A6" s="33"/>
      <c r="B6" s="34" t="s">
        <v>18</v>
      </c>
      <c r="C6" s="35">
        <v>0</v>
      </c>
      <c r="D6" s="36">
        <v>0</v>
      </c>
      <c r="E6" s="36">
        <v>0</v>
      </c>
      <c r="F6" s="35">
        <v>2190251</v>
      </c>
      <c r="G6" s="37">
        <f>IFERROR(C6/F6*100%,"-")</f>
        <v>0</v>
      </c>
      <c r="H6" s="23">
        <f t="shared" si="0"/>
        <v>0</v>
      </c>
      <c r="I6" s="24">
        <f t="shared" si="0"/>
        <v>0</v>
      </c>
      <c r="J6" s="32" t="str" cm="1">
        <f t="array" ref="J6">IFERROR(_xlfn.IFS(B6="044 - BLEND TRADICION","BLEND",B6="113 - CAFÉ GOURMET","GOURMET",B6="114 - CAFÉ CONSUMO","CONSUMO",B6="112 - CAFÉ ORGANICO","GOURMET",B6="172 - CAFÉ COSECHA","ESPECIALES",B6="176 - CAFE DESCAFEINADO","GOURMET",B6="147 - CAPSULAS","CAPSULAS",B6="130 - GALLETAS CAFECITAS","DERIVADOS",B6="140 - MERENGUES","DERIVADOS",B6="100 - CAFÉ ESPECIAL","ESPECIALES",B6="141 - AREQUIPE","DERIVADOS",B6="142 - MERMELADA","DERIVADOS",B6="131 - GALLETAS AVENA","DERIVADOS",B6="160 - SOUVENIR","OTROS",B6="148 - CARAMELOS","DERIVADOS",B6="143 - CHOCOFFES","DERIVADOS",B6="162 - CONVENIOS Y DSC POS ","OTROS"),"OTROS")</f>
        <v>BLEND</v>
      </c>
      <c r="L6" s="27">
        <f t="shared" si="2"/>
        <v>0</v>
      </c>
      <c r="M6" s="27">
        <f t="shared" si="3"/>
        <v>0</v>
      </c>
    </row>
    <row r="7" spans="1:13" ht="16.5" hidden="1" outlineLevel="1">
      <c r="A7" s="33"/>
      <c r="B7" s="34" t="s">
        <v>19</v>
      </c>
      <c r="C7" s="35">
        <v>0</v>
      </c>
      <c r="D7" s="36">
        <v>0</v>
      </c>
      <c r="E7" s="36"/>
      <c r="F7" s="35">
        <v>3013430.38</v>
      </c>
      <c r="G7" s="37">
        <f t="shared" ref="G7:G18" si="4">IFERROR(C7/F7*100%,"-")</f>
        <v>0</v>
      </c>
      <c r="H7" s="23">
        <f t="shared" si="0"/>
        <v>0</v>
      </c>
      <c r="I7" s="24">
        <f t="shared" si="0"/>
        <v>0</v>
      </c>
      <c r="J7" s="32" t="str" cm="1">
        <f t="array" ref="J7">IFERROR(_xlfn.IFS(B7="044 - BLEND TRADICION","BLEND",B7="113 - CAFÉ GOURMET","GOURMET",B7="114 - CAFÉ CONSUMO","CONSUMO",B7="112 - CAFÉ ORGANICO","GOURMET",B7="172 - CAFÉ COSECHA","ESPECIALES",B7="176 - CAFE DESCAFEINADO","GOURMET",B7="147 - CAPSULAS","CAPSULAS",B7="130 - GALLETAS CAFECITAS","DERIVADOS",B7="140 - MERENGUES","DERIVADOS",B7="100 - CAFÉ ESPECIAL","ESPECIALES",B7="141 - AREQUIPE","DERIVADOS",B7="142 - MERMELADA","DERIVADOS",B7="131 - GALLETAS AVENA","DERIVADOS",B7="160 - SOUVENIR","OTROS",B7="148 - CARAMELOS","DERIVADOS",B7="143 - CHOCOFFES","DERIVADOS",B7="162 - CONVENIOS Y DSC POS ","OTROS"),"OTROS")</f>
        <v>ESPECIALES</v>
      </c>
      <c r="L7" s="27">
        <f t="shared" si="2"/>
        <v>0</v>
      </c>
      <c r="M7" s="27">
        <f t="shared" si="3"/>
        <v>0</v>
      </c>
    </row>
    <row r="8" spans="1:13" ht="16.5" hidden="1" outlineLevel="1">
      <c r="A8" s="38"/>
      <c r="B8" s="39" t="s">
        <v>20</v>
      </c>
      <c r="C8" s="36">
        <v>68459</v>
      </c>
      <c r="D8" s="36">
        <v>0</v>
      </c>
      <c r="E8" s="36">
        <v>0</v>
      </c>
      <c r="F8" s="36">
        <v>2838463.33</v>
      </c>
      <c r="G8" s="37">
        <f t="shared" si="4"/>
        <v>2.4118331660814514E-2</v>
      </c>
      <c r="H8" s="23">
        <f t="shared" si="0"/>
        <v>0</v>
      </c>
      <c r="I8" s="24">
        <f t="shared" si="0"/>
        <v>0</v>
      </c>
      <c r="J8" s="32" t="str" cm="1">
        <f t="array" ref="J8">IFERROR(_xlfn.IFS(B8="044 - BLEND TRADICION","BLEND",B8="113 - CAFÉ GOURMET","GOURMET",B8="114 - CAFÉ CONSUMO","CONSUMO",B8="112 - CAFÉ ORGANICO","GOURMET",B8="172 - CAFÉ COSECHA","ESPECIALES",B8="176 - CAFE DESCAFEINADO","GOURMET",B8="147 - CAPSULAS","CAPSULAS",B8="130 - GALLETAS CAFECITAS","DERIVADOS",B8="140 - MERENGUES","DERIVADOS",B8="100 - CAFÉ ESPECIAL","ESPECIALES",B8="141 - AREQUIPE","DERIVADOS",B8="142 - MERMELADA","DERIVADOS",B8="131 - GALLETAS AVENA","DERIVADOS",B8="160 - SOUVENIR","OTROS",B8="148 - CARAMELOS","DERIVADOS",B8="143 - CHOCOFFES","DERIVADOS",B8="162 - CONVENIOS Y DSC POS ","OTROS"),"OTROS")</f>
        <v>GOURMET</v>
      </c>
      <c r="L8" s="27">
        <f t="shared" si="2"/>
        <v>68459</v>
      </c>
      <c r="M8" s="27">
        <f t="shared" si="3"/>
        <v>68459</v>
      </c>
    </row>
    <row r="9" spans="1:13" ht="16.5" hidden="1" outlineLevel="1">
      <c r="A9" s="38"/>
      <c r="B9" s="39" t="s">
        <v>21</v>
      </c>
      <c r="C9" s="36">
        <v>19662551</v>
      </c>
      <c r="D9" s="36">
        <v>0</v>
      </c>
      <c r="E9" s="36">
        <v>0</v>
      </c>
      <c r="F9" s="36">
        <v>87912157.530000001</v>
      </c>
      <c r="G9" s="37">
        <f t="shared" si="4"/>
        <v>0.22366134050674571</v>
      </c>
      <c r="H9" s="23">
        <f t="shared" si="0"/>
        <v>0</v>
      </c>
      <c r="I9" s="24">
        <f t="shared" si="0"/>
        <v>0</v>
      </c>
      <c r="J9" s="32" t="str" cm="1">
        <f t="array" ref="J9">IFERROR(_xlfn.IFS(B9="044 - BLEND TRADICION","BLEND",B9="113 - CAFÉ GOURMET","GOURMET",B9="114 - CAFÉ CONSUMO","CONSUMO",B9="112 - CAFÉ ORGANICO","GOURMET",B9="172 - CAFÉ COSECHA","ESPECIALES",B9="176 - CAFE DESCAFEINADO","GOURMET",B9="147 - CAPSULAS","CAPSULAS",B9="130 - GALLETAS CAFECITAS","DERIVADOS",B9="140 - MERENGUES","DERIVADOS",B9="100 - CAFÉ ESPECIAL","ESPECIALES",B9="141 - AREQUIPE","DERIVADOS",B9="142 - MERMELADA","DERIVADOS",B9="131 - GALLETAS AVENA","DERIVADOS",B9="160 - SOUVENIR","OTROS",B9="148 - CARAMELOS","DERIVADOS",B9="143 - CHOCOFFES","DERIVADOS",B9="162 - CONVENIOS Y DSC POS ","OTROS"),"OTROS")</f>
        <v>GOURMET</v>
      </c>
      <c r="L9" s="27">
        <f t="shared" si="2"/>
        <v>19662551</v>
      </c>
      <c r="M9" s="27">
        <f t="shared" si="3"/>
        <v>19662551</v>
      </c>
    </row>
    <row r="10" spans="1:13" ht="16.5" hidden="1" outlineLevel="1">
      <c r="A10" s="38"/>
      <c r="B10" s="39" t="s">
        <v>22</v>
      </c>
      <c r="C10" s="36">
        <v>250456</v>
      </c>
      <c r="D10" s="36">
        <v>0</v>
      </c>
      <c r="E10" s="36">
        <v>0</v>
      </c>
      <c r="F10" s="36">
        <v>4458765.92</v>
      </c>
      <c r="G10" s="37">
        <f t="shared" si="4"/>
        <v>5.6171596467212613E-2</v>
      </c>
      <c r="H10" s="23">
        <f t="shared" si="0"/>
        <v>0</v>
      </c>
      <c r="I10" s="24">
        <f t="shared" si="0"/>
        <v>0</v>
      </c>
      <c r="J10" s="32" t="str" cm="1">
        <f t="array" ref="J10">IFERROR(_xlfn.IFS(B10="044 - BLEND TRADICION","BLEND",B10="113 - CAFÉ GOURMET","GOURMET",B10="114 - CAFÉ CONSUMO","CONSUMO",B10="112 - CAFÉ ORGANICO","GOURMET",B10="172 - CAFÉ COSECHA","ESPECIALES",B10="176 - CAFE DESCAFEINADO","GOURMET",B10="147 - CAPSULAS","CAPSULAS",B10="130 - GALLETAS CAFECITAS","DERIVADOS",B10="140 - MERENGUES","DERIVADOS",B10="100 - CAFÉ ESPECIAL","ESPECIALES",B10="141 - AREQUIPE","DERIVADOS",B10="142 - MERMELADA","DERIVADOS",B10="131 - GALLETAS AVENA","DERIVADOS",B10="160 - SOUVENIR","OTROS",B10="148 - CARAMELOS","DERIVADOS",B10="143 - CHOCOFFES","DERIVADOS",B10="162 - CONVENIOS Y DSC POS ","OTROS"),"OTROS")</f>
        <v>DERIVADOS</v>
      </c>
      <c r="L10" s="27">
        <f t="shared" si="2"/>
        <v>250456</v>
      </c>
      <c r="M10" s="27">
        <f t="shared" si="3"/>
        <v>250456</v>
      </c>
    </row>
    <row r="11" spans="1:13" ht="16.5" hidden="1" outlineLevel="1">
      <c r="A11" s="38"/>
      <c r="B11" s="39" t="s">
        <v>23</v>
      </c>
      <c r="C11" s="36">
        <v>63836</v>
      </c>
      <c r="D11" s="36">
        <v>0</v>
      </c>
      <c r="E11" s="36">
        <v>0</v>
      </c>
      <c r="F11" s="36">
        <v>347556.62</v>
      </c>
      <c r="G11" s="37">
        <f t="shared" si="4"/>
        <v>0.18367079297755859</v>
      </c>
      <c r="H11" s="23">
        <f t="shared" si="0"/>
        <v>0</v>
      </c>
      <c r="I11" s="24">
        <f t="shared" si="0"/>
        <v>0</v>
      </c>
      <c r="J11" s="32" t="str" cm="1">
        <f t="array" ref="J11">IFERROR(_xlfn.IFS(B11="044 - BLEND TRADICION","BLEND",B11="113 - CAFÉ GOURMET","GOURMET",B11="114 - CAFÉ CONSUMO","CONSUMO",B11="112 - CAFÉ ORGANICO","GOURMET",B11="172 - CAFÉ COSECHA","ESPECIALES",B11="176 - CAFE DESCAFEINADO","GOURMET",B11="147 - CAPSULAS","CAPSULAS",B11="130 - GALLETAS CAFECITAS","DERIVADOS",B11="140 - MERENGUES","DERIVADOS",B11="100 - CAFÉ ESPECIAL","ESPECIALES",B11="141 - AREQUIPE","DERIVADOS",B11="142 - MERMELADA","DERIVADOS",B11="131 - GALLETAS AVENA","DERIVADOS",B11="160 - SOUVENIR","OTROS",B11="148 - CARAMELOS","DERIVADOS",B11="143 - CHOCOFFES","DERIVADOS",B11="162 - CONVENIOS Y DSC POS ","OTROS"),"OTROS")</f>
        <v>DERIVADOS</v>
      </c>
      <c r="L11" s="27">
        <f t="shared" si="2"/>
        <v>63836</v>
      </c>
      <c r="M11" s="27">
        <f t="shared" si="3"/>
        <v>63836</v>
      </c>
    </row>
    <row r="12" spans="1:13" ht="16.5" hidden="1" outlineLevel="1">
      <c r="A12" s="38"/>
      <c r="B12" s="39" t="s">
        <v>24</v>
      </c>
      <c r="C12" s="36">
        <v>48741</v>
      </c>
      <c r="D12" s="36">
        <v>0</v>
      </c>
      <c r="E12" s="36"/>
      <c r="F12" s="36">
        <v>1108552.25</v>
      </c>
      <c r="G12" s="37">
        <f t="shared" si="4"/>
        <v>4.3968157567674415E-2</v>
      </c>
      <c r="H12" s="23">
        <f t="shared" si="0"/>
        <v>0</v>
      </c>
      <c r="I12" s="24">
        <f t="shared" si="0"/>
        <v>0</v>
      </c>
      <c r="J12" s="32" t="str" cm="1">
        <f t="array" ref="J12">IFERROR(_xlfn.IFS(B12="044 - BLEND TRADICION","BLEND",B12="113 - CAFÉ GOURMET","GOURMET",B12="114 - CAFÉ CONSUMO","CONSUMO",B12="112 - CAFÉ ORGANICO","GOURMET",B12="172 - CAFÉ COSECHA","ESPECIALES",B12="176 - CAFE DESCAFEINADO","GOURMET",B12="147 - CAPSULAS","CAPSULAS",B12="130 - GALLETAS CAFECITAS","DERIVADOS",B12="140 - MERENGUES","DERIVADOS",B12="100 - CAFÉ ESPECIAL","ESPECIALES",B12="141 - AREQUIPE","DERIVADOS",B12="142 - MERMELADA","DERIVADOS",B12="131 - GALLETAS AVENA","DERIVADOS",B12="160 - SOUVENIR","OTROS",B12="148 - CARAMELOS","DERIVADOS",B12="143 - CHOCOFFES","DERIVADOS",B12="162 - CONVENIOS Y DSC POS ","OTROS"),"OTROS")</f>
        <v>DERIVADOS</v>
      </c>
      <c r="L12" s="27">
        <f t="shared" si="2"/>
        <v>48741</v>
      </c>
      <c r="M12" s="27">
        <f t="shared" si="3"/>
        <v>48741</v>
      </c>
    </row>
    <row r="13" spans="1:13" ht="16.5" hidden="1" outlineLevel="1">
      <c r="A13" s="38"/>
      <c r="B13" s="39" t="s">
        <v>25</v>
      </c>
      <c r="C13" s="36">
        <v>42096</v>
      </c>
      <c r="D13" s="36">
        <v>0</v>
      </c>
      <c r="E13" s="36"/>
      <c r="F13" s="36">
        <v>5164325.42</v>
      </c>
      <c r="G13" s="37">
        <f t="shared" si="4"/>
        <v>8.1513066231213606E-3</v>
      </c>
      <c r="H13" s="23">
        <f t="shared" si="0"/>
        <v>0</v>
      </c>
      <c r="I13" s="24">
        <f t="shared" si="0"/>
        <v>0</v>
      </c>
      <c r="J13" s="32" t="str" cm="1">
        <f t="array" ref="J13">IFERROR(_xlfn.IFS(B13="044 - BLEND TRADICION","BLEND",B13="113 - CAFÉ GOURMET","GOURMET",B13="114 - CAFÉ CONSUMO","CONSUMO",B13="112 - CAFÉ ORGANICO","GOURMET",B13="172 - CAFÉ COSECHA","ESPECIALES",B13="176 - CAFE DESCAFEINADO","GOURMET",B13="147 - CAPSULAS","CAPSULAS",B13="130 - GALLETAS CAFECITAS","DERIVADOS",B13="140 - MERENGUES","DERIVADOS",B13="100 - CAFÉ ESPECIAL","ESPECIALES",B13="141 - AREQUIPE","DERIVADOS",B13="142 - MERMELADA","DERIVADOS",B13="131 - GALLETAS AVENA","DERIVADOS",B13="160 - SOUVENIR","OTROS",B13="148 - CARAMELOS","DERIVADOS",B13="143 - CHOCOFFES","DERIVADOS",B13="162 - CONVENIOS Y DSC POS ","OTROS"),"OTROS")</f>
        <v>DERIVADOS</v>
      </c>
      <c r="L13" s="27">
        <f t="shared" si="2"/>
        <v>42096</v>
      </c>
      <c r="M13" s="27">
        <f t="shared" si="3"/>
        <v>42096</v>
      </c>
    </row>
    <row r="14" spans="1:13" ht="16.5" hidden="1" outlineLevel="1">
      <c r="A14" s="38"/>
      <c r="B14" s="39" t="s">
        <v>26</v>
      </c>
      <c r="C14" s="36">
        <v>0</v>
      </c>
      <c r="D14" s="36">
        <v>0</v>
      </c>
      <c r="E14" s="36"/>
      <c r="F14" s="36">
        <v>2621339.7000000002</v>
      </c>
      <c r="G14" s="37">
        <f t="shared" si="4"/>
        <v>0</v>
      </c>
      <c r="H14" s="23">
        <f t="shared" si="0"/>
        <v>0</v>
      </c>
      <c r="I14" s="24">
        <f t="shared" si="0"/>
        <v>0</v>
      </c>
      <c r="J14" s="32" t="str" cm="1">
        <f t="array" ref="J14">IFERROR(_xlfn.IFS(B14="044 - BLEND TRADICION","BLEND",B14="113 - CAFÉ GOURMET","GOURMET",B14="114 - CAFÉ CONSUMO","CONSUMO",B14="112 - CAFÉ ORGANICO","GOURMET",B14="172 - CAFÉ COSECHA","ESPECIALES",B14="176 - CAFE DESCAFEINADO","GOURMET",B14="147 - CAPSULAS","CAPSULAS",B14="130 - GALLETAS CAFECITAS","DERIVADOS",B14="140 - MERENGUES","DERIVADOS",B14="100 - CAFÉ ESPECIAL","ESPECIALES",B14="141 - AREQUIPE","DERIVADOS",B14="142 - MERMELADA","DERIVADOS",B14="131 - GALLETAS AVENA","DERIVADOS",B14="160 - SOUVENIR","OTROS",B14="148 - CARAMELOS","DERIVADOS",B14="143 - CHOCOFFES","DERIVADOS",B14="162 - CONVENIOS Y DSC POS ","OTROS"),"OTROS")</f>
        <v>CAPSULAS</v>
      </c>
      <c r="L14" s="27">
        <f t="shared" si="2"/>
        <v>0</v>
      </c>
      <c r="M14" s="27">
        <f t="shared" si="3"/>
        <v>0</v>
      </c>
    </row>
    <row r="15" spans="1:13" ht="16.5" hidden="1" outlineLevel="1">
      <c r="A15" s="38"/>
      <c r="B15" s="39" t="s">
        <v>27</v>
      </c>
      <c r="C15" s="36">
        <v>155915</v>
      </c>
      <c r="D15" s="36">
        <v>0</v>
      </c>
      <c r="E15" s="36"/>
      <c r="F15" s="36">
        <v>4581829.2699999996</v>
      </c>
      <c r="G15" s="37">
        <f t="shared" si="4"/>
        <v>3.4028985108823143E-2</v>
      </c>
      <c r="H15" s="23">
        <f t="shared" si="0"/>
        <v>0</v>
      </c>
      <c r="I15" s="24">
        <f t="shared" si="0"/>
        <v>0</v>
      </c>
      <c r="J15" s="32" t="str" cm="1">
        <f t="array" ref="J15">IFERROR(_xlfn.IFS(B15="044 - BLEND TRADICION","BLEND",B15="113 - CAFÉ GOURMET","GOURMET",B15="114 - CAFÉ CONSUMO","CONSUMO",B15="112 - CAFÉ ORGANICO","GOURMET",B15="172 - CAFÉ COSECHA","ESPECIALES",B15="176 - CAFE DESCAFEINADO","GOURMET",B15="147 - CAPSULAS","CAPSULAS",B15="130 - GALLETAS CAFECITAS","DERIVADOS",B15="140 - MERENGUES","DERIVADOS",B15="100 - CAFÉ ESPECIAL","ESPECIALES",B15="141 - AREQUIPE","DERIVADOS",B15="142 - MERMELADA","DERIVADOS",B15="131 - GALLETAS AVENA","DERIVADOS",B15="160 - SOUVENIR","OTROS",B15="148 - CARAMELOS","DERIVADOS",B15="143 - CHOCOFFES","DERIVADOS",B15="162 - CONVENIOS Y DSC POS ","OTROS"),"OTROS")</f>
        <v>DERIVADOS</v>
      </c>
      <c r="L15" s="27">
        <f t="shared" si="2"/>
        <v>155915</v>
      </c>
      <c r="M15" s="27">
        <f t="shared" si="3"/>
        <v>155915</v>
      </c>
    </row>
    <row r="16" spans="1:13" ht="16.5" hidden="1" outlineLevel="1">
      <c r="A16" s="38"/>
      <c r="B16" s="39" t="s">
        <v>28</v>
      </c>
      <c r="C16" s="36">
        <v>494974</v>
      </c>
      <c r="D16" s="36">
        <v>0</v>
      </c>
      <c r="E16" s="36"/>
      <c r="F16" s="36">
        <v>11251446.380000001</v>
      </c>
      <c r="G16" s="37">
        <f t="shared" si="4"/>
        <v>4.3992032960299278E-2</v>
      </c>
      <c r="H16" s="23">
        <f t="shared" si="0"/>
        <v>0</v>
      </c>
      <c r="I16" s="24">
        <f t="shared" si="0"/>
        <v>0</v>
      </c>
      <c r="J16" s="32" t="str" cm="1">
        <f t="array" ref="J16">IFERROR(_xlfn.IFS(B16="044 - BLEND TRADICION","BLEND",B16="113 - CAFÉ GOURMET","GOURMET",B16="114 - CAFÉ CONSUMO","CONSUMO",B16="112 - CAFÉ ORGANICO","GOURMET",B16="172 - CAFÉ COSECHA","ESPECIALES",B16="176 - CAFE DESCAFEINADO","GOURMET",B16="147 - CAPSULAS","CAPSULAS",B16="130 - GALLETAS CAFECITAS","DERIVADOS",B16="140 - MERENGUES","DERIVADOS",B16="100 - CAFÉ ESPECIAL","ESPECIALES",B16="141 - AREQUIPE","DERIVADOS",B16="142 - MERMELADA","DERIVADOS",B16="131 - GALLETAS AVENA","DERIVADOS",B16="160 - SOUVENIR","OTROS",B16="148 - CARAMELOS","DERIVADOS",B16="143 - CHOCOFFES","DERIVADOS",B16="162 - CONVENIOS Y DSC POS ","OTROS"),"OTROS")</f>
        <v>OTROS</v>
      </c>
      <c r="L16" s="27">
        <f t="shared" si="2"/>
        <v>494974</v>
      </c>
      <c r="M16" s="27">
        <f t="shared" si="3"/>
        <v>494974</v>
      </c>
    </row>
    <row r="17" spans="1:13" ht="16.5" hidden="1" outlineLevel="1">
      <c r="A17" s="38"/>
      <c r="B17" s="39" t="s">
        <v>29</v>
      </c>
      <c r="C17" s="36">
        <v>0</v>
      </c>
      <c r="D17" s="36">
        <v>0</v>
      </c>
      <c r="E17" s="36"/>
      <c r="F17" s="36">
        <v>6227226.4500000002</v>
      </c>
      <c r="G17" s="37">
        <f t="shared" si="4"/>
        <v>0</v>
      </c>
      <c r="H17" s="23">
        <f t="shared" si="0"/>
        <v>0</v>
      </c>
      <c r="I17" s="24">
        <f t="shared" si="0"/>
        <v>0</v>
      </c>
      <c r="J17" s="32" t="str" cm="1">
        <f t="array" ref="J17">IFERROR(_xlfn.IFS(B17="044 - BLEND TRADICION","BLEND",B17="113 - CAFÉ GOURMET","GOURMET",B17="114 - CAFÉ CONSUMO","CONSUMO",B17="112 - CAFÉ ORGANICO","GOURMET",B17="172 - CAFÉ COSECHA","ESPECIALES",B17="176 - CAFE DESCAFEINADO","GOURMET",B17="147 - CAPSULAS","CAPSULAS",B17="130 - GALLETAS CAFECITAS","DERIVADOS",B17="140 - MERENGUES","DERIVADOS",B17="100 - CAFÉ ESPECIAL","ESPECIALES",B17="141 - AREQUIPE","DERIVADOS",B17="142 - MERMELADA","DERIVADOS",B17="131 - GALLETAS AVENA","DERIVADOS",B17="160 - SOUVENIR","OTROS",B17="148 - CARAMELOS","DERIVADOS",B17="143 - CHOCOFFES","DERIVADOS",B17="162 - CONVENIOS Y DSC POS ","OTROS"),"OTROS")</f>
        <v>ESPECIALES</v>
      </c>
      <c r="L17" s="27">
        <f t="shared" si="2"/>
        <v>0</v>
      </c>
      <c r="M17" s="27">
        <f t="shared" si="3"/>
        <v>0</v>
      </c>
    </row>
    <row r="18" spans="1:13" ht="16.5" hidden="1" outlineLevel="1">
      <c r="A18" s="38"/>
      <c r="B18" s="39" t="s">
        <v>30</v>
      </c>
      <c r="C18" s="36">
        <v>144234</v>
      </c>
      <c r="D18" s="36">
        <v>0</v>
      </c>
      <c r="E18" s="36"/>
      <c r="F18" s="36">
        <v>675742.84</v>
      </c>
      <c r="G18" s="37">
        <f t="shared" si="4"/>
        <v>0.21344510287375004</v>
      </c>
      <c r="H18" s="23">
        <f t="shared" si="0"/>
        <v>0</v>
      </c>
      <c r="I18" s="24">
        <f t="shared" si="0"/>
        <v>0</v>
      </c>
      <c r="J18" s="32" t="str" cm="1">
        <f t="array" ref="J18">IFERROR(_xlfn.IFS(B18="044 - BLEND TRADICION","BLEND",B18="113 - CAFÉ GOURMET","GOURMET",B18="114 - CAFÉ CONSUMO","CONSUMO",B18="112 - CAFÉ ORGANICO","GOURMET",B18="172 - CAFÉ COSECHA","ESPECIALES",B18="176 - CAFE DESCAFEINADO","GOURMET",B18="147 - CAPSULAS","CAPSULAS",B18="130 - GALLETAS CAFECITAS","DERIVADOS",B18="140 - MERENGUES","DERIVADOS",B18="100 - CAFÉ ESPECIAL","ESPECIALES",B18="141 - AREQUIPE","DERIVADOS",B18="142 - MERMELADA","DERIVADOS",B18="131 - GALLETAS AVENA","DERIVADOS",B18="160 - SOUVENIR","OTROS",B18="148 - CARAMELOS","DERIVADOS",B18="143 - CHOCOFFES","DERIVADOS",B18="162 - CONVENIOS Y DSC POS ","OTROS"),"OTROS")</f>
        <v>GOURMET</v>
      </c>
      <c r="L18" s="27">
        <f t="shared" si="2"/>
        <v>144234</v>
      </c>
      <c r="M18" s="27">
        <f t="shared" si="3"/>
        <v>144234</v>
      </c>
    </row>
    <row r="19" spans="1:13" ht="16.5" hidden="1" outlineLevel="1">
      <c r="A19" s="38"/>
      <c r="B19" s="39" t="s">
        <v>31</v>
      </c>
      <c r="C19" s="36">
        <v>-508736</v>
      </c>
      <c r="D19" s="36">
        <v>-508736</v>
      </c>
      <c r="E19" s="36"/>
      <c r="F19" s="36"/>
      <c r="G19" s="37"/>
      <c r="H19" s="23">
        <f t="shared" si="0"/>
        <v>0</v>
      </c>
      <c r="I19" s="24">
        <f t="shared" si="0"/>
        <v>0</v>
      </c>
      <c r="J19" s="32" t="str" cm="1">
        <f t="array" ref="J19">IFERROR(_xlfn.IFS(B19="044 - BLEND TRADICION","BLEND",B19="113 - CAFÉ GOURMET","GOURMET",B19="114 - CAFÉ CONSUMO","CONSUMO",B19="112 - CAFÉ ORGANICO","GOURMET",B19="172 - CAFÉ COSECHA","ESPECIALES",B19="176 - CAFE DESCAFEINADO","GOURMET",B19="147 - CAPSULAS","CAPSULAS",B19="130 - GALLETAS CAFECITAS","DERIVADOS",B19="140 - MERENGUES","DERIVADOS",B19="100 - CAFÉ ESPECIAL","ESPECIALES",B19="141 - AREQUIPE","DERIVADOS",B19="142 - MERMELADA","DERIVADOS",B19="131 - GALLETAS AVENA","DERIVADOS",B19="160 - SOUVENIR","OTROS",B19="148 - CARAMELOS","DERIVADOS",B19="143 - CHOCOFFES","DERIVADOS",B19="162 - CONVENIOS Y DSC POS ","OTROS"),"OTROS")</f>
        <v>OTROS</v>
      </c>
      <c r="L19" s="27">
        <f t="shared" si="2"/>
        <v>0</v>
      </c>
      <c r="M19" s="27">
        <f t="shared" si="3"/>
        <v>0</v>
      </c>
    </row>
    <row r="20" spans="1:13" ht="16.5" hidden="1" outlineLevel="1">
      <c r="A20" s="19" t="s">
        <v>16</v>
      </c>
      <c r="B20" s="40" t="s">
        <v>32</v>
      </c>
      <c r="C20" s="41">
        <f>SUM(C6:C19)</f>
        <v>20422526</v>
      </c>
      <c r="D20" s="41">
        <f>SUM(D6:D19)</f>
        <v>-508736</v>
      </c>
      <c r="E20" s="41">
        <f>SUM(E6:E19)</f>
        <v>0</v>
      </c>
      <c r="F20" s="41">
        <f>SUM(F6:F19)</f>
        <v>132391087.09</v>
      </c>
      <c r="G20" s="42">
        <f t="shared" ref="G20:G89" si="5">IFERROR(C20/F20*100%,"-")</f>
        <v>0.154259070220616</v>
      </c>
      <c r="H20" s="43">
        <f t="shared" ref="H20:I35" si="6">IFERROR(+D20/L20*100%,0)</f>
        <v>-2.4305080123692493E-2</v>
      </c>
      <c r="I20" s="24">
        <f t="shared" si="6"/>
        <v>0</v>
      </c>
      <c r="J20" s="32" t="str" cm="1">
        <f t="array" ref="J20">IFERROR(_xlfn.IFS(B20="044 - BLEND TRADICION","BLEND",B20="113 - CAFÉ GOURMET","GOURMET",B20="114 - CAFÉ CONSUMO","CONSUMO",B20="112 - CAFÉ ORGANICO","GOURMET",B20="172 - CAFÉ COSECHA","ESPECIALES",B20="176 - CAFE DESCAFEINADO","GOURMET",B20="147 - CAPSULAS","CAPSULAS",B20="130 - GALLETAS CAFECITAS","DERIVADOS",B20="140 - MERENGUES","DERIVADOS",B20="100 - CAFÉ ESPECIAL","ESPECIALES",B20="141 - AREQUIPE","DERIVADOS",B20="142 - MERMELADA","DERIVADOS",B20="131 - GALLETAS AVENA","DERIVADOS",B20="160 - SOUVENIR","OTROS",B20="148 - CARAMELOS","DERIVADOS",B20="143 - CHOCOFFES","DERIVADOS",B20="162 - CONVENIOS Y DSC POS ","OTROS"),"OTROS")</f>
        <v>OTROS</v>
      </c>
      <c r="L20" s="27">
        <f t="shared" si="2"/>
        <v>20931262</v>
      </c>
      <c r="M20" s="27">
        <f t="shared" si="3"/>
        <v>20931262</v>
      </c>
    </row>
    <row r="21" spans="1:13" ht="16.5" collapsed="1">
      <c r="A21" s="28" t="s">
        <v>33</v>
      </c>
      <c r="B21" s="29" t="s">
        <v>17</v>
      </c>
      <c r="C21" s="30">
        <f>+C26+C60+C41</f>
        <v>161143642</v>
      </c>
      <c r="D21" s="30">
        <f>+D26+D60+D41</f>
        <v>-12308696</v>
      </c>
      <c r="E21" s="30">
        <f>+E26+E60+E41</f>
        <v>0</v>
      </c>
      <c r="F21" s="30">
        <f>+F26+F60+F41</f>
        <v>482062133.13</v>
      </c>
      <c r="G21" s="31">
        <f t="shared" si="5"/>
        <v>0.33427981773574328</v>
      </c>
      <c r="H21" s="43">
        <f t="shared" si="6"/>
        <v>-7.0962986961870755E-2</v>
      </c>
      <c r="I21" s="24">
        <f t="shared" si="6"/>
        <v>0</v>
      </c>
      <c r="J21" s="32" t="str" cm="1">
        <f t="array" ref="J21">IFERROR(_xlfn.IFS(B21="044 - BLEND TRADICION","BLEND",B21="113 - CAFÉ GOURMET","GOURMET",B21="114 - CAFÉ CONSUMO","CONSUMO",B21="112 - CAFÉ ORGANICO","GOURMET",B21="172 - CAFÉ COSECHA","ESPECIALES",B21="176 - CAFE DESCAFEINADO","GOURMET",B21="147 - CAPSULAS","CAPSULAS",B21="130 - GALLETAS CAFECITAS","DERIVADOS",B21="140 - MERENGUES","DERIVADOS",B21="100 - CAFÉ ESPECIAL","ESPECIALES",B21="141 - AREQUIPE","DERIVADOS",B21="142 - MERMELADA","DERIVADOS",B21="131 - GALLETAS AVENA","DERIVADOS",B21="160 - SOUVENIR","OTROS",B21="148 - CARAMELOS","DERIVADOS",B21="143 - CHOCOFFES","DERIVADOS",B21="162 - CONVENIOS Y DSC POS ","OTROS"),"OTROS")</f>
        <v>OTROS</v>
      </c>
      <c r="L21" s="27">
        <f t="shared" si="2"/>
        <v>173452338</v>
      </c>
      <c r="M21" s="27">
        <f t="shared" si="3"/>
        <v>173452338</v>
      </c>
    </row>
    <row r="22" spans="1:13" ht="16.5" hidden="1" outlineLevel="1">
      <c r="A22" s="44"/>
      <c r="B22" s="45" t="s">
        <v>34</v>
      </c>
      <c r="C22" s="46">
        <v>26048700</v>
      </c>
      <c r="D22" s="47">
        <v>0</v>
      </c>
      <c r="E22" s="48"/>
      <c r="F22" s="48">
        <v>43207145.729999997</v>
      </c>
      <c r="G22" s="49">
        <f t="shared" si="5"/>
        <v>0.60287944412661398</v>
      </c>
      <c r="H22" s="43">
        <f t="shared" si="6"/>
        <v>0</v>
      </c>
      <c r="I22" s="24">
        <f t="shared" si="6"/>
        <v>0</v>
      </c>
      <c r="J22" s="32" t="str" cm="1">
        <f t="array" ref="J22">IFERROR(_xlfn.IFS(B22="044 - BLEND TRADICION","BLEND",B22="113 - CAFÉ GOURMET","GOURMET",B22="114 - CAFÉ CONSUMO","CONSUMO",B22="112 - CAFÉ ORGANICO","GOURMET",B22="172 - CAFÉ COSECHA","ESPECIALES",B22="176 - CAFE DESCAFEINADO","GOURMET",B22="147 - CAPSULAS","CAPSULAS",B22="130 - GALLETAS CAFECITAS","DERIVADOS",B22="140 - MERENGUES","DERIVADOS",B22="100 - CAFÉ ESPECIAL","ESPECIALES",B22="141 - AREQUIPE","DERIVADOS",B22="142 - MERMELADA","DERIVADOS",B22="131 - GALLETAS AVENA","DERIVADOS",B22="160 - SOUVENIR","OTROS",B22="148 - CARAMELOS","DERIVADOS",B22="143 - CHOCOFFES","DERIVADOS",B22="162 - CONVENIOS Y DSC POS ","OTROS"),"OTROS")</f>
        <v>OTROS</v>
      </c>
      <c r="L22" s="27">
        <f t="shared" si="2"/>
        <v>26048700</v>
      </c>
      <c r="M22" s="27">
        <f t="shared" si="3"/>
        <v>26048700</v>
      </c>
    </row>
    <row r="23" spans="1:13" ht="16.5" hidden="1" outlineLevel="1">
      <c r="A23" s="44"/>
      <c r="B23" s="45" t="s">
        <v>21</v>
      </c>
      <c r="C23" s="46">
        <v>17902500</v>
      </c>
      <c r="D23" s="50">
        <v>0</v>
      </c>
      <c r="E23" s="51"/>
      <c r="F23" s="51">
        <v>40827157.719999999</v>
      </c>
      <c r="G23" s="49">
        <f t="shared" si="5"/>
        <v>0.43849488918083812</v>
      </c>
      <c r="H23" s="43">
        <f t="shared" si="6"/>
        <v>0</v>
      </c>
      <c r="I23" s="24">
        <f t="shared" si="6"/>
        <v>0</v>
      </c>
      <c r="J23" s="32" t="str" cm="1">
        <f t="array" ref="J23">IFERROR(_xlfn.IFS(B23="044 - BLEND TRADICION","BLEND",B23="113 - CAFÉ GOURMET","GOURMET",B23="114 - CAFÉ CONSUMO","CONSUMO",B23="112 - CAFÉ ORGANICO","GOURMET",B23="172 - CAFÉ COSECHA","ESPECIALES",B23="176 - CAFE DESCAFEINADO","GOURMET",B23="147 - CAPSULAS","CAPSULAS",B23="130 - GALLETAS CAFECITAS","DERIVADOS",B23="140 - MERENGUES","DERIVADOS",B23="100 - CAFÉ ESPECIAL","ESPECIALES",B23="141 - AREQUIPE","DERIVADOS",B23="142 - MERMELADA","DERIVADOS",B23="131 - GALLETAS AVENA","DERIVADOS",B23="160 - SOUVENIR","OTROS",B23="148 - CARAMELOS","DERIVADOS",B23="143 - CHOCOFFES","DERIVADOS",B23="162 - CONVENIOS Y DSC POS ","OTROS"),"OTROS")</f>
        <v>GOURMET</v>
      </c>
      <c r="L23" s="27">
        <f t="shared" si="2"/>
        <v>17902500</v>
      </c>
      <c r="M23" s="27">
        <f t="shared" si="3"/>
        <v>17902500</v>
      </c>
    </row>
    <row r="24" spans="1:13" ht="16.5" hidden="1" outlineLevel="1">
      <c r="A24" s="44"/>
      <c r="B24" s="45" t="s">
        <v>26</v>
      </c>
      <c r="C24" s="46">
        <v>0</v>
      </c>
      <c r="D24" s="50">
        <v>0</v>
      </c>
      <c r="E24" s="51"/>
      <c r="F24" s="51">
        <v>72407.34</v>
      </c>
      <c r="G24" s="49">
        <f t="shared" si="5"/>
        <v>0</v>
      </c>
      <c r="H24" s="43">
        <f t="shared" si="6"/>
        <v>0</v>
      </c>
      <c r="I24" s="24">
        <f t="shared" si="6"/>
        <v>0</v>
      </c>
      <c r="J24" s="32" t="str" cm="1">
        <f t="array" ref="J24">IFERROR(_xlfn.IFS(B24="044 - BLEND TRADICION","BLEND",B24="113 - CAFÉ GOURMET","GOURMET",B24="114 - CAFÉ CONSUMO","CONSUMO",B24="112 - CAFÉ ORGANICO","GOURMET",B24="172 - CAFÉ COSECHA","ESPECIALES",B24="176 - CAFE DESCAFEINADO","GOURMET",B24="147 - CAPSULAS","CAPSULAS",B24="130 - GALLETAS CAFECITAS","DERIVADOS",B24="140 - MERENGUES","DERIVADOS",B24="100 - CAFÉ ESPECIAL","ESPECIALES",B24="141 - AREQUIPE","DERIVADOS",B24="142 - MERMELADA","DERIVADOS",B24="131 - GALLETAS AVENA","DERIVADOS",B24="160 - SOUVENIR","OTROS",B24="148 - CARAMELOS","DERIVADOS",B24="143 - CHOCOFFES","DERIVADOS",B24="162 - CONVENIOS Y DSC POS ","OTROS"),"OTROS")</f>
        <v>CAPSULAS</v>
      </c>
      <c r="L24" s="27">
        <f t="shared" si="2"/>
        <v>0</v>
      </c>
      <c r="M24" s="27">
        <f t="shared" si="3"/>
        <v>0</v>
      </c>
    </row>
    <row r="25" spans="1:13" ht="16.5" hidden="1" outlineLevel="1">
      <c r="A25" s="44"/>
      <c r="B25" s="45" t="s">
        <v>28</v>
      </c>
      <c r="C25" s="46">
        <v>0</v>
      </c>
      <c r="D25" s="50">
        <v>0</v>
      </c>
      <c r="E25" s="51"/>
      <c r="F25" s="51">
        <v>7805453.8099999996</v>
      </c>
      <c r="G25" s="49">
        <f t="shared" si="5"/>
        <v>0</v>
      </c>
      <c r="H25" s="43">
        <f t="shared" si="6"/>
        <v>0</v>
      </c>
      <c r="I25" s="24">
        <f t="shared" si="6"/>
        <v>0</v>
      </c>
      <c r="J25" s="32" t="str" cm="1">
        <f t="array" ref="J25">IFERROR(_xlfn.IFS(B25="044 - BLEND TRADICION","BLEND",B25="113 - CAFÉ GOURMET","GOURMET",B25="114 - CAFÉ CONSUMO","CONSUMO",B25="112 - CAFÉ ORGANICO","GOURMET",B25="172 - CAFÉ COSECHA","ESPECIALES",B25="176 - CAFE DESCAFEINADO","GOURMET",B25="147 - CAPSULAS","CAPSULAS",B25="130 - GALLETAS CAFECITAS","DERIVADOS",B25="140 - MERENGUES","DERIVADOS",B25="100 - CAFÉ ESPECIAL","ESPECIALES",B25="141 - AREQUIPE","DERIVADOS",B25="142 - MERMELADA","DERIVADOS",B25="131 - GALLETAS AVENA","DERIVADOS",B25="160 - SOUVENIR","OTROS",B25="148 - CARAMELOS","DERIVADOS",B25="143 - CHOCOFFES","DERIVADOS",B25="162 - CONVENIOS Y DSC POS ","OTROS"),"OTROS")</f>
        <v>OTROS</v>
      </c>
      <c r="L25" s="27">
        <f t="shared" si="2"/>
        <v>0</v>
      </c>
      <c r="M25" s="27">
        <f t="shared" si="3"/>
        <v>0</v>
      </c>
    </row>
    <row r="26" spans="1:13" ht="16.5" hidden="1" outlineLevel="1">
      <c r="A26" s="52" t="s">
        <v>35</v>
      </c>
      <c r="B26" s="20" t="s">
        <v>32</v>
      </c>
      <c r="C26" s="21">
        <f>SUM(C22:C25)</f>
        <v>43951200</v>
      </c>
      <c r="D26" s="53">
        <f t="shared" ref="D26:E26" si="7">SUM(D22)</f>
        <v>0</v>
      </c>
      <c r="E26" s="54">
        <f t="shared" si="7"/>
        <v>0</v>
      </c>
      <c r="F26" s="54">
        <f>SUM(F22:F25)</f>
        <v>91912164.599999994</v>
      </c>
      <c r="G26" s="55">
        <f t="shared" si="5"/>
        <v>0.47818697548115413</v>
      </c>
      <c r="H26" s="43">
        <f t="shared" si="6"/>
        <v>0</v>
      </c>
      <c r="I26" s="24">
        <f t="shared" si="6"/>
        <v>0</v>
      </c>
      <c r="J26" s="32" t="str" cm="1">
        <f t="array" ref="J26">IFERROR(_xlfn.IFS(B26="044 - BLEND TRADICION","BLEND",B26="113 - CAFÉ GOURMET","GOURMET",B26="114 - CAFÉ CONSUMO","CONSUMO",B26="112 - CAFÉ ORGANICO","GOURMET",B26="172 - CAFÉ COSECHA","ESPECIALES",B26="176 - CAFE DESCAFEINADO","GOURMET",B26="147 - CAPSULAS","CAPSULAS",B26="130 - GALLETAS CAFECITAS","DERIVADOS",B26="140 - MERENGUES","DERIVADOS",B26="100 - CAFÉ ESPECIAL","ESPECIALES",B26="141 - AREQUIPE","DERIVADOS",B26="142 - MERMELADA","DERIVADOS",B26="131 - GALLETAS AVENA","DERIVADOS",B26="160 - SOUVENIR","OTROS",B26="148 - CARAMELOS","DERIVADOS",B26="143 - CHOCOFFES","DERIVADOS",B26="162 - CONVENIOS Y DSC POS ","OTROS"),"OTROS")</f>
        <v>OTROS</v>
      </c>
      <c r="L26" s="27">
        <f t="shared" si="2"/>
        <v>43951200</v>
      </c>
      <c r="M26" s="27">
        <f t="shared" si="3"/>
        <v>43951200</v>
      </c>
    </row>
    <row r="27" spans="1:13" ht="16.5" hidden="1" outlineLevel="1">
      <c r="A27" s="44"/>
      <c r="B27" s="45" t="s">
        <v>34</v>
      </c>
      <c r="C27" s="46">
        <v>2899260</v>
      </c>
      <c r="D27" s="47">
        <v>-2726312</v>
      </c>
      <c r="E27" s="48">
        <v>0</v>
      </c>
      <c r="F27" s="48">
        <v>6545773.3099999996</v>
      </c>
      <c r="G27" s="49">
        <f t="shared" si="5"/>
        <v>0.44292092968920738</v>
      </c>
      <c r="H27" s="43">
        <f t="shared" si="6"/>
        <v>-0.48462840756459963</v>
      </c>
      <c r="I27" s="24">
        <f t="shared" si="6"/>
        <v>0</v>
      </c>
      <c r="J27" s="32" t="str" cm="1">
        <f t="array" ref="J27">IFERROR(_xlfn.IFS(B27="044 - BLEND TRADICION","BLEND",B27="113 - CAFÉ GOURMET","GOURMET",B27="114 - CAFÉ CONSUMO","CONSUMO",B27="112 - CAFÉ ORGANICO","GOURMET",B27="172 - CAFÉ COSECHA","ESPECIALES",B27="176 - CAFE DESCAFEINADO","GOURMET",B27="147 - CAPSULAS","CAPSULAS",B27="130 - GALLETAS CAFECITAS","DERIVADOS",B27="140 - MERENGUES","DERIVADOS",B27="100 - CAFÉ ESPECIAL","ESPECIALES",B27="141 - AREQUIPE","DERIVADOS",B27="142 - MERMELADA","DERIVADOS",B27="131 - GALLETAS AVENA","DERIVADOS",B27="160 - SOUVENIR","OTROS",B27="148 - CARAMELOS","DERIVADOS",B27="143 - CHOCOFFES","DERIVADOS",B27="162 - CONVENIOS Y DSC POS ","OTROS"),"OTROS")</f>
        <v>OTROS</v>
      </c>
      <c r="L27" s="27">
        <f t="shared" si="2"/>
        <v>5625572</v>
      </c>
      <c r="M27" s="27">
        <f t="shared" si="3"/>
        <v>5625572</v>
      </c>
    </row>
    <row r="28" spans="1:13" ht="16.5" hidden="1" outlineLevel="1">
      <c r="A28" s="38"/>
      <c r="B28" s="34" t="s">
        <v>19</v>
      </c>
      <c r="C28" s="35">
        <v>189399</v>
      </c>
      <c r="D28" s="36">
        <v>0</v>
      </c>
      <c r="E28" s="48">
        <v>0</v>
      </c>
      <c r="F28" s="48">
        <v>4061262.59</v>
      </c>
      <c r="G28" s="49">
        <f t="shared" si="5"/>
        <v>4.6635497164442159E-2</v>
      </c>
      <c r="H28" s="23">
        <f t="shared" si="6"/>
        <v>0</v>
      </c>
      <c r="I28" s="24">
        <f t="shared" si="6"/>
        <v>0</v>
      </c>
      <c r="J28" s="32" t="str" cm="1">
        <f t="array" ref="J28">IFERROR(_xlfn.IFS(B28="044 - BLEND TRADICION","BLEND",B28="113 - CAFÉ GOURMET","GOURMET",B28="114 - CAFÉ CONSUMO","CONSUMO",B28="112 - CAFÉ ORGANICO","GOURMET",B28="172 - CAFÉ COSECHA","ESPECIALES",B28="176 - CAFE DESCAFEINADO","GOURMET",B28="147 - CAPSULAS","CAPSULAS",B28="130 - GALLETAS CAFECITAS","DERIVADOS",B28="140 - MERENGUES","DERIVADOS",B28="100 - CAFÉ ESPECIAL","ESPECIALES",B28="141 - AREQUIPE","DERIVADOS",B28="142 - MERMELADA","DERIVADOS",B28="131 - GALLETAS AVENA","DERIVADOS",B28="160 - SOUVENIR","OTROS",B28="148 - CARAMELOS","DERIVADOS",B28="143 - CHOCOFFES","DERIVADOS",B28="162 - CONVENIOS Y DSC POS ","OTROS"),"OTROS")</f>
        <v>ESPECIALES</v>
      </c>
      <c r="L28" s="27">
        <f t="shared" si="2"/>
        <v>189399</v>
      </c>
      <c r="M28" s="27">
        <f t="shared" si="3"/>
        <v>189399</v>
      </c>
    </row>
    <row r="29" spans="1:13" ht="16.5" hidden="1" outlineLevel="1">
      <c r="A29" s="38"/>
      <c r="B29" s="39" t="s">
        <v>20</v>
      </c>
      <c r="C29" s="36">
        <v>639804</v>
      </c>
      <c r="D29" s="36">
        <v>0</v>
      </c>
      <c r="E29" s="48">
        <v>0</v>
      </c>
      <c r="F29" s="48">
        <v>1222472.22</v>
      </c>
      <c r="G29" s="49">
        <f t="shared" si="5"/>
        <v>0.52336894821217284</v>
      </c>
      <c r="H29" s="23">
        <f t="shared" si="6"/>
        <v>0</v>
      </c>
      <c r="I29" s="24">
        <f t="shared" si="6"/>
        <v>0</v>
      </c>
      <c r="J29" s="32" t="str" cm="1">
        <f t="array" ref="J29">IFERROR(_xlfn.IFS(B29="044 - BLEND TRADICION","BLEND",B29="113 - CAFÉ GOURMET","GOURMET",B29="114 - CAFÉ CONSUMO","CONSUMO",B29="112 - CAFÉ ORGANICO","GOURMET",B29="172 - CAFÉ COSECHA","ESPECIALES",B29="176 - CAFE DESCAFEINADO","GOURMET",B29="147 - CAPSULAS","CAPSULAS",B29="130 - GALLETAS CAFECITAS","DERIVADOS",B29="140 - MERENGUES","DERIVADOS",B29="100 - CAFÉ ESPECIAL","ESPECIALES",B29="141 - AREQUIPE","DERIVADOS",B29="142 - MERMELADA","DERIVADOS",B29="131 - GALLETAS AVENA","DERIVADOS",B29="160 - SOUVENIR","OTROS",B29="148 - CARAMELOS","DERIVADOS",B29="143 - CHOCOFFES","DERIVADOS",B29="162 - CONVENIOS Y DSC POS ","OTROS"),"OTROS")</f>
        <v>GOURMET</v>
      </c>
      <c r="L29" s="27">
        <f t="shared" si="2"/>
        <v>639804</v>
      </c>
      <c r="M29" s="27">
        <f t="shared" si="3"/>
        <v>639804</v>
      </c>
    </row>
    <row r="30" spans="1:13" ht="16.5" hidden="1" outlineLevel="1">
      <c r="A30" s="38"/>
      <c r="B30" s="39" t="s">
        <v>21</v>
      </c>
      <c r="C30" s="36">
        <v>67240742</v>
      </c>
      <c r="D30" s="36">
        <v>-7679700</v>
      </c>
      <c r="E30" s="48">
        <v>0</v>
      </c>
      <c r="F30" s="48">
        <v>223480484.16999999</v>
      </c>
      <c r="G30" s="49">
        <f t="shared" si="5"/>
        <v>0.30087970432733829</v>
      </c>
      <c r="H30" s="23">
        <f t="shared" si="6"/>
        <v>-0.10250473428867385</v>
      </c>
      <c r="I30" s="24">
        <f t="shared" si="6"/>
        <v>0</v>
      </c>
      <c r="J30" s="32" t="str" cm="1">
        <f t="array" ref="J30">IFERROR(_xlfn.IFS(B30="044 - BLEND TRADICION","BLEND",B30="113 - CAFÉ GOURMET","GOURMET",B30="114 - CAFÉ CONSUMO","CONSUMO",B30="112 - CAFÉ ORGANICO","GOURMET",B30="172 - CAFÉ COSECHA","ESPECIALES",B30="176 - CAFE DESCAFEINADO","GOURMET",B30="147 - CAPSULAS","CAPSULAS",B30="130 - GALLETAS CAFECITAS","DERIVADOS",B30="140 - MERENGUES","DERIVADOS",B30="100 - CAFÉ ESPECIAL","ESPECIALES",B30="141 - AREQUIPE","DERIVADOS",B30="142 - MERMELADA","DERIVADOS",B30="131 - GALLETAS AVENA","DERIVADOS",B30="160 - SOUVENIR","OTROS",B30="148 - CARAMELOS","DERIVADOS",B30="143 - CHOCOFFES","DERIVADOS",B30="162 - CONVENIOS Y DSC POS ","OTROS"),"OTROS")</f>
        <v>GOURMET</v>
      </c>
      <c r="L30" s="27">
        <f t="shared" si="2"/>
        <v>74920442</v>
      </c>
      <c r="M30" s="27">
        <f t="shared" si="3"/>
        <v>74920442</v>
      </c>
    </row>
    <row r="31" spans="1:13" ht="16.5" hidden="1" outlineLevel="1">
      <c r="A31" s="38"/>
      <c r="B31" s="39" t="s">
        <v>38</v>
      </c>
      <c r="C31" s="36">
        <v>14257425</v>
      </c>
      <c r="D31" s="36">
        <v>0</v>
      </c>
      <c r="E31" s="48">
        <v>0</v>
      </c>
      <c r="F31" s="48">
        <v>12078505</v>
      </c>
      <c r="G31" s="49">
        <f t="shared" si="5"/>
        <v>1.1803964977453749</v>
      </c>
      <c r="H31" s="23">
        <f t="shared" si="6"/>
        <v>0</v>
      </c>
      <c r="I31" s="24">
        <f t="shared" si="6"/>
        <v>0</v>
      </c>
      <c r="J31" s="32" t="str" cm="1">
        <f t="array" ref="J31">IFERROR(_xlfn.IFS(B31="044 - BLEND TRADICION","BLEND",B31="113 - CAFÉ GOURMET","GOURMET",B31="114 - CAFÉ CONSUMO","CONSUMO",B31="112 - CAFÉ ORGANICO","GOURMET",B31="172 - CAFÉ COSECHA","ESPECIALES",B31="176 - CAFE DESCAFEINADO","GOURMET",B31="147 - CAPSULAS","CAPSULAS",B31="130 - GALLETAS CAFECITAS","DERIVADOS",B31="140 - MERENGUES","DERIVADOS",B31="100 - CAFÉ ESPECIAL","ESPECIALES",B31="141 - AREQUIPE","DERIVADOS",B31="142 - MERMELADA","DERIVADOS",B31="131 - GALLETAS AVENA","DERIVADOS",B31="160 - SOUVENIR","OTROS",B31="148 - CARAMELOS","DERIVADOS",B31="143 - CHOCOFFES","DERIVADOS",B31="162 - CONVENIOS Y DSC POS ","OTROS"),"OTROS")</f>
        <v>CONSUMO</v>
      </c>
      <c r="L31" s="27">
        <f t="shared" si="2"/>
        <v>14257425</v>
      </c>
      <c r="M31" s="27">
        <f t="shared" si="3"/>
        <v>14257425</v>
      </c>
    </row>
    <row r="32" spans="1:13" ht="16.5" hidden="1" outlineLevel="1">
      <c r="A32" s="38"/>
      <c r="B32" s="39" t="s">
        <v>22</v>
      </c>
      <c r="C32" s="36">
        <v>1127800</v>
      </c>
      <c r="D32" s="36">
        <v>0</v>
      </c>
      <c r="E32" s="48">
        <v>0</v>
      </c>
      <c r="F32" s="48">
        <v>876245.45</v>
      </c>
      <c r="G32" s="49">
        <f t="shared" si="5"/>
        <v>1.2870822895571099</v>
      </c>
      <c r="H32" s="23">
        <f t="shared" si="6"/>
        <v>0</v>
      </c>
      <c r="I32" s="24">
        <f t="shared" si="6"/>
        <v>0</v>
      </c>
      <c r="J32" s="32" t="str" cm="1">
        <f t="array" ref="J32">IFERROR(_xlfn.IFS(B32="044 - BLEND TRADICION","BLEND",B32="113 - CAFÉ GOURMET","GOURMET",B32="114 - CAFÉ CONSUMO","CONSUMO",B32="112 - CAFÉ ORGANICO","GOURMET",B32="172 - CAFÉ COSECHA","ESPECIALES",B32="176 - CAFE DESCAFEINADO","GOURMET",B32="147 - CAPSULAS","CAPSULAS",B32="130 - GALLETAS CAFECITAS","DERIVADOS",B32="140 - MERENGUES","DERIVADOS",B32="100 - CAFÉ ESPECIAL","ESPECIALES",B32="141 - AREQUIPE","DERIVADOS",B32="142 - MERMELADA","DERIVADOS",B32="131 - GALLETAS AVENA","DERIVADOS",B32="160 - SOUVENIR","OTROS",B32="148 - CARAMELOS","DERIVADOS",B32="143 - CHOCOFFES","DERIVADOS",B32="162 - CONVENIOS Y DSC POS ","OTROS"),"OTROS")</f>
        <v>DERIVADOS</v>
      </c>
      <c r="L32" s="27">
        <f t="shared" si="2"/>
        <v>1127800</v>
      </c>
      <c r="M32" s="27">
        <f t="shared" si="3"/>
        <v>1127800</v>
      </c>
    </row>
    <row r="33" spans="1:13" ht="16.5" hidden="1" outlineLevel="1">
      <c r="A33" s="38"/>
      <c r="B33" s="39" t="s">
        <v>23</v>
      </c>
      <c r="C33" s="36">
        <v>49717</v>
      </c>
      <c r="D33" s="36">
        <v>0</v>
      </c>
      <c r="E33" s="48"/>
      <c r="F33" s="48">
        <v>315313</v>
      </c>
      <c r="G33" s="49">
        <f t="shared" si="5"/>
        <v>0.15767507207124348</v>
      </c>
      <c r="H33" s="23">
        <f t="shared" si="6"/>
        <v>0</v>
      </c>
      <c r="I33" s="24">
        <f t="shared" si="6"/>
        <v>0</v>
      </c>
      <c r="J33" s="32" t="str" cm="1">
        <f t="array" ref="J33">IFERROR(_xlfn.IFS(B33="044 - BLEND TRADICION","BLEND",B33="113 - CAFÉ GOURMET","GOURMET",B33="114 - CAFÉ CONSUMO","CONSUMO",B33="112 - CAFÉ ORGANICO","GOURMET",B33="172 - CAFÉ COSECHA","ESPECIALES",B33="176 - CAFE DESCAFEINADO","GOURMET",B33="147 - CAPSULAS","CAPSULAS",B33="130 - GALLETAS CAFECITAS","DERIVADOS",B33="140 - MERENGUES","DERIVADOS",B33="100 - CAFÉ ESPECIAL","ESPECIALES",B33="141 - AREQUIPE","DERIVADOS",B33="142 - MERMELADA","DERIVADOS",B33="131 - GALLETAS AVENA","DERIVADOS",B33="160 - SOUVENIR","OTROS",B33="148 - CARAMELOS","DERIVADOS",B33="143 - CHOCOFFES","DERIVADOS",B33="162 - CONVENIOS Y DSC POS ","OTROS"),"OTROS")</f>
        <v>DERIVADOS</v>
      </c>
      <c r="L33" s="27">
        <f t="shared" si="2"/>
        <v>49717</v>
      </c>
      <c r="M33" s="27">
        <f t="shared" si="3"/>
        <v>49717</v>
      </c>
    </row>
    <row r="34" spans="1:13" ht="16.5" hidden="1" outlineLevel="1">
      <c r="A34" s="38"/>
      <c r="B34" s="39" t="s">
        <v>24</v>
      </c>
      <c r="C34" s="36">
        <v>242944</v>
      </c>
      <c r="D34" s="36">
        <v>0</v>
      </c>
      <c r="E34" s="48"/>
      <c r="F34" s="48">
        <v>443819.64</v>
      </c>
      <c r="G34" s="49">
        <f t="shared" si="5"/>
        <v>0.54739353130023716</v>
      </c>
      <c r="H34" s="23">
        <f t="shared" si="6"/>
        <v>0</v>
      </c>
      <c r="I34" s="24">
        <f t="shared" si="6"/>
        <v>0</v>
      </c>
      <c r="J34" s="32" t="str" cm="1">
        <f t="array" ref="J34">IFERROR(_xlfn.IFS(B34="044 - BLEND TRADICION","BLEND",B34="113 - CAFÉ GOURMET","GOURMET",B34="114 - CAFÉ CONSUMO","CONSUMO",B34="112 - CAFÉ ORGANICO","GOURMET",B34="172 - CAFÉ COSECHA","ESPECIALES",B34="176 - CAFE DESCAFEINADO","GOURMET",B34="147 - CAPSULAS","CAPSULAS",B34="130 - GALLETAS CAFECITAS","DERIVADOS",B34="140 - MERENGUES","DERIVADOS",B34="100 - CAFÉ ESPECIAL","ESPECIALES",B34="141 - AREQUIPE","DERIVADOS",B34="142 - MERMELADA","DERIVADOS",B34="131 - GALLETAS AVENA","DERIVADOS",B34="160 - SOUVENIR","OTROS",B34="148 - CARAMELOS","DERIVADOS",B34="143 - CHOCOFFES","DERIVADOS",B34="162 - CONVENIOS Y DSC POS ","OTROS"),"OTROS")</f>
        <v>DERIVADOS</v>
      </c>
      <c r="L34" s="27">
        <f t="shared" si="2"/>
        <v>242944</v>
      </c>
      <c r="M34" s="27">
        <f t="shared" si="3"/>
        <v>242944</v>
      </c>
    </row>
    <row r="35" spans="1:13" ht="16.5" hidden="1" outlineLevel="1">
      <c r="A35" s="38"/>
      <c r="B35" s="39" t="s">
        <v>25</v>
      </c>
      <c r="C35" s="36">
        <v>155914</v>
      </c>
      <c r="D35" s="36">
        <v>0</v>
      </c>
      <c r="E35" s="48"/>
      <c r="F35" s="48">
        <v>253263.49</v>
      </c>
      <c r="G35" s="49">
        <f t="shared" si="5"/>
        <v>0.61561972473805837</v>
      </c>
      <c r="H35" s="23">
        <f t="shared" si="6"/>
        <v>0</v>
      </c>
      <c r="I35" s="24">
        <f t="shared" si="6"/>
        <v>0</v>
      </c>
      <c r="J35" s="32" t="str" cm="1">
        <f t="array" ref="J35">IFERROR(_xlfn.IFS(B35="044 - BLEND TRADICION","BLEND",B35="113 - CAFÉ GOURMET","GOURMET",B35="114 - CAFÉ CONSUMO","CONSUMO",B35="112 - CAFÉ ORGANICO","GOURMET",B35="172 - CAFÉ COSECHA","ESPECIALES",B35="176 - CAFE DESCAFEINADO","GOURMET",B35="147 - CAPSULAS","CAPSULAS",B35="130 - GALLETAS CAFECITAS","DERIVADOS",B35="140 - MERENGUES","DERIVADOS",B35="100 - CAFÉ ESPECIAL","ESPECIALES",B35="141 - AREQUIPE","DERIVADOS",B35="142 - MERMELADA","DERIVADOS",B35="131 - GALLETAS AVENA","DERIVADOS",B35="160 - SOUVENIR","OTROS",B35="148 - CARAMELOS","DERIVADOS",B35="143 - CHOCOFFES","DERIVADOS",B35="162 - CONVENIOS Y DSC POS ","OTROS"),"OTROS")</f>
        <v>DERIVADOS</v>
      </c>
      <c r="L35" s="27">
        <f t="shared" si="2"/>
        <v>155914</v>
      </c>
      <c r="M35" s="27">
        <f t="shared" si="3"/>
        <v>155914</v>
      </c>
    </row>
    <row r="36" spans="1:13" ht="16.5" hidden="1" outlineLevel="1">
      <c r="A36" s="38"/>
      <c r="B36" s="39" t="s">
        <v>26</v>
      </c>
      <c r="C36" s="36">
        <v>7231485</v>
      </c>
      <c r="D36" s="36">
        <v>-1819838</v>
      </c>
      <c r="E36" s="48"/>
      <c r="F36" s="48">
        <v>19346780.550000001</v>
      </c>
      <c r="G36" s="49">
        <f t="shared" si="5"/>
        <v>0.37378234488735129</v>
      </c>
      <c r="H36" s="23">
        <f t="shared" ref="H36:I90" si="8">IFERROR(+D36/L36*100%,0)</f>
        <v>-0.2010576796342369</v>
      </c>
      <c r="I36" s="24">
        <f t="shared" si="8"/>
        <v>0</v>
      </c>
      <c r="J36" s="32" t="str" cm="1">
        <f t="array" ref="J36">IFERROR(_xlfn.IFS(B36="044 - BLEND TRADICION","BLEND",B36="113 - CAFÉ GOURMET","GOURMET",B36="114 - CAFÉ CONSUMO","CONSUMO",B36="112 - CAFÉ ORGANICO","GOURMET",B36="172 - CAFÉ COSECHA","ESPECIALES",B36="176 - CAFE DESCAFEINADO","GOURMET",B36="147 - CAPSULAS","CAPSULAS",B36="130 - GALLETAS CAFECITAS","DERIVADOS",B36="140 - MERENGUES","DERIVADOS",B36="100 - CAFÉ ESPECIAL","ESPECIALES",B36="141 - AREQUIPE","DERIVADOS",B36="142 - MERMELADA","DERIVADOS",B36="131 - GALLETAS AVENA","DERIVADOS",B36="160 - SOUVENIR","OTROS",B36="148 - CARAMELOS","DERIVADOS",B36="143 - CHOCOFFES","DERIVADOS",B36="162 - CONVENIOS Y DSC POS ","OTROS"),"OTROS")</f>
        <v>CAPSULAS</v>
      </c>
      <c r="L36" s="27">
        <f t="shared" si="2"/>
        <v>9051323</v>
      </c>
      <c r="M36" s="27">
        <f t="shared" si="3"/>
        <v>9051323</v>
      </c>
    </row>
    <row r="37" spans="1:13" ht="16.5" hidden="1" outlineLevel="1">
      <c r="A37" s="38"/>
      <c r="B37" s="39" t="s">
        <v>27</v>
      </c>
      <c r="C37" s="36">
        <v>145715</v>
      </c>
      <c r="D37" s="36">
        <v>0</v>
      </c>
      <c r="E37" s="48"/>
      <c r="F37" s="48">
        <v>709870.17</v>
      </c>
      <c r="G37" s="49">
        <f t="shared" si="5"/>
        <v>0.20526992985210238</v>
      </c>
      <c r="H37" s="23">
        <f t="shared" si="8"/>
        <v>0</v>
      </c>
      <c r="I37" s="24">
        <f t="shared" si="8"/>
        <v>0</v>
      </c>
      <c r="J37" s="32" t="str" cm="1">
        <f t="array" ref="J37">IFERROR(_xlfn.IFS(B37="044 - BLEND TRADICION","BLEND",B37="113 - CAFÉ GOURMET","GOURMET",B37="114 - CAFÉ CONSUMO","CONSUMO",B37="112 - CAFÉ ORGANICO","GOURMET",B37="172 - CAFÉ COSECHA","ESPECIALES",B37="176 - CAFE DESCAFEINADO","GOURMET",B37="147 - CAPSULAS","CAPSULAS",B37="130 - GALLETAS CAFECITAS","DERIVADOS",B37="140 - MERENGUES","DERIVADOS",B37="100 - CAFÉ ESPECIAL","ESPECIALES",B37="141 - AREQUIPE","DERIVADOS",B37="142 - MERMELADA","DERIVADOS",B37="131 - GALLETAS AVENA","DERIVADOS",B37="160 - SOUVENIR","OTROS",B37="148 - CARAMELOS","DERIVADOS",B37="143 - CHOCOFFES","DERIVADOS",B37="162 - CONVENIOS Y DSC POS ","OTROS"),"OTROS")</f>
        <v>DERIVADOS</v>
      </c>
      <c r="L37" s="27">
        <f t="shared" si="2"/>
        <v>145715</v>
      </c>
      <c r="M37" s="27">
        <f t="shared" si="3"/>
        <v>145715</v>
      </c>
    </row>
    <row r="38" spans="1:13" ht="16.5" hidden="1" outlineLevel="1">
      <c r="A38" s="38"/>
      <c r="B38" s="39" t="s">
        <v>28</v>
      </c>
      <c r="C38" s="36">
        <v>137810</v>
      </c>
      <c r="D38" s="36">
        <v>0</v>
      </c>
      <c r="E38" s="48"/>
      <c r="F38" s="48">
        <v>926563.16</v>
      </c>
      <c r="G38" s="49">
        <f t="shared" si="5"/>
        <v>0.14873244043072034</v>
      </c>
      <c r="H38" s="23">
        <f t="shared" si="8"/>
        <v>0</v>
      </c>
      <c r="I38" s="24">
        <f t="shared" si="8"/>
        <v>0</v>
      </c>
      <c r="J38" s="32" t="str" cm="1">
        <f t="array" ref="J38">IFERROR(_xlfn.IFS(B38="044 - BLEND TRADICION","BLEND",B38="113 - CAFÉ GOURMET","GOURMET",B38="114 - CAFÉ CONSUMO","CONSUMO",B38="112 - CAFÉ ORGANICO","GOURMET",B38="172 - CAFÉ COSECHA","ESPECIALES",B38="176 - CAFE DESCAFEINADO","GOURMET",B38="147 - CAPSULAS","CAPSULAS",B38="130 - GALLETAS CAFECITAS","DERIVADOS",B38="140 - MERENGUES","DERIVADOS",B38="100 - CAFÉ ESPECIAL","ESPECIALES",B38="141 - AREQUIPE","DERIVADOS",B38="142 - MERMELADA","DERIVADOS",B38="131 - GALLETAS AVENA","DERIVADOS",B38="160 - SOUVENIR","OTROS",B38="148 - CARAMELOS","DERIVADOS",B38="143 - CHOCOFFES","DERIVADOS",B38="162 - CONVENIOS Y DSC POS ","OTROS"),"OTROS")</f>
        <v>OTROS</v>
      </c>
      <c r="L38" s="27">
        <f t="shared" si="2"/>
        <v>137810</v>
      </c>
      <c r="M38" s="27">
        <f t="shared" si="3"/>
        <v>137810</v>
      </c>
    </row>
    <row r="39" spans="1:13" ht="16.5" hidden="1" outlineLevel="1">
      <c r="A39" s="38"/>
      <c r="B39" s="39" t="s">
        <v>29</v>
      </c>
      <c r="C39" s="36">
        <v>0</v>
      </c>
      <c r="D39" s="36">
        <v>0</v>
      </c>
      <c r="E39" s="48"/>
      <c r="F39" s="48">
        <v>1035996.29</v>
      </c>
      <c r="G39" s="49">
        <f t="shared" si="5"/>
        <v>0</v>
      </c>
      <c r="H39" s="23">
        <f t="shared" si="8"/>
        <v>0</v>
      </c>
      <c r="I39" s="24">
        <f t="shared" si="8"/>
        <v>0</v>
      </c>
      <c r="J39" s="32" t="str" cm="1">
        <f t="array" ref="J39">IFERROR(_xlfn.IFS(B39="044 - BLEND TRADICION","BLEND",B39="113 - CAFÉ GOURMET","GOURMET",B39="114 - CAFÉ CONSUMO","CONSUMO",B39="112 - CAFÉ ORGANICO","GOURMET",B39="172 - CAFÉ COSECHA","ESPECIALES",B39="176 - CAFE DESCAFEINADO","GOURMET",B39="147 - CAPSULAS","CAPSULAS",B39="130 - GALLETAS CAFECITAS","DERIVADOS",B39="140 - MERENGUES","DERIVADOS",B39="100 - CAFÉ ESPECIAL","ESPECIALES",B39="141 - AREQUIPE","DERIVADOS",B39="142 - MERMELADA","DERIVADOS",B39="131 - GALLETAS AVENA","DERIVADOS",B39="160 - SOUVENIR","OTROS",B39="148 - CARAMELOS","DERIVADOS",B39="143 - CHOCOFFES","DERIVADOS",B39="162 - CONVENIOS Y DSC POS ","OTROS"),"OTROS")</f>
        <v>ESPECIALES</v>
      </c>
      <c r="L39" s="27">
        <f t="shared" si="2"/>
        <v>0</v>
      </c>
      <c r="M39" s="27">
        <f t="shared" si="3"/>
        <v>0</v>
      </c>
    </row>
    <row r="40" spans="1:13" ht="16.5" hidden="1" outlineLevel="1">
      <c r="A40" s="38"/>
      <c r="B40" s="39" t="s">
        <v>30</v>
      </c>
      <c r="C40" s="36">
        <v>63262</v>
      </c>
      <c r="D40" s="36">
        <v>0</v>
      </c>
      <c r="E40" s="48"/>
      <c r="F40" s="48">
        <v>573972.9</v>
      </c>
      <c r="G40" s="49">
        <f t="shared" si="5"/>
        <v>0.11021774721419773</v>
      </c>
      <c r="H40" s="23">
        <f t="shared" si="8"/>
        <v>0</v>
      </c>
      <c r="I40" s="24">
        <f t="shared" si="8"/>
        <v>0</v>
      </c>
      <c r="J40" s="32" t="str" cm="1">
        <f t="array" ref="J40">IFERROR(_xlfn.IFS(B40="044 - BLEND TRADICION","BLEND",B40="113 - CAFÉ GOURMET","GOURMET",B40="114 - CAFÉ CONSUMO","CONSUMO",B40="112 - CAFÉ ORGANICO","GOURMET",B40="172 - CAFÉ COSECHA","ESPECIALES",B40="176 - CAFE DESCAFEINADO","GOURMET",B40="147 - CAPSULAS","CAPSULAS",B40="130 - GALLETAS CAFECITAS","DERIVADOS",B40="140 - MERENGUES","DERIVADOS",B40="100 - CAFÉ ESPECIAL","ESPECIALES",B40="141 - AREQUIPE","DERIVADOS",B40="142 - MERMELADA","DERIVADOS",B40="131 - GALLETAS AVENA","DERIVADOS",B40="160 - SOUVENIR","OTROS",B40="148 - CARAMELOS","DERIVADOS",B40="143 - CHOCOFFES","DERIVADOS",B40="162 - CONVENIOS Y DSC POS ","OTROS"),"OTROS")</f>
        <v>GOURMET</v>
      </c>
      <c r="L40" s="27">
        <f t="shared" si="2"/>
        <v>63262</v>
      </c>
      <c r="M40" s="27">
        <f t="shared" si="3"/>
        <v>63262</v>
      </c>
    </row>
    <row r="41" spans="1:13" ht="16.5" hidden="1" outlineLevel="1">
      <c r="A41" s="19" t="s">
        <v>37</v>
      </c>
      <c r="B41" s="56" t="s">
        <v>32</v>
      </c>
      <c r="C41" s="54">
        <f>SUM(C27:C40)</f>
        <v>94381277</v>
      </c>
      <c r="D41" s="54">
        <f>SUM(D27:D40)</f>
        <v>-12225850</v>
      </c>
      <c r="E41" s="54">
        <f>SUM(E27:E40)</f>
        <v>0</v>
      </c>
      <c r="F41" s="54">
        <f>SUM(F27:F40)</f>
        <v>271870321.94</v>
      </c>
      <c r="G41" s="55">
        <f t="shared" si="5"/>
        <v>0.34715549798344419</v>
      </c>
      <c r="H41" s="23">
        <f t="shared" si="8"/>
        <v>-0.11468135709163234</v>
      </c>
      <c r="I41" s="24">
        <f t="shared" si="8"/>
        <v>0</v>
      </c>
      <c r="J41" s="32" t="str" cm="1">
        <f t="array" ref="J41">IFERROR(_xlfn.IFS(B41="044 - BLEND TRADICION","BLEND",B41="113 - CAFÉ GOURMET","GOURMET",B41="114 - CAFÉ CONSUMO","CONSUMO",B41="112 - CAFÉ ORGANICO","GOURMET",B41="172 - CAFÉ COSECHA","ESPECIALES",B41="176 - CAFE DESCAFEINADO","GOURMET",B41="147 - CAPSULAS","CAPSULAS",B41="130 - GALLETAS CAFECITAS","DERIVADOS",B41="140 - MERENGUES","DERIVADOS",B41="100 - CAFÉ ESPECIAL","ESPECIALES",B41="141 - AREQUIPE","DERIVADOS",B41="142 - MERMELADA","DERIVADOS",B41="131 - GALLETAS AVENA","DERIVADOS",B41="160 - SOUVENIR","OTROS",B41="148 - CARAMELOS","DERIVADOS",B41="143 - CHOCOFFES","DERIVADOS",B41="162 - CONVENIOS Y DSC POS ","OTROS"),"OTROS")</f>
        <v>OTROS</v>
      </c>
      <c r="L41" s="27">
        <f t="shared" si="2"/>
        <v>106607127</v>
      </c>
      <c r="M41" s="27">
        <f t="shared" si="3"/>
        <v>106607127</v>
      </c>
    </row>
    <row r="42" spans="1:13" ht="16.5" hidden="1" outlineLevel="1">
      <c r="A42" s="38"/>
      <c r="B42" s="39" t="s">
        <v>34</v>
      </c>
      <c r="C42" s="36">
        <v>0</v>
      </c>
      <c r="D42" s="36">
        <v>0</v>
      </c>
      <c r="E42" s="48">
        <v>0</v>
      </c>
      <c r="F42" s="48">
        <v>16995.71</v>
      </c>
      <c r="G42" s="49">
        <f t="shared" si="5"/>
        <v>0</v>
      </c>
      <c r="H42" s="23">
        <f t="shared" si="8"/>
        <v>0</v>
      </c>
      <c r="I42" s="24">
        <f t="shared" si="8"/>
        <v>0</v>
      </c>
      <c r="J42" s="32" t="str" cm="1">
        <f t="array" ref="J42">IFERROR(_xlfn.IFS(B42="044 - BLEND TRADICION","BLEND",B42="113 - CAFÉ GOURMET","GOURMET",B42="114 - CAFÉ CONSUMO","CONSUMO",B42="112 - CAFÉ ORGANICO","GOURMET",B42="172 - CAFÉ COSECHA","ESPECIALES",B42="176 - CAFE DESCAFEINADO","GOURMET",B42="147 - CAPSULAS","CAPSULAS",B42="130 - GALLETAS CAFECITAS","DERIVADOS",B42="140 - MERENGUES","DERIVADOS",B42="100 - CAFÉ ESPECIAL","ESPECIALES",B42="141 - AREQUIPE","DERIVADOS",B42="142 - MERMELADA","DERIVADOS",B42="131 - GALLETAS AVENA","DERIVADOS",B42="160 - SOUVENIR","OTROS",B42="148 - CARAMELOS","DERIVADOS",B42="143 - CHOCOFFES","DERIVADOS",B42="162 - CONVENIOS Y DSC POS ","OTROS"),"OTROS")</f>
        <v>OTROS</v>
      </c>
      <c r="L42" s="27">
        <f t="shared" si="2"/>
        <v>0</v>
      </c>
      <c r="M42" s="27">
        <f t="shared" si="3"/>
        <v>0</v>
      </c>
    </row>
    <row r="43" spans="1:13" ht="16.5" hidden="1" outlineLevel="1">
      <c r="A43" s="38"/>
      <c r="B43" s="39" t="s">
        <v>95</v>
      </c>
      <c r="C43" s="36">
        <v>82845</v>
      </c>
      <c r="D43" s="36">
        <v>-82846</v>
      </c>
      <c r="E43" s="48">
        <v>0</v>
      </c>
      <c r="F43" s="48">
        <v>0</v>
      </c>
      <c r="G43" s="49" t="str">
        <f t="shared" si="5"/>
        <v>-</v>
      </c>
      <c r="H43" s="23">
        <f t="shared" si="8"/>
        <v>-0.50000301766541333</v>
      </c>
      <c r="I43" s="24">
        <f t="shared" si="8"/>
        <v>0</v>
      </c>
      <c r="J43" s="32" t="str" cm="1">
        <f t="array" ref="J43">IFERROR(_xlfn.IFS(B43="044 - BLEND TRADICION","BLEND",B43="113 - CAFÉ GOURMET","GOURMET",B43="114 - CAFÉ CONSUMO","CONSUMO",B43="112 - CAFÉ ORGANICO","GOURMET",B43="172 - CAFÉ COSECHA","ESPECIALES",B43="176 - CAFE DESCAFEINADO","GOURMET",B43="147 - CAPSULAS","CAPSULAS",B43="130 - GALLETAS CAFECITAS","DERIVADOS",B43="140 - MERENGUES","DERIVADOS",B43="100 - CAFÉ ESPECIAL","ESPECIALES",B43="141 - AREQUIPE","DERIVADOS",B43="142 - MERMELADA","DERIVADOS",B43="131 - GALLETAS AVENA","DERIVADOS",B43="160 - SOUVENIR","OTROS",B43="148 - CARAMELOS","DERIVADOS",B43="143 - CHOCOFFES","DERIVADOS",B43="162 - CONVENIOS Y DSC POS ","OTROS"),"OTROS")</f>
        <v>OTROS</v>
      </c>
      <c r="L43" s="27">
        <f t="shared" si="2"/>
        <v>165691</v>
      </c>
      <c r="M43" s="27">
        <f t="shared" si="3"/>
        <v>165691</v>
      </c>
    </row>
    <row r="44" spans="1:13" ht="16.5" hidden="1" outlineLevel="1">
      <c r="A44" s="38"/>
      <c r="B44" s="39" t="s">
        <v>42</v>
      </c>
      <c r="C44" s="36">
        <v>348131</v>
      </c>
      <c r="D44" s="36">
        <v>0</v>
      </c>
      <c r="E44" s="48">
        <v>0</v>
      </c>
      <c r="F44" s="48">
        <v>0</v>
      </c>
      <c r="G44" s="49" t="str">
        <f t="shared" si="5"/>
        <v>-</v>
      </c>
      <c r="H44" s="23">
        <f t="shared" si="8"/>
        <v>0</v>
      </c>
      <c r="I44" s="24">
        <f t="shared" si="8"/>
        <v>0</v>
      </c>
      <c r="J44" s="32" t="str" cm="1">
        <f t="array" ref="J44">IFERROR(_xlfn.IFS(B44="044 - BLEND TRADICION","BLEND",B44="113 - CAFÉ GOURMET","GOURMET",B44="114 - CAFÉ CONSUMO","CONSUMO",B44="112 - CAFÉ ORGANICO","GOURMET",B44="172 - CAFÉ COSECHA","ESPECIALES",B44="176 - CAFE DESCAFEINADO","GOURMET",B44="147 - CAPSULAS","CAPSULAS",B44="130 - GALLETAS CAFECITAS","DERIVADOS",B44="140 - MERENGUES","DERIVADOS",B44="100 - CAFÉ ESPECIAL","ESPECIALES",B44="141 - AREQUIPE","DERIVADOS",B44="142 - MERMELADA","DERIVADOS",B44="131 - GALLETAS AVENA","DERIVADOS",B44="160 - SOUVENIR","OTROS",B44="148 - CARAMELOS","DERIVADOS",B44="143 - CHOCOFFES","DERIVADOS",B44="162 - CONVENIOS Y DSC POS ","OTROS"),"OTROS")</f>
        <v>OTROS</v>
      </c>
      <c r="L44" s="27">
        <f t="shared" si="2"/>
        <v>348131</v>
      </c>
      <c r="M44" s="27">
        <f t="shared" si="3"/>
        <v>348131</v>
      </c>
    </row>
    <row r="45" spans="1:13" ht="16.5" hidden="1" outlineLevel="1">
      <c r="A45" s="38"/>
      <c r="B45" s="39" t="s">
        <v>18</v>
      </c>
      <c r="C45" s="36">
        <v>0</v>
      </c>
      <c r="D45" s="36">
        <v>0</v>
      </c>
      <c r="E45" s="48">
        <v>0</v>
      </c>
      <c r="F45" s="48">
        <v>89635.4</v>
      </c>
      <c r="G45" s="49">
        <f t="shared" si="5"/>
        <v>0</v>
      </c>
      <c r="H45" s="23">
        <f t="shared" si="8"/>
        <v>0</v>
      </c>
      <c r="I45" s="24">
        <f t="shared" si="8"/>
        <v>0</v>
      </c>
      <c r="J45" s="32" t="str" cm="1">
        <f t="array" ref="J45">IFERROR(_xlfn.IFS(B45="044 - BLEND TRADICION","BLEND",B45="113 - CAFÉ GOURMET","GOURMET",B45="114 - CAFÉ CONSUMO","CONSUMO",B45="112 - CAFÉ ORGANICO","GOURMET",B45="172 - CAFÉ COSECHA","ESPECIALES",B45="176 - CAFE DESCAFEINADO","GOURMET",B45="147 - CAPSULAS","CAPSULAS",B45="130 - GALLETAS CAFECITAS","DERIVADOS",B45="140 - MERENGUES","DERIVADOS",B45="100 - CAFÉ ESPECIAL","ESPECIALES",B45="141 - AREQUIPE","DERIVADOS",B45="142 - MERMELADA","DERIVADOS",B45="131 - GALLETAS AVENA","DERIVADOS",B45="160 - SOUVENIR","OTROS",B45="148 - CARAMELOS","DERIVADOS",B45="143 - CHOCOFFES","DERIVADOS",B45="162 - CONVENIOS Y DSC POS ","OTROS"),"OTROS")</f>
        <v>BLEND</v>
      </c>
      <c r="L45" s="27">
        <f t="shared" si="2"/>
        <v>0</v>
      </c>
      <c r="M45" s="27">
        <f t="shared" si="3"/>
        <v>0</v>
      </c>
    </row>
    <row r="46" spans="1:13" ht="16.5" hidden="1" outlineLevel="1">
      <c r="A46" s="38"/>
      <c r="B46" s="39" t="s">
        <v>36</v>
      </c>
      <c r="C46" s="36">
        <v>15646</v>
      </c>
      <c r="D46" s="36">
        <v>0</v>
      </c>
      <c r="E46" s="48"/>
      <c r="F46" s="48">
        <v>0</v>
      </c>
      <c r="G46" s="49" t="str">
        <f t="shared" ref="G46:G54" si="9">IFERROR(C46/F46*100%,"-")</f>
        <v>-</v>
      </c>
      <c r="H46" s="23">
        <f t="shared" ref="H46:H54" si="10">IFERROR(+D46/L46*100%,0)</f>
        <v>0</v>
      </c>
      <c r="I46" s="24">
        <f t="shared" ref="I46:I54" si="11">IFERROR(+E46/M46*100%,0)</f>
        <v>0</v>
      </c>
      <c r="J46" s="32" t="str" cm="1">
        <f t="array" ref="J46">IFERROR(_xlfn.IFS(B46="044 - BLEND TRADICION","BLEND",B46="113 - CAFÉ GOURMET","GOURMET",B46="114 - CAFÉ CONSUMO","CONSUMO",B46="112 - CAFÉ ORGANICO","GOURMET",B46="172 - CAFÉ COSECHA","ESPECIALES",B46="176 - CAFE DESCAFEINADO","GOURMET",B46="147 - CAPSULAS","CAPSULAS",B46="130 - GALLETAS CAFECITAS","DERIVADOS",B46="140 - MERENGUES","DERIVADOS",B46="100 - CAFÉ ESPECIAL","ESPECIALES",B46="141 - AREQUIPE","DERIVADOS",B46="142 - MERMELADA","DERIVADOS",B46="131 - GALLETAS AVENA","DERIVADOS",B46="160 - SOUVENIR","OTROS",B46="148 - CARAMELOS","DERIVADOS",B46="143 - CHOCOFFES","DERIVADOS",B46="162 - CONVENIOS Y DSC POS ","OTROS"),"OTROS")</f>
        <v>OTROS</v>
      </c>
      <c r="L46" s="27">
        <f t="shared" ref="L46:L54" si="12">C46-(D46+E46)</f>
        <v>15646</v>
      </c>
      <c r="M46" s="27">
        <f t="shared" ref="M46:M54" si="13">L46</f>
        <v>15646</v>
      </c>
    </row>
    <row r="47" spans="1:13" ht="16.5" hidden="1" outlineLevel="1">
      <c r="A47" s="38"/>
      <c r="B47" s="39" t="s">
        <v>19</v>
      </c>
      <c r="C47" s="36">
        <v>0</v>
      </c>
      <c r="D47" s="36">
        <v>0</v>
      </c>
      <c r="E47" s="48"/>
      <c r="F47" s="48">
        <v>94237.05</v>
      </c>
      <c r="G47" s="49">
        <f t="shared" si="9"/>
        <v>0</v>
      </c>
      <c r="H47" s="23">
        <f t="shared" si="10"/>
        <v>0</v>
      </c>
      <c r="I47" s="24">
        <f t="shared" si="11"/>
        <v>0</v>
      </c>
      <c r="J47" s="32" t="str" cm="1">
        <f t="array" ref="J47">IFERROR(_xlfn.IFS(B47="044 - BLEND TRADICION","BLEND",B47="113 - CAFÉ GOURMET","GOURMET",B47="114 - CAFÉ CONSUMO","CONSUMO",B47="112 - CAFÉ ORGANICO","GOURMET",B47="172 - CAFÉ COSECHA","ESPECIALES",B47="176 - CAFE DESCAFEINADO","GOURMET",B47="147 - CAPSULAS","CAPSULAS",B47="130 - GALLETAS CAFECITAS","DERIVADOS",B47="140 - MERENGUES","DERIVADOS",B47="100 - CAFÉ ESPECIAL","ESPECIALES",B47="141 - AREQUIPE","DERIVADOS",B47="142 - MERMELADA","DERIVADOS",B47="131 - GALLETAS AVENA","DERIVADOS",B47="160 - SOUVENIR","OTROS",B47="148 - CARAMELOS","DERIVADOS",B47="143 - CHOCOFFES","DERIVADOS",B47="162 - CONVENIOS Y DSC POS ","OTROS"),"OTROS")</f>
        <v>ESPECIALES</v>
      </c>
      <c r="L47" s="27">
        <f t="shared" si="12"/>
        <v>0</v>
      </c>
      <c r="M47" s="27">
        <f t="shared" si="13"/>
        <v>0</v>
      </c>
    </row>
    <row r="48" spans="1:13" ht="16.5" hidden="1" outlineLevel="1">
      <c r="A48" s="38"/>
      <c r="B48" s="39" t="s">
        <v>20</v>
      </c>
      <c r="C48" s="36">
        <v>0</v>
      </c>
      <c r="D48" s="36">
        <v>0</v>
      </c>
      <c r="E48" s="48"/>
      <c r="F48" s="48">
        <v>136038.93</v>
      </c>
      <c r="G48" s="49">
        <f t="shared" si="9"/>
        <v>0</v>
      </c>
      <c r="H48" s="23">
        <f t="shared" si="10"/>
        <v>0</v>
      </c>
      <c r="I48" s="24">
        <f t="shared" si="11"/>
        <v>0</v>
      </c>
      <c r="J48" s="32" t="str" cm="1">
        <f t="array" ref="J48">IFERROR(_xlfn.IFS(B48="044 - BLEND TRADICION","BLEND",B48="113 - CAFÉ GOURMET","GOURMET",B48="114 - CAFÉ CONSUMO","CONSUMO",B48="112 - CAFÉ ORGANICO","GOURMET",B48="172 - CAFÉ COSECHA","ESPECIALES",B48="176 - CAFE DESCAFEINADO","GOURMET",B48="147 - CAPSULAS","CAPSULAS",B48="130 - GALLETAS CAFECITAS","DERIVADOS",B48="140 - MERENGUES","DERIVADOS",B48="100 - CAFÉ ESPECIAL","ESPECIALES",B48="141 - AREQUIPE","DERIVADOS",B48="142 - MERMELADA","DERIVADOS",B48="131 - GALLETAS AVENA","DERIVADOS",B48="160 - SOUVENIR","OTROS",B48="148 - CARAMELOS","DERIVADOS",B48="143 - CHOCOFFES","DERIVADOS",B48="162 - CONVENIOS Y DSC POS ","OTROS"),"OTROS")</f>
        <v>GOURMET</v>
      </c>
      <c r="L48" s="27">
        <f t="shared" si="12"/>
        <v>0</v>
      </c>
      <c r="M48" s="27">
        <f t="shared" si="13"/>
        <v>0</v>
      </c>
    </row>
    <row r="49" spans="1:13" ht="16.5" hidden="1" outlineLevel="1">
      <c r="A49" s="38"/>
      <c r="B49" s="39" t="s">
        <v>21</v>
      </c>
      <c r="C49" s="36">
        <v>15292050</v>
      </c>
      <c r="D49" s="36">
        <v>0</v>
      </c>
      <c r="E49" s="48"/>
      <c r="F49" s="48">
        <v>69823497.540000007</v>
      </c>
      <c r="G49" s="49">
        <f t="shared" si="9"/>
        <v>0.21901008312050818</v>
      </c>
      <c r="H49" s="23">
        <f t="shared" si="10"/>
        <v>0</v>
      </c>
      <c r="I49" s="24">
        <f t="shared" si="11"/>
        <v>0</v>
      </c>
      <c r="J49" s="32" t="str" cm="1">
        <f t="array" ref="J49">IFERROR(_xlfn.IFS(B49="044 - BLEND TRADICION","BLEND",B49="113 - CAFÉ GOURMET","GOURMET",B49="114 - CAFÉ CONSUMO","CONSUMO",B49="112 - CAFÉ ORGANICO","GOURMET",B49="172 - CAFÉ COSECHA","ESPECIALES",B49="176 - CAFE DESCAFEINADO","GOURMET",B49="147 - CAPSULAS","CAPSULAS",B49="130 - GALLETAS CAFECITAS","DERIVADOS",B49="140 - MERENGUES","DERIVADOS",B49="100 - CAFÉ ESPECIAL","ESPECIALES",B49="141 - AREQUIPE","DERIVADOS",B49="142 - MERMELADA","DERIVADOS",B49="131 - GALLETAS AVENA","DERIVADOS",B49="160 - SOUVENIR","OTROS",B49="148 - CARAMELOS","DERIVADOS",B49="143 - CHOCOFFES","DERIVADOS",B49="162 - CONVENIOS Y DSC POS ","OTROS"),"OTROS")</f>
        <v>GOURMET</v>
      </c>
      <c r="L49" s="27">
        <f t="shared" si="12"/>
        <v>15292050</v>
      </c>
      <c r="M49" s="27">
        <f t="shared" si="13"/>
        <v>15292050</v>
      </c>
    </row>
    <row r="50" spans="1:13" ht="16.5" hidden="1" outlineLevel="1">
      <c r="A50" s="38"/>
      <c r="B50" s="39" t="s">
        <v>38</v>
      </c>
      <c r="C50" s="36">
        <v>2872023</v>
      </c>
      <c r="D50" s="36">
        <v>0</v>
      </c>
      <c r="E50" s="48"/>
      <c r="F50" s="48">
        <v>14106647.08</v>
      </c>
      <c r="G50" s="49">
        <f t="shared" si="9"/>
        <v>0.20359359553779949</v>
      </c>
      <c r="H50" s="23">
        <f t="shared" si="10"/>
        <v>0</v>
      </c>
      <c r="I50" s="24">
        <f t="shared" si="11"/>
        <v>0</v>
      </c>
      <c r="J50" s="32" t="str" cm="1">
        <f t="array" ref="J50">IFERROR(_xlfn.IFS(B50="044 - BLEND TRADICION","BLEND",B50="113 - CAFÉ GOURMET","GOURMET",B50="114 - CAFÉ CONSUMO","CONSUMO",B50="112 - CAFÉ ORGANICO","GOURMET",B50="172 - CAFÉ COSECHA","ESPECIALES",B50="176 - CAFE DESCAFEINADO","GOURMET",B50="147 - CAPSULAS","CAPSULAS",B50="130 - GALLETAS CAFECITAS","DERIVADOS",B50="140 - MERENGUES","DERIVADOS",B50="100 - CAFÉ ESPECIAL","ESPECIALES",B50="141 - AREQUIPE","DERIVADOS",B50="142 - MERMELADA","DERIVADOS",B50="131 - GALLETAS AVENA","DERIVADOS",B50="160 - SOUVENIR","OTROS",B50="148 - CARAMELOS","DERIVADOS",B50="143 - CHOCOFFES","DERIVADOS",B50="162 - CONVENIOS Y DSC POS ","OTROS"),"OTROS")</f>
        <v>CONSUMO</v>
      </c>
      <c r="L50" s="27">
        <f t="shared" si="12"/>
        <v>2872023</v>
      </c>
      <c r="M50" s="27">
        <f t="shared" si="13"/>
        <v>2872023</v>
      </c>
    </row>
    <row r="51" spans="1:13" ht="16.5" hidden="1" outlineLevel="1">
      <c r="A51" s="38"/>
      <c r="B51" s="39" t="s">
        <v>22</v>
      </c>
      <c r="C51" s="36">
        <v>727297</v>
      </c>
      <c r="D51" s="36">
        <v>0</v>
      </c>
      <c r="E51" s="48"/>
      <c r="F51" s="48">
        <v>2927476.03</v>
      </c>
      <c r="G51" s="49">
        <f t="shared" si="9"/>
        <v>0.24843824254984592</v>
      </c>
      <c r="H51" s="23">
        <f t="shared" si="10"/>
        <v>0</v>
      </c>
      <c r="I51" s="24">
        <f t="shared" si="11"/>
        <v>0</v>
      </c>
      <c r="J51" s="32" t="str" cm="1">
        <f t="array" ref="J51">IFERROR(_xlfn.IFS(B51="044 - BLEND TRADICION","BLEND",B51="113 - CAFÉ GOURMET","GOURMET",B51="114 - CAFÉ CONSUMO","CONSUMO",B51="112 - CAFÉ ORGANICO","GOURMET",B51="172 - CAFÉ COSECHA","ESPECIALES",B51="176 - CAFE DESCAFEINADO","GOURMET",B51="147 - CAPSULAS","CAPSULAS",B51="130 - GALLETAS CAFECITAS","DERIVADOS",B51="140 - MERENGUES","DERIVADOS",B51="100 - CAFÉ ESPECIAL","ESPECIALES",B51="141 - AREQUIPE","DERIVADOS",B51="142 - MERMELADA","DERIVADOS",B51="131 - GALLETAS AVENA","DERIVADOS",B51="160 - SOUVENIR","OTROS",B51="148 - CARAMELOS","DERIVADOS",B51="143 - CHOCOFFES","DERIVADOS",B51="162 - CONVENIOS Y DSC POS ","OTROS"),"OTROS")</f>
        <v>DERIVADOS</v>
      </c>
      <c r="L51" s="27">
        <f t="shared" si="12"/>
        <v>727297</v>
      </c>
      <c r="M51" s="27">
        <f t="shared" si="13"/>
        <v>727297</v>
      </c>
    </row>
    <row r="52" spans="1:13" ht="16.5" hidden="1" outlineLevel="1">
      <c r="A52" s="38"/>
      <c r="B52" s="39" t="s">
        <v>23</v>
      </c>
      <c r="C52" s="36">
        <v>59660</v>
      </c>
      <c r="D52" s="36">
        <v>0</v>
      </c>
      <c r="E52" s="48"/>
      <c r="F52" s="48">
        <v>256078.41</v>
      </c>
      <c r="G52" s="49">
        <f t="shared" si="9"/>
        <v>0.2329755171472675</v>
      </c>
      <c r="H52" s="23">
        <f t="shared" si="10"/>
        <v>0</v>
      </c>
      <c r="I52" s="24">
        <f t="shared" si="11"/>
        <v>0</v>
      </c>
      <c r="J52" s="32" t="str" cm="1">
        <f t="array" ref="J52">IFERROR(_xlfn.IFS(B52="044 - BLEND TRADICION","BLEND",B52="113 - CAFÉ GOURMET","GOURMET",B52="114 - CAFÉ CONSUMO","CONSUMO",B52="112 - CAFÉ ORGANICO","GOURMET",B52="172 - CAFÉ COSECHA","ESPECIALES",B52="176 - CAFE DESCAFEINADO","GOURMET",B52="147 - CAPSULAS","CAPSULAS",B52="130 - GALLETAS CAFECITAS","DERIVADOS",B52="140 - MERENGUES","DERIVADOS",B52="100 - CAFÉ ESPECIAL","ESPECIALES",B52="141 - AREQUIPE","DERIVADOS",B52="142 - MERMELADA","DERIVADOS",B52="131 - GALLETAS AVENA","DERIVADOS",B52="160 - SOUVENIR","OTROS",B52="148 - CARAMELOS","DERIVADOS",B52="143 - CHOCOFFES","DERIVADOS",B52="162 - CONVENIOS Y DSC POS ","OTROS"),"OTROS")</f>
        <v>DERIVADOS</v>
      </c>
      <c r="L52" s="27">
        <f t="shared" si="12"/>
        <v>59660</v>
      </c>
      <c r="M52" s="27">
        <f t="shared" si="13"/>
        <v>59660</v>
      </c>
    </row>
    <row r="53" spans="1:13" ht="16.5" hidden="1" outlineLevel="1">
      <c r="A53" s="38"/>
      <c r="B53" s="39" t="s">
        <v>24</v>
      </c>
      <c r="C53" s="36">
        <v>91104</v>
      </c>
      <c r="D53" s="36">
        <v>0</v>
      </c>
      <c r="E53" s="48"/>
      <c r="F53" s="48">
        <v>589663.42000000004</v>
      </c>
      <c r="G53" s="49">
        <f t="shared" si="9"/>
        <v>0.15450169861308335</v>
      </c>
      <c r="H53" s="23">
        <f t="shared" si="10"/>
        <v>0</v>
      </c>
      <c r="I53" s="24">
        <f t="shared" si="11"/>
        <v>0</v>
      </c>
      <c r="J53" s="32" t="str" cm="1">
        <f t="array" ref="J53">IFERROR(_xlfn.IFS(B53="044 - BLEND TRADICION","BLEND",B53="113 - CAFÉ GOURMET","GOURMET",B53="114 - CAFÉ CONSUMO","CONSUMO",B53="112 - CAFÉ ORGANICO","GOURMET",B53="172 - CAFÉ COSECHA","ESPECIALES",B53="176 - CAFE DESCAFEINADO","GOURMET",B53="147 - CAPSULAS","CAPSULAS",B53="130 - GALLETAS CAFECITAS","DERIVADOS",B53="140 - MERENGUES","DERIVADOS",B53="100 - CAFÉ ESPECIAL","ESPECIALES",B53="141 - AREQUIPE","DERIVADOS",B53="142 - MERMELADA","DERIVADOS",B53="131 - GALLETAS AVENA","DERIVADOS",B53="160 - SOUVENIR","OTROS",B53="148 - CARAMELOS","DERIVADOS",B53="143 - CHOCOFFES","DERIVADOS",B53="162 - CONVENIOS Y DSC POS ","OTROS"),"OTROS")</f>
        <v>DERIVADOS</v>
      </c>
      <c r="L53" s="27">
        <f t="shared" si="12"/>
        <v>91104</v>
      </c>
      <c r="M53" s="27">
        <f t="shared" si="13"/>
        <v>91104</v>
      </c>
    </row>
    <row r="54" spans="1:13" ht="16.5" hidden="1" outlineLevel="1">
      <c r="A54" s="38"/>
      <c r="B54" s="39" t="s">
        <v>25</v>
      </c>
      <c r="C54" s="36">
        <v>13114</v>
      </c>
      <c r="D54" s="36">
        <v>0</v>
      </c>
      <c r="E54" s="48"/>
      <c r="F54" s="48">
        <v>1309142.77</v>
      </c>
      <c r="G54" s="49">
        <f t="shared" si="9"/>
        <v>1.0017242046106246E-2</v>
      </c>
      <c r="H54" s="23">
        <f t="shared" si="10"/>
        <v>0</v>
      </c>
      <c r="I54" s="24">
        <f t="shared" si="11"/>
        <v>0</v>
      </c>
      <c r="J54" s="32" t="str" cm="1">
        <f t="array" ref="J54">IFERROR(_xlfn.IFS(B54="044 - BLEND TRADICION","BLEND",B54="113 - CAFÉ GOURMET","GOURMET",B54="114 - CAFÉ CONSUMO","CONSUMO",B54="112 - CAFÉ ORGANICO","GOURMET",B54="172 - CAFÉ COSECHA","ESPECIALES",B54="176 - CAFE DESCAFEINADO","GOURMET",B54="147 - CAPSULAS","CAPSULAS",B54="130 - GALLETAS CAFECITAS","DERIVADOS",B54="140 - MERENGUES","DERIVADOS",B54="100 - CAFÉ ESPECIAL","ESPECIALES",B54="141 - AREQUIPE","DERIVADOS",B54="142 - MERMELADA","DERIVADOS",B54="131 - GALLETAS AVENA","DERIVADOS",B54="160 - SOUVENIR","OTROS",B54="148 - CARAMELOS","DERIVADOS",B54="143 - CHOCOFFES","DERIVADOS",B54="162 - CONVENIOS Y DSC POS ","OTROS"),"OTROS")</f>
        <v>DERIVADOS</v>
      </c>
      <c r="L54" s="27">
        <f t="shared" si="12"/>
        <v>13114</v>
      </c>
      <c r="M54" s="27">
        <f t="shared" si="13"/>
        <v>13114</v>
      </c>
    </row>
    <row r="55" spans="1:13" ht="16.5" hidden="1" outlineLevel="1">
      <c r="A55" s="38"/>
      <c r="B55" s="39" t="s">
        <v>26</v>
      </c>
      <c r="C55" s="36">
        <v>2310794</v>
      </c>
      <c r="D55" s="36">
        <v>0</v>
      </c>
      <c r="E55" s="48"/>
      <c r="F55" s="48">
        <v>11209211.369999999</v>
      </c>
      <c r="G55" s="49">
        <f t="shared" si="5"/>
        <v>0.20615134497191662</v>
      </c>
      <c r="H55" s="23">
        <f t="shared" si="8"/>
        <v>0</v>
      </c>
      <c r="I55" s="24">
        <f t="shared" si="8"/>
        <v>0</v>
      </c>
      <c r="J55" s="32" t="str" cm="1">
        <f t="array" ref="J55">IFERROR(_xlfn.IFS(B55="044 - BLEND TRADICION","BLEND",B55="113 - CAFÉ GOURMET","GOURMET",B55="114 - CAFÉ CONSUMO","CONSUMO",B55="112 - CAFÉ ORGANICO","GOURMET",B55="172 - CAFÉ COSECHA","ESPECIALES",B55="176 - CAFE DESCAFEINADO","GOURMET",B55="147 - CAPSULAS","CAPSULAS",B55="130 - GALLETAS CAFECITAS","DERIVADOS",B55="140 - MERENGUES","DERIVADOS",B55="100 - CAFÉ ESPECIAL","ESPECIALES",B55="141 - AREQUIPE","DERIVADOS",B55="142 - MERMELADA","DERIVADOS",B55="131 - GALLETAS AVENA","DERIVADOS",B55="160 - SOUVENIR","OTROS",B55="148 - CARAMELOS","DERIVADOS",B55="143 - CHOCOFFES","DERIVADOS",B55="162 - CONVENIOS Y DSC POS ","OTROS"),"OTROS")</f>
        <v>CAPSULAS</v>
      </c>
      <c r="L55" s="27">
        <f t="shared" si="2"/>
        <v>2310794</v>
      </c>
      <c r="M55" s="27">
        <f t="shared" si="3"/>
        <v>2310794</v>
      </c>
    </row>
    <row r="56" spans="1:13" ht="16.5" hidden="1" outlineLevel="1">
      <c r="A56" s="38"/>
      <c r="B56" s="39" t="s">
        <v>27</v>
      </c>
      <c r="C56" s="36">
        <v>291431</v>
      </c>
      <c r="D56" s="36">
        <v>0</v>
      </c>
      <c r="E56" s="48" t="s">
        <v>94</v>
      </c>
      <c r="F56" s="48">
        <v>1035181.45</v>
      </c>
      <c r="G56" s="49">
        <f t="shared" si="5"/>
        <v>0.28152648987286238</v>
      </c>
      <c r="H56" s="23">
        <f t="shared" si="8"/>
        <v>0</v>
      </c>
      <c r="I56" s="24">
        <f t="shared" si="8"/>
        <v>0</v>
      </c>
      <c r="J56" s="32" t="str" cm="1">
        <f t="array" ref="J56">IFERROR(_xlfn.IFS(B56="044 - BLEND TRADICION","BLEND",B56="113 - CAFÉ GOURMET","GOURMET",B56="114 - CAFÉ CONSUMO","CONSUMO",B56="112 - CAFÉ ORGANICO","GOURMET",B56="172 - CAFÉ COSECHA","ESPECIALES",B56="176 - CAFE DESCAFEINADO","GOURMET",B56="147 - CAPSULAS","CAPSULAS",B56="130 - GALLETAS CAFECITAS","DERIVADOS",B56="140 - MERENGUES","DERIVADOS",B56="100 - CAFÉ ESPECIAL","ESPECIALES",B56="141 - AREQUIPE","DERIVADOS",B56="142 - MERMELADA","DERIVADOS",B56="131 - GALLETAS AVENA","DERIVADOS",B56="160 - SOUVENIR","OTROS",B56="148 - CARAMELOS","DERIVADOS",B56="143 - CHOCOFFES","DERIVADOS",B56="162 - CONVENIOS Y DSC POS ","OTROS"),"OTROS")</f>
        <v>DERIVADOS</v>
      </c>
      <c r="L56" s="27" t="e">
        <f t="shared" si="2"/>
        <v>#VALUE!</v>
      </c>
      <c r="M56" s="27" t="e">
        <f t="shared" si="3"/>
        <v>#VALUE!</v>
      </c>
    </row>
    <row r="57" spans="1:13" ht="16.5" hidden="1" outlineLevel="1">
      <c r="A57" s="38"/>
      <c r="B57" s="39" t="s">
        <v>28</v>
      </c>
      <c r="C57" s="36">
        <v>0</v>
      </c>
      <c r="D57" s="36">
        <v>0</v>
      </c>
      <c r="E57" s="48"/>
      <c r="F57" s="48">
        <v>11765277.34</v>
      </c>
      <c r="G57" s="49">
        <f t="shared" si="5"/>
        <v>0</v>
      </c>
      <c r="H57" s="23">
        <f t="shared" si="8"/>
        <v>0</v>
      </c>
      <c r="I57" s="24">
        <f t="shared" si="8"/>
        <v>0</v>
      </c>
      <c r="J57" s="32" t="str" cm="1">
        <f t="array" ref="J57">IFERROR(_xlfn.IFS(B57="044 - BLEND TRADICION","BLEND",B57="113 - CAFÉ GOURMET","GOURMET",B57="114 - CAFÉ CONSUMO","CONSUMO",B57="112 - CAFÉ ORGANICO","GOURMET",B57="172 - CAFÉ COSECHA","ESPECIALES",B57="176 - CAFE DESCAFEINADO","GOURMET",B57="147 - CAPSULAS","CAPSULAS",B57="130 - GALLETAS CAFECITAS","DERIVADOS",B57="140 - MERENGUES","DERIVADOS",B57="100 - CAFÉ ESPECIAL","ESPECIALES",B57="141 - AREQUIPE","DERIVADOS",B57="142 - MERMELADA","DERIVADOS",B57="131 - GALLETAS AVENA","DERIVADOS",B57="160 - SOUVENIR","OTROS",B57="148 - CARAMELOS","DERIVADOS",B57="143 - CHOCOFFES","DERIVADOS",B57="162 - CONVENIOS Y DSC POS ","OTROS"),"OTROS")</f>
        <v>OTROS</v>
      </c>
      <c r="L57" s="27">
        <f t="shared" si="2"/>
        <v>0</v>
      </c>
      <c r="M57" s="27">
        <f t="shared" si="3"/>
        <v>0</v>
      </c>
    </row>
    <row r="58" spans="1:13" ht="16.5" hidden="1" outlineLevel="1">
      <c r="A58" s="38"/>
      <c r="B58" s="39" t="s">
        <v>39</v>
      </c>
      <c r="C58" s="36">
        <v>60390</v>
      </c>
      <c r="D58" s="36">
        <v>0</v>
      </c>
      <c r="E58" s="48"/>
      <c r="F58" s="48">
        <v>0</v>
      </c>
      <c r="G58" s="49" t="str">
        <f t="shared" si="5"/>
        <v>-</v>
      </c>
      <c r="H58" s="23">
        <f t="shared" si="8"/>
        <v>0</v>
      </c>
      <c r="I58" s="24">
        <f t="shared" si="8"/>
        <v>0</v>
      </c>
      <c r="J58" s="32" t="str" cm="1">
        <f t="array" ref="J58">IFERROR(_xlfn.IFS(B58="044 - BLEND TRADICION","BLEND",B58="113 - CAFÉ GOURMET","GOURMET",B58="114 - CAFÉ CONSUMO","CONSUMO",B58="112 - CAFÉ ORGANICO","GOURMET",B58="172 - CAFÉ COSECHA","ESPECIALES",B58="176 - CAFE DESCAFEINADO","GOURMET",B58="147 - CAPSULAS","CAPSULAS",B58="130 - GALLETAS CAFECITAS","DERIVADOS",B58="140 - MERENGUES","DERIVADOS",B58="100 - CAFÉ ESPECIAL","ESPECIALES",B58="141 - AREQUIPE","DERIVADOS",B58="142 - MERMELADA","DERIVADOS",B58="131 - GALLETAS AVENA","DERIVADOS",B58="160 - SOUVENIR","OTROS",B58="148 - CARAMELOS","DERIVADOS",B58="143 - CHOCOFFES","DERIVADOS",B58="162 - CONVENIOS Y DSC POS ","OTROS"),"OTROS")</f>
        <v>OTROS</v>
      </c>
      <c r="L58" s="27">
        <f t="shared" si="2"/>
        <v>60390</v>
      </c>
      <c r="M58" s="27">
        <f t="shared" si="3"/>
        <v>60390</v>
      </c>
    </row>
    <row r="59" spans="1:13" ht="16.5" hidden="1" outlineLevel="1">
      <c r="A59" s="38"/>
      <c r="B59" s="39" t="s">
        <v>29</v>
      </c>
      <c r="C59" s="36">
        <v>646680</v>
      </c>
      <c r="D59" s="36">
        <v>0</v>
      </c>
      <c r="E59" s="48"/>
      <c r="F59" s="48">
        <v>4920564.09</v>
      </c>
      <c r="G59" s="49">
        <f t="shared" si="5"/>
        <v>0.13142395631310638</v>
      </c>
      <c r="H59" s="23">
        <f t="shared" si="8"/>
        <v>0</v>
      </c>
      <c r="I59" s="24">
        <f t="shared" si="8"/>
        <v>0</v>
      </c>
      <c r="J59" s="32" t="str" cm="1">
        <f t="array" ref="J59">IFERROR(_xlfn.IFS(B59="044 - BLEND TRADICION","BLEND",B59="113 - CAFÉ GOURMET","GOURMET",B59="114 - CAFÉ CONSUMO","CONSUMO",B59="112 - CAFÉ ORGANICO","GOURMET",B59="172 - CAFÉ COSECHA","ESPECIALES",B59="176 - CAFE DESCAFEINADO","GOURMET",B59="147 - CAPSULAS","CAPSULAS",B59="130 - GALLETAS CAFECITAS","DERIVADOS",B59="140 - MERENGUES","DERIVADOS",B59="100 - CAFÉ ESPECIAL","ESPECIALES",B59="141 - AREQUIPE","DERIVADOS",B59="142 - MERMELADA","DERIVADOS",B59="131 - GALLETAS AVENA","DERIVADOS",B59="160 - SOUVENIR","OTROS",B59="148 - CARAMELOS","DERIVADOS",B59="143 - CHOCOFFES","DERIVADOS",B59="162 - CONVENIOS Y DSC POS ","OTROS"),"OTROS")</f>
        <v>ESPECIALES</v>
      </c>
      <c r="L59" s="27">
        <f t="shared" si="2"/>
        <v>646680</v>
      </c>
      <c r="M59" s="27">
        <f t="shared" si="3"/>
        <v>646680</v>
      </c>
    </row>
    <row r="60" spans="1:13" ht="16.5" hidden="1" outlineLevel="1">
      <c r="A60" s="19" t="s">
        <v>40</v>
      </c>
      <c r="B60" s="56" t="s">
        <v>32</v>
      </c>
      <c r="C60" s="54">
        <f>SUM(C42:C59)</f>
        <v>22811165</v>
      </c>
      <c r="D60" s="54">
        <f>SUM(D42:D59)</f>
        <v>-82846</v>
      </c>
      <c r="E60" s="54">
        <f>SUM(E42:E59)</f>
        <v>0</v>
      </c>
      <c r="F60" s="54">
        <f>SUM(F42:F59)</f>
        <v>118279646.59000002</v>
      </c>
      <c r="G60" s="55">
        <f t="shared" si="5"/>
        <v>0.1928579063063296</v>
      </c>
      <c r="H60" s="23">
        <f t="shared" si="8"/>
        <v>-3.6186756440363377E-3</v>
      </c>
      <c r="I60" s="24">
        <f t="shared" si="8"/>
        <v>0</v>
      </c>
      <c r="J60" s="32" t="str" cm="1">
        <f t="array" ref="J60">IFERROR(_xlfn.IFS(B60="044 - BLEND TRADICION","BLEND",B60="113 - CAFÉ GOURMET","GOURMET",B60="114 - CAFÉ CONSUMO","CONSUMO",B60="112 - CAFÉ ORGANICO","GOURMET",B60="172 - CAFÉ COSECHA","ESPECIALES",B60="176 - CAFE DESCAFEINADO","GOURMET",B60="147 - CAPSULAS","CAPSULAS",B60="130 - GALLETAS CAFECITAS","DERIVADOS",B60="140 - MERENGUES","DERIVADOS",B60="100 - CAFÉ ESPECIAL","ESPECIALES",B60="141 - AREQUIPE","DERIVADOS",B60="142 - MERMELADA","DERIVADOS",B60="131 - GALLETAS AVENA","DERIVADOS",B60="160 - SOUVENIR","OTROS",B60="148 - CARAMELOS","DERIVADOS",B60="143 - CHOCOFFES","DERIVADOS",B60="162 - CONVENIOS Y DSC POS ","OTROS"),"OTROS")</f>
        <v>OTROS</v>
      </c>
      <c r="L60" s="27">
        <f t="shared" si="2"/>
        <v>22894011</v>
      </c>
      <c r="M60" s="27">
        <f t="shared" si="3"/>
        <v>22894011</v>
      </c>
    </row>
    <row r="61" spans="1:13" ht="16.5" collapsed="1">
      <c r="A61" s="28" t="s">
        <v>41</v>
      </c>
      <c r="B61" s="29" t="s">
        <v>17</v>
      </c>
      <c r="C61" s="30">
        <f>+C81+C95+C109+C64</f>
        <v>121649003</v>
      </c>
      <c r="D61" s="30">
        <f>+D81+D95+D109+D64</f>
        <v>-3450123</v>
      </c>
      <c r="E61" s="30">
        <f>+E81+E95+E109+E64</f>
        <v>-2347272</v>
      </c>
      <c r="F61" s="30">
        <f>+F81+F95+F109+F64</f>
        <v>488313278.77999997</v>
      </c>
      <c r="G61" s="31">
        <f t="shared" si="5"/>
        <v>0.24912081707859227</v>
      </c>
      <c r="H61" s="23">
        <f t="shared" si="8"/>
        <v>-2.7071169167134878E-2</v>
      </c>
      <c r="I61" s="24">
        <f t="shared" si="8"/>
        <v>-1.8417719424286907E-2</v>
      </c>
      <c r="J61" s="32" t="str" cm="1">
        <f t="array" ref="J61">IFERROR(_xlfn.IFS(B61="044 - BLEND TRADICION","BLEND",B61="113 - CAFÉ GOURMET","GOURMET",B61="114 - CAFÉ CONSUMO","CONSUMO",B61="112 - CAFÉ ORGANICO","GOURMET",B61="172 - CAFÉ COSECHA","ESPECIALES",B61="176 - CAFE DESCAFEINADO","GOURMET",B61="147 - CAPSULAS","CAPSULAS",B61="130 - GALLETAS CAFECITAS","DERIVADOS",B61="140 - MERENGUES","DERIVADOS",B61="100 - CAFÉ ESPECIAL","ESPECIALES",B61="141 - AREQUIPE","DERIVADOS",B61="142 - MERMELADA","DERIVADOS",B61="131 - GALLETAS AVENA","DERIVADOS",B61="160 - SOUVENIR","OTROS",B61="148 - CARAMELOS","DERIVADOS",B61="143 - CHOCOFFES","DERIVADOS",B61="162 - CONVENIOS Y DSC POS ","OTROS"),"OTROS")</f>
        <v>OTROS</v>
      </c>
      <c r="L61" s="27">
        <f t="shared" si="2"/>
        <v>127446398</v>
      </c>
      <c r="M61" s="27">
        <f t="shared" si="3"/>
        <v>127446398</v>
      </c>
    </row>
    <row r="62" spans="1:13" ht="16.5" hidden="1" outlineLevel="1">
      <c r="A62" s="38"/>
      <c r="B62" s="39" t="s">
        <v>42</v>
      </c>
      <c r="C62" s="36">
        <v>0</v>
      </c>
      <c r="D62" s="36">
        <v>0</v>
      </c>
      <c r="E62" s="48"/>
      <c r="F62" s="48">
        <v>0</v>
      </c>
      <c r="G62" s="49" t="str">
        <f t="shared" si="5"/>
        <v>-</v>
      </c>
      <c r="H62" s="23">
        <f t="shared" si="8"/>
        <v>0</v>
      </c>
      <c r="I62" s="24">
        <f t="shared" si="8"/>
        <v>0</v>
      </c>
      <c r="J62" s="32" t="str" cm="1">
        <f t="array" ref="J62">IFERROR(_xlfn.IFS(B62="044 - BLEND TRADICION","BLEND",B62="113 - CAFÉ GOURMET","GOURMET",B62="114 - CAFÉ CONSUMO","CONSUMO",B62="112 - CAFÉ ORGANICO","GOURMET",B62="172 - CAFÉ COSECHA","ESPECIALES",B62="176 - CAFE DESCAFEINADO","GOURMET",B62="147 - CAPSULAS","CAPSULAS",B62="130 - GALLETAS CAFECITAS","DERIVADOS",B62="140 - MERENGUES","DERIVADOS",B62="100 - CAFÉ ESPECIAL","ESPECIALES",B62="141 - AREQUIPE","DERIVADOS",B62="142 - MERMELADA","DERIVADOS",B62="131 - GALLETAS AVENA","DERIVADOS",B62="160 - SOUVENIR","OTROS",B62="148 - CARAMELOS","DERIVADOS",B62="143 - CHOCOFFES","DERIVADOS",B62="162 - CONVENIOS Y DSC POS ","OTROS"),"OTROS")</f>
        <v>OTROS</v>
      </c>
      <c r="L62" s="27">
        <f t="shared" si="2"/>
        <v>0</v>
      </c>
      <c r="M62" s="27">
        <f t="shared" si="3"/>
        <v>0</v>
      </c>
    </row>
    <row r="63" spans="1:13" ht="16.5" hidden="1" outlineLevel="1">
      <c r="A63" s="38"/>
      <c r="B63" s="39" t="s">
        <v>21</v>
      </c>
      <c r="C63" s="36">
        <v>0</v>
      </c>
      <c r="D63" s="36">
        <v>0</v>
      </c>
      <c r="E63" s="48"/>
      <c r="F63" s="48">
        <v>0</v>
      </c>
      <c r="G63" s="49" t="str">
        <f t="shared" si="5"/>
        <v>-</v>
      </c>
      <c r="H63" s="23">
        <f t="shared" si="8"/>
        <v>0</v>
      </c>
      <c r="I63" s="24">
        <f t="shared" si="8"/>
        <v>0</v>
      </c>
      <c r="J63" s="32" t="str" cm="1">
        <f t="array" ref="J63">IFERROR(_xlfn.IFS(B63="044 - BLEND TRADICION","BLEND",B63="113 - CAFÉ GOURMET","GOURMET",B63="114 - CAFÉ CONSUMO","CONSUMO",B63="112 - CAFÉ ORGANICO","GOURMET",B63="172 - CAFÉ COSECHA","ESPECIALES",B63="176 - CAFE DESCAFEINADO","GOURMET",B63="147 - CAPSULAS","CAPSULAS",B63="130 - GALLETAS CAFECITAS","DERIVADOS",B63="140 - MERENGUES","DERIVADOS",B63="100 - CAFÉ ESPECIAL","ESPECIALES",B63="141 - AREQUIPE","DERIVADOS",B63="142 - MERMELADA","DERIVADOS",B63="131 - GALLETAS AVENA","DERIVADOS",B63="160 - SOUVENIR","OTROS",B63="148 - CARAMELOS","DERIVADOS",B63="143 - CHOCOFFES","DERIVADOS",B63="162 - CONVENIOS Y DSC POS ","OTROS"),"OTROS")</f>
        <v>GOURMET</v>
      </c>
      <c r="L63" s="27">
        <f t="shared" si="2"/>
        <v>0</v>
      </c>
      <c r="M63" s="27">
        <f t="shared" si="3"/>
        <v>0</v>
      </c>
    </row>
    <row r="64" spans="1:13" ht="16.5" hidden="1" outlineLevel="1">
      <c r="A64" s="19" t="s">
        <v>43</v>
      </c>
      <c r="B64" s="56" t="s">
        <v>32</v>
      </c>
      <c r="C64" s="54">
        <f>SUM(C62:C63)</f>
        <v>0</v>
      </c>
      <c r="D64" s="54">
        <f>SUM(D62:D63)</f>
        <v>0</v>
      </c>
      <c r="E64" s="54">
        <f>SUM(E62:E63)</f>
        <v>0</v>
      </c>
      <c r="F64" s="54">
        <f>SUM(F62:F63)</f>
        <v>0</v>
      </c>
      <c r="G64" s="55" t="str">
        <f t="shared" si="5"/>
        <v>-</v>
      </c>
      <c r="H64" s="23">
        <f t="shared" si="8"/>
        <v>0</v>
      </c>
      <c r="I64" s="24">
        <f t="shared" si="8"/>
        <v>0</v>
      </c>
      <c r="J64" s="32" t="str" cm="1">
        <f t="array" ref="J64">IFERROR(_xlfn.IFS(B64="044 - BLEND TRADICION","BLEND",B64="113 - CAFÉ GOURMET","GOURMET",B64="114 - CAFÉ CONSUMO","CONSUMO",B64="112 - CAFÉ ORGANICO","GOURMET",B64="172 - CAFÉ COSECHA","ESPECIALES",B64="176 - CAFE DESCAFEINADO","GOURMET",B64="147 - CAPSULAS","CAPSULAS",B64="130 - GALLETAS CAFECITAS","DERIVADOS",B64="140 - MERENGUES","DERIVADOS",B64="100 - CAFÉ ESPECIAL","ESPECIALES",B64="141 - AREQUIPE","DERIVADOS",B64="142 - MERMELADA","DERIVADOS",B64="131 - GALLETAS AVENA","DERIVADOS",B64="160 - SOUVENIR","OTROS",B64="148 - CARAMELOS","DERIVADOS",B64="143 - CHOCOFFES","DERIVADOS",B64="162 - CONVENIOS Y DSC POS ","OTROS"),"OTROS")</f>
        <v>OTROS</v>
      </c>
      <c r="L64" s="27">
        <f t="shared" si="2"/>
        <v>0</v>
      </c>
      <c r="M64" s="27">
        <f t="shared" si="3"/>
        <v>0</v>
      </c>
    </row>
    <row r="65" spans="1:13" ht="16.5" hidden="1" outlineLevel="1">
      <c r="A65" s="33"/>
      <c r="B65" s="39" t="s">
        <v>34</v>
      </c>
      <c r="C65" s="36">
        <v>0</v>
      </c>
      <c r="D65" s="36">
        <v>0</v>
      </c>
      <c r="E65" s="48">
        <v>0</v>
      </c>
      <c r="F65" s="48">
        <v>142340.04</v>
      </c>
      <c r="G65" s="49">
        <f t="shared" si="5"/>
        <v>0</v>
      </c>
      <c r="H65" s="23">
        <f t="shared" si="8"/>
        <v>0</v>
      </c>
      <c r="I65" s="24">
        <f t="shared" si="8"/>
        <v>0</v>
      </c>
      <c r="J65" s="32" t="str" cm="1">
        <f t="array" ref="J65">IFERROR(_xlfn.IFS(B65="044 - BLEND TRADICION","BLEND",B65="113 - CAFÉ GOURMET","GOURMET",B65="114 - CAFÉ CONSUMO","CONSUMO",B65="112 - CAFÉ ORGANICO","GOURMET",B65="172 - CAFÉ COSECHA","ESPECIALES",B65="176 - CAFE DESCAFEINADO","GOURMET",B65="147 - CAPSULAS","CAPSULAS",B65="130 - GALLETAS CAFECITAS","DERIVADOS",B65="140 - MERENGUES","DERIVADOS",B65="100 - CAFÉ ESPECIAL","ESPECIALES",B65="141 - AREQUIPE","DERIVADOS",B65="142 - MERMELADA","DERIVADOS",B65="131 - GALLETAS AVENA","DERIVADOS",B65="160 - SOUVENIR","OTROS",B65="148 - CARAMELOS","DERIVADOS",B65="143 - CHOCOFFES","DERIVADOS",B65="162 - CONVENIOS Y DSC POS ","OTROS"),"OTROS")</f>
        <v>OTROS</v>
      </c>
      <c r="L65" s="27">
        <f t="shared" si="2"/>
        <v>0</v>
      </c>
      <c r="M65" s="27">
        <f t="shared" si="3"/>
        <v>0</v>
      </c>
    </row>
    <row r="66" spans="1:13" ht="16.5" hidden="1" outlineLevel="1">
      <c r="A66" s="38"/>
      <c r="B66" s="39" t="s">
        <v>18</v>
      </c>
      <c r="C66" s="36">
        <v>0</v>
      </c>
      <c r="D66" s="36">
        <v>0</v>
      </c>
      <c r="E66" s="48">
        <v>0</v>
      </c>
      <c r="F66" s="48">
        <v>1206734.55</v>
      </c>
      <c r="G66" s="49">
        <f t="shared" si="5"/>
        <v>0</v>
      </c>
      <c r="H66" s="23">
        <f t="shared" si="8"/>
        <v>0</v>
      </c>
      <c r="I66" s="24">
        <f t="shared" si="8"/>
        <v>0</v>
      </c>
      <c r="J66" s="32" t="str" cm="1">
        <f t="array" ref="J66">IFERROR(_xlfn.IFS(B66="044 - BLEND TRADICION","BLEND",B66="113 - CAFÉ GOURMET","GOURMET",B66="114 - CAFÉ CONSUMO","CONSUMO",B66="112 - CAFÉ ORGANICO","GOURMET",B66="172 - CAFÉ COSECHA","ESPECIALES",B66="176 - CAFE DESCAFEINADO","GOURMET",B66="147 - CAPSULAS","CAPSULAS",B66="130 - GALLETAS CAFECITAS","DERIVADOS",B66="140 - MERENGUES","DERIVADOS",B66="100 - CAFÉ ESPECIAL","ESPECIALES",B66="141 - AREQUIPE","DERIVADOS",B66="142 - MERMELADA","DERIVADOS",B66="131 - GALLETAS AVENA","DERIVADOS",B66="160 - SOUVENIR","OTROS",B66="148 - CARAMELOS","DERIVADOS",B66="143 - CHOCOFFES","DERIVADOS",B66="162 - CONVENIOS Y DSC POS ","OTROS"),"OTROS")</f>
        <v>BLEND</v>
      </c>
      <c r="L66" s="27">
        <f t="shared" si="2"/>
        <v>0</v>
      </c>
      <c r="M66" s="27">
        <f t="shared" si="3"/>
        <v>0</v>
      </c>
    </row>
    <row r="67" spans="1:13" ht="16.5" hidden="1" outlineLevel="1">
      <c r="A67" s="38"/>
      <c r="B67" s="39" t="s">
        <v>19</v>
      </c>
      <c r="C67" s="36">
        <v>1098515</v>
      </c>
      <c r="D67" s="36">
        <v>0</v>
      </c>
      <c r="E67" s="48">
        <v>0</v>
      </c>
      <c r="F67" s="48">
        <v>3072107.02</v>
      </c>
      <c r="G67" s="49">
        <f t="shared" si="5"/>
        <v>0.35757706123141503</v>
      </c>
      <c r="H67" s="23">
        <f t="shared" si="8"/>
        <v>0</v>
      </c>
      <c r="I67" s="24">
        <f t="shared" si="8"/>
        <v>0</v>
      </c>
      <c r="J67" s="32" t="str" cm="1">
        <f t="array" ref="J67">IFERROR(_xlfn.IFS(B67="044 - BLEND TRADICION","BLEND",B67="113 - CAFÉ GOURMET","GOURMET",B67="114 - CAFÉ CONSUMO","CONSUMO",B67="112 - CAFÉ ORGANICO","GOURMET",B67="172 - CAFÉ COSECHA","ESPECIALES",B67="176 - CAFE DESCAFEINADO","GOURMET",B67="147 - CAPSULAS","CAPSULAS",B67="130 - GALLETAS CAFECITAS","DERIVADOS",B67="140 - MERENGUES","DERIVADOS",B67="100 - CAFÉ ESPECIAL","ESPECIALES",B67="141 - AREQUIPE","DERIVADOS",B67="142 - MERMELADA","DERIVADOS",B67="131 - GALLETAS AVENA","DERIVADOS",B67="160 - SOUVENIR","OTROS",B67="148 - CARAMELOS","DERIVADOS",B67="143 - CHOCOFFES","DERIVADOS",B67="162 - CONVENIOS Y DSC POS ","OTROS"),"OTROS")</f>
        <v>ESPECIALES</v>
      </c>
      <c r="L67" s="27">
        <f t="shared" si="2"/>
        <v>1098515</v>
      </c>
      <c r="M67" s="27">
        <f t="shared" si="3"/>
        <v>1098515</v>
      </c>
    </row>
    <row r="68" spans="1:13" ht="16.5" hidden="1" outlineLevel="1">
      <c r="A68" s="38"/>
      <c r="B68" s="39" t="s">
        <v>20</v>
      </c>
      <c r="C68" s="36">
        <v>0</v>
      </c>
      <c r="D68" s="36">
        <v>0</v>
      </c>
      <c r="E68" s="48"/>
      <c r="F68" s="48">
        <v>457781.38</v>
      </c>
      <c r="G68" s="49">
        <f t="shared" si="5"/>
        <v>0</v>
      </c>
      <c r="H68" s="23">
        <f t="shared" si="8"/>
        <v>0</v>
      </c>
      <c r="I68" s="24">
        <f t="shared" si="8"/>
        <v>0</v>
      </c>
      <c r="J68" s="32" t="str" cm="1">
        <f t="array" ref="J68">IFERROR(_xlfn.IFS(B68="044 - BLEND TRADICION","BLEND",B68="113 - CAFÉ GOURMET","GOURMET",B68="114 - CAFÉ CONSUMO","CONSUMO",B68="112 - CAFÉ ORGANICO","GOURMET",B68="172 - CAFÉ COSECHA","ESPECIALES",B68="176 - CAFE DESCAFEINADO","GOURMET",B68="147 - CAPSULAS","CAPSULAS",B68="130 - GALLETAS CAFECITAS","DERIVADOS",B68="140 - MERENGUES","DERIVADOS",B68="100 - CAFÉ ESPECIAL","ESPECIALES",B68="141 - AREQUIPE","DERIVADOS",B68="142 - MERMELADA","DERIVADOS",B68="131 - GALLETAS AVENA","DERIVADOS",B68="160 - SOUVENIR","OTROS",B68="148 - CARAMELOS","DERIVADOS",B68="143 - CHOCOFFES","DERIVADOS",B68="162 - CONVENIOS Y DSC POS ","OTROS"),"OTROS")</f>
        <v>GOURMET</v>
      </c>
      <c r="L68" s="27">
        <f t="shared" si="2"/>
        <v>0</v>
      </c>
      <c r="M68" s="27">
        <f t="shared" si="3"/>
        <v>0</v>
      </c>
    </row>
    <row r="69" spans="1:13" ht="16.5" hidden="1" outlineLevel="1">
      <c r="A69" s="38"/>
      <c r="B69" s="39" t="s">
        <v>21</v>
      </c>
      <c r="C69" s="36">
        <v>40410142</v>
      </c>
      <c r="D69" s="36">
        <v>0</v>
      </c>
      <c r="E69" s="48"/>
      <c r="F69" s="48">
        <v>106018093.81999999</v>
      </c>
      <c r="G69" s="49">
        <f t="shared" si="5"/>
        <v>0.38116269161195526</v>
      </c>
      <c r="H69" s="23">
        <f t="shared" si="8"/>
        <v>0</v>
      </c>
      <c r="I69" s="24">
        <f t="shared" si="8"/>
        <v>0</v>
      </c>
      <c r="J69" s="32" t="str" cm="1">
        <f t="array" ref="J69">IFERROR(_xlfn.IFS(B69="044 - BLEND TRADICION","BLEND",B69="113 - CAFÉ GOURMET","GOURMET",B69="114 - CAFÉ CONSUMO","CONSUMO",B69="112 - CAFÉ ORGANICO","GOURMET",B69="172 - CAFÉ COSECHA","ESPECIALES",B69="176 - CAFE DESCAFEINADO","GOURMET",B69="147 - CAPSULAS","CAPSULAS",B69="130 - GALLETAS CAFECITAS","DERIVADOS",B69="140 - MERENGUES","DERIVADOS",B69="100 - CAFÉ ESPECIAL","ESPECIALES",B69="141 - AREQUIPE","DERIVADOS",B69="142 - MERMELADA","DERIVADOS",B69="131 - GALLETAS AVENA","DERIVADOS",B69="160 - SOUVENIR","OTROS",B69="148 - CARAMELOS","DERIVADOS",B69="143 - CHOCOFFES","DERIVADOS",B69="162 - CONVENIOS Y DSC POS ","OTROS"),"OTROS")</f>
        <v>GOURMET</v>
      </c>
      <c r="L69" s="27">
        <f t="shared" si="2"/>
        <v>40410142</v>
      </c>
      <c r="M69" s="27">
        <f t="shared" si="3"/>
        <v>40410142</v>
      </c>
    </row>
    <row r="70" spans="1:13" ht="16.5" hidden="1" outlineLevel="1">
      <c r="A70" s="38"/>
      <c r="B70" s="39" t="s">
        <v>22</v>
      </c>
      <c r="C70" s="36">
        <v>2761568</v>
      </c>
      <c r="D70" s="36">
        <v>0</v>
      </c>
      <c r="E70" s="48"/>
      <c r="F70" s="48">
        <v>5082259.87</v>
      </c>
      <c r="G70" s="49">
        <f t="shared" si="5"/>
        <v>0.54337402467379137</v>
      </c>
      <c r="H70" s="23">
        <f t="shared" si="8"/>
        <v>0</v>
      </c>
      <c r="I70" s="24">
        <f t="shared" si="8"/>
        <v>0</v>
      </c>
      <c r="J70" s="32" t="str" cm="1">
        <f t="array" ref="J70">IFERROR(_xlfn.IFS(B70="044 - BLEND TRADICION","BLEND",B70="113 - CAFÉ GOURMET","GOURMET",B70="114 - CAFÉ CONSUMO","CONSUMO",B70="112 - CAFÉ ORGANICO","GOURMET",B70="172 - CAFÉ COSECHA","ESPECIALES",B70="176 - CAFE DESCAFEINADO","GOURMET",B70="147 - CAPSULAS","CAPSULAS",B70="130 - GALLETAS CAFECITAS","DERIVADOS",B70="140 - MERENGUES","DERIVADOS",B70="100 - CAFÉ ESPECIAL","ESPECIALES",B70="141 - AREQUIPE","DERIVADOS",B70="142 - MERMELADA","DERIVADOS",B70="131 - GALLETAS AVENA","DERIVADOS",B70="160 - SOUVENIR","OTROS",B70="148 - CARAMELOS","DERIVADOS",B70="143 - CHOCOFFES","DERIVADOS",B70="162 - CONVENIOS Y DSC POS ","OTROS"),"OTROS")</f>
        <v>DERIVADOS</v>
      </c>
      <c r="L70" s="27">
        <f t="shared" si="2"/>
        <v>2761568</v>
      </c>
      <c r="M70" s="27">
        <f t="shared" si="3"/>
        <v>2761568</v>
      </c>
    </row>
    <row r="71" spans="1:13" ht="16.5" hidden="1" outlineLevel="1">
      <c r="A71" s="38"/>
      <c r="B71" s="39" t="s">
        <v>23</v>
      </c>
      <c r="C71" s="36">
        <v>0</v>
      </c>
      <c r="D71" s="36">
        <v>0</v>
      </c>
      <c r="E71" s="48"/>
      <c r="F71" s="48">
        <v>42776.35</v>
      </c>
      <c r="G71" s="49">
        <f t="shared" si="5"/>
        <v>0</v>
      </c>
      <c r="H71" s="23">
        <f t="shared" si="8"/>
        <v>0</v>
      </c>
      <c r="I71" s="24">
        <f t="shared" si="8"/>
        <v>0</v>
      </c>
      <c r="J71" s="32" t="str" cm="1">
        <f t="array" ref="J71">IFERROR(_xlfn.IFS(B71="044 - BLEND TRADICION","BLEND",B71="113 - CAFÉ GOURMET","GOURMET",B71="114 - CAFÉ CONSUMO","CONSUMO",B71="112 - CAFÉ ORGANICO","GOURMET",B71="172 - CAFÉ COSECHA","ESPECIALES",B71="176 - CAFE DESCAFEINADO","GOURMET",B71="147 - CAPSULAS","CAPSULAS",B71="130 - GALLETAS CAFECITAS","DERIVADOS",B71="140 - MERENGUES","DERIVADOS",B71="100 - CAFÉ ESPECIAL","ESPECIALES",B71="141 - AREQUIPE","DERIVADOS",B71="142 - MERMELADA","DERIVADOS",B71="131 - GALLETAS AVENA","DERIVADOS",B71="160 - SOUVENIR","OTROS",B71="148 - CARAMELOS","DERIVADOS",B71="143 - CHOCOFFES","DERIVADOS",B71="162 - CONVENIOS Y DSC POS ","OTROS"),"OTROS")</f>
        <v>DERIVADOS</v>
      </c>
      <c r="L71" s="27">
        <f t="shared" ref="L71:L134" si="14">C71-(D71+E71)</f>
        <v>0</v>
      </c>
      <c r="M71" s="27">
        <f t="shared" ref="M71:M134" si="15">L71</f>
        <v>0</v>
      </c>
    </row>
    <row r="72" spans="1:13" ht="16.5" hidden="1" outlineLevel="1">
      <c r="A72" s="38"/>
      <c r="B72" s="39" t="s">
        <v>24</v>
      </c>
      <c r="C72" s="36">
        <v>169530</v>
      </c>
      <c r="D72" s="36">
        <v>0</v>
      </c>
      <c r="E72" s="48"/>
      <c r="F72" s="48">
        <v>253296.1</v>
      </c>
      <c r="G72" s="49">
        <f t="shared" si="5"/>
        <v>0.66929573728138725</v>
      </c>
      <c r="H72" s="23">
        <f t="shared" si="8"/>
        <v>0</v>
      </c>
      <c r="I72" s="24">
        <f t="shared" si="8"/>
        <v>0</v>
      </c>
      <c r="J72" s="32" t="str" cm="1">
        <f t="array" ref="J72">IFERROR(_xlfn.IFS(B72="044 - BLEND TRADICION","BLEND",B72="113 - CAFÉ GOURMET","GOURMET",B72="114 - CAFÉ CONSUMO","CONSUMO",B72="112 - CAFÉ ORGANICO","GOURMET",B72="172 - CAFÉ COSECHA","ESPECIALES",B72="176 - CAFE DESCAFEINADO","GOURMET",B72="147 - CAPSULAS","CAPSULAS",B72="130 - GALLETAS CAFECITAS","DERIVADOS",B72="140 - MERENGUES","DERIVADOS",B72="100 - CAFÉ ESPECIAL","ESPECIALES",B72="141 - AREQUIPE","DERIVADOS",B72="142 - MERMELADA","DERIVADOS",B72="131 - GALLETAS AVENA","DERIVADOS",B72="160 - SOUVENIR","OTROS",B72="148 - CARAMELOS","DERIVADOS",B72="143 - CHOCOFFES","DERIVADOS",B72="162 - CONVENIOS Y DSC POS ","OTROS"),"OTROS")</f>
        <v>DERIVADOS</v>
      </c>
      <c r="L72" s="27">
        <f t="shared" si="14"/>
        <v>169530</v>
      </c>
      <c r="M72" s="27">
        <f t="shared" si="15"/>
        <v>169530</v>
      </c>
    </row>
    <row r="73" spans="1:13" ht="16.5" hidden="1" outlineLevel="1">
      <c r="A73" s="38"/>
      <c r="B73" s="39" t="s">
        <v>25</v>
      </c>
      <c r="C73" s="36">
        <v>5922271</v>
      </c>
      <c r="D73" s="36">
        <v>0</v>
      </c>
      <c r="E73" s="48"/>
      <c r="F73" s="48">
        <v>6237513.8499999996</v>
      </c>
      <c r="G73" s="49">
        <f t="shared" si="5"/>
        <v>0.94946017634894719</v>
      </c>
      <c r="H73" s="23">
        <f t="shared" si="8"/>
        <v>0</v>
      </c>
      <c r="I73" s="24">
        <f t="shared" si="8"/>
        <v>0</v>
      </c>
      <c r="J73" s="32" t="str" cm="1">
        <f t="array" ref="J73">IFERROR(_xlfn.IFS(B73="044 - BLEND TRADICION","BLEND",B73="113 - CAFÉ GOURMET","GOURMET",B73="114 - CAFÉ CONSUMO","CONSUMO",B73="112 - CAFÉ ORGANICO","GOURMET",B73="172 - CAFÉ COSECHA","ESPECIALES",B73="176 - CAFE DESCAFEINADO","GOURMET",B73="147 - CAPSULAS","CAPSULAS",B73="130 - GALLETAS CAFECITAS","DERIVADOS",B73="140 - MERENGUES","DERIVADOS",B73="100 - CAFÉ ESPECIAL","ESPECIALES",B73="141 - AREQUIPE","DERIVADOS",B73="142 - MERMELADA","DERIVADOS",B73="131 - GALLETAS AVENA","DERIVADOS",B73="160 - SOUVENIR","OTROS",B73="148 - CARAMELOS","DERIVADOS",B73="143 - CHOCOFFES","DERIVADOS",B73="162 - CONVENIOS Y DSC POS ","OTROS"),"OTROS")</f>
        <v>DERIVADOS</v>
      </c>
      <c r="L73" s="27">
        <f t="shared" si="14"/>
        <v>5922271</v>
      </c>
      <c r="M73" s="27">
        <f t="shared" si="15"/>
        <v>5922271</v>
      </c>
    </row>
    <row r="74" spans="1:13" ht="16.5" hidden="1" outlineLevel="1">
      <c r="A74" s="38"/>
      <c r="B74" s="39" t="s">
        <v>26</v>
      </c>
      <c r="C74" s="36">
        <v>0</v>
      </c>
      <c r="D74" s="36">
        <v>0</v>
      </c>
      <c r="E74" s="48">
        <v>0</v>
      </c>
      <c r="F74" s="48">
        <v>834555.96</v>
      </c>
      <c r="G74" s="49">
        <f t="shared" si="5"/>
        <v>0</v>
      </c>
      <c r="H74" s="23">
        <f t="shared" si="8"/>
        <v>0</v>
      </c>
      <c r="I74" s="24">
        <f t="shared" si="8"/>
        <v>0</v>
      </c>
      <c r="J74" s="32" t="str" cm="1">
        <f t="array" ref="J74">IFERROR(_xlfn.IFS(B74="044 - BLEND TRADICION","BLEND",B74="113 - CAFÉ GOURMET","GOURMET",B74="114 - CAFÉ CONSUMO","CONSUMO",B74="112 - CAFÉ ORGANICO","GOURMET",B74="172 - CAFÉ COSECHA","ESPECIALES",B74="176 - CAFE DESCAFEINADO","GOURMET",B74="147 - CAPSULAS","CAPSULAS",B74="130 - GALLETAS CAFECITAS","DERIVADOS",B74="140 - MERENGUES","DERIVADOS",B74="100 - CAFÉ ESPECIAL","ESPECIALES",B74="141 - AREQUIPE","DERIVADOS",B74="142 - MERMELADA","DERIVADOS",B74="131 - GALLETAS AVENA","DERIVADOS",B74="160 - SOUVENIR","OTROS",B74="148 - CARAMELOS","DERIVADOS",B74="143 - CHOCOFFES","DERIVADOS",B74="162 - CONVENIOS Y DSC POS ","OTROS"),"OTROS")</f>
        <v>CAPSULAS</v>
      </c>
      <c r="L74" s="27">
        <f t="shared" si="14"/>
        <v>0</v>
      </c>
      <c r="M74" s="27">
        <f t="shared" si="15"/>
        <v>0</v>
      </c>
    </row>
    <row r="75" spans="1:13" ht="16.5" hidden="1" outlineLevel="1">
      <c r="A75" s="38"/>
      <c r="B75" s="39" t="s">
        <v>27</v>
      </c>
      <c r="C75" s="36">
        <v>5899141</v>
      </c>
      <c r="D75" s="36">
        <v>0</v>
      </c>
      <c r="E75" s="48"/>
      <c r="F75" s="48">
        <v>6191934.2800000003</v>
      </c>
      <c r="G75" s="49">
        <f t="shared" si="5"/>
        <v>0.95271376168417599</v>
      </c>
      <c r="H75" s="23">
        <f t="shared" si="8"/>
        <v>0</v>
      </c>
      <c r="I75" s="24">
        <f t="shared" si="8"/>
        <v>0</v>
      </c>
      <c r="J75" s="32" t="str" cm="1">
        <f t="array" ref="J75">IFERROR(_xlfn.IFS(B75="044 - BLEND TRADICION","BLEND",B75="113 - CAFÉ GOURMET","GOURMET",B75="114 - CAFÉ CONSUMO","CONSUMO",B75="112 - CAFÉ ORGANICO","GOURMET",B75="172 - CAFÉ COSECHA","ESPECIALES",B75="176 - CAFE DESCAFEINADO","GOURMET",B75="147 - CAPSULAS","CAPSULAS",B75="130 - GALLETAS CAFECITAS","DERIVADOS",B75="140 - MERENGUES","DERIVADOS",B75="100 - CAFÉ ESPECIAL","ESPECIALES",B75="141 - AREQUIPE","DERIVADOS",B75="142 - MERMELADA","DERIVADOS",B75="131 - GALLETAS AVENA","DERIVADOS",B75="160 - SOUVENIR","OTROS",B75="148 - CARAMELOS","DERIVADOS",B75="143 - CHOCOFFES","DERIVADOS",B75="162 - CONVENIOS Y DSC POS ","OTROS"),"OTROS")</f>
        <v>DERIVADOS</v>
      </c>
      <c r="L75" s="27">
        <f t="shared" si="14"/>
        <v>5899141</v>
      </c>
      <c r="M75" s="27">
        <f t="shared" si="15"/>
        <v>5899141</v>
      </c>
    </row>
    <row r="76" spans="1:13" ht="16.5" hidden="1" outlineLevel="1">
      <c r="A76" s="38"/>
      <c r="B76" s="39" t="s">
        <v>28</v>
      </c>
      <c r="C76" s="36">
        <v>5006104</v>
      </c>
      <c r="D76" s="36">
        <v>0</v>
      </c>
      <c r="E76" s="48">
        <v>0</v>
      </c>
      <c r="F76" s="48">
        <v>6313546.5</v>
      </c>
      <c r="G76" s="49">
        <f t="shared" si="5"/>
        <v>0.79291472708722432</v>
      </c>
      <c r="H76" s="23">
        <f t="shared" si="8"/>
        <v>0</v>
      </c>
      <c r="I76" s="24">
        <f t="shared" si="8"/>
        <v>0</v>
      </c>
      <c r="J76" s="32" t="str" cm="1">
        <f t="array" ref="J76">IFERROR(_xlfn.IFS(B76="044 - BLEND TRADICION","BLEND",B76="113 - CAFÉ GOURMET","GOURMET",B76="114 - CAFÉ CONSUMO","CONSUMO",B76="112 - CAFÉ ORGANICO","GOURMET",B76="172 - CAFÉ COSECHA","ESPECIALES",B76="176 - CAFE DESCAFEINADO","GOURMET",B76="147 - CAPSULAS","CAPSULAS",B76="130 - GALLETAS CAFECITAS","DERIVADOS",B76="140 - MERENGUES","DERIVADOS",B76="100 - CAFÉ ESPECIAL","ESPECIALES",B76="141 - AREQUIPE","DERIVADOS",B76="142 - MERMELADA","DERIVADOS",B76="131 - GALLETAS AVENA","DERIVADOS",B76="160 - SOUVENIR","OTROS",B76="148 - CARAMELOS","DERIVADOS",B76="143 - CHOCOFFES","DERIVADOS",B76="162 - CONVENIOS Y DSC POS ","OTROS"),"OTROS")</f>
        <v>OTROS</v>
      </c>
      <c r="L76" s="27">
        <f t="shared" si="14"/>
        <v>5006104</v>
      </c>
      <c r="M76" s="27">
        <f t="shared" si="15"/>
        <v>5006104</v>
      </c>
    </row>
    <row r="77" spans="1:13" ht="16.5" hidden="1" outlineLevel="1">
      <c r="A77" s="38"/>
      <c r="B77" s="39" t="s">
        <v>50</v>
      </c>
      <c r="C77" s="36">
        <v>-2347272</v>
      </c>
      <c r="D77" s="36">
        <v>0</v>
      </c>
      <c r="E77" s="36">
        <v>-2347272</v>
      </c>
      <c r="F77" s="48">
        <v>0</v>
      </c>
      <c r="G77" s="49" t="str">
        <f t="shared" si="5"/>
        <v>-</v>
      </c>
      <c r="H77" s="23">
        <f t="shared" si="8"/>
        <v>0</v>
      </c>
      <c r="I77" s="24">
        <f t="shared" si="8"/>
        <v>0</v>
      </c>
      <c r="J77" s="32" t="str" cm="1">
        <f t="array" ref="J77">IFERROR(_xlfn.IFS(B77="044 - BLEND TRADICION","BLEND",B77="113 - CAFÉ GOURMET","GOURMET",B77="114 - CAFÉ CONSUMO","CONSUMO",B77="112 - CAFÉ ORGANICO","GOURMET",B77="172 - CAFÉ COSECHA","ESPECIALES",B77="176 - CAFE DESCAFEINADO","GOURMET",B77="147 - CAPSULAS","CAPSULAS",B77="130 - GALLETAS CAFECITAS","DERIVADOS",B77="140 - MERENGUES","DERIVADOS",B77="100 - CAFÉ ESPECIAL","ESPECIALES",B77="141 - AREQUIPE","DERIVADOS",B77="142 - MERMELADA","DERIVADOS",B77="131 - GALLETAS AVENA","DERIVADOS",B77="160 - SOUVENIR","OTROS",B77="148 - CARAMELOS","DERIVADOS",B77="143 - CHOCOFFES","DERIVADOS",B77="162 - CONVENIOS Y DSC POS ","OTROS"),"OTROS")</f>
        <v>OTROS</v>
      </c>
      <c r="L77" s="27">
        <f t="shared" si="14"/>
        <v>0</v>
      </c>
      <c r="M77" s="27">
        <f t="shared" si="15"/>
        <v>0</v>
      </c>
    </row>
    <row r="78" spans="1:13" ht="16.5" hidden="1" outlineLevel="1">
      <c r="A78" s="38"/>
      <c r="B78" s="39" t="s">
        <v>29</v>
      </c>
      <c r="C78" s="36">
        <v>341319</v>
      </c>
      <c r="D78" s="36">
        <v>0</v>
      </c>
      <c r="E78" s="48"/>
      <c r="F78" s="48">
        <v>10016848.720000001</v>
      </c>
      <c r="G78" s="49">
        <f t="shared" si="5"/>
        <v>3.4074488847825983E-2</v>
      </c>
      <c r="H78" s="23">
        <f t="shared" si="8"/>
        <v>0</v>
      </c>
      <c r="I78" s="24">
        <f t="shared" si="8"/>
        <v>0</v>
      </c>
      <c r="J78" s="32" t="str" cm="1">
        <f t="array" ref="J78">IFERROR(_xlfn.IFS(B78="044 - BLEND TRADICION","BLEND",B78="113 - CAFÉ GOURMET","GOURMET",B78="114 - CAFÉ CONSUMO","CONSUMO",B78="112 - CAFÉ ORGANICO","GOURMET",B78="172 - CAFÉ COSECHA","ESPECIALES",B78="176 - CAFE DESCAFEINADO","GOURMET",B78="147 - CAPSULAS","CAPSULAS",B78="130 - GALLETAS CAFECITAS","DERIVADOS",B78="140 - MERENGUES","DERIVADOS",B78="100 - CAFÉ ESPECIAL","ESPECIALES",B78="141 - AREQUIPE","DERIVADOS",B78="142 - MERMELADA","DERIVADOS",B78="131 - GALLETAS AVENA","DERIVADOS",B78="160 - SOUVENIR","OTROS",B78="148 - CARAMELOS","DERIVADOS",B78="143 - CHOCOFFES","DERIVADOS",B78="162 - CONVENIOS Y DSC POS ","OTROS"),"OTROS")</f>
        <v>ESPECIALES</v>
      </c>
      <c r="L78" s="27">
        <f t="shared" si="14"/>
        <v>341319</v>
      </c>
      <c r="M78" s="27">
        <f t="shared" si="15"/>
        <v>341319</v>
      </c>
    </row>
    <row r="79" spans="1:13" ht="16.5" hidden="1" outlineLevel="1">
      <c r="A79" s="38"/>
      <c r="B79" s="39" t="s">
        <v>30</v>
      </c>
      <c r="C79" s="36">
        <v>158155</v>
      </c>
      <c r="D79" s="36">
        <v>0</v>
      </c>
      <c r="E79" s="48">
        <v>0</v>
      </c>
      <c r="F79" s="48">
        <v>1809439.28</v>
      </c>
      <c r="G79" s="49">
        <f t="shared" si="5"/>
        <v>8.7405530402766538E-2</v>
      </c>
      <c r="H79" s="23">
        <f t="shared" si="8"/>
        <v>0</v>
      </c>
      <c r="I79" s="24">
        <f t="shared" si="8"/>
        <v>0</v>
      </c>
      <c r="J79" s="32" t="str" cm="1">
        <f t="array" ref="J79">IFERROR(_xlfn.IFS(B79="044 - BLEND TRADICION","BLEND",B79="113 - CAFÉ GOURMET","GOURMET",B79="114 - CAFÉ CONSUMO","CONSUMO",B79="112 - CAFÉ ORGANICO","GOURMET",B79="172 - CAFÉ COSECHA","ESPECIALES",B79="176 - CAFE DESCAFEINADO","GOURMET",B79="147 - CAPSULAS","CAPSULAS",B79="130 - GALLETAS CAFECITAS","DERIVADOS",B79="140 - MERENGUES","DERIVADOS",B79="100 - CAFÉ ESPECIAL","ESPECIALES",B79="141 - AREQUIPE","DERIVADOS",B79="142 - MERMELADA","DERIVADOS",B79="131 - GALLETAS AVENA","DERIVADOS",B79="160 - SOUVENIR","OTROS",B79="148 - CARAMELOS","DERIVADOS",B79="143 - CHOCOFFES","DERIVADOS",B79="162 - CONVENIOS Y DSC POS ","OTROS"),"OTROS")</f>
        <v>GOURMET</v>
      </c>
      <c r="L79" s="27">
        <f t="shared" si="14"/>
        <v>158155</v>
      </c>
      <c r="M79" s="27">
        <f t="shared" si="15"/>
        <v>158155</v>
      </c>
    </row>
    <row r="80" spans="1:13" ht="16.5" hidden="1" outlineLevel="1">
      <c r="A80" s="38"/>
      <c r="B80" s="39" t="s">
        <v>31</v>
      </c>
      <c r="C80" s="36">
        <v>24000</v>
      </c>
      <c r="D80" s="36">
        <v>0</v>
      </c>
      <c r="E80" s="48">
        <v>0</v>
      </c>
      <c r="F80" s="48">
        <v>0</v>
      </c>
      <c r="G80" s="49" t="str">
        <f t="shared" si="5"/>
        <v>-</v>
      </c>
      <c r="H80" s="23">
        <f t="shared" si="8"/>
        <v>0</v>
      </c>
      <c r="I80" s="24">
        <f t="shared" si="8"/>
        <v>0</v>
      </c>
      <c r="J80" s="32" t="str" cm="1">
        <f t="array" ref="J80">IFERROR(_xlfn.IFS(B80="044 - BLEND TRADICION","BLEND",B80="113 - CAFÉ GOURMET","GOURMET",B80="114 - CAFÉ CONSUMO","CONSUMO",B80="112 - CAFÉ ORGANICO","GOURMET",B80="172 - CAFÉ COSECHA","ESPECIALES",B80="176 - CAFE DESCAFEINADO","GOURMET",B80="147 - CAPSULAS","CAPSULAS",B80="130 - GALLETAS CAFECITAS","DERIVADOS",B80="140 - MERENGUES","DERIVADOS",B80="100 - CAFÉ ESPECIAL","ESPECIALES",B80="141 - AREQUIPE","DERIVADOS",B80="142 - MERMELADA","DERIVADOS",B80="131 - GALLETAS AVENA","DERIVADOS",B80="160 - SOUVENIR","OTROS",B80="148 - CARAMELOS","DERIVADOS",B80="143 - CHOCOFFES","DERIVADOS",B80="162 - CONVENIOS Y DSC POS ","OTROS"),"OTROS")</f>
        <v>OTROS</v>
      </c>
      <c r="L80" s="27">
        <f t="shared" si="14"/>
        <v>24000</v>
      </c>
      <c r="M80" s="27">
        <f t="shared" si="15"/>
        <v>24000</v>
      </c>
    </row>
    <row r="81" spans="1:13" ht="16.5" hidden="1" outlineLevel="1">
      <c r="A81" s="19" t="s">
        <v>44</v>
      </c>
      <c r="B81" s="56" t="s">
        <v>32</v>
      </c>
      <c r="C81" s="54">
        <f>SUM(C65:C80)</f>
        <v>59443473</v>
      </c>
      <c r="D81" s="54">
        <f>SUM(D65:D80)</f>
        <v>0</v>
      </c>
      <c r="E81" s="58">
        <f>SUM(E65:E80)</f>
        <v>-2347272</v>
      </c>
      <c r="F81" s="58">
        <f>SUM(F65:F80)</f>
        <v>147679227.71999997</v>
      </c>
      <c r="G81" s="55">
        <f t="shared" si="5"/>
        <v>0.40251749631779571</v>
      </c>
      <c r="H81" s="23">
        <f t="shared" si="8"/>
        <v>0</v>
      </c>
      <c r="I81" s="24">
        <f t="shared" si="8"/>
        <v>-3.7987436468034166E-2</v>
      </c>
      <c r="J81" s="32" t="str" cm="1">
        <f t="array" ref="J81">IFERROR(_xlfn.IFS(B81="044 - BLEND TRADICION","BLEND",B81="113 - CAFÉ GOURMET","GOURMET",B81="114 - CAFÉ CONSUMO","CONSUMO",B81="112 - CAFÉ ORGANICO","GOURMET",B81="172 - CAFÉ COSECHA","ESPECIALES",B81="176 - CAFE DESCAFEINADO","GOURMET",B81="147 - CAPSULAS","CAPSULAS",B81="130 - GALLETAS CAFECITAS","DERIVADOS",B81="140 - MERENGUES","DERIVADOS",B81="100 - CAFÉ ESPECIAL","ESPECIALES",B81="141 - AREQUIPE","DERIVADOS",B81="142 - MERMELADA","DERIVADOS",B81="131 - GALLETAS AVENA","DERIVADOS",B81="160 - SOUVENIR","OTROS",B81="148 - CARAMELOS","DERIVADOS",B81="143 - CHOCOFFES","DERIVADOS",B81="162 - CONVENIOS Y DSC POS ","OTROS"),"OTROS")</f>
        <v>OTROS</v>
      </c>
      <c r="L81" s="27">
        <f t="shared" si="14"/>
        <v>61790745</v>
      </c>
      <c r="M81" s="27">
        <f t="shared" si="15"/>
        <v>61790745</v>
      </c>
    </row>
    <row r="82" spans="1:13" ht="16.5" hidden="1" outlineLevel="1">
      <c r="A82" s="59"/>
      <c r="B82" s="39" t="s">
        <v>19</v>
      </c>
      <c r="C82" s="36">
        <v>1992188</v>
      </c>
      <c r="D82" s="36">
        <v>0</v>
      </c>
      <c r="E82" s="36">
        <v>0</v>
      </c>
      <c r="F82" s="48">
        <v>2429943.91</v>
      </c>
      <c r="G82" s="49">
        <f t="shared" si="5"/>
        <v>0.81984937668787583</v>
      </c>
      <c r="H82" s="23">
        <f t="shared" si="8"/>
        <v>0</v>
      </c>
      <c r="I82" s="24">
        <f t="shared" si="8"/>
        <v>0</v>
      </c>
      <c r="J82" s="32" t="str" cm="1">
        <f t="array" ref="J82">IFERROR(_xlfn.IFS(B82="044 - BLEND TRADICION","BLEND",B82="113 - CAFÉ GOURMET","GOURMET",B82="114 - CAFÉ CONSUMO","CONSUMO",B82="112 - CAFÉ ORGANICO","GOURMET",B82="172 - CAFÉ COSECHA","ESPECIALES",B82="176 - CAFE DESCAFEINADO","GOURMET",B82="147 - CAPSULAS","CAPSULAS",B82="130 - GALLETAS CAFECITAS","DERIVADOS",B82="140 - MERENGUES","DERIVADOS",B82="100 - CAFÉ ESPECIAL","ESPECIALES",B82="141 - AREQUIPE","DERIVADOS",B82="142 - MERMELADA","DERIVADOS",B82="131 - GALLETAS AVENA","DERIVADOS",B82="160 - SOUVENIR","OTROS",B82="148 - CARAMELOS","DERIVADOS",B82="143 - CHOCOFFES","DERIVADOS",B82="162 - CONVENIOS Y DSC POS ","OTROS"),"OTROS")</f>
        <v>ESPECIALES</v>
      </c>
      <c r="L82" s="27">
        <f t="shared" si="14"/>
        <v>1992188</v>
      </c>
      <c r="M82" s="27">
        <f t="shared" si="15"/>
        <v>1992188</v>
      </c>
    </row>
    <row r="83" spans="1:13" ht="16.5" hidden="1" outlineLevel="1">
      <c r="A83" s="59"/>
      <c r="B83" s="39" t="s">
        <v>20</v>
      </c>
      <c r="C83" s="36">
        <v>308385</v>
      </c>
      <c r="D83" s="36">
        <v>0</v>
      </c>
      <c r="E83" s="36">
        <v>0</v>
      </c>
      <c r="F83" s="48">
        <v>2531872.7599999998</v>
      </c>
      <c r="G83" s="49">
        <f t="shared" si="5"/>
        <v>0.12180114454092868</v>
      </c>
      <c r="H83" s="23">
        <f t="shared" si="8"/>
        <v>0</v>
      </c>
      <c r="I83" s="24">
        <f t="shared" si="8"/>
        <v>0</v>
      </c>
      <c r="J83" s="32" t="str" cm="1">
        <f t="array" ref="J83">IFERROR(_xlfn.IFS(B83="044 - BLEND TRADICION","BLEND",B83="113 - CAFÉ GOURMET","GOURMET",B83="114 - CAFÉ CONSUMO","CONSUMO",B83="112 - CAFÉ ORGANICO","GOURMET",B83="172 - CAFÉ COSECHA","ESPECIALES",B83="176 - CAFE DESCAFEINADO","GOURMET",B83="147 - CAPSULAS","CAPSULAS",B83="130 - GALLETAS CAFECITAS","DERIVADOS",B83="140 - MERENGUES","DERIVADOS",B83="100 - CAFÉ ESPECIAL","ESPECIALES",B83="141 - AREQUIPE","DERIVADOS",B83="142 - MERMELADA","DERIVADOS",B83="131 - GALLETAS AVENA","DERIVADOS",B83="160 - SOUVENIR","OTROS",B83="148 - CARAMELOS","DERIVADOS",B83="143 - CHOCOFFES","DERIVADOS",B83="162 - CONVENIOS Y DSC POS ","OTROS"),"OTROS")</f>
        <v>GOURMET</v>
      </c>
      <c r="L83" s="27">
        <f t="shared" si="14"/>
        <v>308385</v>
      </c>
      <c r="M83" s="27">
        <f t="shared" si="15"/>
        <v>308385</v>
      </c>
    </row>
    <row r="84" spans="1:13" ht="16.5" hidden="1" outlineLevel="1">
      <c r="A84" s="59"/>
      <c r="B84" s="39" t="s">
        <v>21</v>
      </c>
      <c r="C84" s="36">
        <v>14815760</v>
      </c>
      <c r="D84" s="36">
        <v>-3107055</v>
      </c>
      <c r="E84" s="36">
        <v>0</v>
      </c>
      <c r="F84" s="48">
        <v>112116243.56</v>
      </c>
      <c r="G84" s="49">
        <f t="shared" si="5"/>
        <v>0.1321464181242499</v>
      </c>
      <c r="H84" s="23">
        <f t="shared" si="8"/>
        <v>-0.17335753340086366</v>
      </c>
      <c r="I84" s="24">
        <f t="shared" si="8"/>
        <v>0</v>
      </c>
      <c r="J84" s="32" t="str" cm="1">
        <f t="array" ref="J84">IFERROR(_xlfn.IFS(B84="044 - BLEND TRADICION","BLEND",B84="113 - CAFÉ GOURMET","GOURMET",B84="114 - CAFÉ CONSUMO","CONSUMO",B84="112 - CAFÉ ORGANICO","GOURMET",B84="172 - CAFÉ COSECHA","ESPECIALES",B84="176 - CAFE DESCAFEINADO","GOURMET",B84="147 - CAPSULAS","CAPSULAS",B84="130 - GALLETAS CAFECITAS","DERIVADOS",B84="140 - MERENGUES","DERIVADOS",B84="100 - CAFÉ ESPECIAL","ESPECIALES",B84="141 - AREQUIPE","DERIVADOS",B84="142 - MERMELADA","DERIVADOS",B84="131 - GALLETAS AVENA","DERIVADOS",B84="160 - SOUVENIR","OTROS",B84="148 - CARAMELOS","DERIVADOS",B84="143 - CHOCOFFES","DERIVADOS",B84="162 - CONVENIOS Y DSC POS ","OTROS"),"OTROS")</f>
        <v>GOURMET</v>
      </c>
      <c r="L84" s="27">
        <f t="shared" si="14"/>
        <v>17922815</v>
      </c>
      <c r="M84" s="27">
        <f t="shared" si="15"/>
        <v>17922815</v>
      </c>
    </row>
    <row r="85" spans="1:13" ht="16.5" hidden="1" outlineLevel="1">
      <c r="A85" s="59"/>
      <c r="B85" s="39" t="s">
        <v>22</v>
      </c>
      <c r="C85" s="36">
        <v>905986</v>
      </c>
      <c r="D85" s="36">
        <v>0</v>
      </c>
      <c r="E85" s="36">
        <v>0</v>
      </c>
      <c r="F85" s="48">
        <v>3725758.66</v>
      </c>
      <c r="G85" s="49">
        <f t="shared" si="5"/>
        <v>0.24316819275674714</v>
      </c>
      <c r="H85" s="23">
        <f t="shared" si="8"/>
        <v>0</v>
      </c>
      <c r="I85" s="24">
        <f t="shared" si="8"/>
        <v>0</v>
      </c>
      <c r="J85" s="32" t="str" cm="1">
        <f t="array" ref="J85">IFERROR(_xlfn.IFS(B85="044 - BLEND TRADICION","BLEND",B85="113 - CAFÉ GOURMET","GOURMET",B85="114 - CAFÉ CONSUMO","CONSUMO",B85="112 - CAFÉ ORGANICO","GOURMET",B85="172 - CAFÉ COSECHA","ESPECIALES",B85="176 - CAFE DESCAFEINADO","GOURMET",B85="147 - CAPSULAS","CAPSULAS",B85="130 - GALLETAS CAFECITAS","DERIVADOS",B85="140 - MERENGUES","DERIVADOS",B85="100 - CAFÉ ESPECIAL","ESPECIALES",B85="141 - AREQUIPE","DERIVADOS",B85="142 - MERMELADA","DERIVADOS",B85="131 - GALLETAS AVENA","DERIVADOS",B85="160 - SOUVENIR","OTROS",B85="148 - CARAMELOS","DERIVADOS",B85="143 - CHOCOFFES","DERIVADOS",B85="162 - CONVENIOS Y DSC POS ","OTROS"),"OTROS")</f>
        <v>DERIVADOS</v>
      </c>
      <c r="L85" s="27">
        <f t="shared" si="14"/>
        <v>905986</v>
      </c>
      <c r="M85" s="27">
        <f t="shared" si="15"/>
        <v>905986</v>
      </c>
    </row>
    <row r="86" spans="1:13" ht="16.5" hidden="1" outlineLevel="1">
      <c r="A86" s="59"/>
      <c r="B86" s="39" t="s">
        <v>23</v>
      </c>
      <c r="C86" s="36">
        <v>-223748</v>
      </c>
      <c r="D86" s="36">
        <v>-343068</v>
      </c>
      <c r="E86" s="36"/>
      <c r="F86" s="48">
        <v>530387.72</v>
      </c>
      <c r="G86" s="49">
        <f t="shared" si="5"/>
        <v>-0.42185742912750696</v>
      </c>
      <c r="H86" s="23">
        <f t="shared" si="8"/>
        <v>-2.8751927589674824</v>
      </c>
      <c r="I86" s="24">
        <f t="shared" si="8"/>
        <v>0</v>
      </c>
      <c r="J86" s="32" t="str" cm="1">
        <f t="array" ref="J86">IFERROR(_xlfn.IFS(B86="044 - BLEND TRADICION","BLEND",B86="113 - CAFÉ GOURMET","GOURMET",B86="114 - CAFÉ CONSUMO","CONSUMO",B86="112 - CAFÉ ORGANICO","GOURMET",B86="172 - CAFÉ COSECHA","ESPECIALES",B86="176 - CAFE DESCAFEINADO","GOURMET",B86="147 - CAPSULAS","CAPSULAS",B86="130 - GALLETAS CAFECITAS","DERIVADOS",B86="140 - MERENGUES","DERIVADOS",B86="100 - CAFÉ ESPECIAL","ESPECIALES",B86="141 - AREQUIPE","DERIVADOS",B86="142 - MERMELADA","DERIVADOS",B86="131 - GALLETAS AVENA","DERIVADOS",B86="160 - SOUVENIR","OTROS",B86="148 - CARAMELOS","DERIVADOS",B86="143 - CHOCOFFES","DERIVADOS",B86="162 - CONVENIOS Y DSC POS ","OTROS"),"OTROS")</f>
        <v>DERIVADOS</v>
      </c>
      <c r="L86" s="27">
        <f t="shared" si="14"/>
        <v>119320</v>
      </c>
      <c r="M86" s="27">
        <f t="shared" si="15"/>
        <v>119320</v>
      </c>
    </row>
    <row r="87" spans="1:13" ht="16.5" hidden="1" outlineLevel="1">
      <c r="A87" s="59"/>
      <c r="B87" s="39" t="s">
        <v>24</v>
      </c>
      <c r="C87" s="36">
        <v>637730</v>
      </c>
      <c r="D87" s="36">
        <v>0</v>
      </c>
      <c r="E87" s="36"/>
      <c r="F87" s="48">
        <v>1022579.12</v>
      </c>
      <c r="G87" s="49">
        <f t="shared" si="5"/>
        <v>0.62364856423041382</v>
      </c>
      <c r="H87" s="23">
        <f t="shared" si="8"/>
        <v>0</v>
      </c>
      <c r="I87" s="24">
        <f t="shared" si="8"/>
        <v>0</v>
      </c>
      <c r="J87" s="32" t="str" cm="1">
        <f t="array" ref="J87">IFERROR(_xlfn.IFS(B87="044 - BLEND TRADICION","BLEND",B87="113 - CAFÉ GOURMET","GOURMET",B87="114 - CAFÉ CONSUMO","CONSUMO",B87="112 - CAFÉ ORGANICO","GOURMET",B87="172 - CAFÉ COSECHA","ESPECIALES",B87="176 - CAFE DESCAFEINADO","GOURMET",B87="147 - CAPSULAS","CAPSULAS",B87="130 - GALLETAS CAFECITAS","DERIVADOS",B87="140 - MERENGUES","DERIVADOS",B87="100 - CAFÉ ESPECIAL","ESPECIALES",B87="141 - AREQUIPE","DERIVADOS",B87="142 - MERMELADA","DERIVADOS",B87="131 - GALLETAS AVENA","DERIVADOS",B87="160 - SOUVENIR","OTROS",B87="148 - CARAMELOS","DERIVADOS",B87="143 - CHOCOFFES","DERIVADOS",B87="162 - CONVENIOS Y DSC POS ","OTROS"),"OTROS")</f>
        <v>DERIVADOS</v>
      </c>
      <c r="L87" s="27">
        <f t="shared" si="14"/>
        <v>637730</v>
      </c>
      <c r="M87" s="27">
        <f t="shared" si="15"/>
        <v>637730</v>
      </c>
    </row>
    <row r="88" spans="1:13" ht="16.5" hidden="1" outlineLevel="1">
      <c r="A88" s="59"/>
      <c r="B88" s="39" t="s">
        <v>25</v>
      </c>
      <c r="C88" s="36">
        <v>118026</v>
      </c>
      <c r="D88" s="36">
        <v>0</v>
      </c>
      <c r="E88" s="36"/>
      <c r="F88" s="48">
        <v>1766197.25</v>
      </c>
      <c r="G88" s="49">
        <f t="shared" si="5"/>
        <v>6.6824925698417886E-2</v>
      </c>
      <c r="H88" s="23">
        <f t="shared" si="8"/>
        <v>0</v>
      </c>
      <c r="I88" s="24">
        <f t="shared" si="8"/>
        <v>0</v>
      </c>
      <c r="J88" s="32" t="str" cm="1">
        <f t="array" ref="J88">IFERROR(_xlfn.IFS(B88="044 - BLEND TRADICION","BLEND",B88="113 - CAFÉ GOURMET","GOURMET",B88="114 - CAFÉ CONSUMO","CONSUMO",B88="112 - CAFÉ ORGANICO","GOURMET",B88="172 - CAFÉ COSECHA","ESPECIALES",B88="176 - CAFE DESCAFEINADO","GOURMET",B88="147 - CAPSULAS","CAPSULAS",B88="130 - GALLETAS CAFECITAS","DERIVADOS",B88="140 - MERENGUES","DERIVADOS",B88="100 - CAFÉ ESPECIAL","ESPECIALES",B88="141 - AREQUIPE","DERIVADOS",B88="142 - MERMELADA","DERIVADOS",B88="131 - GALLETAS AVENA","DERIVADOS",B88="160 - SOUVENIR","OTROS",B88="148 - CARAMELOS","DERIVADOS",B88="143 - CHOCOFFES","DERIVADOS",B88="162 - CONVENIOS Y DSC POS ","OTROS"),"OTROS")</f>
        <v>DERIVADOS</v>
      </c>
      <c r="L88" s="27">
        <f t="shared" si="14"/>
        <v>118026</v>
      </c>
      <c r="M88" s="27">
        <f t="shared" si="15"/>
        <v>118026</v>
      </c>
    </row>
    <row r="89" spans="1:13" ht="16.5" hidden="1" outlineLevel="1">
      <c r="A89" s="59"/>
      <c r="B89" s="39" t="s">
        <v>26</v>
      </c>
      <c r="C89" s="36">
        <v>1173705</v>
      </c>
      <c r="D89" s="36">
        <v>0</v>
      </c>
      <c r="E89" s="36"/>
      <c r="F89" s="48">
        <v>2921002.36</v>
      </c>
      <c r="G89" s="49">
        <f t="shared" si="5"/>
        <v>0.40181583420562522</v>
      </c>
      <c r="H89" s="23">
        <f t="shared" si="8"/>
        <v>0</v>
      </c>
      <c r="I89" s="24">
        <f t="shared" si="8"/>
        <v>0</v>
      </c>
      <c r="J89" s="32" t="str" cm="1">
        <f t="array" ref="J89">IFERROR(_xlfn.IFS(B89="044 - BLEND TRADICION","BLEND",B89="113 - CAFÉ GOURMET","GOURMET",B89="114 - CAFÉ CONSUMO","CONSUMO",B89="112 - CAFÉ ORGANICO","GOURMET",B89="172 - CAFÉ COSECHA","ESPECIALES",B89="176 - CAFE DESCAFEINADO","GOURMET",B89="147 - CAPSULAS","CAPSULAS",B89="130 - GALLETAS CAFECITAS","DERIVADOS",B89="140 - MERENGUES","DERIVADOS",B89="100 - CAFÉ ESPECIAL","ESPECIALES",B89="141 - AREQUIPE","DERIVADOS",B89="142 - MERMELADA","DERIVADOS",B89="131 - GALLETAS AVENA","DERIVADOS",B89="160 - SOUVENIR","OTROS",B89="148 - CARAMELOS","DERIVADOS",B89="143 - CHOCOFFES","DERIVADOS",B89="162 - CONVENIOS Y DSC POS ","OTROS"),"OTROS")</f>
        <v>CAPSULAS</v>
      </c>
      <c r="L89" s="27">
        <f t="shared" si="14"/>
        <v>1173705</v>
      </c>
      <c r="M89" s="27">
        <f t="shared" si="15"/>
        <v>1173705</v>
      </c>
    </row>
    <row r="90" spans="1:13" ht="16.5" hidden="1" outlineLevel="1">
      <c r="A90" s="59"/>
      <c r="B90" s="39" t="s">
        <v>27</v>
      </c>
      <c r="C90" s="36">
        <v>238125</v>
      </c>
      <c r="D90" s="36">
        <v>0</v>
      </c>
      <c r="E90" s="36"/>
      <c r="F90" s="48">
        <v>1719908.5</v>
      </c>
      <c r="G90" s="49">
        <f t="shared" ref="G90:G133" si="16">IFERROR(C90/F90*100%,"-")</f>
        <v>0.13845213277334231</v>
      </c>
      <c r="H90" s="23">
        <f t="shared" si="8"/>
        <v>0</v>
      </c>
      <c r="I90" s="24">
        <f t="shared" si="8"/>
        <v>0</v>
      </c>
      <c r="J90" s="32" t="str" cm="1">
        <f t="array" ref="J90">IFERROR(_xlfn.IFS(B90="044 - BLEND TRADICION","BLEND",B90="113 - CAFÉ GOURMET","GOURMET",B90="114 - CAFÉ CONSUMO","CONSUMO",B90="112 - CAFÉ ORGANICO","GOURMET",B90="172 - CAFÉ COSECHA","ESPECIALES",B90="176 - CAFE DESCAFEINADO","GOURMET",B90="147 - CAPSULAS","CAPSULAS",B90="130 - GALLETAS CAFECITAS","DERIVADOS",B90="140 - MERENGUES","DERIVADOS",B90="100 - CAFÉ ESPECIAL","ESPECIALES",B90="141 - AREQUIPE","DERIVADOS",B90="142 - MERMELADA","DERIVADOS",B90="131 - GALLETAS AVENA","DERIVADOS",B90="160 - SOUVENIR","OTROS",B90="148 - CARAMELOS","DERIVADOS",B90="143 - CHOCOFFES","DERIVADOS",B90="162 - CONVENIOS Y DSC POS ","OTROS"),"OTROS")</f>
        <v>DERIVADOS</v>
      </c>
      <c r="L90" s="27">
        <f t="shared" si="14"/>
        <v>238125</v>
      </c>
      <c r="M90" s="27">
        <f t="shared" si="15"/>
        <v>238125</v>
      </c>
    </row>
    <row r="91" spans="1:13" ht="16.5" hidden="1" outlineLevel="1">
      <c r="A91" s="59"/>
      <c r="B91" s="39" t="s">
        <v>28</v>
      </c>
      <c r="C91" s="36">
        <v>0</v>
      </c>
      <c r="D91" s="36">
        <v>0</v>
      </c>
      <c r="E91" s="36"/>
      <c r="F91" s="48">
        <v>6824547.4699999997</v>
      </c>
      <c r="G91" s="49">
        <f t="shared" si="16"/>
        <v>0</v>
      </c>
      <c r="H91" s="23">
        <f t="shared" ref="H91:I107" si="17">IFERROR(+D91/L91*100%,0)</f>
        <v>0</v>
      </c>
      <c r="I91" s="24">
        <f t="shared" si="17"/>
        <v>0</v>
      </c>
      <c r="J91" s="32" t="str" cm="1">
        <f t="array" ref="J91">IFERROR(_xlfn.IFS(B91="044 - BLEND TRADICION","BLEND",B91="113 - CAFÉ GOURMET","GOURMET",B91="114 - CAFÉ CONSUMO","CONSUMO",B91="112 - CAFÉ ORGANICO","GOURMET",B91="172 - CAFÉ COSECHA","ESPECIALES",B91="176 - CAFE DESCAFEINADO","GOURMET",B91="147 - CAPSULAS","CAPSULAS",B91="130 - GALLETAS CAFECITAS","DERIVADOS",B91="140 - MERENGUES","DERIVADOS",B91="100 - CAFÉ ESPECIAL","ESPECIALES",B91="141 - AREQUIPE","DERIVADOS",B91="142 - MERMELADA","DERIVADOS",B91="131 - GALLETAS AVENA","DERIVADOS",B91="160 - SOUVENIR","OTROS",B91="148 - CARAMELOS","DERIVADOS",B91="143 - CHOCOFFES","DERIVADOS",B91="162 - CONVENIOS Y DSC POS ","OTROS"),"OTROS")</f>
        <v>OTROS</v>
      </c>
      <c r="L91" s="27">
        <f t="shared" si="14"/>
        <v>0</v>
      </c>
      <c r="M91" s="27">
        <f t="shared" si="15"/>
        <v>0</v>
      </c>
    </row>
    <row r="92" spans="1:13" ht="16.5" hidden="1" outlineLevel="1">
      <c r="A92" s="59"/>
      <c r="B92" s="39" t="s">
        <v>29</v>
      </c>
      <c r="C92" s="36">
        <v>152822</v>
      </c>
      <c r="D92" s="36">
        <v>0</v>
      </c>
      <c r="E92" s="36"/>
      <c r="F92" s="48">
        <v>1667302.64</v>
      </c>
      <c r="G92" s="49">
        <f t="shared" si="16"/>
        <v>9.1658224687990661E-2</v>
      </c>
      <c r="H92" s="23">
        <f t="shared" si="17"/>
        <v>0</v>
      </c>
      <c r="I92" s="24">
        <f t="shared" si="17"/>
        <v>0</v>
      </c>
      <c r="J92" s="32" t="str" cm="1">
        <f t="array" ref="J92">IFERROR(_xlfn.IFS(B92="044 - BLEND TRADICION","BLEND",B92="113 - CAFÉ GOURMET","GOURMET",B92="114 - CAFÉ CONSUMO","CONSUMO",B92="112 - CAFÉ ORGANICO","GOURMET",B92="172 - CAFÉ COSECHA","ESPECIALES",B92="176 - CAFE DESCAFEINADO","GOURMET",B92="147 - CAPSULAS","CAPSULAS",B92="130 - GALLETAS CAFECITAS","DERIVADOS",B92="140 - MERENGUES","DERIVADOS",B92="100 - CAFÉ ESPECIAL","ESPECIALES",B92="141 - AREQUIPE","DERIVADOS",B92="142 - MERMELADA","DERIVADOS",B92="131 - GALLETAS AVENA","DERIVADOS",B92="160 - SOUVENIR","OTROS",B92="148 - CARAMELOS","DERIVADOS",B92="143 - CHOCOFFES","DERIVADOS",B92="162 - CONVENIOS Y DSC POS ","OTROS"),"OTROS")</f>
        <v>ESPECIALES</v>
      </c>
      <c r="L92" s="27">
        <f t="shared" si="14"/>
        <v>152822</v>
      </c>
      <c r="M92" s="27">
        <f t="shared" si="15"/>
        <v>152822</v>
      </c>
    </row>
    <row r="93" spans="1:13" ht="16.5" hidden="1" outlineLevel="1">
      <c r="A93" s="59"/>
      <c r="B93" s="39" t="s">
        <v>30</v>
      </c>
      <c r="C93" s="36">
        <v>189786</v>
      </c>
      <c r="D93" s="36">
        <v>0</v>
      </c>
      <c r="E93" s="36"/>
      <c r="F93" s="48">
        <v>382592.22</v>
      </c>
      <c r="G93" s="49">
        <f t="shared" si="16"/>
        <v>0.49605295162562379</v>
      </c>
      <c r="H93" s="23">
        <f t="shared" si="17"/>
        <v>0</v>
      </c>
      <c r="I93" s="24">
        <f t="shared" si="17"/>
        <v>0</v>
      </c>
      <c r="J93" s="32" t="str" cm="1">
        <f t="array" ref="J93">IFERROR(_xlfn.IFS(B93="044 - BLEND TRADICION","BLEND",B93="113 - CAFÉ GOURMET","GOURMET",B93="114 - CAFÉ CONSUMO","CONSUMO",B93="112 - CAFÉ ORGANICO","GOURMET",B93="172 - CAFÉ COSECHA","ESPECIALES",B93="176 - CAFE DESCAFEINADO","GOURMET",B93="147 - CAPSULAS","CAPSULAS",B93="130 - GALLETAS CAFECITAS","DERIVADOS",B93="140 - MERENGUES","DERIVADOS",B93="100 - CAFÉ ESPECIAL","ESPECIALES",B93="141 - AREQUIPE","DERIVADOS",B93="142 - MERMELADA","DERIVADOS",B93="131 - GALLETAS AVENA","DERIVADOS",B93="160 - SOUVENIR","OTROS",B93="148 - CARAMELOS","DERIVADOS",B93="143 - CHOCOFFES","DERIVADOS",B93="162 - CONVENIOS Y DSC POS ","OTROS"),"OTROS")</f>
        <v>GOURMET</v>
      </c>
      <c r="L93" s="27">
        <f t="shared" si="14"/>
        <v>189786</v>
      </c>
      <c r="M93" s="27">
        <f t="shared" si="15"/>
        <v>189786</v>
      </c>
    </row>
    <row r="94" spans="1:13" ht="16.5" hidden="1" outlineLevel="1">
      <c r="A94" s="59"/>
      <c r="B94" s="39" t="s">
        <v>31</v>
      </c>
      <c r="C94" s="36">
        <v>24000</v>
      </c>
      <c r="D94" s="36">
        <v>0</v>
      </c>
      <c r="E94" s="36"/>
      <c r="F94" s="48">
        <v>0</v>
      </c>
      <c r="G94" s="49" t="str">
        <f t="shared" si="16"/>
        <v>-</v>
      </c>
      <c r="H94" s="23">
        <f t="shared" si="17"/>
        <v>0</v>
      </c>
      <c r="I94" s="24">
        <f t="shared" si="17"/>
        <v>0</v>
      </c>
      <c r="J94" s="32" t="str" cm="1">
        <f t="array" ref="J94">IFERROR(_xlfn.IFS(B94="044 - BLEND TRADICION","BLEND",B94="113 - CAFÉ GOURMET","GOURMET",B94="114 - CAFÉ CONSUMO","CONSUMO",B94="112 - CAFÉ ORGANICO","GOURMET",B94="172 - CAFÉ COSECHA","ESPECIALES",B94="176 - CAFE DESCAFEINADO","GOURMET",B94="147 - CAPSULAS","CAPSULAS",B94="130 - GALLETAS CAFECITAS","DERIVADOS",B94="140 - MERENGUES","DERIVADOS",B94="100 - CAFÉ ESPECIAL","ESPECIALES",B94="141 - AREQUIPE","DERIVADOS",B94="142 - MERMELADA","DERIVADOS",B94="131 - GALLETAS AVENA","DERIVADOS",B94="160 - SOUVENIR","OTROS",B94="148 - CARAMELOS","DERIVADOS",B94="143 - CHOCOFFES","DERIVADOS",B94="162 - CONVENIOS Y DSC POS ","OTROS"),"OTROS")</f>
        <v>OTROS</v>
      </c>
      <c r="L94" s="27">
        <f t="shared" si="14"/>
        <v>24000</v>
      </c>
      <c r="M94" s="27">
        <f t="shared" si="15"/>
        <v>24000</v>
      </c>
    </row>
    <row r="95" spans="1:13" ht="16.5" hidden="1" outlineLevel="1">
      <c r="A95" s="19" t="s">
        <v>45</v>
      </c>
      <c r="B95" s="56" t="s">
        <v>32</v>
      </c>
      <c r="C95" s="54">
        <f>SUM(C82:C94)</f>
        <v>20332765</v>
      </c>
      <c r="D95" s="54">
        <f>SUM(D82:D94)</f>
        <v>-3450123</v>
      </c>
      <c r="E95" s="57">
        <v>0</v>
      </c>
      <c r="F95" s="58">
        <f>SUM(F82:F94)</f>
        <v>137638336.16999999</v>
      </c>
      <c r="G95" s="55">
        <f t="shared" si="16"/>
        <v>0.14772603015838973</v>
      </c>
      <c r="H95" s="23">
        <f t="shared" si="17"/>
        <v>-0.14506745354054562</v>
      </c>
      <c r="I95" s="24">
        <f t="shared" si="17"/>
        <v>0</v>
      </c>
      <c r="J95" s="32" t="str" cm="1">
        <f t="array" ref="J95">IFERROR(_xlfn.IFS(B95="044 - BLEND TRADICION","BLEND",B95="113 - CAFÉ GOURMET","GOURMET",B95="114 - CAFÉ CONSUMO","CONSUMO",B95="112 - CAFÉ ORGANICO","GOURMET",B95="172 - CAFÉ COSECHA","ESPECIALES",B95="176 - CAFE DESCAFEINADO","GOURMET",B95="147 - CAPSULAS","CAPSULAS",B95="130 - GALLETAS CAFECITAS","DERIVADOS",B95="140 - MERENGUES","DERIVADOS",B95="100 - CAFÉ ESPECIAL","ESPECIALES",B95="141 - AREQUIPE","DERIVADOS",B95="142 - MERMELADA","DERIVADOS",B95="131 - GALLETAS AVENA","DERIVADOS",B95="160 - SOUVENIR","OTROS",B95="148 - CARAMELOS","DERIVADOS",B95="143 - CHOCOFFES","DERIVADOS",B95="162 - CONVENIOS Y DSC POS ","OTROS"),"OTROS")</f>
        <v>OTROS</v>
      </c>
      <c r="L95" s="27">
        <f t="shared" si="14"/>
        <v>23782888</v>
      </c>
      <c r="M95" s="27">
        <f t="shared" si="15"/>
        <v>23782888</v>
      </c>
    </row>
    <row r="96" spans="1:13" ht="16.5" hidden="1" outlineLevel="1">
      <c r="A96" s="59"/>
      <c r="B96" s="39" t="s">
        <v>18</v>
      </c>
      <c r="C96" s="60">
        <v>521600</v>
      </c>
      <c r="D96" s="60">
        <v>0</v>
      </c>
      <c r="E96" s="36">
        <v>0</v>
      </c>
      <c r="F96" s="48">
        <v>4980625.03</v>
      </c>
      <c r="G96" s="49">
        <f t="shared" si="16"/>
        <v>0.10472581189272945</v>
      </c>
      <c r="H96" s="23">
        <f t="shared" si="17"/>
        <v>0</v>
      </c>
      <c r="I96" s="24">
        <f t="shared" si="17"/>
        <v>0</v>
      </c>
      <c r="J96" s="32" t="str" cm="1">
        <f t="array" ref="J96">IFERROR(_xlfn.IFS(B96="044 - BLEND TRADICION","BLEND",B96="113 - CAFÉ GOURMET","GOURMET",B96="114 - CAFÉ CONSUMO","CONSUMO",B96="112 - CAFÉ ORGANICO","GOURMET",B96="172 - CAFÉ COSECHA","ESPECIALES",B96="176 - CAFE DESCAFEINADO","GOURMET",B96="147 - CAPSULAS","CAPSULAS",B96="130 - GALLETAS CAFECITAS","DERIVADOS",B96="140 - MERENGUES","DERIVADOS",B96="100 - CAFÉ ESPECIAL","ESPECIALES",B96="141 - AREQUIPE","DERIVADOS",B96="142 - MERMELADA","DERIVADOS",B96="131 - GALLETAS AVENA","DERIVADOS",B96="160 - SOUVENIR","OTROS",B96="148 - CARAMELOS","DERIVADOS",B96="143 - CHOCOFFES","DERIVADOS",B96="162 - CONVENIOS Y DSC POS ","OTROS"),"OTROS")</f>
        <v>BLEND</v>
      </c>
      <c r="L96" s="27">
        <f t="shared" si="14"/>
        <v>521600</v>
      </c>
      <c r="M96" s="27">
        <f t="shared" si="15"/>
        <v>521600</v>
      </c>
    </row>
    <row r="97" spans="1:13" ht="16.5" hidden="1" outlineLevel="1">
      <c r="A97" s="59"/>
      <c r="B97" s="39" t="s">
        <v>19</v>
      </c>
      <c r="C97" s="60">
        <v>1697123</v>
      </c>
      <c r="D97" s="60">
        <v>0</v>
      </c>
      <c r="E97" s="36">
        <v>0</v>
      </c>
      <c r="F97" s="48">
        <v>4364104.07</v>
      </c>
      <c r="G97" s="49">
        <f t="shared" si="16"/>
        <v>0.38888233937097655</v>
      </c>
      <c r="H97" s="23">
        <f t="shared" si="17"/>
        <v>0</v>
      </c>
      <c r="I97" s="24">
        <f t="shared" si="17"/>
        <v>0</v>
      </c>
      <c r="J97" s="32" t="str" cm="1">
        <f t="array" ref="J97">IFERROR(_xlfn.IFS(B97="044 - BLEND TRADICION","BLEND",B97="113 - CAFÉ GOURMET","GOURMET",B97="114 - CAFÉ CONSUMO","CONSUMO",B97="112 - CAFÉ ORGANICO","GOURMET",B97="172 - CAFÉ COSECHA","ESPECIALES",B97="176 - CAFE DESCAFEINADO","GOURMET",B97="147 - CAPSULAS","CAPSULAS",B97="130 - GALLETAS CAFECITAS","DERIVADOS",B97="140 - MERENGUES","DERIVADOS",B97="100 - CAFÉ ESPECIAL","ESPECIALES",B97="141 - AREQUIPE","DERIVADOS",B97="142 - MERMELADA","DERIVADOS",B97="131 - GALLETAS AVENA","DERIVADOS",B97="160 - SOUVENIR","OTROS",B97="148 - CARAMELOS","DERIVADOS",B97="143 - CHOCOFFES","DERIVADOS",B97="162 - CONVENIOS Y DSC POS ","OTROS"),"OTROS")</f>
        <v>ESPECIALES</v>
      </c>
      <c r="L97" s="27">
        <f t="shared" si="14"/>
        <v>1697123</v>
      </c>
      <c r="M97" s="27">
        <f t="shared" si="15"/>
        <v>1697123</v>
      </c>
    </row>
    <row r="98" spans="1:13" ht="16.5" hidden="1" outlineLevel="1">
      <c r="A98" s="59"/>
      <c r="B98" s="39" t="s">
        <v>20</v>
      </c>
      <c r="C98" s="60">
        <v>2216564</v>
      </c>
      <c r="D98" s="60">
        <v>0</v>
      </c>
      <c r="E98" s="36">
        <v>0</v>
      </c>
      <c r="F98" s="48">
        <v>6833481.9699999997</v>
      </c>
      <c r="G98" s="49">
        <f t="shared" si="16"/>
        <v>0.3243681639508299</v>
      </c>
      <c r="H98" s="23">
        <f t="shared" si="17"/>
        <v>0</v>
      </c>
      <c r="I98" s="24">
        <f t="shared" si="17"/>
        <v>0</v>
      </c>
      <c r="J98" s="32" t="str" cm="1">
        <f t="array" ref="J98">IFERROR(_xlfn.IFS(B98="044 - BLEND TRADICION","BLEND",B98="113 - CAFÉ GOURMET","GOURMET",B98="114 - CAFÉ CONSUMO","CONSUMO",B98="112 - CAFÉ ORGANICO","GOURMET",B98="172 - CAFÉ COSECHA","ESPECIALES",B98="176 - CAFE DESCAFEINADO","GOURMET",B98="147 - CAPSULAS","CAPSULAS",B98="130 - GALLETAS CAFECITAS","DERIVADOS",B98="140 - MERENGUES","DERIVADOS",B98="100 - CAFÉ ESPECIAL","ESPECIALES",B98="141 - AREQUIPE","DERIVADOS",B98="142 - MERMELADA","DERIVADOS",B98="131 - GALLETAS AVENA","DERIVADOS",B98="160 - SOUVENIR","OTROS",B98="148 - CARAMELOS","DERIVADOS",B98="143 - CHOCOFFES","DERIVADOS",B98="162 - CONVENIOS Y DSC POS ","OTROS"),"OTROS")</f>
        <v>GOURMET</v>
      </c>
      <c r="L98" s="27">
        <f t="shared" si="14"/>
        <v>2216564</v>
      </c>
      <c r="M98" s="27">
        <f t="shared" si="15"/>
        <v>2216564</v>
      </c>
    </row>
    <row r="99" spans="1:13" ht="16.5" hidden="1" outlineLevel="1">
      <c r="A99" s="59"/>
      <c r="B99" s="39" t="s">
        <v>21</v>
      </c>
      <c r="C99" s="60">
        <v>25778272</v>
      </c>
      <c r="D99" s="60">
        <v>0</v>
      </c>
      <c r="E99" s="36"/>
      <c r="F99" s="48">
        <v>128071723.90000001</v>
      </c>
      <c r="G99" s="49">
        <f t="shared" si="16"/>
        <v>0.20127996418731736</v>
      </c>
      <c r="H99" s="23">
        <f t="shared" si="17"/>
        <v>0</v>
      </c>
      <c r="I99" s="24">
        <f t="shared" si="17"/>
        <v>0</v>
      </c>
      <c r="J99" s="32" t="str" cm="1">
        <f t="array" ref="J99">IFERROR(_xlfn.IFS(B99="044 - BLEND TRADICION","BLEND",B99="113 - CAFÉ GOURMET","GOURMET",B99="114 - CAFÉ CONSUMO","CONSUMO",B99="112 - CAFÉ ORGANICO","GOURMET",B99="172 - CAFÉ COSECHA","ESPECIALES",B99="176 - CAFE DESCAFEINADO","GOURMET",B99="147 - CAPSULAS","CAPSULAS",B99="130 - GALLETAS CAFECITAS","DERIVADOS",B99="140 - MERENGUES","DERIVADOS",B99="100 - CAFÉ ESPECIAL","ESPECIALES",B99="141 - AREQUIPE","DERIVADOS",B99="142 - MERMELADA","DERIVADOS",B99="131 - GALLETAS AVENA","DERIVADOS",B99="160 - SOUVENIR","OTROS",B99="148 - CARAMELOS","DERIVADOS",B99="143 - CHOCOFFES","DERIVADOS",B99="162 - CONVENIOS Y DSC POS ","OTROS"),"OTROS")</f>
        <v>GOURMET</v>
      </c>
      <c r="L99" s="27">
        <f t="shared" si="14"/>
        <v>25778272</v>
      </c>
      <c r="M99" s="27">
        <f t="shared" si="15"/>
        <v>25778272</v>
      </c>
    </row>
    <row r="100" spans="1:13" ht="16.5" hidden="1" outlineLevel="1">
      <c r="A100" s="59"/>
      <c r="B100" s="39" t="s">
        <v>22</v>
      </c>
      <c r="C100" s="60">
        <v>1291863</v>
      </c>
      <c r="D100" s="60">
        <v>0</v>
      </c>
      <c r="E100" s="36">
        <v>0</v>
      </c>
      <c r="F100" s="48">
        <v>5287340.72</v>
      </c>
      <c r="G100" s="49">
        <f t="shared" si="16"/>
        <v>0.24433133183820999</v>
      </c>
      <c r="H100" s="23">
        <f t="shared" si="17"/>
        <v>0</v>
      </c>
      <c r="I100" s="24">
        <f t="shared" si="17"/>
        <v>0</v>
      </c>
      <c r="J100" s="32" t="str" cm="1">
        <f t="array" ref="J100">IFERROR(_xlfn.IFS(B100="044 - BLEND TRADICION","BLEND",B100="113 - CAFÉ GOURMET","GOURMET",B100="114 - CAFÉ CONSUMO","CONSUMO",B100="112 - CAFÉ ORGANICO","GOURMET",B100="172 - CAFÉ COSECHA","ESPECIALES",B100="176 - CAFE DESCAFEINADO","GOURMET",B100="147 - CAPSULAS","CAPSULAS",B100="130 - GALLETAS CAFECITAS","DERIVADOS",B100="140 - MERENGUES","DERIVADOS",B100="100 - CAFÉ ESPECIAL","ESPECIALES",B100="141 - AREQUIPE","DERIVADOS",B100="142 - MERMELADA","DERIVADOS",B100="131 - GALLETAS AVENA","DERIVADOS",B100="160 - SOUVENIR","OTROS",B100="148 - CARAMELOS","DERIVADOS",B100="143 - CHOCOFFES","DERIVADOS",B100="162 - CONVENIOS Y DSC POS ","OTROS"),"OTROS")</f>
        <v>DERIVADOS</v>
      </c>
      <c r="L100" s="27">
        <f t="shared" si="14"/>
        <v>1291863</v>
      </c>
      <c r="M100" s="27">
        <f t="shared" si="15"/>
        <v>1291863</v>
      </c>
    </row>
    <row r="101" spans="1:13" ht="16.5" hidden="1" outlineLevel="1">
      <c r="A101" s="59"/>
      <c r="B101" s="39" t="s">
        <v>23</v>
      </c>
      <c r="C101" s="60">
        <v>59660</v>
      </c>
      <c r="D101" s="60">
        <v>0</v>
      </c>
      <c r="E101" s="36">
        <v>0</v>
      </c>
      <c r="F101" s="48">
        <v>0</v>
      </c>
      <c r="G101" s="49" t="str">
        <f t="shared" si="16"/>
        <v>-</v>
      </c>
      <c r="H101" s="23">
        <f t="shared" si="17"/>
        <v>0</v>
      </c>
      <c r="I101" s="24">
        <f t="shared" si="17"/>
        <v>0</v>
      </c>
      <c r="J101" s="32" t="str" cm="1">
        <f t="array" ref="J101">IFERROR(_xlfn.IFS(B101="044 - BLEND TRADICION","BLEND",B101="113 - CAFÉ GOURMET","GOURMET",B101="114 - CAFÉ CONSUMO","CONSUMO",B101="112 - CAFÉ ORGANICO","GOURMET",B101="172 - CAFÉ COSECHA","ESPECIALES",B101="176 - CAFE DESCAFEINADO","GOURMET",B101="147 - CAPSULAS","CAPSULAS",B101="130 - GALLETAS CAFECITAS","DERIVADOS",B101="140 - MERENGUES","DERIVADOS",B101="100 - CAFÉ ESPECIAL","ESPECIALES",B101="141 - AREQUIPE","DERIVADOS",B101="142 - MERMELADA","DERIVADOS",B101="131 - GALLETAS AVENA","DERIVADOS",B101="160 - SOUVENIR","OTROS",B101="148 - CARAMELOS","DERIVADOS",B101="143 - CHOCOFFES","DERIVADOS",B101="162 - CONVENIOS Y DSC POS ","OTROS"),"OTROS")</f>
        <v>DERIVADOS</v>
      </c>
      <c r="L101" s="27">
        <f t="shared" si="14"/>
        <v>59660</v>
      </c>
      <c r="M101" s="27">
        <f t="shared" si="15"/>
        <v>59660</v>
      </c>
    </row>
    <row r="102" spans="1:13" ht="16.5" hidden="1" outlineLevel="1">
      <c r="A102" s="59"/>
      <c r="B102" s="39" t="s">
        <v>24</v>
      </c>
      <c r="C102" s="60">
        <v>898833</v>
      </c>
      <c r="D102" s="60">
        <v>0</v>
      </c>
      <c r="E102" s="36"/>
      <c r="F102" s="48">
        <v>843982.64</v>
      </c>
      <c r="G102" s="49">
        <f t="shared" si="16"/>
        <v>1.0649899149584403</v>
      </c>
      <c r="H102" s="23">
        <f t="shared" si="17"/>
        <v>0</v>
      </c>
      <c r="I102" s="24">
        <f t="shared" si="17"/>
        <v>0</v>
      </c>
      <c r="J102" s="32" t="str" cm="1">
        <f t="array" ref="J102">IFERROR(_xlfn.IFS(B102="044 - BLEND TRADICION","BLEND",B102="113 - CAFÉ GOURMET","GOURMET",B102="114 - CAFÉ CONSUMO","CONSUMO",B102="112 - CAFÉ ORGANICO","GOURMET",B102="172 - CAFÉ COSECHA","ESPECIALES",B102="176 - CAFE DESCAFEINADO","GOURMET",B102="147 - CAPSULAS","CAPSULAS",B102="130 - GALLETAS CAFECITAS","DERIVADOS",B102="140 - MERENGUES","DERIVADOS",B102="100 - CAFÉ ESPECIAL","ESPECIALES",B102="141 - AREQUIPE","DERIVADOS",B102="142 - MERMELADA","DERIVADOS",B102="131 - GALLETAS AVENA","DERIVADOS",B102="160 - SOUVENIR","OTROS",B102="148 - CARAMELOS","DERIVADOS",B102="143 - CHOCOFFES","DERIVADOS",B102="162 - CONVENIOS Y DSC POS ","OTROS"),"OTROS")</f>
        <v>DERIVADOS</v>
      </c>
      <c r="L102" s="27">
        <f t="shared" si="14"/>
        <v>898833</v>
      </c>
      <c r="M102" s="27">
        <f t="shared" si="15"/>
        <v>898833</v>
      </c>
    </row>
    <row r="103" spans="1:13" ht="16.5" hidden="1" outlineLevel="1">
      <c r="A103" s="59"/>
      <c r="B103" s="39" t="s">
        <v>25</v>
      </c>
      <c r="C103" s="60">
        <v>921458</v>
      </c>
      <c r="D103" s="60">
        <v>0</v>
      </c>
      <c r="E103" s="36"/>
      <c r="F103" s="48">
        <v>5547744.04</v>
      </c>
      <c r="G103" s="49">
        <f t="shared" si="16"/>
        <v>0.16609598304394735</v>
      </c>
      <c r="H103" s="23">
        <f t="shared" si="17"/>
        <v>0</v>
      </c>
      <c r="I103" s="24">
        <f t="shared" si="17"/>
        <v>0</v>
      </c>
      <c r="J103" s="32" t="str" cm="1">
        <f t="array" ref="J103">IFERROR(_xlfn.IFS(B103="044 - BLEND TRADICION","BLEND",B103="113 - CAFÉ GOURMET","GOURMET",B103="114 - CAFÉ CONSUMO","CONSUMO",B103="112 - CAFÉ ORGANICO","GOURMET",B103="172 - CAFÉ COSECHA","ESPECIALES",B103="176 - CAFE DESCAFEINADO","GOURMET",B103="147 - CAPSULAS","CAPSULAS",B103="130 - GALLETAS CAFECITAS","DERIVADOS",B103="140 - MERENGUES","DERIVADOS",B103="100 - CAFÉ ESPECIAL","ESPECIALES",B103="141 - AREQUIPE","DERIVADOS",B103="142 - MERMELADA","DERIVADOS",B103="131 - GALLETAS AVENA","DERIVADOS",B103="160 - SOUVENIR","OTROS",B103="148 - CARAMELOS","DERIVADOS",B103="143 - CHOCOFFES","DERIVADOS",B103="162 - CONVENIOS Y DSC POS ","OTROS"),"OTROS")</f>
        <v>DERIVADOS</v>
      </c>
      <c r="L103" s="27">
        <f t="shared" si="14"/>
        <v>921458</v>
      </c>
      <c r="M103" s="27">
        <f t="shared" si="15"/>
        <v>921458</v>
      </c>
    </row>
    <row r="104" spans="1:13" ht="16.5" hidden="1" outlineLevel="1">
      <c r="A104" s="59"/>
      <c r="B104" s="39" t="s">
        <v>26</v>
      </c>
      <c r="C104" s="60">
        <v>0</v>
      </c>
      <c r="D104" s="60">
        <v>0</v>
      </c>
      <c r="E104" s="36"/>
      <c r="F104" s="48">
        <v>1612858.44</v>
      </c>
      <c r="G104" s="49">
        <f t="shared" si="16"/>
        <v>0</v>
      </c>
      <c r="H104" s="23">
        <f t="shared" si="17"/>
        <v>0</v>
      </c>
      <c r="I104" s="24">
        <f t="shared" si="17"/>
        <v>0</v>
      </c>
      <c r="J104" s="32" t="str" cm="1">
        <f t="array" ref="J104">IFERROR(_xlfn.IFS(B104="044 - BLEND TRADICION","BLEND",B104="113 - CAFÉ GOURMET","GOURMET",B104="114 - CAFÉ CONSUMO","CONSUMO",B104="112 - CAFÉ ORGANICO","GOURMET",B104="172 - CAFÉ COSECHA","ESPECIALES",B104="176 - CAFE DESCAFEINADO","GOURMET",B104="147 - CAPSULAS","CAPSULAS",B104="130 - GALLETAS CAFECITAS","DERIVADOS",B104="140 - MERENGUES","DERIVADOS",B104="100 - CAFÉ ESPECIAL","ESPECIALES",B104="141 - AREQUIPE","DERIVADOS",B104="142 - MERMELADA","DERIVADOS",B104="131 - GALLETAS AVENA","DERIVADOS",B104="160 - SOUVENIR","OTROS",B104="148 - CARAMELOS","DERIVADOS",B104="143 - CHOCOFFES","DERIVADOS",B104="162 - CONVENIOS Y DSC POS ","OTROS"),"OTROS")</f>
        <v>CAPSULAS</v>
      </c>
      <c r="L104" s="27">
        <f t="shared" si="14"/>
        <v>0</v>
      </c>
      <c r="M104" s="27">
        <f t="shared" si="15"/>
        <v>0</v>
      </c>
    </row>
    <row r="105" spans="1:13" ht="16.5" hidden="1" outlineLevel="1">
      <c r="A105" s="59"/>
      <c r="B105" s="39" t="s">
        <v>27</v>
      </c>
      <c r="C105" s="60">
        <v>1220395</v>
      </c>
      <c r="D105" s="60">
        <v>0</v>
      </c>
      <c r="E105" s="36"/>
      <c r="F105" s="48">
        <v>6748851.9699999997</v>
      </c>
      <c r="G105" s="49">
        <f t="shared" si="16"/>
        <v>0.18083001456023937</v>
      </c>
      <c r="H105" s="23">
        <f t="shared" si="17"/>
        <v>0</v>
      </c>
      <c r="I105" s="24">
        <f t="shared" si="17"/>
        <v>0</v>
      </c>
      <c r="J105" s="32" t="str" cm="1">
        <f t="array" ref="J105">IFERROR(_xlfn.IFS(B105="044 - BLEND TRADICION","BLEND",B105="113 - CAFÉ GOURMET","GOURMET",B105="114 - CAFÉ CONSUMO","CONSUMO",B105="112 - CAFÉ ORGANICO","GOURMET",B105="172 - CAFÉ COSECHA","ESPECIALES",B105="176 - CAFE DESCAFEINADO","GOURMET",B105="147 - CAPSULAS","CAPSULAS",B105="130 - GALLETAS CAFECITAS","DERIVADOS",B105="140 - MERENGUES","DERIVADOS",B105="100 - CAFÉ ESPECIAL","ESPECIALES",B105="141 - AREQUIPE","DERIVADOS",B105="142 - MERMELADA","DERIVADOS",B105="131 - GALLETAS AVENA","DERIVADOS",B105="160 - SOUVENIR","OTROS",B105="148 - CARAMELOS","DERIVADOS",B105="143 - CHOCOFFES","DERIVADOS",B105="162 - CONVENIOS Y DSC POS ","OTROS"),"OTROS")</f>
        <v>DERIVADOS</v>
      </c>
      <c r="L105" s="27">
        <f t="shared" si="14"/>
        <v>1220395</v>
      </c>
      <c r="M105" s="27">
        <f t="shared" si="15"/>
        <v>1220395</v>
      </c>
    </row>
    <row r="106" spans="1:13" ht="16.5" hidden="1" outlineLevel="1">
      <c r="A106" s="59"/>
      <c r="B106" s="39" t="s">
        <v>28</v>
      </c>
      <c r="C106" s="60">
        <v>2436660</v>
      </c>
      <c r="D106" s="60">
        <v>0</v>
      </c>
      <c r="E106" s="36"/>
      <c r="F106" s="48">
        <v>13175768.16</v>
      </c>
      <c r="G106" s="49">
        <f t="shared" si="16"/>
        <v>0.18493494803569768</v>
      </c>
      <c r="H106" s="23">
        <f t="shared" si="17"/>
        <v>0</v>
      </c>
      <c r="I106" s="24">
        <f t="shared" si="17"/>
        <v>0</v>
      </c>
      <c r="J106" s="32" t="str" cm="1">
        <f t="array" ref="J106">IFERROR(_xlfn.IFS(B106="044 - BLEND TRADICION","BLEND",B106="113 - CAFÉ GOURMET","GOURMET",B106="114 - CAFÉ CONSUMO","CONSUMO",B106="112 - CAFÉ ORGANICO","GOURMET",B106="172 - CAFÉ COSECHA","ESPECIALES",B106="176 - CAFE DESCAFEINADO","GOURMET",B106="147 - CAPSULAS","CAPSULAS",B106="130 - GALLETAS CAFECITAS","DERIVADOS",B106="140 - MERENGUES","DERIVADOS",B106="100 - CAFÉ ESPECIAL","ESPECIALES",B106="141 - AREQUIPE","DERIVADOS",B106="142 - MERMELADA","DERIVADOS",B106="131 - GALLETAS AVENA","DERIVADOS",B106="160 - SOUVENIR","OTROS",B106="148 - CARAMELOS","DERIVADOS",B106="143 - CHOCOFFES","DERIVADOS",B106="162 - CONVENIOS Y DSC POS ","OTROS"),"OTROS")</f>
        <v>OTROS</v>
      </c>
      <c r="L106" s="27">
        <f t="shared" si="14"/>
        <v>2436660</v>
      </c>
      <c r="M106" s="27">
        <f t="shared" si="15"/>
        <v>2436660</v>
      </c>
    </row>
    <row r="107" spans="1:13" ht="16.5" hidden="1" outlineLevel="1">
      <c r="A107" s="59"/>
      <c r="B107" s="39" t="s">
        <v>29</v>
      </c>
      <c r="C107" s="60">
        <v>3438570</v>
      </c>
      <c r="D107" s="60">
        <v>0</v>
      </c>
      <c r="E107" s="36"/>
      <c r="F107" s="48">
        <v>23863639.710000001</v>
      </c>
      <c r="G107" s="49">
        <f t="shared" si="16"/>
        <v>0.14409243693698054</v>
      </c>
      <c r="H107" s="23">
        <f t="shared" si="17"/>
        <v>0</v>
      </c>
      <c r="I107" s="24">
        <f t="shared" si="17"/>
        <v>0</v>
      </c>
      <c r="J107" s="32" t="str" cm="1">
        <f t="array" ref="J107">IFERROR(_xlfn.IFS(B107="044 - BLEND TRADICION","BLEND",B107="113 - CAFÉ GOURMET","GOURMET",B107="114 - CAFÉ CONSUMO","CONSUMO",B107="112 - CAFÉ ORGANICO","GOURMET",B107="172 - CAFÉ COSECHA","ESPECIALES",B107="176 - CAFE DESCAFEINADO","GOURMET",B107="147 - CAPSULAS","CAPSULAS",B107="130 - GALLETAS CAFECITAS","DERIVADOS",B107="140 - MERENGUES","DERIVADOS",B107="100 - CAFÉ ESPECIAL","ESPECIALES",B107="141 - AREQUIPE","DERIVADOS",B107="142 - MERMELADA","DERIVADOS",B107="131 - GALLETAS AVENA","DERIVADOS",B107="160 - SOUVENIR","OTROS",B107="148 - CARAMELOS","DERIVADOS",B107="143 - CHOCOFFES","DERIVADOS",B107="162 - CONVENIOS Y DSC POS ","OTROS"),"OTROS")</f>
        <v>ESPECIALES</v>
      </c>
      <c r="L107" s="27">
        <f t="shared" si="14"/>
        <v>3438570</v>
      </c>
      <c r="M107" s="27">
        <f t="shared" si="15"/>
        <v>3438570</v>
      </c>
    </row>
    <row r="108" spans="1:13" ht="16.5" hidden="1" outlineLevel="1">
      <c r="A108" s="59"/>
      <c r="B108" s="39" t="s">
        <v>30</v>
      </c>
      <c r="C108" s="60">
        <v>1391767</v>
      </c>
      <c r="D108" s="60">
        <v>0</v>
      </c>
      <c r="E108" s="36">
        <v>0</v>
      </c>
      <c r="F108" s="48">
        <v>1665594.24</v>
      </c>
      <c r="G108" s="49">
        <f t="shared" si="16"/>
        <v>0.83559787046333689</v>
      </c>
      <c r="H108" s="23">
        <f t="shared" ref="H108:I126" si="18">IFERROR(+D108/L108*100%,0)</f>
        <v>0</v>
      </c>
      <c r="I108" s="24">
        <f t="shared" si="18"/>
        <v>0</v>
      </c>
      <c r="J108" s="32" t="str" cm="1">
        <f t="array" ref="J108">IFERROR(_xlfn.IFS(B108="044 - BLEND TRADICION","BLEND",B108="113 - CAFÉ GOURMET","GOURMET",B108="114 - CAFÉ CONSUMO","CONSUMO",B108="112 - CAFÉ ORGANICO","GOURMET",B108="172 - CAFÉ COSECHA","ESPECIALES",B108="176 - CAFE DESCAFEINADO","GOURMET",B108="147 - CAPSULAS","CAPSULAS",B108="130 - GALLETAS CAFECITAS","DERIVADOS",B108="140 - MERENGUES","DERIVADOS",B108="100 - CAFÉ ESPECIAL","ESPECIALES",B108="141 - AREQUIPE","DERIVADOS",B108="142 - MERMELADA","DERIVADOS",B108="131 - GALLETAS AVENA","DERIVADOS",B108="160 - SOUVENIR","OTROS",B108="148 - CARAMELOS","DERIVADOS",B108="143 - CHOCOFFES","DERIVADOS",B108="162 - CONVENIOS Y DSC POS ","OTROS"),"OTROS")</f>
        <v>GOURMET</v>
      </c>
      <c r="L108" s="27">
        <f t="shared" si="14"/>
        <v>1391767</v>
      </c>
      <c r="M108" s="27">
        <f t="shared" si="15"/>
        <v>1391767</v>
      </c>
    </row>
    <row r="109" spans="1:13" ht="16.5" hidden="1" outlineLevel="1">
      <c r="A109" s="19" t="s">
        <v>46</v>
      </c>
      <c r="B109" s="56" t="s">
        <v>32</v>
      </c>
      <c r="C109" s="54">
        <f>SUM(C96:C108)</f>
        <v>41872765</v>
      </c>
      <c r="D109" s="54">
        <f>SUM(D96:D108)</f>
        <v>0</v>
      </c>
      <c r="E109" s="54">
        <f>SUM(E96:E108)</f>
        <v>0</v>
      </c>
      <c r="F109" s="54">
        <f>SUM(F96:F108)</f>
        <v>202995714.88999999</v>
      </c>
      <c r="G109" s="55">
        <f t="shared" si="16"/>
        <v>0.20627413254851296</v>
      </c>
      <c r="H109" s="23">
        <f t="shared" si="18"/>
        <v>0</v>
      </c>
      <c r="I109" s="24">
        <f t="shared" si="18"/>
        <v>0</v>
      </c>
      <c r="J109" s="32" t="str" cm="1">
        <f t="array" ref="J109">IFERROR(_xlfn.IFS(B109="044 - BLEND TRADICION","BLEND",B109="113 - CAFÉ GOURMET","GOURMET",B109="114 - CAFÉ CONSUMO","CONSUMO",B109="112 - CAFÉ ORGANICO","GOURMET",B109="172 - CAFÉ COSECHA","ESPECIALES",B109="176 - CAFE DESCAFEINADO","GOURMET",B109="147 - CAPSULAS","CAPSULAS",B109="130 - GALLETAS CAFECITAS","DERIVADOS",B109="140 - MERENGUES","DERIVADOS",B109="100 - CAFÉ ESPECIAL","ESPECIALES",B109="141 - AREQUIPE","DERIVADOS",B109="142 - MERMELADA","DERIVADOS",B109="131 - GALLETAS AVENA","DERIVADOS",B109="160 - SOUVENIR","OTROS",B109="148 - CARAMELOS","DERIVADOS",B109="143 - CHOCOFFES","DERIVADOS",B109="162 - CONVENIOS Y DSC POS ","OTROS"),"OTROS")</f>
        <v>OTROS</v>
      </c>
      <c r="L109" s="27">
        <f t="shared" si="14"/>
        <v>41872765</v>
      </c>
      <c r="M109" s="27">
        <f t="shared" si="15"/>
        <v>41872765</v>
      </c>
    </row>
    <row r="110" spans="1:13" ht="16.5" collapsed="1">
      <c r="A110" s="28" t="s">
        <v>47</v>
      </c>
      <c r="B110" s="29" t="s">
        <v>17</v>
      </c>
      <c r="C110" s="30">
        <f>+C131+C145+C162+C178+C193+C117</f>
        <v>172430011</v>
      </c>
      <c r="D110" s="30">
        <f>+D131+D145+D162+D178+D193+D117</f>
        <v>0</v>
      </c>
      <c r="E110" s="30">
        <f>+E131+E145+E162+E178+E193+E117</f>
        <v>-52019</v>
      </c>
      <c r="F110" s="30">
        <f>+F131+F145+F162+F178+F193+F117</f>
        <v>664228042.13999987</v>
      </c>
      <c r="G110" s="31">
        <f t="shared" si="16"/>
        <v>0.25959459712731731</v>
      </c>
      <c r="H110" s="23">
        <f t="shared" si="18"/>
        <v>0</v>
      </c>
      <c r="I110" s="24">
        <f t="shared" si="18"/>
        <v>-3.0159083818760712E-4</v>
      </c>
      <c r="J110" s="32" t="str" cm="1">
        <f t="array" ref="J110">IFERROR(_xlfn.IFS(B110="044 - BLEND TRADICION","BLEND",B110="113 - CAFÉ GOURMET","GOURMET",B110="114 - CAFÉ CONSUMO","CONSUMO",B110="112 - CAFÉ ORGANICO","GOURMET",B110="172 - CAFÉ COSECHA","ESPECIALES",B110="176 - CAFE DESCAFEINADO","GOURMET",B110="147 - CAPSULAS","CAPSULAS",B110="130 - GALLETAS CAFECITAS","DERIVADOS",B110="140 - MERENGUES","DERIVADOS",B110="100 - CAFÉ ESPECIAL","ESPECIALES",B110="141 - AREQUIPE","DERIVADOS",B110="142 - MERMELADA","DERIVADOS",B110="131 - GALLETAS AVENA","DERIVADOS",B110="160 - SOUVENIR","OTROS",B110="148 - CARAMELOS","DERIVADOS",B110="143 - CHOCOFFES","DERIVADOS",B110="162 - CONVENIOS Y DSC POS ","OTROS"),"OTROS")</f>
        <v>OTROS</v>
      </c>
      <c r="L110" s="27">
        <f t="shared" si="14"/>
        <v>172482030</v>
      </c>
      <c r="M110" s="27">
        <f t="shared" si="15"/>
        <v>172482030</v>
      </c>
    </row>
    <row r="111" spans="1:13" ht="16.5" hidden="1" outlineLevel="1">
      <c r="A111" s="38"/>
      <c r="B111" s="39" t="s">
        <v>19</v>
      </c>
      <c r="C111" s="36">
        <v>0</v>
      </c>
      <c r="D111" s="36">
        <v>0</v>
      </c>
      <c r="E111" s="36">
        <v>0</v>
      </c>
      <c r="F111" s="36">
        <v>397872.45</v>
      </c>
      <c r="G111" s="37">
        <f t="shared" si="16"/>
        <v>0</v>
      </c>
      <c r="H111" s="23">
        <f t="shared" si="18"/>
        <v>0</v>
      </c>
      <c r="I111" s="24">
        <f t="shared" si="18"/>
        <v>0</v>
      </c>
      <c r="J111" s="32" t="str" cm="1">
        <f t="array" ref="J111">IFERROR(_xlfn.IFS(B111="044 - BLEND TRADICION","BLEND",B111="113 - CAFÉ GOURMET","GOURMET",B111="114 - CAFÉ CONSUMO","CONSUMO",B111="112 - CAFÉ ORGANICO","GOURMET",B111="172 - CAFÉ COSECHA","ESPECIALES",B111="176 - CAFE DESCAFEINADO","GOURMET",B111="147 - CAPSULAS","CAPSULAS",B111="130 - GALLETAS CAFECITAS","DERIVADOS",B111="140 - MERENGUES","DERIVADOS",B111="100 - CAFÉ ESPECIAL","ESPECIALES",B111="141 - AREQUIPE","DERIVADOS",B111="142 - MERMELADA","DERIVADOS",B111="131 - GALLETAS AVENA","DERIVADOS",B111="160 - SOUVENIR","OTROS",B111="148 - CARAMELOS","DERIVADOS",B111="143 - CHOCOFFES","DERIVADOS",B111="162 - CONVENIOS Y DSC POS ","OTROS"),"OTROS")</f>
        <v>ESPECIALES</v>
      </c>
      <c r="L111" s="27">
        <f t="shared" si="14"/>
        <v>0</v>
      </c>
      <c r="M111" s="27">
        <f t="shared" si="15"/>
        <v>0</v>
      </c>
    </row>
    <row r="112" spans="1:13" ht="16.5" hidden="1" outlineLevel="1">
      <c r="A112" s="38"/>
      <c r="B112" s="39" t="s">
        <v>20</v>
      </c>
      <c r="C112" s="36">
        <v>0</v>
      </c>
      <c r="D112" s="36">
        <v>0</v>
      </c>
      <c r="E112" s="36"/>
      <c r="F112" s="36">
        <v>550199.43000000005</v>
      </c>
      <c r="G112" s="37">
        <f t="shared" si="16"/>
        <v>0</v>
      </c>
      <c r="H112" s="23">
        <f t="shared" si="18"/>
        <v>0</v>
      </c>
      <c r="I112" s="24">
        <f t="shared" si="18"/>
        <v>0</v>
      </c>
      <c r="J112" s="32" t="str" cm="1">
        <f t="array" ref="J112">IFERROR(_xlfn.IFS(B112="044 - BLEND TRADICION","BLEND",B112="113 - CAFÉ GOURMET","GOURMET",B112="114 - CAFÉ CONSUMO","CONSUMO",B112="112 - CAFÉ ORGANICO","GOURMET",B112="172 - CAFÉ COSECHA","ESPECIALES",B112="176 - CAFE DESCAFEINADO","GOURMET",B112="147 - CAPSULAS","CAPSULAS",B112="130 - GALLETAS CAFECITAS","DERIVADOS",B112="140 - MERENGUES","DERIVADOS",B112="100 - CAFÉ ESPECIAL","ESPECIALES",B112="141 - AREQUIPE","DERIVADOS",B112="142 - MERMELADA","DERIVADOS",B112="131 - GALLETAS AVENA","DERIVADOS",B112="160 - SOUVENIR","OTROS",B112="148 - CARAMELOS","DERIVADOS",B112="143 - CHOCOFFES","DERIVADOS",B112="162 - CONVENIOS Y DSC POS ","OTROS"),"OTROS")</f>
        <v>GOURMET</v>
      </c>
      <c r="L112" s="27">
        <f t="shared" si="14"/>
        <v>0</v>
      </c>
      <c r="M112" s="27">
        <f t="shared" si="15"/>
        <v>0</v>
      </c>
    </row>
    <row r="113" spans="1:13" ht="16.5" hidden="1" outlineLevel="1">
      <c r="A113" s="38"/>
      <c r="B113" s="39" t="s">
        <v>21</v>
      </c>
      <c r="C113" s="36">
        <v>0</v>
      </c>
      <c r="D113" s="36">
        <v>0</v>
      </c>
      <c r="E113" s="36"/>
      <c r="F113" s="36">
        <v>1226924.78</v>
      </c>
      <c r="G113" s="37">
        <f t="shared" si="16"/>
        <v>0</v>
      </c>
      <c r="H113" s="23">
        <f t="shared" si="18"/>
        <v>0</v>
      </c>
      <c r="I113" s="24">
        <f t="shared" si="18"/>
        <v>0</v>
      </c>
      <c r="J113" s="32" t="str" cm="1">
        <f t="array" ref="J113">IFERROR(_xlfn.IFS(B113="044 - BLEND TRADICION","BLEND",B113="113 - CAFÉ GOURMET","GOURMET",B113="114 - CAFÉ CONSUMO","CONSUMO",B113="112 - CAFÉ ORGANICO","GOURMET",B113="172 - CAFÉ COSECHA","ESPECIALES",B113="176 - CAFE DESCAFEINADO","GOURMET",B113="147 - CAPSULAS","CAPSULAS",B113="130 - GALLETAS CAFECITAS","DERIVADOS",B113="140 - MERENGUES","DERIVADOS",B113="100 - CAFÉ ESPECIAL","ESPECIALES",B113="141 - AREQUIPE","DERIVADOS",B113="142 - MERMELADA","DERIVADOS",B113="131 - GALLETAS AVENA","DERIVADOS",B113="160 - SOUVENIR","OTROS",B113="148 - CARAMELOS","DERIVADOS",B113="143 - CHOCOFFES","DERIVADOS",B113="162 - CONVENIOS Y DSC POS ","OTROS"),"OTROS")</f>
        <v>GOURMET</v>
      </c>
      <c r="L113" s="27">
        <f t="shared" si="14"/>
        <v>0</v>
      </c>
      <c r="M113" s="27">
        <f t="shared" si="15"/>
        <v>0</v>
      </c>
    </row>
    <row r="114" spans="1:13" ht="16.5" hidden="1" outlineLevel="1">
      <c r="A114" s="38"/>
      <c r="B114" s="39" t="s">
        <v>22</v>
      </c>
      <c r="C114" s="36">
        <v>0</v>
      </c>
      <c r="D114" s="36">
        <v>0</v>
      </c>
      <c r="E114" s="36"/>
      <c r="F114" s="36">
        <v>231859.77</v>
      </c>
      <c r="G114" s="37">
        <f t="shared" si="16"/>
        <v>0</v>
      </c>
      <c r="H114" s="23">
        <f t="shared" si="18"/>
        <v>0</v>
      </c>
      <c r="I114" s="24">
        <f t="shared" si="18"/>
        <v>0</v>
      </c>
      <c r="J114" s="32" t="str" cm="1">
        <f t="array" ref="J114">IFERROR(_xlfn.IFS(B114="044 - BLEND TRADICION","BLEND",B114="113 - CAFÉ GOURMET","GOURMET",B114="114 - CAFÉ CONSUMO","CONSUMO",B114="112 - CAFÉ ORGANICO","GOURMET",B114="172 - CAFÉ COSECHA","ESPECIALES",B114="176 - CAFE DESCAFEINADO","GOURMET",B114="147 - CAPSULAS","CAPSULAS",B114="130 - GALLETAS CAFECITAS","DERIVADOS",B114="140 - MERENGUES","DERIVADOS",B114="100 - CAFÉ ESPECIAL","ESPECIALES",B114="141 - AREQUIPE","DERIVADOS",B114="142 - MERMELADA","DERIVADOS",B114="131 - GALLETAS AVENA","DERIVADOS",B114="160 - SOUVENIR","OTROS",B114="148 - CARAMELOS","DERIVADOS",B114="143 - CHOCOFFES","DERIVADOS",B114="162 - CONVENIOS Y DSC POS ","OTROS"),"OTROS")</f>
        <v>DERIVADOS</v>
      </c>
      <c r="L114" s="27">
        <f t="shared" si="14"/>
        <v>0</v>
      </c>
      <c r="M114" s="27">
        <f t="shared" si="15"/>
        <v>0</v>
      </c>
    </row>
    <row r="115" spans="1:13" ht="16.5" hidden="1" outlineLevel="1">
      <c r="A115" s="38"/>
      <c r="B115" s="39" t="s">
        <v>28</v>
      </c>
      <c r="C115" s="36">
        <v>0</v>
      </c>
      <c r="D115" s="36">
        <v>0</v>
      </c>
      <c r="E115" s="36"/>
      <c r="F115" s="36">
        <v>197515.99</v>
      </c>
      <c r="G115" s="37">
        <f t="shared" si="16"/>
        <v>0</v>
      </c>
      <c r="H115" s="23">
        <f t="shared" si="18"/>
        <v>0</v>
      </c>
      <c r="I115" s="24">
        <f t="shared" si="18"/>
        <v>0</v>
      </c>
      <c r="J115" s="32" t="str" cm="1">
        <f t="array" ref="J115">IFERROR(_xlfn.IFS(B115="044 - BLEND TRADICION","BLEND",B115="113 - CAFÉ GOURMET","GOURMET",B115="114 - CAFÉ CONSUMO","CONSUMO",B115="112 - CAFÉ ORGANICO","GOURMET",B115="172 - CAFÉ COSECHA","ESPECIALES",B115="176 - CAFE DESCAFEINADO","GOURMET",B115="147 - CAPSULAS","CAPSULAS",B115="130 - GALLETAS CAFECITAS","DERIVADOS",B115="140 - MERENGUES","DERIVADOS",B115="100 - CAFÉ ESPECIAL","ESPECIALES",B115="141 - AREQUIPE","DERIVADOS",B115="142 - MERMELADA","DERIVADOS",B115="131 - GALLETAS AVENA","DERIVADOS",B115="160 - SOUVENIR","OTROS",B115="148 - CARAMELOS","DERIVADOS",B115="143 - CHOCOFFES","DERIVADOS",B115="162 - CONVENIOS Y DSC POS ","OTROS"),"OTROS")</f>
        <v>OTROS</v>
      </c>
      <c r="L115" s="27">
        <f t="shared" si="14"/>
        <v>0</v>
      </c>
      <c r="M115" s="27">
        <f t="shared" si="15"/>
        <v>0</v>
      </c>
    </row>
    <row r="116" spans="1:13" ht="16.5" hidden="1" outlineLevel="1">
      <c r="A116" s="38"/>
      <c r="B116" s="39" t="s">
        <v>29</v>
      </c>
      <c r="C116" s="36">
        <v>0</v>
      </c>
      <c r="D116" s="36">
        <v>0</v>
      </c>
      <c r="E116" s="36"/>
      <c r="F116" s="36">
        <v>934062.72</v>
      </c>
      <c r="G116" s="37">
        <f t="shared" si="16"/>
        <v>0</v>
      </c>
      <c r="H116" s="23">
        <f t="shared" si="18"/>
        <v>0</v>
      </c>
      <c r="I116" s="24">
        <f t="shared" si="18"/>
        <v>0</v>
      </c>
      <c r="J116" s="32" t="str" cm="1">
        <f t="array" ref="J116">IFERROR(_xlfn.IFS(B116="044 - BLEND TRADICION","BLEND",B116="113 - CAFÉ GOURMET","GOURMET",B116="114 - CAFÉ CONSUMO","CONSUMO",B116="112 - CAFÉ ORGANICO","GOURMET",B116="172 - CAFÉ COSECHA","ESPECIALES",B116="176 - CAFE DESCAFEINADO","GOURMET",B116="147 - CAPSULAS","CAPSULAS",B116="130 - GALLETAS CAFECITAS","DERIVADOS",B116="140 - MERENGUES","DERIVADOS",B116="100 - CAFÉ ESPECIAL","ESPECIALES",B116="141 - AREQUIPE","DERIVADOS",B116="142 - MERMELADA","DERIVADOS",B116="131 - GALLETAS AVENA","DERIVADOS",B116="160 - SOUVENIR","OTROS",B116="148 - CARAMELOS","DERIVADOS",B116="143 - CHOCOFFES","DERIVADOS",B116="162 - CONVENIOS Y DSC POS ","OTROS"),"OTROS")</f>
        <v>ESPECIALES</v>
      </c>
      <c r="L116" s="27">
        <f t="shared" si="14"/>
        <v>0</v>
      </c>
      <c r="M116" s="27">
        <f t="shared" si="15"/>
        <v>0</v>
      </c>
    </row>
    <row r="117" spans="1:13" ht="16.5" hidden="1" outlineLevel="1">
      <c r="A117" s="19" t="s">
        <v>48</v>
      </c>
      <c r="B117" s="56" t="s">
        <v>32</v>
      </c>
      <c r="C117" s="54">
        <f>SUM(C111:C116)</f>
        <v>0</v>
      </c>
      <c r="D117" s="54">
        <f>SUM(D111:D116)</f>
        <v>0</v>
      </c>
      <c r="E117" s="54">
        <f>SUM(E111:E116)</f>
        <v>0</v>
      </c>
      <c r="F117" s="54">
        <f>SUM(F111:F116)</f>
        <v>3538435.1399999997</v>
      </c>
      <c r="G117" s="55">
        <f t="shared" si="16"/>
        <v>0</v>
      </c>
      <c r="H117" s="23">
        <f t="shared" si="18"/>
        <v>0</v>
      </c>
      <c r="I117" s="24">
        <f t="shared" si="18"/>
        <v>0</v>
      </c>
      <c r="J117" s="32" t="str" cm="1">
        <f t="array" ref="J117">IFERROR(_xlfn.IFS(B117="044 - BLEND TRADICION","BLEND",B117="113 - CAFÉ GOURMET","GOURMET",B117="114 - CAFÉ CONSUMO","CONSUMO",B117="112 - CAFÉ ORGANICO","GOURMET",B117="172 - CAFÉ COSECHA","ESPECIALES",B117="176 - CAFE DESCAFEINADO","GOURMET",B117="147 - CAPSULAS","CAPSULAS",B117="130 - GALLETAS CAFECITAS","DERIVADOS",B117="140 - MERENGUES","DERIVADOS",B117="100 - CAFÉ ESPECIAL","ESPECIALES",B117="141 - AREQUIPE","DERIVADOS",B117="142 - MERMELADA","DERIVADOS",B117="131 - GALLETAS AVENA","DERIVADOS",B117="160 - SOUVENIR","OTROS",B117="148 - CARAMELOS","DERIVADOS",B117="143 - CHOCOFFES","DERIVADOS",B117="162 - CONVENIOS Y DSC POS ","OTROS"),"OTROS")</f>
        <v>OTROS</v>
      </c>
      <c r="L117" s="27">
        <f t="shared" si="14"/>
        <v>0</v>
      </c>
      <c r="M117" s="27">
        <f t="shared" si="15"/>
        <v>0</v>
      </c>
    </row>
    <row r="118" spans="1:13" ht="16.5" hidden="1" outlineLevel="1">
      <c r="A118" s="33"/>
      <c r="B118" s="39" t="s">
        <v>18</v>
      </c>
      <c r="C118" s="36">
        <v>1065368</v>
      </c>
      <c r="D118" s="36">
        <v>0</v>
      </c>
      <c r="E118" s="36">
        <v>0</v>
      </c>
      <c r="F118" s="36">
        <v>4604527.18</v>
      </c>
      <c r="G118" s="37">
        <f t="shared" si="16"/>
        <v>0.2313740278540391</v>
      </c>
      <c r="H118" s="23">
        <f t="shared" si="18"/>
        <v>0</v>
      </c>
      <c r="I118" s="24">
        <f t="shared" si="18"/>
        <v>0</v>
      </c>
      <c r="J118" s="32" t="str" cm="1">
        <f t="array" ref="J118">IFERROR(_xlfn.IFS(B118="044 - BLEND TRADICION","BLEND",B118="113 - CAFÉ GOURMET","GOURMET",B118="114 - CAFÉ CONSUMO","CONSUMO",B118="112 - CAFÉ ORGANICO","GOURMET",B118="172 - CAFÉ COSECHA","ESPECIALES",B118="176 - CAFE DESCAFEINADO","GOURMET",B118="147 - CAPSULAS","CAPSULAS",B118="130 - GALLETAS CAFECITAS","DERIVADOS",B118="140 - MERENGUES","DERIVADOS",B118="100 - CAFÉ ESPECIAL","ESPECIALES",B118="141 - AREQUIPE","DERIVADOS",B118="142 - MERMELADA","DERIVADOS",B118="131 - GALLETAS AVENA","DERIVADOS",B118="160 - SOUVENIR","OTROS",B118="148 - CARAMELOS","DERIVADOS",B118="143 - CHOCOFFES","DERIVADOS",B118="162 - CONVENIOS Y DSC POS ","OTROS"),"OTROS")</f>
        <v>BLEND</v>
      </c>
      <c r="L118" s="27">
        <f t="shared" si="14"/>
        <v>1065368</v>
      </c>
      <c r="M118" s="27">
        <f t="shared" si="15"/>
        <v>1065368</v>
      </c>
    </row>
    <row r="119" spans="1:13" ht="16.5" hidden="1" outlineLevel="1">
      <c r="A119" s="38"/>
      <c r="B119" s="39" t="s">
        <v>19</v>
      </c>
      <c r="C119" s="36">
        <v>198983</v>
      </c>
      <c r="D119" s="36">
        <v>0</v>
      </c>
      <c r="E119" s="36">
        <v>0</v>
      </c>
      <c r="F119" s="36">
        <v>904271.48</v>
      </c>
      <c r="G119" s="37">
        <f t="shared" si="16"/>
        <v>0.2200478555400199</v>
      </c>
      <c r="H119" s="23">
        <f t="shared" si="18"/>
        <v>0</v>
      </c>
      <c r="I119" s="24">
        <f t="shared" si="18"/>
        <v>0</v>
      </c>
      <c r="J119" s="32" t="str" cm="1">
        <f t="array" ref="J119">IFERROR(_xlfn.IFS(B119="044 - BLEND TRADICION","BLEND",B119="113 - CAFÉ GOURMET","GOURMET",B119="114 - CAFÉ CONSUMO","CONSUMO",B119="112 - CAFÉ ORGANICO","GOURMET",B119="172 - CAFÉ COSECHA","ESPECIALES",B119="176 - CAFE DESCAFEINADO","GOURMET",B119="147 - CAPSULAS","CAPSULAS",B119="130 - GALLETAS CAFECITAS","DERIVADOS",B119="140 - MERENGUES","DERIVADOS",B119="100 - CAFÉ ESPECIAL","ESPECIALES",B119="141 - AREQUIPE","DERIVADOS",B119="142 - MERMELADA","DERIVADOS",B119="131 - GALLETAS AVENA","DERIVADOS",B119="160 - SOUVENIR","OTROS",B119="148 - CARAMELOS","DERIVADOS",B119="143 - CHOCOFFES","DERIVADOS",B119="162 - CONVENIOS Y DSC POS ","OTROS"),"OTROS")</f>
        <v>ESPECIALES</v>
      </c>
      <c r="L119" s="27">
        <f t="shared" si="14"/>
        <v>198983</v>
      </c>
      <c r="M119" s="27">
        <f t="shared" si="15"/>
        <v>198983</v>
      </c>
    </row>
    <row r="120" spans="1:13" ht="16.5" hidden="1" outlineLevel="1">
      <c r="A120" s="38"/>
      <c r="B120" s="39" t="s">
        <v>20</v>
      </c>
      <c r="C120" s="36">
        <v>319902</v>
      </c>
      <c r="D120" s="36">
        <v>0</v>
      </c>
      <c r="E120" s="36">
        <v>0</v>
      </c>
      <c r="F120" s="36">
        <v>1000950.28</v>
      </c>
      <c r="G120" s="37">
        <f t="shared" si="16"/>
        <v>0.31959829213495</v>
      </c>
      <c r="H120" s="23">
        <f t="shared" si="18"/>
        <v>0</v>
      </c>
      <c r="I120" s="24">
        <f t="shared" si="18"/>
        <v>0</v>
      </c>
      <c r="J120" s="32" t="str" cm="1">
        <f t="array" ref="J120">IFERROR(_xlfn.IFS(B120="044 - BLEND TRADICION","BLEND",B120="113 - CAFÉ GOURMET","GOURMET",B120="114 - CAFÉ CONSUMO","CONSUMO",B120="112 - CAFÉ ORGANICO","GOURMET",B120="172 - CAFÉ COSECHA","ESPECIALES",B120="176 - CAFE DESCAFEINADO","GOURMET",B120="147 - CAPSULAS","CAPSULAS",B120="130 - GALLETAS CAFECITAS","DERIVADOS",B120="140 - MERENGUES","DERIVADOS",B120="100 - CAFÉ ESPECIAL","ESPECIALES",B120="141 - AREQUIPE","DERIVADOS",B120="142 - MERMELADA","DERIVADOS",B120="131 - GALLETAS AVENA","DERIVADOS",B120="160 - SOUVENIR","OTROS",B120="148 - CARAMELOS","DERIVADOS",B120="143 - CHOCOFFES","DERIVADOS",B120="162 - CONVENIOS Y DSC POS ","OTROS"),"OTROS")</f>
        <v>GOURMET</v>
      </c>
      <c r="L120" s="27">
        <f t="shared" si="14"/>
        <v>319902</v>
      </c>
      <c r="M120" s="27">
        <f t="shared" si="15"/>
        <v>319902</v>
      </c>
    </row>
    <row r="121" spans="1:13" ht="16.5" hidden="1" outlineLevel="1">
      <c r="A121" s="38"/>
      <c r="B121" s="39" t="s">
        <v>21</v>
      </c>
      <c r="C121" s="36">
        <v>5557884</v>
      </c>
      <c r="D121" s="36">
        <v>0</v>
      </c>
      <c r="E121" s="36">
        <v>0</v>
      </c>
      <c r="F121" s="36">
        <v>29634733.52</v>
      </c>
      <c r="G121" s="37">
        <f t="shared" si="16"/>
        <v>0.18754627897190554</v>
      </c>
      <c r="H121" s="23">
        <f t="shared" si="18"/>
        <v>0</v>
      </c>
      <c r="I121" s="24">
        <f t="shared" si="18"/>
        <v>0</v>
      </c>
      <c r="J121" s="32" t="str" cm="1">
        <f t="array" ref="J121">IFERROR(_xlfn.IFS(B121="044 - BLEND TRADICION","BLEND",B121="113 - CAFÉ GOURMET","GOURMET",B121="114 - CAFÉ CONSUMO","CONSUMO",B121="112 - CAFÉ ORGANICO","GOURMET",B121="172 - CAFÉ COSECHA","ESPECIALES",B121="176 - CAFE DESCAFEINADO","GOURMET",B121="147 - CAPSULAS","CAPSULAS",B121="130 - GALLETAS CAFECITAS","DERIVADOS",B121="140 - MERENGUES","DERIVADOS",B121="100 - CAFÉ ESPECIAL","ESPECIALES",B121="141 - AREQUIPE","DERIVADOS",B121="142 - MERMELADA","DERIVADOS",B121="131 - GALLETAS AVENA","DERIVADOS",B121="160 - SOUVENIR","OTROS",B121="148 - CARAMELOS","DERIVADOS",B121="143 - CHOCOFFES","DERIVADOS",B121="162 - CONVENIOS Y DSC POS ","OTROS"),"OTROS")</f>
        <v>GOURMET</v>
      </c>
      <c r="L121" s="27">
        <f t="shared" si="14"/>
        <v>5557884</v>
      </c>
      <c r="M121" s="27">
        <f t="shared" si="15"/>
        <v>5557884</v>
      </c>
    </row>
    <row r="122" spans="1:13" ht="16.5" hidden="1" outlineLevel="1">
      <c r="A122" s="38"/>
      <c r="B122" s="39" t="s">
        <v>22</v>
      </c>
      <c r="C122" s="36">
        <v>1993425</v>
      </c>
      <c r="D122" s="36">
        <v>0</v>
      </c>
      <c r="E122" s="36"/>
      <c r="F122" s="36">
        <v>7797334.1100000003</v>
      </c>
      <c r="G122" s="37">
        <f t="shared" si="16"/>
        <v>0.25565468554739151</v>
      </c>
      <c r="H122" s="23">
        <f t="shared" si="18"/>
        <v>0</v>
      </c>
      <c r="I122" s="24">
        <f t="shared" si="18"/>
        <v>0</v>
      </c>
      <c r="J122" s="32" t="str" cm="1">
        <f t="array" ref="J122">IFERROR(_xlfn.IFS(B122="044 - BLEND TRADICION","BLEND",B122="113 - CAFÉ GOURMET","GOURMET",B122="114 - CAFÉ CONSUMO","CONSUMO",B122="112 - CAFÉ ORGANICO","GOURMET",B122="172 - CAFÉ COSECHA","ESPECIALES",B122="176 - CAFE DESCAFEINADO","GOURMET",B122="147 - CAPSULAS","CAPSULAS",B122="130 - GALLETAS CAFECITAS","DERIVADOS",B122="140 - MERENGUES","DERIVADOS",B122="100 - CAFÉ ESPECIAL","ESPECIALES",B122="141 - AREQUIPE","DERIVADOS",B122="142 - MERMELADA","DERIVADOS",B122="131 - GALLETAS AVENA","DERIVADOS",B122="160 - SOUVENIR","OTROS",B122="148 - CARAMELOS","DERIVADOS",B122="143 - CHOCOFFES","DERIVADOS",B122="162 - CONVENIOS Y DSC POS ","OTROS"),"OTROS")</f>
        <v>DERIVADOS</v>
      </c>
      <c r="L122" s="27">
        <f t="shared" si="14"/>
        <v>1993425</v>
      </c>
      <c r="M122" s="27">
        <f t="shared" si="15"/>
        <v>1993425</v>
      </c>
    </row>
    <row r="123" spans="1:13" ht="16.5" hidden="1" outlineLevel="1">
      <c r="A123" s="38"/>
      <c r="B123" s="39" t="s">
        <v>23</v>
      </c>
      <c r="C123" s="36">
        <v>0</v>
      </c>
      <c r="D123" s="36">
        <v>0</v>
      </c>
      <c r="E123" s="36">
        <v>0</v>
      </c>
      <c r="F123" s="36">
        <v>251654.35</v>
      </c>
      <c r="G123" s="37">
        <f t="shared" si="16"/>
        <v>0</v>
      </c>
      <c r="H123" s="23">
        <f t="shared" si="18"/>
        <v>0</v>
      </c>
      <c r="I123" s="24">
        <f t="shared" si="18"/>
        <v>0</v>
      </c>
      <c r="J123" s="32" t="str" cm="1">
        <f t="array" ref="J123">IFERROR(_xlfn.IFS(B123="044 - BLEND TRADICION","BLEND",B123="113 - CAFÉ GOURMET","GOURMET",B123="114 - CAFÉ CONSUMO","CONSUMO",B123="112 - CAFÉ ORGANICO","GOURMET",B123="172 - CAFÉ COSECHA","ESPECIALES",B123="176 - CAFE DESCAFEINADO","GOURMET",B123="147 - CAPSULAS","CAPSULAS",B123="130 - GALLETAS CAFECITAS","DERIVADOS",B123="140 - MERENGUES","DERIVADOS",B123="100 - CAFÉ ESPECIAL","ESPECIALES",B123="141 - AREQUIPE","DERIVADOS",B123="142 - MERMELADA","DERIVADOS",B123="131 - GALLETAS AVENA","DERIVADOS",B123="160 - SOUVENIR","OTROS",B123="148 - CARAMELOS","DERIVADOS",B123="143 - CHOCOFFES","DERIVADOS",B123="162 - CONVENIOS Y DSC POS ","OTROS"),"OTROS")</f>
        <v>DERIVADOS</v>
      </c>
      <c r="L123" s="27">
        <f t="shared" si="14"/>
        <v>0</v>
      </c>
      <c r="M123" s="27">
        <f t="shared" si="15"/>
        <v>0</v>
      </c>
    </row>
    <row r="124" spans="1:13" ht="16.5" hidden="1" outlineLevel="1">
      <c r="A124" s="38"/>
      <c r="B124" s="39" t="s">
        <v>24</v>
      </c>
      <c r="C124" s="36">
        <v>177812</v>
      </c>
      <c r="D124" s="36">
        <v>0</v>
      </c>
      <c r="E124" s="36">
        <v>0</v>
      </c>
      <c r="F124" s="36">
        <v>965398.25</v>
      </c>
      <c r="G124" s="37">
        <f t="shared" si="16"/>
        <v>0.18418512774391294</v>
      </c>
      <c r="H124" s="23">
        <f t="shared" si="18"/>
        <v>0</v>
      </c>
      <c r="I124" s="24">
        <f t="shared" si="18"/>
        <v>0</v>
      </c>
      <c r="J124" s="32" t="str" cm="1">
        <f t="array" ref="J124">IFERROR(_xlfn.IFS(B124="044 - BLEND TRADICION","BLEND",B124="113 - CAFÉ GOURMET","GOURMET",B124="114 - CAFÉ CONSUMO","CONSUMO",B124="112 - CAFÉ ORGANICO","GOURMET",B124="172 - CAFÉ COSECHA","ESPECIALES",B124="176 - CAFE DESCAFEINADO","GOURMET",B124="147 - CAPSULAS","CAPSULAS",B124="130 - GALLETAS CAFECITAS","DERIVADOS",B124="140 - MERENGUES","DERIVADOS",B124="100 - CAFÉ ESPECIAL","ESPECIALES",B124="141 - AREQUIPE","DERIVADOS",B124="142 - MERMELADA","DERIVADOS",B124="131 - GALLETAS AVENA","DERIVADOS",B124="160 - SOUVENIR","OTROS",B124="148 - CARAMELOS","DERIVADOS",B124="143 - CHOCOFFES","DERIVADOS",B124="162 - CONVENIOS Y DSC POS ","OTROS"),"OTROS")</f>
        <v>DERIVADOS</v>
      </c>
      <c r="L124" s="27">
        <f t="shared" si="14"/>
        <v>177812</v>
      </c>
      <c r="M124" s="27">
        <f t="shared" si="15"/>
        <v>177812</v>
      </c>
    </row>
    <row r="125" spans="1:13" ht="16.5" hidden="1" outlineLevel="1">
      <c r="A125" s="38"/>
      <c r="B125" s="39" t="s">
        <v>25</v>
      </c>
      <c r="C125" s="36">
        <v>1018995</v>
      </c>
      <c r="D125" s="36">
        <v>0</v>
      </c>
      <c r="E125" s="36"/>
      <c r="F125" s="36">
        <v>4939039.0999999996</v>
      </c>
      <c r="G125" s="37">
        <f t="shared" si="16"/>
        <v>0.20631442257665061</v>
      </c>
      <c r="H125" s="23">
        <f t="shared" si="18"/>
        <v>0</v>
      </c>
      <c r="I125" s="24">
        <f t="shared" si="18"/>
        <v>0</v>
      </c>
      <c r="J125" s="32" t="str" cm="1">
        <f t="array" ref="J125">IFERROR(_xlfn.IFS(B125="044 - BLEND TRADICION","BLEND",B125="113 - CAFÉ GOURMET","GOURMET",B125="114 - CAFÉ CONSUMO","CONSUMO",B125="112 - CAFÉ ORGANICO","GOURMET",B125="172 - CAFÉ COSECHA","ESPECIALES",B125="176 - CAFE DESCAFEINADO","GOURMET",B125="147 - CAPSULAS","CAPSULAS",B125="130 - GALLETAS CAFECITAS","DERIVADOS",B125="140 - MERENGUES","DERIVADOS",B125="100 - CAFÉ ESPECIAL","ESPECIALES",B125="141 - AREQUIPE","DERIVADOS",B125="142 - MERMELADA","DERIVADOS",B125="131 - GALLETAS AVENA","DERIVADOS",B125="160 - SOUVENIR","OTROS",B125="148 - CARAMELOS","DERIVADOS",B125="143 - CHOCOFFES","DERIVADOS",B125="162 - CONVENIOS Y DSC POS ","OTROS"),"OTROS")</f>
        <v>DERIVADOS</v>
      </c>
      <c r="L125" s="27">
        <f t="shared" si="14"/>
        <v>1018995</v>
      </c>
      <c r="M125" s="27">
        <f t="shared" si="15"/>
        <v>1018995</v>
      </c>
    </row>
    <row r="126" spans="1:13" ht="16.5" hidden="1" outlineLevel="1">
      <c r="A126" s="38"/>
      <c r="B126" s="39" t="s">
        <v>26</v>
      </c>
      <c r="C126" s="36">
        <v>228552</v>
      </c>
      <c r="D126" s="36">
        <v>0</v>
      </c>
      <c r="E126" s="36"/>
      <c r="F126" s="36">
        <v>1642173.15</v>
      </c>
      <c r="G126" s="37">
        <f t="shared" si="16"/>
        <v>0.1391765539462145</v>
      </c>
      <c r="H126" s="23">
        <f t="shared" si="18"/>
        <v>0</v>
      </c>
      <c r="I126" s="24">
        <f t="shared" si="18"/>
        <v>0</v>
      </c>
      <c r="J126" s="32" t="str" cm="1">
        <f t="array" ref="J126">IFERROR(_xlfn.IFS(B126="044 - BLEND TRADICION","BLEND",B126="113 - CAFÉ GOURMET","GOURMET",B126="114 - CAFÉ CONSUMO","CONSUMO",B126="112 - CAFÉ ORGANICO","GOURMET",B126="172 - CAFÉ COSECHA","ESPECIALES",B126="176 - CAFE DESCAFEINADO","GOURMET",B126="147 - CAPSULAS","CAPSULAS",B126="130 - GALLETAS CAFECITAS","DERIVADOS",B126="140 - MERENGUES","DERIVADOS",B126="100 - CAFÉ ESPECIAL","ESPECIALES",B126="141 - AREQUIPE","DERIVADOS",B126="142 - MERMELADA","DERIVADOS",B126="131 - GALLETAS AVENA","DERIVADOS",B126="160 - SOUVENIR","OTROS",B126="148 - CARAMELOS","DERIVADOS",B126="143 - CHOCOFFES","DERIVADOS",B126="162 - CONVENIOS Y DSC POS ","OTROS"),"OTROS")</f>
        <v>CAPSULAS</v>
      </c>
      <c r="L126" s="27">
        <f t="shared" si="14"/>
        <v>228552</v>
      </c>
      <c r="M126" s="27">
        <f t="shared" si="15"/>
        <v>228552</v>
      </c>
    </row>
    <row r="127" spans="1:13" ht="16.5" hidden="1" outlineLevel="1">
      <c r="A127" s="38"/>
      <c r="B127" s="39" t="s">
        <v>27</v>
      </c>
      <c r="C127" s="36">
        <v>1561955</v>
      </c>
      <c r="D127" s="36">
        <v>0</v>
      </c>
      <c r="E127" s="36"/>
      <c r="F127" s="36">
        <v>3108561.46</v>
      </c>
      <c r="G127" s="37">
        <f t="shared" si="16"/>
        <v>0.50246875286165327</v>
      </c>
      <c r="H127" s="23">
        <f t="shared" ref="H127:I142" si="19">IFERROR(+D127/L127*100%,0)</f>
        <v>0</v>
      </c>
      <c r="I127" s="24">
        <f t="shared" si="19"/>
        <v>0</v>
      </c>
      <c r="J127" s="32" t="str" cm="1">
        <f t="array" ref="J127">IFERROR(_xlfn.IFS(B127="044 - BLEND TRADICION","BLEND",B127="113 - CAFÉ GOURMET","GOURMET",B127="114 - CAFÉ CONSUMO","CONSUMO",B127="112 - CAFÉ ORGANICO","GOURMET",B127="172 - CAFÉ COSECHA","ESPECIALES",B127="176 - CAFE DESCAFEINADO","GOURMET",B127="147 - CAPSULAS","CAPSULAS",B127="130 - GALLETAS CAFECITAS","DERIVADOS",B127="140 - MERENGUES","DERIVADOS",B127="100 - CAFÉ ESPECIAL","ESPECIALES",B127="141 - AREQUIPE","DERIVADOS",B127="142 - MERMELADA","DERIVADOS",B127="131 - GALLETAS AVENA","DERIVADOS",B127="160 - SOUVENIR","OTROS",B127="148 - CARAMELOS","DERIVADOS",B127="143 - CHOCOFFES","DERIVADOS",B127="162 - CONVENIOS Y DSC POS ","OTROS"),"OTROS")</f>
        <v>DERIVADOS</v>
      </c>
      <c r="L127" s="27">
        <f t="shared" si="14"/>
        <v>1561955</v>
      </c>
      <c r="M127" s="27">
        <f t="shared" si="15"/>
        <v>1561955</v>
      </c>
    </row>
    <row r="128" spans="1:13" ht="16.5" hidden="1" outlineLevel="1">
      <c r="A128" s="38"/>
      <c r="B128" s="39" t="s">
        <v>28</v>
      </c>
      <c r="C128" s="36">
        <v>79379</v>
      </c>
      <c r="D128" s="36">
        <v>0</v>
      </c>
      <c r="E128" s="36">
        <v>0</v>
      </c>
      <c r="F128" s="36">
        <v>1929397.03</v>
      </c>
      <c r="G128" s="37">
        <f t="shared" si="16"/>
        <v>4.1141869073987328E-2</v>
      </c>
      <c r="H128" s="23">
        <f t="shared" si="19"/>
        <v>0</v>
      </c>
      <c r="I128" s="24">
        <f t="shared" si="19"/>
        <v>0</v>
      </c>
      <c r="J128" s="32" t="str" cm="1">
        <f t="array" ref="J128">IFERROR(_xlfn.IFS(B128="044 - BLEND TRADICION","BLEND",B128="113 - CAFÉ GOURMET","GOURMET",B128="114 - CAFÉ CONSUMO","CONSUMO",B128="112 - CAFÉ ORGANICO","GOURMET",B128="172 - CAFÉ COSECHA","ESPECIALES",B128="176 - CAFE DESCAFEINADO","GOURMET",B128="147 - CAPSULAS","CAPSULAS",B128="130 - GALLETAS CAFECITAS","DERIVADOS",B128="140 - MERENGUES","DERIVADOS",B128="100 - CAFÉ ESPECIAL","ESPECIALES",B128="141 - AREQUIPE","DERIVADOS",B128="142 - MERMELADA","DERIVADOS",B128="131 - GALLETAS AVENA","DERIVADOS",B128="160 - SOUVENIR","OTROS",B128="148 - CARAMELOS","DERIVADOS",B128="143 - CHOCOFFES","DERIVADOS",B128="162 - CONVENIOS Y DSC POS ","OTROS"),"OTROS")</f>
        <v>OTROS</v>
      </c>
      <c r="L128" s="27">
        <f t="shared" si="14"/>
        <v>79379</v>
      </c>
      <c r="M128" s="27">
        <f t="shared" si="15"/>
        <v>79379</v>
      </c>
    </row>
    <row r="129" spans="1:13" ht="16.5" hidden="1" outlineLevel="1">
      <c r="A129" s="38"/>
      <c r="B129" s="39" t="s">
        <v>29</v>
      </c>
      <c r="C129" s="36">
        <v>127352</v>
      </c>
      <c r="D129" s="36">
        <v>0</v>
      </c>
      <c r="E129" s="36"/>
      <c r="F129" s="36">
        <v>2019776.56</v>
      </c>
      <c r="G129" s="37">
        <f t="shared" si="16"/>
        <v>6.3052519037056262E-2</v>
      </c>
      <c r="H129" s="23">
        <f t="shared" si="19"/>
        <v>0</v>
      </c>
      <c r="I129" s="24">
        <f t="shared" si="19"/>
        <v>0</v>
      </c>
      <c r="J129" s="32" t="str" cm="1">
        <f t="array" ref="J129">IFERROR(_xlfn.IFS(B129="044 - BLEND TRADICION","BLEND",B129="113 - CAFÉ GOURMET","GOURMET",B129="114 - CAFÉ CONSUMO","CONSUMO",B129="112 - CAFÉ ORGANICO","GOURMET",B129="172 - CAFÉ COSECHA","ESPECIALES",B129="176 - CAFE DESCAFEINADO","GOURMET",B129="147 - CAPSULAS","CAPSULAS",B129="130 - GALLETAS CAFECITAS","DERIVADOS",B129="140 - MERENGUES","DERIVADOS",B129="100 - CAFÉ ESPECIAL","ESPECIALES",B129="141 - AREQUIPE","DERIVADOS",B129="142 - MERMELADA","DERIVADOS",B129="131 - GALLETAS AVENA","DERIVADOS",B129="160 - SOUVENIR","OTROS",B129="148 - CARAMELOS","DERIVADOS",B129="143 - CHOCOFFES","DERIVADOS",B129="162 - CONVENIOS Y DSC POS ","OTROS"),"OTROS")</f>
        <v>ESPECIALES</v>
      </c>
      <c r="L129" s="27">
        <f t="shared" si="14"/>
        <v>127352</v>
      </c>
      <c r="M129" s="27">
        <f t="shared" si="15"/>
        <v>127352</v>
      </c>
    </row>
    <row r="130" spans="1:13" ht="16.5" hidden="1" outlineLevel="1">
      <c r="A130" s="38"/>
      <c r="B130" s="39" t="s">
        <v>30</v>
      </c>
      <c r="C130" s="36">
        <v>0</v>
      </c>
      <c r="D130" s="36">
        <v>0</v>
      </c>
      <c r="E130" s="36">
        <v>0</v>
      </c>
      <c r="F130" s="36">
        <v>75457.58</v>
      </c>
      <c r="G130" s="37">
        <f t="shared" si="16"/>
        <v>0</v>
      </c>
      <c r="H130" s="23">
        <f t="shared" si="19"/>
        <v>0</v>
      </c>
      <c r="I130" s="24">
        <f t="shared" si="19"/>
        <v>0</v>
      </c>
      <c r="J130" s="32" t="str" cm="1">
        <f t="array" ref="J130">IFERROR(_xlfn.IFS(B130="044 - BLEND TRADICION","BLEND",B130="113 - CAFÉ GOURMET","GOURMET",B130="114 - CAFÉ CONSUMO","CONSUMO",B130="112 - CAFÉ ORGANICO","GOURMET",B130="172 - CAFÉ COSECHA","ESPECIALES",B130="176 - CAFE DESCAFEINADO","GOURMET",B130="147 - CAPSULAS","CAPSULAS",B130="130 - GALLETAS CAFECITAS","DERIVADOS",B130="140 - MERENGUES","DERIVADOS",B130="100 - CAFÉ ESPECIAL","ESPECIALES",B130="141 - AREQUIPE","DERIVADOS",B130="142 - MERMELADA","DERIVADOS",B130="131 - GALLETAS AVENA","DERIVADOS",B130="160 - SOUVENIR","OTROS",B130="148 - CARAMELOS","DERIVADOS",B130="143 - CHOCOFFES","DERIVADOS",B130="162 - CONVENIOS Y DSC POS ","OTROS"),"OTROS")</f>
        <v>GOURMET</v>
      </c>
      <c r="L130" s="27">
        <f t="shared" si="14"/>
        <v>0</v>
      </c>
      <c r="M130" s="27">
        <f t="shared" si="15"/>
        <v>0</v>
      </c>
    </row>
    <row r="131" spans="1:13" ht="16.5" hidden="1" outlineLevel="1">
      <c r="A131" s="19" t="s">
        <v>49</v>
      </c>
      <c r="B131" s="56" t="s">
        <v>32</v>
      </c>
      <c r="C131" s="54">
        <f>SUM(C118:C130)</f>
        <v>12329607</v>
      </c>
      <c r="D131" s="54">
        <f>SUM(D118:D130)</f>
        <v>0</v>
      </c>
      <c r="E131" s="54">
        <f>SUM(E118:E130)</f>
        <v>0</v>
      </c>
      <c r="F131" s="58">
        <f>SUM(F118:F130)</f>
        <v>58873274.050000004</v>
      </c>
      <c r="G131" s="55">
        <f t="shared" si="16"/>
        <v>0.20942621586712992</v>
      </c>
      <c r="H131" s="23">
        <f t="shared" si="19"/>
        <v>0</v>
      </c>
      <c r="I131" s="24">
        <f t="shared" si="19"/>
        <v>0</v>
      </c>
      <c r="J131" s="32" t="str" cm="1">
        <f t="array" ref="J131">IFERROR(_xlfn.IFS(B131="044 - BLEND TRADICION","BLEND",B131="113 - CAFÉ GOURMET","GOURMET",B131="114 - CAFÉ CONSUMO","CONSUMO",B131="112 - CAFÉ ORGANICO","GOURMET",B131="172 - CAFÉ COSECHA","ESPECIALES",B131="176 - CAFE DESCAFEINADO","GOURMET",B131="147 - CAPSULAS","CAPSULAS",B131="130 - GALLETAS CAFECITAS","DERIVADOS",B131="140 - MERENGUES","DERIVADOS",B131="100 - CAFÉ ESPECIAL","ESPECIALES",B131="141 - AREQUIPE","DERIVADOS",B131="142 - MERMELADA","DERIVADOS",B131="131 - GALLETAS AVENA","DERIVADOS",B131="160 - SOUVENIR","OTROS",B131="148 - CARAMELOS","DERIVADOS",B131="143 - CHOCOFFES","DERIVADOS",B131="162 - CONVENIOS Y DSC POS ","OTROS"),"OTROS")</f>
        <v>OTROS</v>
      </c>
      <c r="L131" s="27">
        <f t="shared" si="14"/>
        <v>12329607</v>
      </c>
      <c r="M131" s="27">
        <f t="shared" si="15"/>
        <v>12329607</v>
      </c>
    </row>
    <row r="132" spans="1:13" ht="16.5" hidden="1" outlineLevel="1">
      <c r="A132" s="33"/>
      <c r="B132" s="39" t="s">
        <v>18</v>
      </c>
      <c r="C132" s="36">
        <v>844992</v>
      </c>
      <c r="D132" s="36">
        <v>0</v>
      </c>
      <c r="E132" s="36"/>
      <c r="F132" s="36">
        <v>5334403.3099999996</v>
      </c>
      <c r="G132" s="37">
        <f t="shared" si="16"/>
        <v>0.1584042208462112</v>
      </c>
      <c r="H132" s="23">
        <f t="shared" si="19"/>
        <v>0</v>
      </c>
      <c r="I132" s="24">
        <f t="shared" si="19"/>
        <v>0</v>
      </c>
      <c r="J132" s="32" t="str" cm="1">
        <f t="array" ref="J132">IFERROR(_xlfn.IFS(B132="044 - BLEND TRADICION","BLEND",B132="113 - CAFÉ GOURMET","GOURMET",B132="114 - CAFÉ CONSUMO","CONSUMO",B132="112 - CAFÉ ORGANICO","GOURMET",B132="172 - CAFÉ COSECHA","ESPECIALES",B132="176 - CAFE DESCAFEINADO","GOURMET",B132="147 - CAPSULAS","CAPSULAS",B132="130 - GALLETAS CAFECITAS","DERIVADOS",B132="140 - MERENGUES","DERIVADOS",B132="100 - CAFÉ ESPECIAL","ESPECIALES",B132="141 - AREQUIPE","DERIVADOS",B132="142 - MERMELADA","DERIVADOS",B132="131 - GALLETAS AVENA","DERIVADOS",B132="160 - SOUVENIR","OTROS",B132="148 - CARAMELOS","DERIVADOS",B132="143 - CHOCOFFES","DERIVADOS",B132="162 - CONVENIOS Y DSC POS ","OTROS"),"OTROS")</f>
        <v>BLEND</v>
      </c>
      <c r="L132" s="27">
        <f t="shared" si="14"/>
        <v>844992</v>
      </c>
      <c r="M132" s="27">
        <f t="shared" si="15"/>
        <v>844992</v>
      </c>
    </row>
    <row r="133" spans="1:13" ht="16.5" hidden="1" outlineLevel="1">
      <c r="A133" s="38"/>
      <c r="B133" s="39" t="s">
        <v>19</v>
      </c>
      <c r="C133" s="36">
        <v>0</v>
      </c>
      <c r="D133" s="36">
        <v>0</v>
      </c>
      <c r="E133" s="36"/>
      <c r="F133" s="36">
        <v>1332928.3500000001</v>
      </c>
      <c r="G133" s="37">
        <f t="shared" si="16"/>
        <v>0</v>
      </c>
      <c r="H133" s="23">
        <f t="shared" si="19"/>
        <v>0</v>
      </c>
      <c r="I133" s="24">
        <f t="shared" si="19"/>
        <v>0</v>
      </c>
      <c r="J133" s="32" t="str" cm="1">
        <f t="array" ref="J133">IFERROR(_xlfn.IFS(B133="044 - BLEND TRADICION","BLEND",B133="113 - CAFÉ GOURMET","GOURMET",B133="114 - CAFÉ CONSUMO","CONSUMO",B133="112 - CAFÉ ORGANICO","GOURMET",B133="172 - CAFÉ COSECHA","ESPECIALES",B133="176 - CAFE DESCAFEINADO","GOURMET",B133="147 - CAPSULAS","CAPSULAS",B133="130 - GALLETAS CAFECITAS","DERIVADOS",B133="140 - MERENGUES","DERIVADOS",B133="100 - CAFÉ ESPECIAL","ESPECIALES",B133="141 - AREQUIPE","DERIVADOS",B133="142 - MERMELADA","DERIVADOS",B133="131 - GALLETAS AVENA","DERIVADOS",B133="160 - SOUVENIR","OTROS",B133="148 - CARAMELOS","DERIVADOS",B133="143 - CHOCOFFES","DERIVADOS",B133="162 - CONVENIOS Y DSC POS ","OTROS"),"OTROS")</f>
        <v>ESPECIALES</v>
      </c>
      <c r="L133" s="27">
        <f t="shared" si="14"/>
        <v>0</v>
      </c>
      <c r="M133" s="27">
        <f t="shared" si="15"/>
        <v>0</v>
      </c>
    </row>
    <row r="134" spans="1:13" ht="16.5" hidden="1" outlineLevel="1">
      <c r="A134" s="38"/>
      <c r="B134" s="39" t="s">
        <v>20</v>
      </c>
      <c r="C134" s="36">
        <v>767760</v>
      </c>
      <c r="D134" s="36">
        <v>0</v>
      </c>
      <c r="E134" s="36"/>
      <c r="F134" s="36">
        <v>1484611.46</v>
      </c>
      <c r="G134" s="37">
        <f>IFERROR(C134/F134*100%,"-")</f>
        <v>0.51714540853672253</v>
      </c>
      <c r="H134" s="23">
        <f t="shared" si="19"/>
        <v>0</v>
      </c>
      <c r="I134" s="24">
        <f t="shared" si="19"/>
        <v>0</v>
      </c>
      <c r="J134" s="32" t="str" cm="1">
        <f t="array" ref="J134">IFERROR(_xlfn.IFS(B134="044 - BLEND TRADICION","BLEND",B134="113 - CAFÉ GOURMET","GOURMET",B134="114 - CAFÉ CONSUMO","CONSUMO",B134="112 - CAFÉ ORGANICO","GOURMET",B134="172 - CAFÉ COSECHA","ESPECIALES",B134="176 - CAFE DESCAFEINADO","GOURMET",B134="147 - CAPSULAS","CAPSULAS",B134="130 - GALLETAS CAFECITAS","DERIVADOS",B134="140 - MERENGUES","DERIVADOS",B134="100 - CAFÉ ESPECIAL","ESPECIALES",B134="141 - AREQUIPE","DERIVADOS",B134="142 - MERMELADA","DERIVADOS",B134="131 - GALLETAS AVENA","DERIVADOS",B134="160 - SOUVENIR","OTROS",B134="148 - CARAMELOS","DERIVADOS",B134="143 - CHOCOFFES","DERIVADOS",B134="162 - CONVENIOS Y DSC POS ","OTROS"),"OTROS")</f>
        <v>GOURMET</v>
      </c>
      <c r="L134" s="27">
        <f t="shared" si="14"/>
        <v>767760</v>
      </c>
      <c r="M134" s="27">
        <f t="shared" si="15"/>
        <v>767760</v>
      </c>
    </row>
    <row r="135" spans="1:13" ht="16.5" hidden="1" outlineLevel="1">
      <c r="A135" s="38"/>
      <c r="B135" s="39" t="s">
        <v>21</v>
      </c>
      <c r="C135" s="36">
        <v>18618488</v>
      </c>
      <c r="D135" s="36">
        <v>0</v>
      </c>
      <c r="E135" s="36"/>
      <c r="F135" s="36">
        <v>49968995.509999998</v>
      </c>
      <c r="G135" s="37">
        <f t="shared" ref="G135:G144" si="20">IFERROR(C135/F135*100%,"-")</f>
        <v>0.37260080595924711</v>
      </c>
      <c r="H135" s="23">
        <f t="shared" si="19"/>
        <v>0</v>
      </c>
      <c r="I135" s="24">
        <f t="shared" si="19"/>
        <v>0</v>
      </c>
      <c r="J135" s="32" t="str" cm="1">
        <f t="array" ref="J135">IFERROR(_xlfn.IFS(B135="044 - BLEND TRADICION","BLEND",B135="113 - CAFÉ GOURMET","GOURMET",B135="114 - CAFÉ CONSUMO","CONSUMO",B135="112 - CAFÉ ORGANICO","GOURMET",B135="172 - CAFÉ COSECHA","ESPECIALES",B135="176 - CAFE DESCAFEINADO","GOURMET",B135="147 - CAPSULAS","CAPSULAS",B135="130 - GALLETAS CAFECITAS","DERIVADOS",B135="140 - MERENGUES","DERIVADOS",B135="100 - CAFÉ ESPECIAL","ESPECIALES",B135="141 - AREQUIPE","DERIVADOS",B135="142 - MERMELADA","DERIVADOS",B135="131 - GALLETAS AVENA","DERIVADOS",B135="160 - SOUVENIR","OTROS",B135="148 - CARAMELOS","DERIVADOS",B135="143 - CHOCOFFES","DERIVADOS",B135="162 - CONVENIOS Y DSC POS ","OTROS"),"OTROS")</f>
        <v>GOURMET</v>
      </c>
      <c r="L135" s="27">
        <f t="shared" ref="L135:L198" si="21">C135-(D135+E135)</f>
        <v>18618488</v>
      </c>
      <c r="M135" s="27">
        <f t="shared" ref="M135:M198" si="22">L135</f>
        <v>18618488</v>
      </c>
    </row>
    <row r="136" spans="1:13" ht="16.5" hidden="1" outlineLevel="1">
      <c r="A136" s="38"/>
      <c r="B136" s="39" t="s">
        <v>22</v>
      </c>
      <c r="C136" s="36">
        <v>1894708</v>
      </c>
      <c r="D136" s="36">
        <v>0</v>
      </c>
      <c r="E136" s="36"/>
      <c r="F136" s="36">
        <v>9961569.3200000003</v>
      </c>
      <c r="G136" s="37">
        <f t="shared" si="20"/>
        <v>0.19020175829083122</v>
      </c>
      <c r="H136" s="23">
        <f t="shared" si="19"/>
        <v>0</v>
      </c>
      <c r="I136" s="24">
        <f t="shared" si="19"/>
        <v>0</v>
      </c>
      <c r="J136" s="32" t="str" cm="1">
        <f t="array" ref="J136">IFERROR(_xlfn.IFS(B136="044 - BLEND TRADICION","BLEND",B136="113 - CAFÉ GOURMET","GOURMET",B136="114 - CAFÉ CONSUMO","CONSUMO",B136="112 - CAFÉ ORGANICO","GOURMET",B136="172 - CAFÉ COSECHA","ESPECIALES",B136="176 - CAFE DESCAFEINADO","GOURMET",B136="147 - CAPSULAS","CAPSULAS",B136="130 - GALLETAS CAFECITAS","DERIVADOS",B136="140 - MERENGUES","DERIVADOS",B136="100 - CAFÉ ESPECIAL","ESPECIALES",B136="141 - AREQUIPE","DERIVADOS",B136="142 - MERMELADA","DERIVADOS",B136="131 - GALLETAS AVENA","DERIVADOS",B136="160 - SOUVENIR","OTROS",B136="148 - CARAMELOS","DERIVADOS",B136="143 - CHOCOFFES","DERIVADOS",B136="162 - CONVENIOS Y DSC POS ","OTROS"),"OTROS")</f>
        <v>DERIVADOS</v>
      </c>
      <c r="L136" s="27">
        <f t="shared" si="21"/>
        <v>1894708</v>
      </c>
      <c r="M136" s="27">
        <f t="shared" si="22"/>
        <v>1894708</v>
      </c>
    </row>
    <row r="137" spans="1:13" ht="16.5" hidden="1" outlineLevel="1">
      <c r="A137" s="38"/>
      <c r="B137" s="39" t="s">
        <v>23</v>
      </c>
      <c r="C137" s="36">
        <v>0</v>
      </c>
      <c r="D137" s="36">
        <v>0</v>
      </c>
      <c r="E137" s="36"/>
      <c r="F137" s="36">
        <v>11794.96</v>
      </c>
      <c r="G137" s="37">
        <f t="shared" si="20"/>
        <v>0</v>
      </c>
      <c r="H137" s="23">
        <f t="shared" si="19"/>
        <v>0</v>
      </c>
      <c r="I137" s="24">
        <f t="shared" si="19"/>
        <v>0</v>
      </c>
      <c r="J137" s="32" t="str" cm="1">
        <f t="array" ref="J137">IFERROR(_xlfn.IFS(B137="044 - BLEND TRADICION","BLEND",B137="113 - CAFÉ GOURMET","GOURMET",B137="114 - CAFÉ CONSUMO","CONSUMO",B137="112 - CAFÉ ORGANICO","GOURMET",B137="172 - CAFÉ COSECHA","ESPECIALES",B137="176 - CAFE DESCAFEINADO","GOURMET",B137="147 - CAPSULAS","CAPSULAS",B137="130 - GALLETAS CAFECITAS","DERIVADOS",B137="140 - MERENGUES","DERIVADOS",B137="100 - CAFÉ ESPECIAL","ESPECIALES",B137="141 - AREQUIPE","DERIVADOS",B137="142 - MERMELADA","DERIVADOS",B137="131 - GALLETAS AVENA","DERIVADOS",B137="160 - SOUVENIR","OTROS",B137="148 - CARAMELOS","DERIVADOS",B137="143 - CHOCOFFES","DERIVADOS",B137="162 - CONVENIOS Y DSC POS ","OTROS"),"OTROS")</f>
        <v>DERIVADOS</v>
      </c>
      <c r="L137" s="27">
        <f t="shared" si="21"/>
        <v>0</v>
      </c>
      <c r="M137" s="27">
        <f t="shared" si="22"/>
        <v>0</v>
      </c>
    </row>
    <row r="138" spans="1:13" ht="16.5" hidden="1" outlineLevel="1">
      <c r="A138" s="38"/>
      <c r="B138" s="39" t="s">
        <v>24</v>
      </c>
      <c r="C138" s="36">
        <v>172459</v>
      </c>
      <c r="D138" s="36">
        <v>0</v>
      </c>
      <c r="E138" s="36"/>
      <c r="F138" s="36">
        <v>854376.78</v>
      </c>
      <c r="G138" s="37">
        <f t="shared" si="20"/>
        <v>0.20185356629191162</v>
      </c>
      <c r="H138" s="23">
        <f t="shared" si="19"/>
        <v>0</v>
      </c>
      <c r="I138" s="24">
        <f t="shared" si="19"/>
        <v>0</v>
      </c>
      <c r="J138" s="32" t="str" cm="1">
        <f t="array" ref="J138">IFERROR(_xlfn.IFS(B138="044 - BLEND TRADICION","BLEND",B138="113 - CAFÉ GOURMET","GOURMET",B138="114 - CAFÉ CONSUMO","CONSUMO",B138="112 - CAFÉ ORGANICO","GOURMET",B138="172 - CAFÉ COSECHA","ESPECIALES",B138="176 - CAFE DESCAFEINADO","GOURMET",B138="147 - CAPSULAS","CAPSULAS",B138="130 - GALLETAS CAFECITAS","DERIVADOS",B138="140 - MERENGUES","DERIVADOS",B138="100 - CAFÉ ESPECIAL","ESPECIALES",B138="141 - AREQUIPE","DERIVADOS",B138="142 - MERMELADA","DERIVADOS",B138="131 - GALLETAS AVENA","DERIVADOS",B138="160 - SOUVENIR","OTROS",B138="148 - CARAMELOS","DERIVADOS",B138="143 - CHOCOFFES","DERIVADOS",B138="162 - CONVENIOS Y DSC POS ","OTROS"),"OTROS")</f>
        <v>DERIVADOS</v>
      </c>
      <c r="L138" s="27">
        <f t="shared" si="21"/>
        <v>172459</v>
      </c>
      <c r="M138" s="27">
        <f t="shared" si="22"/>
        <v>172459</v>
      </c>
    </row>
    <row r="139" spans="1:13" ht="16.5" hidden="1" outlineLevel="1">
      <c r="A139" s="38"/>
      <c r="B139" s="39" t="s">
        <v>25</v>
      </c>
      <c r="C139" s="36">
        <v>919914</v>
      </c>
      <c r="D139" s="36">
        <v>0</v>
      </c>
      <c r="E139" s="36"/>
      <c r="F139" s="36">
        <v>3865702.13</v>
      </c>
      <c r="G139" s="37">
        <f t="shared" si="20"/>
        <v>0.23796815405433216</v>
      </c>
      <c r="H139" s="23">
        <f t="shared" si="19"/>
        <v>0</v>
      </c>
      <c r="I139" s="24">
        <f t="shared" si="19"/>
        <v>0</v>
      </c>
      <c r="J139" s="32" t="str" cm="1">
        <f t="array" ref="J139">IFERROR(_xlfn.IFS(B139="044 - BLEND TRADICION","BLEND",B139="113 - CAFÉ GOURMET","GOURMET",B139="114 - CAFÉ CONSUMO","CONSUMO",B139="112 - CAFÉ ORGANICO","GOURMET",B139="172 - CAFÉ COSECHA","ESPECIALES",B139="176 - CAFE DESCAFEINADO","GOURMET",B139="147 - CAPSULAS","CAPSULAS",B139="130 - GALLETAS CAFECITAS","DERIVADOS",B139="140 - MERENGUES","DERIVADOS",B139="100 - CAFÉ ESPECIAL","ESPECIALES",B139="141 - AREQUIPE","DERIVADOS",B139="142 - MERMELADA","DERIVADOS",B139="131 - GALLETAS AVENA","DERIVADOS",B139="160 - SOUVENIR","OTROS",B139="148 - CARAMELOS","DERIVADOS",B139="143 - CHOCOFFES","DERIVADOS",B139="162 - CONVENIOS Y DSC POS ","OTROS"),"OTROS")</f>
        <v>DERIVADOS</v>
      </c>
      <c r="L139" s="27">
        <f t="shared" si="21"/>
        <v>919914</v>
      </c>
      <c r="M139" s="27">
        <f t="shared" si="22"/>
        <v>919914</v>
      </c>
    </row>
    <row r="140" spans="1:13" ht="16.5" hidden="1" outlineLevel="1">
      <c r="A140" s="38"/>
      <c r="B140" s="39" t="s">
        <v>26</v>
      </c>
      <c r="C140" s="36">
        <v>238116</v>
      </c>
      <c r="D140" s="36">
        <v>0</v>
      </c>
      <c r="E140" s="36"/>
      <c r="F140" s="36">
        <v>866649.1</v>
      </c>
      <c r="G140" s="37">
        <f t="shared" si="20"/>
        <v>0.27475479983767365</v>
      </c>
      <c r="H140" s="23">
        <f t="shared" si="19"/>
        <v>0</v>
      </c>
      <c r="I140" s="24">
        <f t="shared" si="19"/>
        <v>0</v>
      </c>
      <c r="J140" s="32" t="str" cm="1">
        <f t="array" ref="J140">IFERROR(_xlfn.IFS(B140="044 - BLEND TRADICION","BLEND",B140="113 - CAFÉ GOURMET","GOURMET",B140="114 - CAFÉ CONSUMO","CONSUMO",B140="112 - CAFÉ ORGANICO","GOURMET",B140="172 - CAFÉ COSECHA","ESPECIALES",B140="176 - CAFE DESCAFEINADO","GOURMET",B140="147 - CAPSULAS","CAPSULAS",B140="130 - GALLETAS CAFECITAS","DERIVADOS",B140="140 - MERENGUES","DERIVADOS",B140="100 - CAFÉ ESPECIAL","ESPECIALES",B140="141 - AREQUIPE","DERIVADOS",B140="142 - MERMELADA","DERIVADOS",B140="131 - GALLETAS AVENA","DERIVADOS",B140="160 - SOUVENIR","OTROS",B140="148 - CARAMELOS","DERIVADOS",B140="143 - CHOCOFFES","DERIVADOS",B140="162 - CONVENIOS Y DSC POS ","OTROS"),"OTROS")</f>
        <v>CAPSULAS</v>
      </c>
      <c r="L140" s="27">
        <f t="shared" si="21"/>
        <v>238116</v>
      </c>
      <c r="M140" s="27">
        <f t="shared" si="22"/>
        <v>238116</v>
      </c>
    </row>
    <row r="141" spans="1:13" ht="16.5" hidden="1" outlineLevel="1">
      <c r="A141" s="38"/>
      <c r="B141" s="39" t="s">
        <v>27</v>
      </c>
      <c r="C141" s="36">
        <v>2894883</v>
      </c>
      <c r="D141" s="36">
        <v>0</v>
      </c>
      <c r="E141" s="36"/>
      <c r="F141" s="36">
        <v>6049716.3799999999</v>
      </c>
      <c r="G141" s="37">
        <f t="shared" si="20"/>
        <v>0.47851549034105301</v>
      </c>
      <c r="H141" s="23">
        <f t="shared" si="19"/>
        <v>0</v>
      </c>
      <c r="I141" s="24">
        <f t="shared" si="19"/>
        <v>0</v>
      </c>
      <c r="J141" s="32" t="str" cm="1">
        <f t="array" ref="J141">IFERROR(_xlfn.IFS(B141="044 - BLEND TRADICION","BLEND",B141="113 - CAFÉ GOURMET","GOURMET",B141="114 - CAFÉ CONSUMO","CONSUMO",B141="112 - CAFÉ ORGANICO","GOURMET",B141="172 - CAFÉ COSECHA","ESPECIALES",B141="176 - CAFE DESCAFEINADO","GOURMET",B141="147 - CAPSULAS","CAPSULAS",B141="130 - GALLETAS CAFECITAS","DERIVADOS",B141="140 - MERENGUES","DERIVADOS",B141="100 - CAFÉ ESPECIAL","ESPECIALES",B141="141 - AREQUIPE","DERIVADOS",B141="142 - MERMELADA","DERIVADOS",B141="131 - GALLETAS AVENA","DERIVADOS",B141="160 - SOUVENIR","OTROS",B141="148 - CARAMELOS","DERIVADOS",B141="143 - CHOCOFFES","DERIVADOS",B141="162 - CONVENIOS Y DSC POS ","OTROS"),"OTROS")</f>
        <v>DERIVADOS</v>
      </c>
      <c r="L141" s="27">
        <f t="shared" si="21"/>
        <v>2894883</v>
      </c>
      <c r="M141" s="27">
        <f t="shared" si="22"/>
        <v>2894883</v>
      </c>
    </row>
    <row r="142" spans="1:13" ht="16.5" hidden="1" outlineLevel="1">
      <c r="A142" s="38"/>
      <c r="B142" s="39" t="s">
        <v>28</v>
      </c>
      <c r="C142" s="36">
        <v>152142</v>
      </c>
      <c r="D142" s="36">
        <v>0</v>
      </c>
      <c r="E142" s="36"/>
      <c r="F142" s="36">
        <v>2122980.0499999998</v>
      </c>
      <c r="G142" s="37">
        <f t="shared" si="20"/>
        <v>7.1664356902458884E-2</v>
      </c>
      <c r="H142" s="23">
        <f t="shared" si="19"/>
        <v>0</v>
      </c>
      <c r="I142" s="24">
        <f t="shared" si="19"/>
        <v>0</v>
      </c>
      <c r="J142" s="32" t="str" cm="1">
        <f t="array" ref="J142">IFERROR(_xlfn.IFS(B142="044 - BLEND TRADICION","BLEND",B142="113 - CAFÉ GOURMET","GOURMET",B142="114 - CAFÉ CONSUMO","CONSUMO",B142="112 - CAFÉ ORGANICO","GOURMET",B142="172 - CAFÉ COSECHA","ESPECIALES",B142="176 - CAFE DESCAFEINADO","GOURMET",B142="147 - CAPSULAS","CAPSULAS",B142="130 - GALLETAS CAFECITAS","DERIVADOS",B142="140 - MERENGUES","DERIVADOS",B142="100 - CAFÉ ESPECIAL","ESPECIALES",B142="141 - AREQUIPE","DERIVADOS",B142="142 - MERMELADA","DERIVADOS",B142="131 - GALLETAS AVENA","DERIVADOS",B142="160 - SOUVENIR","OTROS",B142="148 - CARAMELOS","DERIVADOS",B142="143 - CHOCOFFES","DERIVADOS",B142="162 - CONVENIOS Y DSC POS ","OTROS"),"OTROS")</f>
        <v>OTROS</v>
      </c>
      <c r="L142" s="27">
        <f t="shared" si="21"/>
        <v>152142</v>
      </c>
      <c r="M142" s="27">
        <f t="shared" si="22"/>
        <v>152142</v>
      </c>
    </row>
    <row r="143" spans="1:13" ht="16.5" hidden="1" outlineLevel="1">
      <c r="A143" s="38"/>
      <c r="B143" s="39" t="s">
        <v>29</v>
      </c>
      <c r="C143" s="36">
        <v>467578</v>
      </c>
      <c r="D143" s="36">
        <v>0</v>
      </c>
      <c r="E143" s="36"/>
      <c r="F143" s="36">
        <v>6357550.9400000004</v>
      </c>
      <c r="G143" s="37">
        <f t="shared" si="20"/>
        <v>7.3546874325162701E-2</v>
      </c>
      <c r="H143" s="23">
        <f t="shared" ref="H143:I175" si="23">IFERROR(+D143/L143*100%,0)</f>
        <v>0</v>
      </c>
      <c r="I143" s="24">
        <f t="shared" si="23"/>
        <v>0</v>
      </c>
      <c r="J143" s="32" t="str" cm="1">
        <f t="array" ref="J143">IFERROR(_xlfn.IFS(B143="044 - BLEND TRADICION","BLEND",B143="113 - CAFÉ GOURMET","GOURMET",B143="114 - CAFÉ CONSUMO","CONSUMO",B143="112 - CAFÉ ORGANICO","GOURMET",B143="172 - CAFÉ COSECHA","ESPECIALES",B143="176 - CAFE DESCAFEINADO","GOURMET",B143="147 - CAPSULAS","CAPSULAS",B143="130 - GALLETAS CAFECITAS","DERIVADOS",B143="140 - MERENGUES","DERIVADOS",B143="100 - CAFÉ ESPECIAL","ESPECIALES",B143="141 - AREQUIPE","DERIVADOS",B143="142 - MERMELADA","DERIVADOS",B143="131 - GALLETAS AVENA","DERIVADOS",B143="160 - SOUVENIR","OTROS",B143="148 - CARAMELOS","DERIVADOS",B143="143 - CHOCOFFES","DERIVADOS",B143="162 - CONVENIOS Y DSC POS ","OTROS"),"OTROS")</f>
        <v>ESPECIALES</v>
      </c>
      <c r="L143" s="27">
        <f t="shared" si="21"/>
        <v>467578</v>
      </c>
      <c r="M143" s="27">
        <f t="shared" si="22"/>
        <v>467578</v>
      </c>
    </row>
    <row r="144" spans="1:13" ht="16.5" hidden="1" outlineLevel="1">
      <c r="A144" s="38"/>
      <c r="B144" s="61" t="s">
        <v>30</v>
      </c>
      <c r="C144" s="100">
        <v>0</v>
      </c>
      <c r="D144" s="36">
        <v>0</v>
      </c>
      <c r="E144" s="36"/>
      <c r="F144" s="36">
        <v>974571.04</v>
      </c>
      <c r="G144" s="37">
        <f t="shared" si="20"/>
        <v>0</v>
      </c>
      <c r="H144" s="23">
        <f t="shared" si="23"/>
        <v>0</v>
      </c>
      <c r="I144" s="24">
        <f t="shared" si="23"/>
        <v>0</v>
      </c>
      <c r="J144" s="32" t="str" cm="1">
        <f t="array" ref="J144">IFERROR(_xlfn.IFS(B144="044 - BLEND TRADICION","BLEND",B144="113 - CAFÉ GOURMET","GOURMET",B144="114 - CAFÉ CONSUMO","CONSUMO",B144="112 - CAFÉ ORGANICO","GOURMET",B144="172 - CAFÉ COSECHA","ESPECIALES",B144="176 - CAFE DESCAFEINADO","GOURMET",B144="147 - CAPSULAS","CAPSULAS",B144="130 - GALLETAS CAFECITAS","DERIVADOS",B144="140 - MERENGUES","DERIVADOS",B144="100 - CAFÉ ESPECIAL","ESPECIALES",B144="141 - AREQUIPE","DERIVADOS",B144="142 - MERMELADA","DERIVADOS",B144="131 - GALLETAS AVENA","DERIVADOS",B144="160 - SOUVENIR","OTROS",B144="148 - CARAMELOS","DERIVADOS",B144="143 - CHOCOFFES","DERIVADOS",B144="162 - CONVENIOS Y DSC POS ","OTROS"),"OTROS")</f>
        <v>GOURMET</v>
      </c>
      <c r="L144" s="27">
        <f t="shared" si="21"/>
        <v>0</v>
      </c>
      <c r="M144" s="27">
        <f t="shared" si="22"/>
        <v>0</v>
      </c>
    </row>
    <row r="145" spans="1:13" ht="16.5" hidden="1" outlineLevel="1">
      <c r="A145" s="52" t="s">
        <v>51</v>
      </c>
      <c r="B145" s="20" t="s">
        <v>32</v>
      </c>
      <c r="C145" s="21">
        <f>SUM(C132:C144)</f>
        <v>26971040</v>
      </c>
      <c r="D145" s="53">
        <f>SUM(D132:D144)</f>
        <v>0</v>
      </c>
      <c r="E145" s="54">
        <f>SUM(E132:E144)</f>
        <v>0</v>
      </c>
      <c r="F145" s="58">
        <f>SUM(F132:F144)</f>
        <v>89185849.329999968</v>
      </c>
      <c r="G145" s="55">
        <f>IFERROR(C145/F145*100%,"-")</f>
        <v>0.30241389416165587</v>
      </c>
      <c r="H145" s="23">
        <f t="shared" si="23"/>
        <v>0</v>
      </c>
      <c r="I145" s="24">
        <f t="shared" si="23"/>
        <v>0</v>
      </c>
      <c r="J145" s="32" t="str" cm="1">
        <f t="array" ref="J145">IFERROR(_xlfn.IFS(B145="044 - BLEND TRADICION","BLEND",B145="113 - CAFÉ GOURMET","GOURMET",B145="114 - CAFÉ CONSUMO","CONSUMO",B145="112 - CAFÉ ORGANICO","GOURMET",B145="172 - CAFÉ COSECHA","ESPECIALES",B145="176 - CAFE DESCAFEINADO","GOURMET",B145="147 - CAPSULAS","CAPSULAS",B145="130 - GALLETAS CAFECITAS","DERIVADOS",B145="140 - MERENGUES","DERIVADOS",B145="100 - CAFÉ ESPECIAL","ESPECIALES",B145="141 - AREQUIPE","DERIVADOS",B145="142 - MERMELADA","DERIVADOS",B145="131 - GALLETAS AVENA","DERIVADOS",B145="160 - SOUVENIR","OTROS",B145="148 - CARAMELOS","DERIVADOS",B145="143 - CHOCOFFES","DERIVADOS",B145="162 - CONVENIOS Y DSC POS ","OTROS"),"OTROS")</f>
        <v>OTROS</v>
      </c>
      <c r="L145" s="27">
        <f t="shared" si="21"/>
        <v>26971040</v>
      </c>
      <c r="M145" s="27">
        <f t="shared" si="22"/>
        <v>26971040</v>
      </c>
    </row>
    <row r="146" spans="1:13" ht="16.5" hidden="1" outlineLevel="1">
      <c r="A146" s="33"/>
      <c r="B146" s="45" t="s">
        <v>42</v>
      </c>
      <c r="C146" s="46">
        <v>40584</v>
      </c>
      <c r="D146" s="47">
        <v>0</v>
      </c>
      <c r="E146" s="36">
        <v>0</v>
      </c>
      <c r="F146" s="36">
        <v>0</v>
      </c>
      <c r="G146" s="37" t="str">
        <f t="shared" ref="G146:G214" si="24">IFERROR(C146/F146*100%,"-")</f>
        <v>-</v>
      </c>
      <c r="H146" s="23">
        <f t="shared" si="23"/>
        <v>0</v>
      </c>
      <c r="I146" s="24">
        <f t="shared" si="23"/>
        <v>0</v>
      </c>
      <c r="J146" s="32" t="str" cm="1">
        <f t="array" ref="J146">IFERROR(_xlfn.IFS(B146="044 - BLEND TRADICION","BLEND",B146="113 - CAFÉ GOURMET","GOURMET",B146="114 - CAFÉ CONSUMO","CONSUMO",B146="112 - CAFÉ ORGANICO","GOURMET",B146="172 - CAFÉ COSECHA","ESPECIALES",B146="176 - CAFE DESCAFEINADO","GOURMET",B146="147 - CAPSULAS","CAPSULAS",B146="130 - GALLETAS CAFECITAS","DERIVADOS",B146="140 - MERENGUES","DERIVADOS",B146="100 - CAFÉ ESPECIAL","ESPECIALES",B146="141 - AREQUIPE","DERIVADOS",B146="142 - MERMELADA","DERIVADOS",B146="131 - GALLETAS AVENA","DERIVADOS",B146="160 - SOUVENIR","OTROS",B146="148 - CARAMELOS","DERIVADOS",B146="143 - CHOCOFFES","DERIVADOS",B146="162 - CONVENIOS Y DSC POS ","OTROS"),"OTROS")</f>
        <v>OTROS</v>
      </c>
      <c r="L146" s="27">
        <f t="shared" si="21"/>
        <v>40584</v>
      </c>
      <c r="M146" s="27">
        <f t="shared" si="22"/>
        <v>40584</v>
      </c>
    </row>
    <row r="147" spans="1:13" ht="16.5" hidden="1" outlineLevel="1">
      <c r="A147" s="44"/>
      <c r="B147" s="45" t="s">
        <v>18</v>
      </c>
      <c r="C147" s="46">
        <v>3108736</v>
      </c>
      <c r="D147" s="47">
        <v>0</v>
      </c>
      <c r="E147" s="36">
        <v>0</v>
      </c>
      <c r="F147" s="36">
        <v>14379067.41</v>
      </c>
      <c r="G147" s="37">
        <f t="shared" si="24"/>
        <v>0.21619872216733699</v>
      </c>
      <c r="H147" s="23">
        <f t="shared" si="23"/>
        <v>0</v>
      </c>
      <c r="I147" s="24">
        <f t="shared" si="23"/>
        <v>0</v>
      </c>
      <c r="J147" s="32" t="str" cm="1">
        <f t="array" ref="J147">IFERROR(_xlfn.IFS(B147="044 - BLEND TRADICION","BLEND",B147="113 - CAFÉ GOURMET","GOURMET",B147="114 - CAFÉ CONSUMO","CONSUMO",B147="112 - CAFÉ ORGANICO","GOURMET",B147="172 - CAFÉ COSECHA","ESPECIALES",B147="176 - CAFE DESCAFEINADO","GOURMET",B147="147 - CAPSULAS","CAPSULAS",B147="130 - GALLETAS CAFECITAS","DERIVADOS",B147="140 - MERENGUES","DERIVADOS",B147="100 - CAFÉ ESPECIAL","ESPECIALES",B147="141 - AREQUIPE","DERIVADOS",B147="142 - MERMELADA","DERIVADOS",B147="131 - GALLETAS AVENA","DERIVADOS",B147="160 - SOUVENIR","OTROS",B147="148 - CARAMELOS","DERIVADOS",B147="143 - CHOCOFFES","DERIVADOS",B147="162 - CONVENIOS Y DSC POS ","OTROS"),"OTROS")</f>
        <v>BLEND</v>
      </c>
      <c r="L147" s="27">
        <f t="shared" si="21"/>
        <v>3108736</v>
      </c>
      <c r="M147" s="27">
        <f t="shared" si="22"/>
        <v>3108736</v>
      </c>
    </row>
    <row r="148" spans="1:13" ht="16.5" hidden="1" outlineLevel="1">
      <c r="A148" s="44"/>
      <c r="B148" s="45" t="s">
        <v>19</v>
      </c>
      <c r="C148" s="46">
        <v>1055388</v>
      </c>
      <c r="D148" s="47">
        <v>0</v>
      </c>
      <c r="E148" s="36">
        <v>0</v>
      </c>
      <c r="F148" s="36">
        <v>3909295.37</v>
      </c>
      <c r="G148" s="37">
        <f t="shared" si="24"/>
        <v>0.26996885630568251</v>
      </c>
      <c r="H148" s="23">
        <f t="shared" si="23"/>
        <v>0</v>
      </c>
      <c r="I148" s="24">
        <f t="shared" si="23"/>
        <v>0</v>
      </c>
      <c r="J148" s="32" t="str" cm="1">
        <f t="array" ref="J148">IFERROR(_xlfn.IFS(B148="044 - BLEND TRADICION","BLEND",B148="113 - CAFÉ GOURMET","GOURMET",B148="114 - CAFÉ CONSUMO","CONSUMO",B148="112 - CAFÉ ORGANICO","GOURMET",B148="172 - CAFÉ COSECHA","ESPECIALES",B148="176 - CAFE DESCAFEINADO","GOURMET",B148="147 - CAPSULAS","CAPSULAS",B148="130 - GALLETAS CAFECITAS","DERIVADOS",B148="140 - MERENGUES","DERIVADOS",B148="100 - CAFÉ ESPECIAL","ESPECIALES",B148="141 - AREQUIPE","DERIVADOS",B148="142 - MERMELADA","DERIVADOS",B148="131 - GALLETAS AVENA","DERIVADOS",B148="160 - SOUVENIR","OTROS",B148="148 - CARAMELOS","DERIVADOS",B148="143 - CHOCOFFES","DERIVADOS",B148="162 - CONVENIOS Y DSC POS ","OTROS"),"OTROS")</f>
        <v>ESPECIALES</v>
      </c>
      <c r="L148" s="27">
        <f t="shared" si="21"/>
        <v>1055388</v>
      </c>
      <c r="M148" s="27">
        <f t="shared" si="22"/>
        <v>1055388</v>
      </c>
    </row>
    <row r="149" spans="1:13" ht="16.5" hidden="1" outlineLevel="1">
      <c r="A149" s="44"/>
      <c r="B149" s="45" t="s">
        <v>20</v>
      </c>
      <c r="C149" s="46">
        <v>1535520</v>
      </c>
      <c r="D149" s="47">
        <v>0</v>
      </c>
      <c r="E149" s="36">
        <v>0</v>
      </c>
      <c r="F149" s="36">
        <v>4626025.21</v>
      </c>
      <c r="G149" s="37">
        <f t="shared" si="24"/>
        <v>0.3319307462226303</v>
      </c>
      <c r="H149" s="23">
        <f t="shared" si="23"/>
        <v>0</v>
      </c>
      <c r="I149" s="24">
        <f t="shared" si="23"/>
        <v>0</v>
      </c>
      <c r="J149" s="32" t="str" cm="1">
        <f t="array" ref="J149">IFERROR(_xlfn.IFS(B149="044 - BLEND TRADICION","BLEND",B149="113 - CAFÉ GOURMET","GOURMET",B149="114 - CAFÉ CONSUMO","CONSUMO",B149="112 - CAFÉ ORGANICO","GOURMET",B149="172 - CAFÉ COSECHA","ESPECIALES",B149="176 - CAFE DESCAFEINADO","GOURMET",B149="147 - CAPSULAS","CAPSULAS",B149="130 - GALLETAS CAFECITAS","DERIVADOS",B149="140 - MERENGUES","DERIVADOS",B149="100 - CAFÉ ESPECIAL","ESPECIALES",B149="141 - AREQUIPE","DERIVADOS",B149="142 - MERMELADA","DERIVADOS",B149="131 - GALLETAS AVENA","DERIVADOS",B149="160 - SOUVENIR","OTROS",B149="148 - CARAMELOS","DERIVADOS",B149="143 - CHOCOFFES","DERIVADOS",B149="162 - CONVENIOS Y DSC POS ","OTROS"),"OTROS")</f>
        <v>GOURMET</v>
      </c>
      <c r="L149" s="27">
        <f t="shared" si="21"/>
        <v>1535520</v>
      </c>
      <c r="M149" s="27">
        <f t="shared" si="22"/>
        <v>1535520</v>
      </c>
    </row>
    <row r="150" spans="1:13" ht="16.5" hidden="1" outlineLevel="1">
      <c r="A150" s="44"/>
      <c r="B150" s="45" t="s">
        <v>21</v>
      </c>
      <c r="C150" s="46">
        <v>24787902</v>
      </c>
      <c r="D150" s="47">
        <v>0</v>
      </c>
      <c r="E150" s="36"/>
      <c r="F150" s="36">
        <v>114747780.18000001</v>
      </c>
      <c r="G150" s="37">
        <f t="shared" si="24"/>
        <v>0.21602075404958826</v>
      </c>
      <c r="H150" s="23">
        <f t="shared" si="23"/>
        <v>0</v>
      </c>
      <c r="I150" s="24">
        <f t="shared" si="23"/>
        <v>0</v>
      </c>
      <c r="J150" s="32" t="str" cm="1">
        <f t="array" ref="J150">IFERROR(_xlfn.IFS(B150="044 - BLEND TRADICION","BLEND",B150="113 - CAFÉ GOURMET","GOURMET",B150="114 - CAFÉ CONSUMO","CONSUMO",B150="112 - CAFÉ ORGANICO","GOURMET",B150="172 - CAFÉ COSECHA","ESPECIALES",B150="176 - CAFE DESCAFEINADO","GOURMET",B150="147 - CAPSULAS","CAPSULAS",B150="130 - GALLETAS CAFECITAS","DERIVADOS",B150="140 - MERENGUES","DERIVADOS",B150="100 - CAFÉ ESPECIAL","ESPECIALES",B150="141 - AREQUIPE","DERIVADOS",B150="142 - MERMELADA","DERIVADOS",B150="131 - GALLETAS AVENA","DERIVADOS",B150="160 - SOUVENIR","OTROS",B150="148 - CARAMELOS","DERIVADOS",B150="143 - CHOCOFFES","DERIVADOS",B150="162 - CONVENIOS Y DSC POS ","OTROS"),"OTROS")</f>
        <v>GOURMET</v>
      </c>
      <c r="L150" s="27">
        <f t="shared" si="21"/>
        <v>24787902</v>
      </c>
      <c r="M150" s="27">
        <f t="shared" si="22"/>
        <v>24787902</v>
      </c>
    </row>
    <row r="151" spans="1:13" ht="16.5" hidden="1" outlineLevel="1">
      <c r="A151" s="38"/>
      <c r="B151" s="34" t="s">
        <v>38</v>
      </c>
      <c r="C151" s="35">
        <v>0</v>
      </c>
      <c r="D151" s="36">
        <v>0</v>
      </c>
      <c r="E151" s="36"/>
      <c r="F151" s="36">
        <v>353869.81</v>
      </c>
      <c r="G151" s="37">
        <f t="shared" si="24"/>
        <v>0</v>
      </c>
      <c r="H151" s="23">
        <f t="shared" si="23"/>
        <v>0</v>
      </c>
      <c r="I151" s="24">
        <f t="shared" si="23"/>
        <v>0</v>
      </c>
      <c r="J151" s="32" t="str" cm="1">
        <f t="array" ref="J151">IFERROR(_xlfn.IFS(B151="044 - BLEND TRADICION","BLEND",B151="113 - CAFÉ GOURMET","GOURMET",B151="114 - CAFÉ CONSUMO","CONSUMO",B151="112 - CAFÉ ORGANICO","GOURMET",B151="172 - CAFÉ COSECHA","ESPECIALES",B151="176 - CAFE DESCAFEINADO","GOURMET",B151="147 - CAPSULAS","CAPSULAS",B151="130 - GALLETAS CAFECITAS","DERIVADOS",B151="140 - MERENGUES","DERIVADOS",B151="100 - CAFÉ ESPECIAL","ESPECIALES",B151="141 - AREQUIPE","DERIVADOS",B151="142 - MERMELADA","DERIVADOS",B151="131 - GALLETAS AVENA","DERIVADOS",B151="160 - SOUVENIR","OTROS",B151="148 - CARAMELOS","DERIVADOS",B151="143 - CHOCOFFES","DERIVADOS",B151="162 - CONVENIOS Y DSC POS ","OTROS"),"OTROS")</f>
        <v>CONSUMO</v>
      </c>
      <c r="L151" s="27">
        <f t="shared" si="21"/>
        <v>0</v>
      </c>
      <c r="M151" s="27">
        <f t="shared" si="22"/>
        <v>0</v>
      </c>
    </row>
    <row r="152" spans="1:13" ht="16.5" hidden="1" outlineLevel="1">
      <c r="A152" s="38"/>
      <c r="B152" s="39" t="s">
        <v>22</v>
      </c>
      <c r="C152" s="36">
        <v>4319182</v>
      </c>
      <c r="D152" s="36">
        <v>0</v>
      </c>
      <c r="E152" s="36"/>
      <c r="F152" s="36">
        <v>21366443.850000001</v>
      </c>
      <c r="G152" s="37">
        <f t="shared" si="24"/>
        <v>0.2021479114784934</v>
      </c>
      <c r="H152" s="23">
        <f t="shared" si="23"/>
        <v>0</v>
      </c>
      <c r="I152" s="24">
        <f t="shared" si="23"/>
        <v>0</v>
      </c>
      <c r="J152" s="32" t="str" cm="1">
        <f t="array" ref="J152">IFERROR(_xlfn.IFS(B152="044 - BLEND TRADICION","BLEND",B152="113 - CAFÉ GOURMET","GOURMET",B152="114 - CAFÉ CONSUMO","CONSUMO",B152="112 - CAFÉ ORGANICO","GOURMET",B152="172 - CAFÉ COSECHA","ESPECIALES",B152="176 - CAFE DESCAFEINADO","GOURMET",B152="147 - CAPSULAS","CAPSULAS",B152="130 - GALLETAS CAFECITAS","DERIVADOS",B152="140 - MERENGUES","DERIVADOS",B152="100 - CAFÉ ESPECIAL","ESPECIALES",B152="141 - AREQUIPE","DERIVADOS",B152="142 - MERMELADA","DERIVADOS",B152="131 - GALLETAS AVENA","DERIVADOS",B152="160 - SOUVENIR","OTROS",B152="148 - CARAMELOS","DERIVADOS",B152="143 - CHOCOFFES","DERIVADOS",B152="162 - CONVENIOS Y DSC POS ","OTROS"),"OTROS")</f>
        <v>DERIVADOS</v>
      </c>
      <c r="L152" s="27">
        <f t="shared" si="21"/>
        <v>4319182</v>
      </c>
      <c r="M152" s="27">
        <f t="shared" si="22"/>
        <v>4319182</v>
      </c>
    </row>
    <row r="153" spans="1:13" ht="16.5" hidden="1" outlineLevel="1">
      <c r="A153" s="38"/>
      <c r="B153" s="39" t="s">
        <v>23</v>
      </c>
      <c r="C153" s="36">
        <v>59664</v>
      </c>
      <c r="D153" s="36">
        <v>0</v>
      </c>
      <c r="E153" s="36"/>
      <c r="F153" s="36">
        <v>227657.98</v>
      </c>
      <c r="G153" s="37">
        <f t="shared" si="24"/>
        <v>0.26207734953986678</v>
      </c>
      <c r="H153" s="23">
        <f t="shared" si="23"/>
        <v>0</v>
      </c>
      <c r="I153" s="24">
        <f t="shared" si="23"/>
        <v>0</v>
      </c>
      <c r="J153" s="32" t="str" cm="1">
        <f t="array" ref="J153">IFERROR(_xlfn.IFS(B153="044 - BLEND TRADICION","BLEND",B153="113 - CAFÉ GOURMET","GOURMET",B153="114 - CAFÉ CONSUMO","CONSUMO",B153="112 - CAFÉ ORGANICO","GOURMET",B153="172 - CAFÉ COSECHA","ESPECIALES",B153="176 - CAFE DESCAFEINADO","GOURMET",B153="147 - CAPSULAS","CAPSULAS",B153="130 - GALLETAS CAFECITAS","DERIVADOS",B153="140 - MERENGUES","DERIVADOS",B153="100 - CAFÉ ESPECIAL","ESPECIALES",B153="141 - AREQUIPE","DERIVADOS",B153="142 - MERMELADA","DERIVADOS",B153="131 - GALLETAS AVENA","DERIVADOS",B153="160 - SOUVENIR","OTROS",B153="148 - CARAMELOS","DERIVADOS",B153="143 - CHOCOFFES","DERIVADOS",B153="162 - CONVENIOS Y DSC POS ","OTROS"),"OTROS")</f>
        <v>DERIVADOS</v>
      </c>
      <c r="L153" s="27">
        <f t="shared" si="21"/>
        <v>59664</v>
      </c>
      <c r="M153" s="27">
        <f t="shared" si="22"/>
        <v>59664</v>
      </c>
    </row>
    <row r="154" spans="1:13" ht="16.5" hidden="1" outlineLevel="1">
      <c r="A154" s="38"/>
      <c r="B154" s="39" t="s">
        <v>24</v>
      </c>
      <c r="C154" s="36">
        <v>870588</v>
      </c>
      <c r="D154" s="36">
        <v>0</v>
      </c>
      <c r="E154" s="36"/>
      <c r="F154" s="36">
        <v>2117327.71</v>
      </c>
      <c r="G154" s="37">
        <f t="shared" si="24"/>
        <v>0.41117300637415266</v>
      </c>
      <c r="H154" s="23">
        <f t="shared" si="23"/>
        <v>0</v>
      </c>
      <c r="I154" s="24">
        <f t="shared" si="23"/>
        <v>0</v>
      </c>
      <c r="J154" s="32" t="str" cm="1">
        <f t="array" ref="J154">IFERROR(_xlfn.IFS(B154="044 - BLEND TRADICION","BLEND",B154="113 - CAFÉ GOURMET","GOURMET",B154="114 - CAFÉ CONSUMO","CONSUMO",B154="112 - CAFÉ ORGANICO","GOURMET",B154="172 - CAFÉ COSECHA","ESPECIALES",B154="176 - CAFE DESCAFEINADO","GOURMET",B154="147 - CAPSULAS","CAPSULAS",B154="130 - GALLETAS CAFECITAS","DERIVADOS",B154="140 - MERENGUES","DERIVADOS",B154="100 - CAFÉ ESPECIAL","ESPECIALES",B154="141 - AREQUIPE","DERIVADOS",B154="142 - MERMELADA","DERIVADOS",B154="131 - GALLETAS AVENA","DERIVADOS",B154="160 - SOUVENIR","OTROS",B154="148 - CARAMELOS","DERIVADOS",B154="143 - CHOCOFFES","DERIVADOS",B154="162 - CONVENIOS Y DSC POS ","OTROS"),"OTROS")</f>
        <v>DERIVADOS</v>
      </c>
      <c r="L154" s="27">
        <f t="shared" si="21"/>
        <v>870588</v>
      </c>
      <c r="M154" s="27">
        <f t="shared" si="22"/>
        <v>870588</v>
      </c>
    </row>
    <row r="155" spans="1:13" ht="16.5" hidden="1" outlineLevel="1">
      <c r="A155" s="38"/>
      <c r="B155" s="39" t="s">
        <v>25</v>
      </c>
      <c r="C155" s="36">
        <v>2797659</v>
      </c>
      <c r="D155" s="36">
        <v>0</v>
      </c>
      <c r="E155" s="36"/>
      <c r="F155" s="36">
        <v>5087944.59</v>
      </c>
      <c r="G155" s="37">
        <f t="shared" si="24"/>
        <v>0.54986035136833122</v>
      </c>
      <c r="H155" s="23">
        <f t="shared" si="23"/>
        <v>0</v>
      </c>
      <c r="I155" s="24">
        <f t="shared" si="23"/>
        <v>0</v>
      </c>
      <c r="J155" s="32" t="str" cm="1">
        <f t="array" ref="J155">IFERROR(_xlfn.IFS(B155="044 - BLEND TRADICION","BLEND",B155="113 - CAFÉ GOURMET","GOURMET",B155="114 - CAFÉ CONSUMO","CONSUMO",B155="112 - CAFÉ ORGANICO","GOURMET",B155="172 - CAFÉ COSECHA","ESPECIALES",B155="176 - CAFE DESCAFEINADO","GOURMET",B155="147 - CAPSULAS","CAPSULAS",B155="130 - GALLETAS CAFECITAS","DERIVADOS",B155="140 - MERENGUES","DERIVADOS",B155="100 - CAFÉ ESPECIAL","ESPECIALES",B155="141 - AREQUIPE","DERIVADOS",B155="142 - MERMELADA","DERIVADOS",B155="131 - GALLETAS AVENA","DERIVADOS",B155="160 - SOUVENIR","OTROS",B155="148 - CARAMELOS","DERIVADOS",B155="143 - CHOCOFFES","DERIVADOS",B155="162 - CONVENIOS Y DSC POS ","OTROS"),"OTROS")</f>
        <v>DERIVADOS</v>
      </c>
      <c r="L155" s="27">
        <f t="shared" si="21"/>
        <v>2797659</v>
      </c>
      <c r="M155" s="27">
        <f t="shared" si="22"/>
        <v>2797659</v>
      </c>
    </row>
    <row r="156" spans="1:13" ht="16.5" hidden="1" outlineLevel="1">
      <c r="A156" s="38"/>
      <c r="B156" s="39" t="s">
        <v>26</v>
      </c>
      <c r="C156" s="36">
        <v>1596590</v>
      </c>
      <c r="D156" s="36">
        <v>0</v>
      </c>
      <c r="E156" s="36"/>
      <c r="F156" s="36">
        <v>4929036.9800000004</v>
      </c>
      <c r="G156" s="37">
        <f t="shared" si="24"/>
        <v>0.32391520016553005</v>
      </c>
      <c r="H156" s="23">
        <f t="shared" si="23"/>
        <v>0</v>
      </c>
      <c r="I156" s="24">
        <f t="shared" si="23"/>
        <v>0</v>
      </c>
      <c r="J156" s="32" t="str" cm="1">
        <f t="array" ref="J156">IFERROR(_xlfn.IFS(B156="044 - BLEND TRADICION","BLEND",B156="113 - CAFÉ GOURMET","GOURMET",B156="114 - CAFÉ CONSUMO","CONSUMO",B156="112 - CAFÉ ORGANICO","GOURMET",B156="172 - CAFÉ COSECHA","ESPECIALES",B156="176 - CAFE DESCAFEINADO","GOURMET",B156="147 - CAPSULAS","CAPSULAS",B156="130 - GALLETAS CAFECITAS","DERIVADOS",B156="140 - MERENGUES","DERIVADOS",B156="100 - CAFÉ ESPECIAL","ESPECIALES",B156="141 - AREQUIPE","DERIVADOS",B156="142 - MERMELADA","DERIVADOS",B156="131 - GALLETAS AVENA","DERIVADOS",B156="160 - SOUVENIR","OTROS",B156="148 - CARAMELOS","DERIVADOS",B156="143 - CHOCOFFES","DERIVADOS",B156="162 - CONVENIOS Y DSC POS ","OTROS"),"OTROS")</f>
        <v>CAPSULAS</v>
      </c>
      <c r="L156" s="27">
        <f t="shared" si="21"/>
        <v>1596590</v>
      </c>
      <c r="M156" s="27">
        <f t="shared" si="22"/>
        <v>1596590</v>
      </c>
    </row>
    <row r="157" spans="1:13" ht="16.5" hidden="1" outlineLevel="1">
      <c r="A157" s="38"/>
      <c r="B157" s="39" t="s">
        <v>27</v>
      </c>
      <c r="C157" s="36">
        <v>1241242</v>
      </c>
      <c r="D157" s="36">
        <v>0</v>
      </c>
      <c r="E157" s="36"/>
      <c r="F157" s="36">
        <v>3748792.41</v>
      </c>
      <c r="G157" s="37">
        <f t="shared" si="24"/>
        <v>0.33110449025903782</v>
      </c>
      <c r="H157" s="23">
        <f t="shared" si="23"/>
        <v>0</v>
      </c>
      <c r="I157" s="24">
        <f t="shared" si="23"/>
        <v>0</v>
      </c>
      <c r="J157" s="32" t="str" cm="1">
        <f t="array" ref="J157">IFERROR(_xlfn.IFS(B157="044 - BLEND TRADICION","BLEND",B157="113 - CAFÉ GOURMET","GOURMET",B157="114 - CAFÉ CONSUMO","CONSUMO",B157="112 - CAFÉ ORGANICO","GOURMET",B157="172 - CAFÉ COSECHA","ESPECIALES",B157="176 - CAFE DESCAFEINADO","GOURMET",B157="147 - CAPSULAS","CAPSULAS",B157="130 - GALLETAS CAFECITAS","DERIVADOS",B157="140 - MERENGUES","DERIVADOS",B157="100 - CAFÉ ESPECIAL","ESPECIALES",B157="141 - AREQUIPE","DERIVADOS",B157="142 - MERMELADA","DERIVADOS",B157="131 - GALLETAS AVENA","DERIVADOS",B157="160 - SOUVENIR","OTROS",B157="148 - CARAMELOS","DERIVADOS",B157="143 - CHOCOFFES","DERIVADOS",B157="162 - CONVENIOS Y DSC POS ","OTROS"),"OTROS")</f>
        <v>DERIVADOS</v>
      </c>
      <c r="L157" s="27">
        <f t="shared" si="21"/>
        <v>1241242</v>
      </c>
      <c r="M157" s="27">
        <f t="shared" si="22"/>
        <v>1241242</v>
      </c>
    </row>
    <row r="158" spans="1:13" ht="16.5" hidden="1" outlineLevel="1">
      <c r="A158" s="38"/>
      <c r="B158" s="39" t="s">
        <v>28</v>
      </c>
      <c r="C158" s="36">
        <v>551240</v>
      </c>
      <c r="D158" s="36">
        <v>0</v>
      </c>
      <c r="E158" s="36">
        <v>0</v>
      </c>
      <c r="F158" s="36">
        <v>3497038.66</v>
      </c>
      <c r="G158" s="37">
        <f t="shared" si="24"/>
        <v>0.15763051358431365</v>
      </c>
      <c r="H158" s="23">
        <f t="shared" si="23"/>
        <v>0</v>
      </c>
      <c r="I158" s="24">
        <f t="shared" si="23"/>
        <v>0</v>
      </c>
      <c r="J158" s="32" t="str" cm="1">
        <f t="array" ref="J158">IFERROR(_xlfn.IFS(B158="044 - BLEND TRADICION","BLEND",B158="113 - CAFÉ GOURMET","GOURMET",B158="114 - CAFÉ CONSUMO","CONSUMO",B158="112 - CAFÉ ORGANICO","GOURMET",B158="172 - CAFÉ COSECHA","ESPECIALES",B158="176 - CAFE DESCAFEINADO","GOURMET",B158="147 - CAPSULAS","CAPSULAS",B158="130 - GALLETAS CAFECITAS","DERIVADOS",B158="140 - MERENGUES","DERIVADOS",B158="100 - CAFÉ ESPECIAL","ESPECIALES",B158="141 - AREQUIPE","DERIVADOS",B158="142 - MERMELADA","DERIVADOS",B158="131 - GALLETAS AVENA","DERIVADOS",B158="160 - SOUVENIR","OTROS",B158="148 - CARAMELOS","DERIVADOS",B158="143 - CHOCOFFES","DERIVADOS",B158="162 - CONVENIOS Y DSC POS ","OTROS"),"OTROS")</f>
        <v>OTROS</v>
      </c>
      <c r="L158" s="27">
        <f t="shared" si="21"/>
        <v>551240</v>
      </c>
      <c r="M158" s="27">
        <f t="shared" si="22"/>
        <v>551240</v>
      </c>
    </row>
    <row r="159" spans="1:13" ht="16.5" hidden="1" outlineLevel="1">
      <c r="A159" s="38"/>
      <c r="B159" s="39" t="s">
        <v>50</v>
      </c>
      <c r="C159" s="36">
        <v>-52019</v>
      </c>
      <c r="D159" s="36">
        <v>0</v>
      </c>
      <c r="E159" s="36">
        <v>-52019</v>
      </c>
      <c r="F159" s="36">
        <v>0</v>
      </c>
      <c r="G159" s="37" t="str">
        <f t="shared" si="24"/>
        <v>-</v>
      </c>
      <c r="H159" s="23">
        <f t="shared" si="23"/>
        <v>0</v>
      </c>
      <c r="I159" s="24">
        <f t="shared" si="23"/>
        <v>0</v>
      </c>
      <c r="J159" s="32" t="str" cm="1">
        <f t="array" ref="J159">IFERROR(_xlfn.IFS(B159="044 - BLEND TRADICION","BLEND",B159="113 - CAFÉ GOURMET","GOURMET",B159="114 - CAFÉ CONSUMO","CONSUMO",B159="112 - CAFÉ ORGANICO","GOURMET",B159="172 - CAFÉ COSECHA","ESPECIALES",B159="176 - CAFE DESCAFEINADO","GOURMET",B159="147 - CAPSULAS","CAPSULAS",B159="130 - GALLETAS CAFECITAS","DERIVADOS",B159="140 - MERENGUES","DERIVADOS",B159="100 - CAFÉ ESPECIAL","ESPECIALES",B159="141 - AREQUIPE","DERIVADOS",B159="142 - MERMELADA","DERIVADOS",B159="131 - GALLETAS AVENA","DERIVADOS",B159="160 - SOUVENIR","OTROS",B159="148 - CARAMELOS","DERIVADOS",B159="143 - CHOCOFFES","DERIVADOS",B159="162 - CONVENIOS Y DSC POS ","OTROS"),"OTROS")</f>
        <v>OTROS</v>
      </c>
      <c r="L159" s="27">
        <f t="shared" si="21"/>
        <v>0</v>
      </c>
      <c r="M159" s="27">
        <f t="shared" si="22"/>
        <v>0</v>
      </c>
    </row>
    <row r="160" spans="1:13" ht="16.5" hidden="1" outlineLevel="1">
      <c r="A160" s="38"/>
      <c r="B160" s="39" t="s">
        <v>29</v>
      </c>
      <c r="C160" s="36">
        <v>1298184</v>
      </c>
      <c r="D160" s="36">
        <v>0</v>
      </c>
      <c r="E160" s="36">
        <v>0</v>
      </c>
      <c r="F160" s="36">
        <v>7182790.8499999996</v>
      </c>
      <c r="G160" s="37">
        <f t="shared" si="24"/>
        <v>0.18073531961465927</v>
      </c>
      <c r="H160" s="23">
        <f t="shared" si="23"/>
        <v>0</v>
      </c>
      <c r="I160" s="24">
        <f t="shared" si="23"/>
        <v>0</v>
      </c>
      <c r="J160" s="32" t="str" cm="1">
        <f t="array" ref="J160">IFERROR(_xlfn.IFS(B160="044 - BLEND TRADICION","BLEND",B160="113 - CAFÉ GOURMET","GOURMET",B160="114 - CAFÉ CONSUMO","CONSUMO",B160="112 - CAFÉ ORGANICO","GOURMET",B160="172 - CAFÉ COSECHA","ESPECIALES",B160="176 - CAFE DESCAFEINADO","GOURMET",B160="147 - CAPSULAS","CAPSULAS",B160="130 - GALLETAS CAFECITAS","DERIVADOS",B160="140 - MERENGUES","DERIVADOS",B160="100 - CAFÉ ESPECIAL","ESPECIALES",B160="141 - AREQUIPE","DERIVADOS",B160="142 - MERMELADA","DERIVADOS",B160="131 - GALLETAS AVENA","DERIVADOS",B160="160 - SOUVENIR","OTROS",B160="148 - CARAMELOS","DERIVADOS",B160="143 - CHOCOFFES","DERIVADOS",B160="162 - CONVENIOS Y DSC POS ","OTROS"),"OTROS")</f>
        <v>ESPECIALES</v>
      </c>
      <c r="L160" s="27">
        <f t="shared" si="21"/>
        <v>1298184</v>
      </c>
      <c r="M160" s="27">
        <f t="shared" si="22"/>
        <v>1298184</v>
      </c>
    </row>
    <row r="161" spans="1:13" ht="16.5" hidden="1" outlineLevel="1">
      <c r="A161" s="38"/>
      <c r="B161" s="39" t="s">
        <v>30</v>
      </c>
      <c r="C161" s="36">
        <v>379572</v>
      </c>
      <c r="D161" s="36">
        <v>0</v>
      </c>
      <c r="E161" s="36"/>
      <c r="F161" s="36">
        <v>1596976.67</v>
      </c>
      <c r="G161" s="37">
        <f t="shared" si="24"/>
        <v>0.23768161873022228</v>
      </c>
      <c r="H161" s="23">
        <f t="shared" si="23"/>
        <v>0</v>
      </c>
      <c r="I161" s="24">
        <f t="shared" si="23"/>
        <v>0</v>
      </c>
      <c r="J161" s="32" t="str" cm="1">
        <f t="array" ref="J161">IFERROR(_xlfn.IFS(B161="044 - BLEND TRADICION","BLEND",B161="113 - CAFÉ GOURMET","GOURMET",B161="114 - CAFÉ CONSUMO","CONSUMO",B161="112 - CAFÉ ORGANICO","GOURMET",B161="172 - CAFÉ COSECHA","ESPECIALES",B161="176 - CAFE DESCAFEINADO","GOURMET",B161="147 - CAPSULAS","CAPSULAS",B161="130 - GALLETAS CAFECITAS","DERIVADOS",B161="140 - MERENGUES","DERIVADOS",B161="100 - CAFÉ ESPECIAL","ESPECIALES",B161="141 - AREQUIPE","DERIVADOS",B161="142 - MERMELADA","DERIVADOS",B161="131 - GALLETAS AVENA","DERIVADOS",B161="160 - SOUVENIR","OTROS",B161="148 - CARAMELOS","DERIVADOS",B161="143 - CHOCOFFES","DERIVADOS",B161="162 - CONVENIOS Y DSC POS ","OTROS"),"OTROS")</f>
        <v>GOURMET</v>
      </c>
      <c r="L161" s="27">
        <f t="shared" si="21"/>
        <v>379572</v>
      </c>
      <c r="M161" s="27">
        <f t="shared" si="22"/>
        <v>379572</v>
      </c>
    </row>
    <row r="162" spans="1:13" ht="16.5" hidden="1" outlineLevel="1">
      <c r="A162" s="19" t="s">
        <v>52</v>
      </c>
      <c r="B162" s="56" t="s">
        <v>32</v>
      </c>
      <c r="C162" s="54">
        <f>SUM(C146:C161)</f>
        <v>43590032</v>
      </c>
      <c r="D162" s="54">
        <f>SUM(D146:D161)</f>
        <v>0</v>
      </c>
      <c r="E162" s="54">
        <f>SUM(E146:E161)</f>
        <v>-52019</v>
      </c>
      <c r="F162" s="58">
        <f>SUM(F146:F161)</f>
        <v>187770047.67999998</v>
      </c>
      <c r="G162" s="55">
        <f t="shared" si="24"/>
        <v>0.23214582165035538</v>
      </c>
      <c r="H162" s="23">
        <f t="shared" si="23"/>
        <v>0</v>
      </c>
      <c r="I162" s="24">
        <f t="shared" si="23"/>
        <v>-1.1919467304595745E-3</v>
      </c>
      <c r="J162" s="32" t="str" cm="1">
        <f t="array" ref="J162">IFERROR(_xlfn.IFS(B162="044 - BLEND TRADICION","BLEND",B162="113 - CAFÉ GOURMET","GOURMET",B162="114 - CAFÉ CONSUMO","CONSUMO",B162="112 - CAFÉ ORGANICO","GOURMET",B162="172 - CAFÉ COSECHA","ESPECIALES",B162="176 - CAFE DESCAFEINADO","GOURMET",B162="147 - CAPSULAS","CAPSULAS",B162="130 - GALLETAS CAFECITAS","DERIVADOS",B162="140 - MERENGUES","DERIVADOS",B162="100 - CAFÉ ESPECIAL","ESPECIALES",B162="141 - AREQUIPE","DERIVADOS",B162="142 - MERMELADA","DERIVADOS",B162="131 - GALLETAS AVENA","DERIVADOS",B162="160 - SOUVENIR","OTROS",B162="148 - CARAMELOS","DERIVADOS",B162="143 - CHOCOFFES","DERIVADOS",B162="162 - CONVENIOS Y DSC POS ","OTROS"),"OTROS")</f>
        <v>OTROS</v>
      </c>
      <c r="L162" s="27">
        <f t="shared" si="21"/>
        <v>43642051</v>
      </c>
      <c r="M162" s="27">
        <f t="shared" si="22"/>
        <v>43642051</v>
      </c>
    </row>
    <row r="163" spans="1:13" ht="16.5" hidden="1" outlineLevel="1">
      <c r="A163" s="33"/>
      <c r="B163" s="39" t="s">
        <v>42</v>
      </c>
      <c r="C163" s="36">
        <v>6900</v>
      </c>
      <c r="D163" s="36">
        <v>0</v>
      </c>
      <c r="E163" s="36">
        <v>0</v>
      </c>
      <c r="F163" s="36">
        <v>0</v>
      </c>
      <c r="G163" s="37" t="str">
        <f t="shared" si="24"/>
        <v>-</v>
      </c>
      <c r="H163" s="23">
        <f t="shared" si="23"/>
        <v>0</v>
      </c>
      <c r="I163" s="24">
        <f t="shared" si="23"/>
        <v>0</v>
      </c>
      <c r="J163" s="32" t="str" cm="1">
        <f t="array" ref="J163">IFERROR(_xlfn.IFS(B163="044 - BLEND TRADICION","BLEND",B163="113 - CAFÉ GOURMET","GOURMET",B163="114 - CAFÉ CONSUMO","CONSUMO",B163="112 - CAFÉ ORGANICO","GOURMET",B163="172 - CAFÉ COSECHA","ESPECIALES",B163="176 - CAFE DESCAFEINADO","GOURMET",B163="147 - CAPSULAS","CAPSULAS",B163="130 - GALLETAS CAFECITAS","DERIVADOS",B163="140 - MERENGUES","DERIVADOS",B163="100 - CAFÉ ESPECIAL","ESPECIALES",B163="141 - AREQUIPE","DERIVADOS",B163="142 - MERMELADA","DERIVADOS",B163="131 - GALLETAS AVENA","DERIVADOS",B163="160 - SOUVENIR","OTROS",B163="148 - CARAMELOS","DERIVADOS",B163="143 - CHOCOFFES","DERIVADOS",B163="162 - CONVENIOS Y DSC POS ","OTROS"),"OTROS")</f>
        <v>OTROS</v>
      </c>
      <c r="L163" s="27">
        <f t="shared" si="21"/>
        <v>6900</v>
      </c>
      <c r="M163" s="27">
        <f t="shared" si="22"/>
        <v>6900</v>
      </c>
    </row>
    <row r="164" spans="1:13" ht="16.5" hidden="1" outlineLevel="1">
      <c r="A164" s="38"/>
      <c r="B164" s="39" t="s">
        <v>18</v>
      </c>
      <c r="C164" s="36">
        <v>2143124</v>
      </c>
      <c r="D164" s="36">
        <v>0</v>
      </c>
      <c r="E164" s="36">
        <v>0</v>
      </c>
      <c r="F164" s="36">
        <v>9645193.6699999999</v>
      </c>
      <c r="G164" s="37">
        <f t="shared" si="24"/>
        <v>0.22219605674335827</v>
      </c>
      <c r="H164" s="23">
        <f t="shared" si="23"/>
        <v>0</v>
      </c>
      <c r="I164" s="24">
        <f t="shared" si="23"/>
        <v>0</v>
      </c>
      <c r="J164" s="32" t="str" cm="1">
        <f t="array" ref="J164">IFERROR(_xlfn.IFS(B164="044 - BLEND TRADICION","BLEND",B164="113 - CAFÉ GOURMET","GOURMET",B164="114 - CAFÉ CONSUMO","CONSUMO",B164="112 - CAFÉ ORGANICO","GOURMET",B164="172 - CAFÉ COSECHA","ESPECIALES",B164="176 - CAFE DESCAFEINADO","GOURMET",B164="147 - CAPSULAS","CAPSULAS",B164="130 - GALLETAS CAFECITAS","DERIVADOS",B164="140 - MERENGUES","DERIVADOS",B164="100 - CAFÉ ESPECIAL","ESPECIALES",B164="141 - AREQUIPE","DERIVADOS",B164="142 - MERMELADA","DERIVADOS",B164="131 - GALLETAS AVENA","DERIVADOS",B164="160 - SOUVENIR","OTROS",B164="148 - CARAMELOS","DERIVADOS",B164="143 - CHOCOFFES","DERIVADOS",B164="162 - CONVENIOS Y DSC POS ","OTROS"),"OTROS")</f>
        <v>BLEND</v>
      </c>
      <c r="L164" s="27">
        <f t="shared" si="21"/>
        <v>2143124</v>
      </c>
      <c r="M164" s="27">
        <f t="shared" si="22"/>
        <v>2143124</v>
      </c>
    </row>
    <row r="165" spans="1:13" ht="16.5" hidden="1" outlineLevel="1">
      <c r="A165" s="38"/>
      <c r="B165" s="39" t="s">
        <v>19</v>
      </c>
      <c r="C165" s="36">
        <v>384438</v>
      </c>
      <c r="D165" s="36">
        <v>0</v>
      </c>
      <c r="E165" s="36"/>
      <c r="F165" s="36">
        <v>2739705.11</v>
      </c>
      <c r="G165" s="37">
        <f t="shared" si="24"/>
        <v>0.14032094132933892</v>
      </c>
      <c r="H165" s="23">
        <f t="shared" si="23"/>
        <v>0</v>
      </c>
      <c r="I165" s="24">
        <f t="shared" si="23"/>
        <v>0</v>
      </c>
      <c r="J165" s="32" t="str" cm="1">
        <f t="array" ref="J165">IFERROR(_xlfn.IFS(B165="044 - BLEND TRADICION","BLEND",B165="113 - CAFÉ GOURMET","GOURMET",B165="114 - CAFÉ CONSUMO","CONSUMO",B165="112 - CAFÉ ORGANICO","GOURMET",B165="172 - CAFÉ COSECHA","ESPECIALES",B165="176 - CAFE DESCAFEINADO","GOURMET",B165="147 - CAPSULAS","CAPSULAS",B165="130 - GALLETAS CAFECITAS","DERIVADOS",B165="140 - MERENGUES","DERIVADOS",B165="100 - CAFÉ ESPECIAL","ESPECIALES",B165="141 - AREQUIPE","DERIVADOS",B165="142 - MERMELADA","DERIVADOS",B165="131 - GALLETAS AVENA","DERIVADOS",B165="160 - SOUVENIR","OTROS",B165="148 - CARAMELOS","DERIVADOS",B165="143 - CHOCOFFES","DERIVADOS",B165="162 - CONVENIOS Y DSC POS ","OTROS"),"OTROS")</f>
        <v>ESPECIALES</v>
      </c>
      <c r="L165" s="27">
        <f t="shared" si="21"/>
        <v>384438</v>
      </c>
      <c r="M165" s="27">
        <f t="shared" si="22"/>
        <v>384438</v>
      </c>
    </row>
    <row r="166" spans="1:13" ht="16.5" hidden="1" outlineLevel="1">
      <c r="A166" s="38"/>
      <c r="B166" s="39" t="s">
        <v>20</v>
      </c>
      <c r="C166" s="36">
        <v>30710</v>
      </c>
      <c r="D166" s="36">
        <v>0</v>
      </c>
      <c r="E166" s="36">
        <v>0</v>
      </c>
      <c r="F166" s="36">
        <v>825254.9</v>
      </c>
      <c r="G166" s="37">
        <f t="shared" si="24"/>
        <v>3.7212744813753904E-2</v>
      </c>
      <c r="H166" s="23">
        <f t="shared" si="23"/>
        <v>0</v>
      </c>
      <c r="I166" s="24">
        <f t="shared" si="23"/>
        <v>0</v>
      </c>
      <c r="J166" s="32" t="str" cm="1">
        <f t="array" ref="J166">IFERROR(_xlfn.IFS(B166="044 - BLEND TRADICION","BLEND",B166="113 - CAFÉ GOURMET","GOURMET",B166="114 - CAFÉ CONSUMO","CONSUMO",B166="112 - CAFÉ ORGANICO","GOURMET",B166="172 - CAFÉ COSECHA","ESPECIALES",B166="176 - CAFE DESCAFEINADO","GOURMET",B166="147 - CAPSULAS","CAPSULAS",B166="130 - GALLETAS CAFECITAS","DERIVADOS",B166="140 - MERENGUES","DERIVADOS",B166="100 - CAFÉ ESPECIAL","ESPECIALES",B166="141 - AREQUIPE","DERIVADOS",B166="142 - MERMELADA","DERIVADOS",B166="131 - GALLETAS AVENA","DERIVADOS",B166="160 - SOUVENIR","OTROS",B166="148 - CARAMELOS","DERIVADOS",B166="143 - CHOCOFFES","DERIVADOS",B166="162 - CONVENIOS Y DSC POS ","OTROS"),"OTROS")</f>
        <v>GOURMET</v>
      </c>
      <c r="L166" s="27">
        <f t="shared" si="21"/>
        <v>30710</v>
      </c>
      <c r="M166" s="27">
        <f t="shared" si="22"/>
        <v>30710</v>
      </c>
    </row>
    <row r="167" spans="1:13" ht="16.5" hidden="1" outlineLevel="1">
      <c r="A167" s="38"/>
      <c r="B167" s="39" t="s">
        <v>21</v>
      </c>
      <c r="C167" s="36">
        <v>12808109</v>
      </c>
      <c r="D167" s="36">
        <v>0</v>
      </c>
      <c r="E167" s="36">
        <v>0</v>
      </c>
      <c r="F167" s="36">
        <v>43096072.049999997</v>
      </c>
      <c r="G167" s="37">
        <f t="shared" si="24"/>
        <v>0.29719898799918593</v>
      </c>
      <c r="H167" s="23">
        <f t="shared" si="23"/>
        <v>0</v>
      </c>
      <c r="I167" s="24">
        <f t="shared" si="23"/>
        <v>0</v>
      </c>
      <c r="J167" s="32" t="str" cm="1">
        <f t="array" ref="J167">IFERROR(_xlfn.IFS(B167="044 - BLEND TRADICION","BLEND",B167="113 - CAFÉ GOURMET","GOURMET",B167="114 - CAFÉ CONSUMO","CONSUMO",B167="112 - CAFÉ ORGANICO","GOURMET",B167="172 - CAFÉ COSECHA","ESPECIALES",B167="176 - CAFE DESCAFEINADO","GOURMET",B167="147 - CAPSULAS","CAPSULAS",B167="130 - GALLETAS CAFECITAS","DERIVADOS",B167="140 - MERENGUES","DERIVADOS",B167="100 - CAFÉ ESPECIAL","ESPECIALES",B167="141 - AREQUIPE","DERIVADOS",B167="142 - MERMELADA","DERIVADOS",B167="131 - GALLETAS AVENA","DERIVADOS",B167="160 - SOUVENIR","OTROS",B167="148 - CARAMELOS","DERIVADOS",B167="143 - CHOCOFFES","DERIVADOS",B167="162 - CONVENIOS Y DSC POS ","OTROS"),"OTROS")</f>
        <v>GOURMET</v>
      </c>
      <c r="L167" s="27">
        <f t="shared" si="21"/>
        <v>12808109</v>
      </c>
      <c r="M167" s="27">
        <f t="shared" si="22"/>
        <v>12808109</v>
      </c>
    </row>
    <row r="168" spans="1:13" ht="16.5" hidden="1" outlineLevel="1">
      <c r="A168" s="38"/>
      <c r="B168" s="39" t="s">
        <v>38</v>
      </c>
      <c r="C168" s="36">
        <v>5731312</v>
      </c>
      <c r="D168" s="36">
        <v>0</v>
      </c>
      <c r="E168" s="36">
        <v>0</v>
      </c>
      <c r="F168" s="36">
        <v>16145456.630000001</v>
      </c>
      <c r="G168" s="37">
        <f t="shared" si="24"/>
        <v>0.35497986407833171</v>
      </c>
      <c r="H168" s="23">
        <f t="shared" si="23"/>
        <v>0</v>
      </c>
      <c r="I168" s="24">
        <f t="shared" si="23"/>
        <v>0</v>
      </c>
      <c r="J168" s="32" t="str" cm="1">
        <f t="array" ref="J168">IFERROR(_xlfn.IFS(B168="044 - BLEND TRADICION","BLEND",B168="113 - CAFÉ GOURMET","GOURMET",B168="114 - CAFÉ CONSUMO","CONSUMO",B168="112 - CAFÉ ORGANICO","GOURMET",B168="172 - CAFÉ COSECHA","ESPECIALES",B168="176 - CAFE DESCAFEINADO","GOURMET",B168="147 - CAPSULAS","CAPSULAS",B168="130 - GALLETAS CAFECITAS","DERIVADOS",B168="140 - MERENGUES","DERIVADOS",B168="100 - CAFÉ ESPECIAL","ESPECIALES",B168="141 - AREQUIPE","DERIVADOS",B168="142 - MERMELADA","DERIVADOS",B168="131 - GALLETAS AVENA","DERIVADOS",B168="160 - SOUVENIR","OTROS",B168="148 - CARAMELOS","DERIVADOS",B168="143 - CHOCOFFES","DERIVADOS",B168="162 - CONVENIOS Y DSC POS ","OTROS"),"OTROS")</f>
        <v>CONSUMO</v>
      </c>
      <c r="L168" s="27">
        <f t="shared" si="21"/>
        <v>5731312</v>
      </c>
      <c r="M168" s="27">
        <f t="shared" si="22"/>
        <v>5731312</v>
      </c>
    </row>
    <row r="169" spans="1:13" ht="16.5" hidden="1" outlineLevel="1">
      <c r="A169" s="38"/>
      <c r="B169" s="39" t="s">
        <v>22</v>
      </c>
      <c r="C169" s="36">
        <v>7033288</v>
      </c>
      <c r="D169" s="36">
        <v>0</v>
      </c>
      <c r="E169" s="36"/>
      <c r="F169" s="36">
        <v>33513805.359999999</v>
      </c>
      <c r="G169" s="37">
        <f t="shared" si="24"/>
        <v>0.20986241116010348</v>
      </c>
      <c r="H169" s="23">
        <f t="shared" si="23"/>
        <v>0</v>
      </c>
      <c r="I169" s="24">
        <f t="shared" si="23"/>
        <v>0</v>
      </c>
      <c r="J169" s="32" t="str" cm="1">
        <f t="array" ref="J169">IFERROR(_xlfn.IFS(B169="044 - BLEND TRADICION","BLEND",B169="113 - CAFÉ GOURMET","GOURMET",B169="114 - CAFÉ CONSUMO","CONSUMO",B169="112 - CAFÉ ORGANICO","GOURMET",B169="172 - CAFÉ COSECHA","ESPECIALES",B169="176 - CAFE DESCAFEINADO","GOURMET",B169="147 - CAPSULAS","CAPSULAS",B169="130 - GALLETAS CAFECITAS","DERIVADOS",B169="140 - MERENGUES","DERIVADOS",B169="100 - CAFÉ ESPECIAL","ESPECIALES",B169="141 - AREQUIPE","DERIVADOS",B169="142 - MERMELADA","DERIVADOS",B169="131 - GALLETAS AVENA","DERIVADOS",B169="160 - SOUVENIR","OTROS",B169="148 - CARAMELOS","DERIVADOS",B169="143 - CHOCOFFES","DERIVADOS",B169="162 - CONVENIOS Y DSC POS ","OTROS"),"OTROS")</f>
        <v>DERIVADOS</v>
      </c>
      <c r="L169" s="27">
        <f t="shared" si="21"/>
        <v>7033288</v>
      </c>
      <c r="M169" s="27">
        <f t="shared" si="22"/>
        <v>7033288</v>
      </c>
    </row>
    <row r="170" spans="1:13" ht="16.5" hidden="1" outlineLevel="1">
      <c r="A170" s="38"/>
      <c r="B170" s="39" t="s">
        <v>23</v>
      </c>
      <c r="C170" s="36">
        <v>0</v>
      </c>
      <c r="D170" s="36">
        <v>0</v>
      </c>
      <c r="E170" s="36"/>
      <c r="F170" s="36">
        <v>174887.86</v>
      </c>
      <c r="G170" s="37">
        <f t="shared" si="24"/>
        <v>0</v>
      </c>
      <c r="H170" s="23">
        <f t="shared" si="23"/>
        <v>0</v>
      </c>
      <c r="I170" s="24">
        <f t="shared" si="23"/>
        <v>0</v>
      </c>
      <c r="J170" s="32" t="str" cm="1">
        <f t="array" ref="J170">IFERROR(_xlfn.IFS(B170="044 - BLEND TRADICION","BLEND",B170="113 - CAFÉ GOURMET","GOURMET",B170="114 - CAFÉ CONSUMO","CONSUMO",B170="112 - CAFÉ ORGANICO","GOURMET",B170="172 - CAFÉ COSECHA","ESPECIALES",B170="176 - CAFE DESCAFEINADO","GOURMET",B170="147 - CAPSULAS","CAPSULAS",B170="130 - GALLETAS CAFECITAS","DERIVADOS",B170="140 - MERENGUES","DERIVADOS",B170="100 - CAFÉ ESPECIAL","ESPECIALES",B170="141 - AREQUIPE","DERIVADOS",B170="142 - MERMELADA","DERIVADOS",B170="131 - GALLETAS AVENA","DERIVADOS",B170="160 - SOUVENIR","OTROS",B170="148 - CARAMELOS","DERIVADOS",B170="143 - CHOCOFFES","DERIVADOS",B170="162 - CONVENIOS Y DSC POS ","OTROS"),"OTROS")</f>
        <v>DERIVADOS</v>
      </c>
      <c r="L170" s="27">
        <f t="shared" si="21"/>
        <v>0</v>
      </c>
      <c r="M170" s="27">
        <f t="shared" si="22"/>
        <v>0</v>
      </c>
    </row>
    <row r="171" spans="1:13" ht="16.5" hidden="1" outlineLevel="1">
      <c r="A171" s="38"/>
      <c r="B171" s="39" t="s">
        <v>24</v>
      </c>
      <c r="C171" s="36">
        <v>370597</v>
      </c>
      <c r="D171" s="36">
        <v>0</v>
      </c>
      <c r="E171" s="36">
        <v>0</v>
      </c>
      <c r="F171" s="36">
        <v>2405932.35</v>
      </c>
      <c r="G171" s="37">
        <f t="shared" si="24"/>
        <v>0.15403467183938069</v>
      </c>
      <c r="H171" s="23">
        <f t="shared" si="23"/>
        <v>0</v>
      </c>
      <c r="I171" s="24">
        <f t="shared" si="23"/>
        <v>0</v>
      </c>
      <c r="J171" s="32" t="str" cm="1">
        <f t="array" ref="J171">IFERROR(_xlfn.IFS(B171="044 - BLEND TRADICION","BLEND",B171="113 - CAFÉ GOURMET","GOURMET",B171="114 - CAFÉ CONSUMO","CONSUMO",B171="112 - CAFÉ ORGANICO","GOURMET",B171="172 - CAFÉ COSECHA","ESPECIALES",B171="176 - CAFE DESCAFEINADO","GOURMET",B171="147 - CAPSULAS","CAPSULAS",B171="130 - GALLETAS CAFECITAS","DERIVADOS",B171="140 - MERENGUES","DERIVADOS",B171="100 - CAFÉ ESPECIAL","ESPECIALES",B171="141 - AREQUIPE","DERIVADOS",B171="142 - MERMELADA","DERIVADOS",B171="131 - GALLETAS AVENA","DERIVADOS",B171="160 - SOUVENIR","OTROS",B171="148 - CARAMELOS","DERIVADOS",B171="143 - CHOCOFFES","DERIVADOS",B171="162 - CONVENIOS Y DSC POS ","OTROS"),"OTROS")</f>
        <v>DERIVADOS</v>
      </c>
      <c r="L171" s="27">
        <f t="shared" si="21"/>
        <v>370597</v>
      </c>
      <c r="M171" s="27">
        <f t="shared" si="22"/>
        <v>370597</v>
      </c>
    </row>
    <row r="172" spans="1:13" ht="16.5" hidden="1" outlineLevel="1">
      <c r="A172" s="38"/>
      <c r="B172" s="39" t="s">
        <v>25</v>
      </c>
      <c r="C172" s="36">
        <v>2965361</v>
      </c>
      <c r="D172" s="36">
        <v>0</v>
      </c>
      <c r="E172" s="36"/>
      <c r="F172" s="36">
        <v>9395897.5299999993</v>
      </c>
      <c r="G172" s="37">
        <f t="shared" si="24"/>
        <v>0.31560167514938831</v>
      </c>
      <c r="H172" s="23">
        <f t="shared" si="23"/>
        <v>0</v>
      </c>
      <c r="I172" s="24">
        <f t="shared" si="23"/>
        <v>0</v>
      </c>
      <c r="J172" s="32" t="str" cm="1">
        <f t="array" ref="J172">IFERROR(_xlfn.IFS(B172="044 - BLEND TRADICION","BLEND",B172="113 - CAFÉ GOURMET","GOURMET",B172="114 - CAFÉ CONSUMO","CONSUMO",B172="112 - CAFÉ ORGANICO","GOURMET",B172="172 - CAFÉ COSECHA","ESPECIALES",B172="176 - CAFE DESCAFEINADO","GOURMET",B172="147 - CAPSULAS","CAPSULAS",B172="130 - GALLETAS CAFECITAS","DERIVADOS",B172="140 - MERENGUES","DERIVADOS",B172="100 - CAFÉ ESPECIAL","ESPECIALES",B172="141 - AREQUIPE","DERIVADOS",B172="142 - MERMELADA","DERIVADOS",B172="131 - GALLETAS AVENA","DERIVADOS",B172="160 - SOUVENIR","OTROS",B172="148 - CARAMELOS","DERIVADOS",B172="143 - CHOCOFFES","DERIVADOS",B172="162 - CONVENIOS Y DSC POS ","OTROS"),"OTROS")</f>
        <v>DERIVADOS</v>
      </c>
      <c r="L172" s="27">
        <f t="shared" si="21"/>
        <v>2965361</v>
      </c>
      <c r="M172" s="27">
        <f t="shared" si="22"/>
        <v>2965361</v>
      </c>
    </row>
    <row r="173" spans="1:13" ht="16.5" hidden="1" outlineLevel="1">
      <c r="A173" s="38"/>
      <c r="B173" s="39" t="s">
        <v>26</v>
      </c>
      <c r="C173" s="36">
        <v>227476</v>
      </c>
      <c r="D173" s="36">
        <v>0</v>
      </c>
      <c r="E173" s="36"/>
      <c r="F173" s="36">
        <v>297105.94</v>
      </c>
      <c r="G173" s="37">
        <f t="shared" si="24"/>
        <v>0.76563935409706041</v>
      </c>
      <c r="H173" s="23">
        <f t="shared" si="23"/>
        <v>0</v>
      </c>
      <c r="I173" s="24">
        <f t="shared" si="23"/>
        <v>0</v>
      </c>
      <c r="J173" s="32" t="str" cm="1">
        <f t="array" ref="J173">IFERROR(_xlfn.IFS(B173="044 - BLEND TRADICION","BLEND",B173="113 - CAFÉ GOURMET","GOURMET",B173="114 - CAFÉ CONSUMO","CONSUMO",B173="112 - CAFÉ ORGANICO","GOURMET",B173="172 - CAFÉ COSECHA","ESPECIALES",B173="176 - CAFE DESCAFEINADO","GOURMET",B173="147 - CAPSULAS","CAPSULAS",B173="130 - GALLETAS CAFECITAS","DERIVADOS",B173="140 - MERENGUES","DERIVADOS",B173="100 - CAFÉ ESPECIAL","ESPECIALES",B173="141 - AREQUIPE","DERIVADOS",B173="142 - MERMELADA","DERIVADOS",B173="131 - GALLETAS AVENA","DERIVADOS",B173="160 - SOUVENIR","OTROS",B173="148 - CARAMELOS","DERIVADOS",B173="143 - CHOCOFFES","DERIVADOS",B173="162 - CONVENIOS Y DSC POS ","OTROS"),"OTROS")</f>
        <v>CAPSULAS</v>
      </c>
      <c r="L173" s="27">
        <f t="shared" si="21"/>
        <v>227476</v>
      </c>
      <c r="M173" s="27">
        <f t="shared" si="22"/>
        <v>227476</v>
      </c>
    </row>
    <row r="174" spans="1:13" ht="16.5" hidden="1" outlineLevel="1">
      <c r="A174" s="38"/>
      <c r="B174" s="39" t="s">
        <v>27</v>
      </c>
      <c r="C174" s="36">
        <v>2727793</v>
      </c>
      <c r="D174" s="36">
        <v>0</v>
      </c>
      <c r="E174" s="36">
        <v>0</v>
      </c>
      <c r="F174" s="36">
        <v>18205206.140000001</v>
      </c>
      <c r="G174" s="37">
        <f t="shared" si="24"/>
        <v>0.14983587546457741</v>
      </c>
      <c r="H174" s="23">
        <f t="shared" si="23"/>
        <v>0</v>
      </c>
      <c r="I174" s="24">
        <f t="shared" si="23"/>
        <v>0</v>
      </c>
      <c r="J174" s="32" t="str" cm="1">
        <f t="array" ref="J174">IFERROR(_xlfn.IFS(B174="044 - BLEND TRADICION","BLEND",B174="113 - CAFÉ GOURMET","GOURMET",B174="114 - CAFÉ CONSUMO","CONSUMO",B174="112 - CAFÉ ORGANICO","GOURMET",B174="172 - CAFÉ COSECHA","ESPECIALES",B174="176 - CAFE DESCAFEINADO","GOURMET",B174="147 - CAPSULAS","CAPSULAS",B174="130 - GALLETAS CAFECITAS","DERIVADOS",B174="140 - MERENGUES","DERIVADOS",B174="100 - CAFÉ ESPECIAL","ESPECIALES",B174="141 - AREQUIPE","DERIVADOS",B174="142 - MERMELADA","DERIVADOS",B174="131 - GALLETAS AVENA","DERIVADOS",B174="160 - SOUVENIR","OTROS",B174="148 - CARAMELOS","DERIVADOS",B174="143 - CHOCOFFES","DERIVADOS",B174="162 - CONVENIOS Y DSC POS ","OTROS"),"OTROS")</f>
        <v>DERIVADOS</v>
      </c>
      <c r="L174" s="27">
        <f t="shared" si="21"/>
        <v>2727793</v>
      </c>
      <c r="M174" s="27">
        <f t="shared" si="22"/>
        <v>2727793</v>
      </c>
    </row>
    <row r="175" spans="1:13" ht="16.5" hidden="1" outlineLevel="1">
      <c r="A175" s="38"/>
      <c r="B175" s="39" t="s">
        <v>28</v>
      </c>
      <c r="C175" s="36">
        <v>764019</v>
      </c>
      <c r="D175" s="36">
        <v>0</v>
      </c>
      <c r="E175" s="36"/>
      <c r="F175" s="36">
        <v>6286220.4699999997</v>
      </c>
      <c r="G175" s="37">
        <f t="shared" si="24"/>
        <v>0.12153868984490136</v>
      </c>
      <c r="H175" s="23">
        <f t="shared" si="23"/>
        <v>0</v>
      </c>
      <c r="I175" s="24">
        <f t="shared" si="23"/>
        <v>0</v>
      </c>
      <c r="J175" s="32" t="str" cm="1">
        <f t="array" ref="J175">IFERROR(_xlfn.IFS(B175="044 - BLEND TRADICION","BLEND",B175="113 - CAFÉ GOURMET","GOURMET",B175="114 - CAFÉ CONSUMO","CONSUMO",B175="112 - CAFÉ ORGANICO","GOURMET",B175="172 - CAFÉ COSECHA","ESPECIALES",B175="176 - CAFE DESCAFEINADO","GOURMET",B175="147 - CAPSULAS","CAPSULAS",B175="130 - GALLETAS CAFECITAS","DERIVADOS",B175="140 - MERENGUES","DERIVADOS",B175="100 - CAFÉ ESPECIAL","ESPECIALES",B175="141 - AREQUIPE","DERIVADOS",B175="142 - MERMELADA","DERIVADOS",B175="131 - GALLETAS AVENA","DERIVADOS",B175="160 - SOUVENIR","OTROS",B175="148 - CARAMELOS","DERIVADOS",B175="143 - CHOCOFFES","DERIVADOS",B175="162 - CONVENIOS Y DSC POS ","OTROS"),"OTROS")</f>
        <v>OTROS</v>
      </c>
      <c r="L175" s="27">
        <f t="shared" si="21"/>
        <v>764019</v>
      </c>
      <c r="M175" s="27">
        <f t="shared" si="22"/>
        <v>764019</v>
      </c>
    </row>
    <row r="176" spans="1:13" ht="16.5" hidden="1" outlineLevel="1">
      <c r="A176" s="38"/>
      <c r="B176" s="39" t="s">
        <v>29</v>
      </c>
      <c r="C176" s="36">
        <v>358812</v>
      </c>
      <c r="D176" s="36">
        <v>0</v>
      </c>
      <c r="E176" s="36"/>
      <c r="F176" s="36">
        <v>2023867.68</v>
      </c>
      <c r="G176" s="37">
        <f t="shared" si="24"/>
        <v>0.17729024656394532</v>
      </c>
      <c r="H176" s="23">
        <f t="shared" ref="H176:I191" si="25">IFERROR(+D176/L176*100%,0)</f>
        <v>0</v>
      </c>
      <c r="I176" s="24">
        <f t="shared" si="25"/>
        <v>0</v>
      </c>
      <c r="J176" s="32" t="str" cm="1">
        <f t="array" ref="J176">IFERROR(_xlfn.IFS(B176="044 - BLEND TRADICION","BLEND",B176="113 - CAFÉ GOURMET","GOURMET",B176="114 - CAFÉ CONSUMO","CONSUMO",B176="112 - CAFÉ ORGANICO","GOURMET",B176="172 - CAFÉ COSECHA","ESPECIALES",B176="176 - CAFE DESCAFEINADO","GOURMET",B176="147 - CAPSULAS","CAPSULAS",B176="130 - GALLETAS CAFECITAS","DERIVADOS",B176="140 - MERENGUES","DERIVADOS",B176="100 - CAFÉ ESPECIAL","ESPECIALES",B176="141 - AREQUIPE","DERIVADOS",B176="142 - MERMELADA","DERIVADOS",B176="131 - GALLETAS AVENA","DERIVADOS",B176="160 - SOUVENIR","OTROS",B176="148 - CARAMELOS","DERIVADOS",B176="143 - CHOCOFFES","DERIVADOS",B176="162 - CONVENIOS Y DSC POS ","OTROS"),"OTROS")</f>
        <v>ESPECIALES</v>
      </c>
      <c r="L176" s="27">
        <f t="shared" si="21"/>
        <v>358812</v>
      </c>
      <c r="M176" s="27">
        <f t="shared" si="22"/>
        <v>358812</v>
      </c>
    </row>
    <row r="177" spans="1:13" ht="16.5" hidden="1" outlineLevel="1">
      <c r="A177" s="38"/>
      <c r="B177" s="39" t="s">
        <v>30</v>
      </c>
      <c r="C177" s="36">
        <v>126524</v>
      </c>
      <c r="D177" s="36">
        <v>0</v>
      </c>
      <c r="E177" s="36"/>
      <c r="F177" s="36">
        <v>160123.85</v>
      </c>
      <c r="G177" s="37">
        <f t="shared" si="24"/>
        <v>0.79016336417092137</v>
      </c>
      <c r="H177" s="23">
        <f t="shared" si="25"/>
        <v>0</v>
      </c>
      <c r="I177" s="24">
        <f t="shared" si="25"/>
        <v>0</v>
      </c>
      <c r="J177" s="32" t="str" cm="1">
        <f t="array" ref="J177">IFERROR(_xlfn.IFS(B177="044 - BLEND TRADICION","BLEND",B177="113 - CAFÉ GOURMET","GOURMET",B177="114 - CAFÉ CONSUMO","CONSUMO",B177="112 - CAFÉ ORGANICO","GOURMET",B177="172 - CAFÉ COSECHA","ESPECIALES",B177="176 - CAFE DESCAFEINADO","GOURMET",B177="147 - CAPSULAS","CAPSULAS",B177="130 - GALLETAS CAFECITAS","DERIVADOS",B177="140 - MERENGUES","DERIVADOS",B177="100 - CAFÉ ESPECIAL","ESPECIALES",B177="141 - AREQUIPE","DERIVADOS",B177="142 - MERMELADA","DERIVADOS",B177="131 - GALLETAS AVENA","DERIVADOS",B177="160 - SOUVENIR","OTROS",B177="148 - CARAMELOS","DERIVADOS",B177="143 - CHOCOFFES","DERIVADOS",B177="162 - CONVENIOS Y DSC POS ","OTROS"),"OTROS")</f>
        <v>GOURMET</v>
      </c>
      <c r="L177" s="27">
        <f t="shared" si="21"/>
        <v>126524</v>
      </c>
      <c r="M177" s="27">
        <f t="shared" si="22"/>
        <v>126524</v>
      </c>
    </row>
    <row r="178" spans="1:13" ht="16.5" hidden="1" outlineLevel="1">
      <c r="A178" s="19" t="s">
        <v>53</v>
      </c>
      <c r="B178" s="56" t="s">
        <v>32</v>
      </c>
      <c r="C178" s="54">
        <f>SUM(C163:C177)</f>
        <v>35678463</v>
      </c>
      <c r="D178" s="54">
        <f>SUM(D163:D177)</f>
        <v>0</v>
      </c>
      <c r="E178" s="54">
        <f>SUM(E163:E177)</f>
        <v>0</v>
      </c>
      <c r="F178" s="54">
        <f>SUM(F163:F177)</f>
        <v>144914729.53999999</v>
      </c>
      <c r="G178" s="55">
        <f t="shared" si="24"/>
        <v>0.24620315073045682</v>
      </c>
      <c r="H178" s="23">
        <f t="shared" si="25"/>
        <v>0</v>
      </c>
      <c r="I178" s="24">
        <f t="shared" si="25"/>
        <v>0</v>
      </c>
      <c r="J178" s="32" t="str" cm="1">
        <f t="array" ref="J178">IFERROR(_xlfn.IFS(B178="044 - BLEND TRADICION","BLEND",B178="113 - CAFÉ GOURMET","GOURMET",B178="114 - CAFÉ CONSUMO","CONSUMO",B178="112 - CAFÉ ORGANICO","GOURMET",B178="172 - CAFÉ COSECHA","ESPECIALES",B178="176 - CAFE DESCAFEINADO","GOURMET",B178="147 - CAPSULAS","CAPSULAS",B178="130 - GALLETAS CAFECITAS","DERIVADOS",B178="140 - MERENGUES","DERIVADOS",B178="100 - CAFÉ ESPECIAL","ESPECIALES",B178="141 - AREQUIPE","DERIVADOS",B178="142 - MERMELADA","DERIVADOS",B178="131 - GALLETAS AVENA","DERIVADOS",B178="160 - SOUVENIR","OTROS",B178="148 - CARAMELOS","DERIVADOS",B178="143 - CHOCOFFES","DERIVADOS",B178="162 - CONVENIOS Y DSC POS ","OTROS"),"OTROS")</f>
        <v>OTROS</v>
      </c>
      <c r="L178" s="27">
        <f t="shared" si="21"/>
        <v>35678463</v>
      </c>
      <c r="M178" s="27">
        <f t="shared" si="22"/>
        <v>35678463</v>
      </c>
    </row>
    <row r="179" spans="1:13" ht="16.5" hidden="1" outlineLevel="1">
      <c r="A179" s="33"/>
      <c r="B179" s="39" t="s">
        <v>42</v>
      </c>
      <c r="C179" s="36">
        <v>40584</v>
      </c>
      <c r="D179" s="36">
        <v>0</v>
      </c>
      <c r="E179" s="36">
        <v>0</v>
      </c>
      <c r="F179" s="36">
        <v>0</v>
      </c>
      <c r="G179" s="37" t="str">
        <f t="shared" si="24"/>
        <v>-</v>
      </c>
      <c r="H179" s="23">
        <f t="shared" si="25"/>
        <v>0</v>
      </c>
      <c r="I179" s="24">
        <f t="shared" si="25"/>
        <v>0</v>
      </c>
      <c r="J179" s="32" t="str" cm="1">
        <f t="array" ref="J179">IFERROR(_xlfn.IFS(B179="044 - BLEND TRADICION","BLEND",B179="113 - CAFÉ GOURMET","GOURMET",B179="114 - CAFÉ CONSUMO","CONSUMO",B179="112 - CAFÉ ORGANICO","GOURMET",B179="172 - CAFÉ COSECHA","ESPECIALES",B179="176 - CAFE DESCAFEINADO","GOURMET",B179="147 - CAPSULAS","CAPSULAS",B179="130 - GALLETAS CAFECITAS","DERIVADOS",B179="140 - MERENGUES","DERIVADOS",B179="100 - CAFÉ ESPECIAL","ESPECIALES",B179="141 - AREQUIPE","DERIVADOS",B179="142 - MERMELADA","DERIVADOS",B179="131 - GALLETAS AVENA","DERIVADOS",B179="160 - SOUVENIR","OTROS",B179="148 - CARAMELOS","DERIVADOS",B179="143 - CHOCOFFES","DERIVADOS",B179="162 - CONVENIOS Y DSC POS ","OTROS"),"OTROS")</f>
        <v>OTROS</v>
      </c>
      <c r="L179" s="27">
        <f t="shared" si="21"/>
        <v>40584</v>
      </c>
      <c r="M179" s="27">
        <f t="shared" si="22"/>
        <v>40584</v>
      </c>
    </row>
    <row r="180" spans="1:13" ht="16.5" hidden="1" outlineLevel="1">
      <c r="A180" s="33"/>
      <c r="B180" s="39" t="s">
        <v>18</v>
      </c>
      <c r="C180" s="36">
        <v>3554704</v>
      </c>
      <c r="D180" s="36">
        <v>0</v>
      </c>
      <c r="E180" s="36"/>
      <c r="F180" s="36">
        <v>10236889.550000001</v>
      </c>
      <c r="G180" s="37">
        <f t="shared" si="24"/>
        <v>0.34724453972447128</v>
      </c>
      <c r="H180" s="23">
        <f t="shared" si="25"/>
        <v>0</v>
      </c>
      <c r="I180" s="24">
        <f t="shared" si="25"/>
        <v>0</v>
      </c>
      <c r="J180" s="32" t="str" cm="1">
        <f t="array" ref="J180">IFERROR(_xlfn.IFS(B180="044 - BLEND TRADICION","BLEND",B180="113 - CAFÉ GOURMET","GOURMET",B180="114 - CAFÉ CONSUMO","CONSUMO",B180="112 - CAFÉ ORGANICO","GOURMET",B180="172 - CAFÉ COSECHA","ESPECIALES",B180="176 - CAFE DESCAFEINADO","GOURMET",B180="147 - CAPSULAS","CAPSULAS",B180="130 - GALLETAS CAFECITAS","DERIVADOS",B180="140 - MERENGUES","DERIVADOS",B180="100 - CAFÉ ESPECIAL","ESPECIALES",B180="141 - AREQUIPE","DERIVADOS",B180="142 - MERMELADA","DERIVADOS",B180="131 - GALLETAS AVENA","DERIVADOS",B180="160 - SOUVENIR","OTROS",B180="148 - CARAMELOS","DERIVADOS",B180="143 - CHOCOFFES","DERIVADOS",B180="162 - CONVENIOS Y DSC POS ","OTROS"),"OTROS")</f>
        <v>BLEND</v>
      </c>
      <c r="L180" s="27">
        <f t="shared" si="21"/>
        <v>3554704</v>
      </c>
      <c r="M180" s="27">
        <f t="shared" si="22"/>
        <v>3554704</v>
      </c>
    </row>
    <row r="181" spans="1:13" ht="16.5" hidden="1" outlineLevel="1">
      <c r="A181" s="38"/>
      <c r="B181" s="39" t="s">
        <v>19</v>
      </c>
      <c r="C181" s="36">
        <v>2261227</v>
      </c>
      <c r="D181" s="36">
        <v>0</v>
      </c>
      <c r="E181" s="36">
        <v>0</v>
      </c>
      <c r="F181" s="36">
        <v>6016526.7400000002</v>
      </c>
      <c r="G181" s="37">
        <f t="shared" si="24"/>
        <v>0.37583594284831517</v>
      </c>
      <c r="H181" s="23">
        <f t="shared" si="25"/>
        <v>0</v>
      </c>
      <c r="I181" s="24">
        <f t="shared" si="25"/>
        <v>0</v>
      </c>
      <c r="J181" s="32" t="str" cm="1">
        <f t="array" ref="J181">IFERROR(_xlfn.IFS(B181="044 - BLEND TRADICION","BLEND",B181="113 - CAFÉ GOURMET","GOURMET",B181="114 - CAFÉ CONSUMO","CONSUMO",B181="112 - CAFÉ ORGANICO","GOURMET",B181="172 - CAFÉ COSECHA","ESPECIALES",B181="176 - CAFE DESCAFEINADO","GOURMET",B181="147 - CAPSULAS","CAPSULAS",B181="130 - GALLETAS CAFECITAS","DERIVADOS",B181="140 - MERENGUES","DERIVADOS",B181="100 - CAFÉ ESPECIAL","ESPECIALES",B181="141 - AREQUIPE","DERIVADOS",B181="142 - MERMELADA","DERIVADOS",B181="131 - GALLETAS AVENA","DERIVADOS",B181="160 - SOUVENIR","OTROS",B181="148 - CARAMELOS","DERIVADOS",B181="143 - CHOCOFFES","DERIVADOS",B181="162 - CONVENIOS Y DSC POS ","OTROS"),"OTROS")</f>
        <v>ESPECIALES</v>
      </c>
      <c r="L181" s="27">
        <f t="shared" si="21"/>
        <v>2261227</v>
      </c>
      <c r="M181" s="27">
        <f t="shared" si="22"/>
        <v>2261227</v>
      </c>
    </row>
    <row r="182" spans="1:13" ht="16.5" hidden="1" outlineLevel="1">
      <c r="A182" s="38"/>
      <c r="B182" s="39" t="s">
        <v>20</v>
      </c>
      <c r="C182" s="36">
        <v>629565</v>
      </c>
      <c r="D182" s="36">
        <v>0</v>
      </c>
      <c r="E182" s="36">
        <v>0</v>
      </c>
      <c r="F182" s="36">
        <v>1636189.73</v>
      </c>
      <c r="G182" s="37">
        <f t="shared" si="24"/>
        <v>0.38477505906359649</v>
      </c>
      <c r="H182" s="23">
        <f t="shared" si="25"/>
        <v>0</v>
      </c>
      <c r="I182" s="24">
        <f t="shared" si="25"/>
        <v>0</v>
      </c>
      <c r="J182" s="32" t="str" cm="1">
        <f t="array" ref="J182">IFERROR(_xlfn.IFS(B182="044 - BLEND TRADICION","BLEND",B182="113 - CAFÉ GOURMET","GOURMET",B182="114 - CAFÉ CONSUMO","CONSUMO",B182="112 - CAFÉ ORGANICO","GOURMET",B182="172 - CAFÉ COSECHA","ESPECIALES",B182="176 - CAFE DESCAFEINADO","GOURMET",B182="147 - CAPSULAS","CAPSULAS",B182="130 - GALLETAS CAFECITAS","DERIVADOS",B182="140 - MERENGUES","DERIVADOS",B182="100 - CAFÉ ESPECIAL","ESPECIALES",B182="141 - AREQUIPE","DERIVADOS",B182="142 - MERMELADA","DERIVADOS",B182="131 - GALLETAS AVENA","DERIVADOS",B182="160 - SOUVENIR","OTROS",B182="148 - CARAMELOS","DERIVADOS",B182="143 - CHOCOFFES","DERIVADOS",B182="162 - CONVENIOS Y DSC POS ","OTROS"),"OTROS")</f>
        <v>GOURMET</v>
      </c>
      <c r="L182" s="27">
        <f t="shared" si="21"/>
        <v>629565</v>
      </c>
      <c r="M182" s="27">
        <f t="shared" si="22"/>
        <v>629565</v>
      </c>
    </row>
    <row r="183" spans="1:13" ht="16.5" hidden="1" outlineLevel="1">
      <c r="A183" s="38"/>
      <c r="B183" s="39" t="s">
        <v>21</v>
      </c>
      <c r="C183" s="36">
        <v>20699173</v>
      </c>
      <c r="D183" s="36">
        <v>0</v>
      </c>
      <c r="E183" s="36"/>
      <c r="F183" s="36">
        <v>64517931.119999997</v>
      </c>
      <c r="G183" s="37">
        <f t="shared" si="24"/>
        <v>0.32082822001066053</v>
      </c>
      <c r="H183" s="23">
        <f t="shared" si="25"/>
        <v>0</v>
      </c>
      <c r="I183" s="24">
        <f t="shared" si="25"/>
        <v>0</v>
      </c>
      <c r="J183" s="32" t="str" cm="1">
        <f t="array" ref="J183">IFERROR(_xlfn.IFS(B183="044 - BLEND TRADICION","BLEND",B183="113 - CAFÉ GOURMET","GOURMET",B183="114 - CAFÉ CONSUMO","CONSUMO",B183="112 - CAFÉ ORGANICO","GOURMET",B183="172 - CAFÉ COSECHA","ESPECIALES",B183="176 - CAFE DESCAFEINADO","GOURMET",B183="147 - CAPSULAS","CAPSULAS",B183="130 - GALLETAS CAFECITAS","DERIVADOS",B183="140 - MERENGUES","DERIVADOS",B183="100 - CAFÉ ESPECIAL","ESPECIALES",B183="141 - AREQUIPE","DERIVADOS",B183="142 - MERMELADA","DERIVADOS",B183="131 - GALLETAS AVENA","DERIVADOS",B183="160 - SOUVENIR","OTROS",B183="148 - CARAMELOS","DERIVADOS",B183="143 - CHOCOFFES","DERIVADOS",B183="162 - CONVENIOS Y DSC POS ","OTROS"),"OTROS")</f>
        <v>GOURMET</v>
      </c>
      <c r="L183" s="27">
        <f t="shared" si="21"/>
        <v>20699173</v>
      </c>
      <c r="M183" s="27">
        <f t="shared" si="22"/>
        <v>20699173</v>
      </c>
    </row>
    <row r="184" spans="1:13" ht="16.5" hidden="1" outlineLevel="1">
      <c r="A184" s="38"/>
      <c r="B184" s="39" t="s">
        <v>38</v>
      </c>
      <c r="C184" s="36">
        <v>4619098</v>
      </c>
      <c r="D184" s="36">
        <v>0</v>
      </c>
      <c r="E184" s="36"/>
      <c r="F184" s="36">
        <v>9597044.6699999999</v>
      </c>
      <c r="G184" s="37">
        <f t="shared" si="24"/>
        <v>0.48130420966353593</v>
      </c>
      <c r="H184" s="23">
        <f t="shared" si="25"/>
        <v>0</v>
      </c>
      <c r="I184" s="24">
        <f t="shared" si="25"/>
        <v>0</v>
      </c>
      <c r="J184" s="32" t="str" cm="1">
        <f t="array" ref="J184">IFERROR(_xlfn.IFS(B184="044 - BLEND TRADICION","BLEND",B184="113 - CAFÉ GOURMET","GOURMET",B184="114 - CAFÉ CONSUMO","CONSUMO",B184="112 - CAFÉ ORGANICO","GOURMET",B184="172 - CAFÉ COSECHA","ESPECIALES",B184="176 - CAFE DESCAFEINADO","GOURMET",B184="147 - CAPSULAS","CAPSULAS",B184="130 - GALLETAS CAFECITAS","DERIVADOS",B184="140 - MERENGUES","DERIVADOS",B184="100 - CAFÉ ESPECIAL","ESPECIALES",B184="141 - AREQUIPE","DERIVADOS",B184="142 - MERMELADA","DERIVADOS",B184="131 - GALLETAS AVENA","DERIVADOS",B184="160 - SOUVENIR","OTROS",B184="148 - CARAMELOS","DERIVADOS",B184="143 - CHOCOFFES","DERIVADOS",B184="162 - CONVENIOS Y DSC POS ","OTROS"),"OTROS")</f>
        <v>CONSUMO</v>
      </c>
      <c r="L184" s="27">
        <f t="shared" si="21"/>
        <v>4619098</v>
      </c>
      <c r="M184" s="27">
        <f t="shared" si="22"/>
        <v>4619098</v>
      </c>
    </row>
    <row r="185" spans="1:13" ht="16.5" hidden="1" outlineLevel="1">
      <c r="A185" s="38"/>
      <c r="B185" s="39" t="s">
        <v>22</v>
      </c>
      <c r="C185" s="36">
        <v>6334060</v>
      </c>
      <c r="D185" s="36">
        <v>0</v>
      </c>
      <c r="E185" s="36"/>
      <c r="F185" s="36">
        <v>25972256.75</v>
      </c>
      <c r="G185" s="37">
        <f t="shared" si="24"/>
        <v>0.24387792177512646</v>
      </c>
      <c r="H185" s="23">
        <f t="shared" si="25"/>
        <v>0</v>
      </c>
      <c r="I185" s="24">
        <f t="shared" si="25"/>
        <v>0</v>
      </c>
      <c r="J185" s="32" t="str" cm="1">
        <f t="array" ref="J185">IFERROR(_xlfn.IFS(B185="044 - BLEND TRADICION","BLEND",B185="113 - CAFÉ GOURMET","GOURMET",B185="114 - CAFÉ CONSUMO","CONSUMO",B185="112 - CAFÉ ORGANICO","GOURMET",B185="172 - CAFÉ COSECHA","ESPECIALES",B185="176 - CAFE DESCAFEINADO","GOURMET",B185="147 - CAPSULAS","CAPSULAS",B185="130 - GALLETAS CAFECITAS","DERIVADOS",B185="140 - MERENGUES","DERIVADOS",B185="100 - CAFÉ ESPECIAL","ESPECIALES",B185="141 - AREQUIPE","DERIVADOS",B185="142 - MERMELADA","DERIVADOS",B185="131 - GALLETAS AVENA","DERIVADOS",B185="160 - SOUVENIR","OTROS",B185="148 - CARAMELOS","DERIVADOS",B185="143 - CHOCOFFES","DERIVADOS",B185="162 - CONVENIOS Y DSC POS ","OTROS"),"OTROS")</f>
        <v>DERIVADOS</v>
      </c>
      <c r="L185" s="27">
        <f t="shared" si="21"/>
        <v>6334060</v>
      </c>
      <c r="M185" s="27">
        <f t="shared" si="22"/>
        <v>6334060</v>
      </c>
    </row>
    <row r="186" spans="1:13" ht="16.5" hidden="1" outlineLevel="1">
      <c r="A186" s="38"/>
      <c r="B186" s="39" t="s">
        <v>24</v>
      </c>
      <c r="C186" s="36">
        <v>668012</v>
      </c>
      <c r="D186" s="36">
        <v>0</v>
      </c>
      <c r="E186" s="36"/>
      <c r="F186" s="36">
        <v>2464599.98</v>
      </c>
      <c r="G186" s="37">
        <f t="shared" si="24"/>
        <v>0.27104276775982122</v>
      </c>
      <c r="H186" s="23">
        <f t="shared" si="25"/>
        <v>0</v>
      </c>
      <c r="I186" s="24">
        <f t="shared" si="25"/>
        <v>0</v>
      </c>
      <c r="J186" s="32" t="str" cm="1">
        <f t="array" ref="J186">IFERROR(_xlfn.IFS(B186="044 - BLEND TRADICION","BLEND",B186="113 - CAFÉ GOURMET","GOURMET",B186="114 - CAFÉ CONSUMO","CONSUMO",B186="112 - CAFÉ ORGANICO","GOURMET",B186="172 - CAFÉ COSECHA","ESPECIALES",B186="176 - CAFE DESCAFEINADO","GOURMET",B186="147 - CAPSULAS","CAPSULAS",B186="130 - GALLETAS CAFECITAS","DERIVADOS",B186="140 - MERENGUES","DERIVADOS",B186="100 - CAFÉ ESPECIAL","ESPECIALES",B186="141 - AREQUIPE","DERIVADOS",B186="142 - MERMELADA","DERIVADOS",B186="131 - GALLETAS AVENA","DERIVADOS",B186="160 - SOUVENIR","OTROS",B186="148 - CARAMELOS","DERIVADOS",B186="143 - CHOCOFFES","DERIVADOS",B186="162 - CONVENIOS Y DSC POS ","OTROS"),"OTROS")</f>
        <v>DERIVADOS</v>
      </c>
      <c r="L186" s="27">
        <f t="shared" si="21"/>
        <v>668012</v>
      </c>
      <c r="M186" s="27">
        <f t="shared" si="22"/>
        <v>668012</v>
      </c>
    </row>
    <row r="187" spans="1:13" ht="16.5" hidden="1" outlineLevel="1">
      <c r="A187" s="38"/>
      <c r="B187" s="39" t="s">
        <v>25</v>
      </c>
      <c r="C187" s="36">
        <v>3052744</v>
      </c>
      <c r="D187" s="36">
        <v>0</v>
      </c>
      <c r="E187" s="36"/>
      <c r="F187" s="36">
        <v>12421685.26</v>
      </c>
      <c r="G187" s="37">
        <f t="shared" si="24"/>
        <v>0.24575924571445792</v>
      </c>
      <c r="H187" s="23">
        <f t="shared" si="25"/>
        <v>0</v>
      </c>
      <c r="I187" s="24">
        <f t="shared" si="25"/>
        <v>0</v>
      </c>
      <c r="J187" s="32" t="str" cm="1">
        <f t="array" ref="J187">IFERROR(_xlfn.IFS(B187="044 - BLEND TRADICION","BLEND",B187="113 - CAFÉ GOURMET","GOURMET",B187="114 - CAFÉ CONSUMO","CONSUMO",B187="112 - CAFÉ ORGANICO","GOURMET",B187="172 - CAFÉ COSECHA","ESPECIALES",B187="176 - CAFE DESCAFEINADO","GOURMET",B187="147 - CAPSULAS","CAPSULAS",B187="130 - GALLETAS CAFECITAS","DERIVADOS",B187="140 - MERENGUES","DERIVADOS",B187="100 - CAFÉ ESPECIAL","ESPECIALES",B187="141 - AREQUIPE","DERIVADOS",B187="142 - MERMELADA","DERIVADOS",B187="131 - GALLETAS AVENA","DERIVADOS",B187="160 - SOUVENIR","OTROS",B187="148 - CARAMELOS","DERIVADOS",B187="143 - CHOCOFFES","DERIVADOS",B187="162 - CONVENIOS Y DSC POS ","OTROS"),"OTROS")</f>
        <v>DERIVADOS</v>
      </c>
      <c r="L187" s="27">
        <f t="shared" si="21"/>
        <v>3052744</v>
      </c>
      <c r="M187" s="27">
        <f t="shared" si="22"/>
        <v>3052744</v>
      </c>
    </row>
    <row r="188" spans="1:13" ht="16.5" hidden="1" outlineLevel="1">
      <c r="A188" s="38"/>
      <c r="B188" s="39" t="s">
        <v>26</v>
      </c>
      <c r="C188" s="36">
        <v>504901</v>
      </c>
      <c r="D188" s="36">
        <v>0</v>
      </c>
      <c r="E188" s="36"/>
      <c r="F188" s="36">
        <v>2257638.58</v>
      </c>
      <c r="G188" s="37">
        <f t="shared" si="24"/>
        <v>0.22364119946958028</v>
      </c>
      <c r="H188" s="23">
        <f t="shared" si="25"/>
        <v>0</v>
      </c>
      <c r="I188" s="24">
        <f t="shared" si="25"/>
        <v>0</v>
      </c>
      <c r="J188" s="32" t="str" cm="1">
        <f t="array" ref="J188">IFERROR(_xlfn.IFS(B188="044 - BLEND TRADICION","BLEND",B188="113 - CAFÉ GOURMET","GOURMET",B188="114 - CAFÉ CONSUMO","CONSUMO",B188="112 - CAFÉ ORGANICO","GOURMET",B188="172 - CAFÉ COSECHA","ESPECIALES",B188="176 - CAFE DESCAFEINADO","GOURMET",B188="147 - CAPSULAS","CAPSULAS",B188="130 - GALLETAS CAFECITAS","DERIVADOS",B188="140 - MERENGUES","DERIVADOS",B188="100 - CAFÉ ESPECIAL","ESPECIALES",B188="141 - AREQUIPE","DERIVADOS",B188="142 - MERMELADA","DERIVADOS",B188="131 - GALLETAS AVENA","DERIVADOS",B188="160 - SOUVENIR","OTROS",B188="148 - CARAMELOS","DERIVADOS",B188="143 - CHOCOFFES","DERIVADOS",B188="162 - CONVENIOS Y DSC POS ","OTROS"),"OTROS")</f>
        <v>CAPSULAS</v>
      </c>
      <c r="L188" s="27">
        <f t="shared" si="21"/>
        <v>504901</v>
      </c>
      <c r="M188" s="27">
        <f t="shared" si="22"/>
        <v>504901</v>
      </c>
    </row>
    <row r="189" spans="1:13" ht="16.5" hidden="1" outlineLevel="1">
      <c r="A189" s="38"/>
      <c r="B189" s="39" t="s">
        <v>27</v>
      </c>
      <c r="C189" s="36">
        <v>6082684</v>
      </c>
      <c r="D189" s="36">
        <v>0</v>
      </c>
      <c r="E189" s="36"/>
      <c r="F189" s="36">
        <v>20712565.039999999</v>
      </c>
      <c r="G189" s="37">
        <f t="shared" si="24"/>
        <v>0.29367120818948073</v>
      </c>
      <c r="H189" s="23">
        <f t="shared" si="25"/>
        <v>0</v>
      </c>
      <c r="I189" s="24">
        <f t="shared" si="25"/>
        <v>0</v>
      </c>
      <c r="J189" s="32" t="str" cm="1">
        <f t="array" ref="J189">IFERROR(_xlfn.IFS(B189="044 - BLEND TRADICION","BLEND",B189="113 - CAFÉ GOURMET","GOURMET",B189="114 - CAFÉ CONSUMO","CONSUMO",B189="112 - CAFÉ ORGANICO","GOURMET",B189="172 - CAFÉ COSECHA","ESPECIALES",B189="176 - CAFE DESCAFEINADO","GOURMET",B189="147 - CAPSULAS","CAPSULAS",B189="130 - GALLETAS CAFECITAS","DERIVADOS",B189="140 - MERENGUES","DERIVADOS",B189="100 - CAFÉ ESPECIAL","ESPECIALES",B189="141 - AREQUIPE","DERIVADOS",B189="142 - MERMELADA","DERIVADOS",B189="131 - GALLETAS AVENA","DERIVADOS",B189="160 - SOUVENIR","OTROS",B189="148 - CARAMELOS","DERIVADOS",B189="143 - CHOCOFFES","DERIVADOS",B189="162 - CONVENIOS Y DSC POS ","OTROS"),"OTROS")</f>
        <v>DERIVADOS</v>
      </c>
      <c r="L189" s="27">
        <f t="shared" si="21"/>
        <v>6082684</v>
      </c>
      <c r="M189" s="27">
        <f t="shared" si="22"/>
        <v>6082684</v>
      </c>
    </row>
    <row r="190" spans="1:13" ht="16.5" hidden="1" outlineLevel="1">
      <c r="A190" s="38"/>
      <c r="B190" s="39" t="s">
        <v>28</v>
      </c>
      <c r="C190" s="36">
        <v>2706176</v>
      </c>
      <c r="D190" s="36">
        <v>0</v>
      </c>
      <c r="E190" s="36"/>
      <c r="F190" s="36">
        <v>14886549.630000001</v>
      </c>
      <c r="G190" s="37">
        <f t="shared" si="24"/>
        <v>0.18178665085335827</v>
      </c>
      <c r="H190" s="23">
        <f t="shared" si="25"/>
        <v>0</v>
      </c>
      <c r="I190" s="24">
        <f t="shared" si="25"/>
        <v>0</v>
      </c>
      <c r="J190" s="32" t="str" cm="1">
        <f t="array" ref="J190">IFERROR(_xlfn.IFS(B190="044 - BLEND TRADICION","BLEND",B190="113 - CAFÉ GOURMET","GOURMET",B190="114 - CAFÉ CONSUMO","CONSUMO",B190="112 - CAFÉ ORGANICO","GOURMET",B190="172 - CAFÉ COSECHA","ESPECIALES",B190="176 - CAFE DESCAFEINADO","GOURMET",B190="147 - CAPSULAS","CAPSULAS",B190="130 - GALLETAS CAFECITAS","DERIVADOS",B190="140 - MERENGUES","DERIVADOS",B190="100 - CAFÉ ESPECIAL","ESPECIALES",B190="141 - AREQUIPE","DERIVADOS",B190="142 - MERMELADA","DERIVADOS",B190="131 - GALLETAS AVENA","DERIVADOS",B190="160 - SOUVENIR","OTROS",B190="148 - CARAMELOS","DERIVADOS",B190="143 - CHOCOFFES","DERIVADOS",B190="162 - CONVENIOS Y DSC POS ","OTROS"),"OTROS")</f>
        <v>OTROS</v>
      </c>
      <c r="L190" s="27">
        <f t="shared" si="21"/>
        <v>2706176</v>
      </c>
      <c r="M190" s="27">
        <f t="shared" si="22"/>
        <v>2706176</v>
      </c>
    </row>
    <row r="191" spans="1:13" ht="16.5" hidden="1" outlineLevel="1">
      <c r="A191" s="38"/>
      <c r="B191" s="39" t="s">
        <v>29</v>
      </c>
      <c r="C191" s="36">
        <v>2435914</v>
      </c>
      <c r="D191" s="36">
        <v>0</v>
      </c>
      <c r="E191" s="36"/>
      <c r="F191" s="36">
        <v>8209679.5599999996</v>
      </c>
      <c r="G191" s="37">
        <f t="shared" si="24"/>
        <v>0.29671243343875409</v>
      </c>
      <c r="H191" s="23">
        <f t="shared" si="25"/>
        <v>0</v>
      </c>
      <c r="I191" s="24">
        <f t="shared" si="25"/>
        <v>0</v>
      </c>
      <c r="J191" s="32" t="str" cm="1">
        <f t="array" ref="J191">IFERROR(_xlfn.IFS(B191="044 - BLEND TRADICION","BLEND",B191="113 - CAFÉ GOURMET","GOURMET",B191="114 - CAFÉ CONSUMO","CONSUMO",B191="112 - CAFÉ ORGANICO","GOURMET",B191="172 - CAFÉ COSECHA","ESPECIALES",B191="176 - CAFE DESCAFEINADO","GOURMET",B191="147 - CAPSULAS","CAPSULAS",B191="130 - GALLETAS CAFECITAS","DERIVADOS",B191="140 - MERENGUES","DERIVADOS",B191="100 - CAFÉ ESPECIAL","ESPECIALES",B191="141 - AREQUIPE","DERIVADOS",B191="142 - MERMELADA","DERIVADOS",B191="131 - GALLETAS AVENA","DERIVADOS",B191="160 - SOUVENIR","OTROS",B191="148 - CARAMELOS","DERIVADOS",B191="143 - CHOCOFFES","DERIVADOS",B191="162 - CONVENIOS Y DSC POS ","OTROS"),"OTROS")</f>
        <v>ESPECIALES</v>
      </c>
      <c r="L191" s="27">
        <f t="shared" si="21"/>
        <v>2435914</v>
      </c>
      <c r="M191" s="27">
        <f t="shared" si="22"/>
        <v>2435914</v>
      </c>
    </row>
    <row r="192" spans="1:13" ht="16.5" hidden="1" outlineLevel="1">
      <c r="A192" s="38"/>
      <c r="B192" s="39" t="s">
        <v>30</v>
      </c>
      <c r="C192" s="36">
        <v>272027</v>
      </c>
      <c r="D192" s="36">
        <v>0</v>
      </c>
      <c r="E192" s="36"/>
      <c r="F192" s="36">
        <v>1016149.79</v>
      </c>
      <c r="G192" s="37">
        <f t="shared" si="24"/>
        <v>0.26770364239311606</v>
      </c>
      <c r="H192" s="23">
        <f t="shared" ref="H192:I248" si="26">IFERROR(+D192/L192*100%,0)</f>
        <v>0</v>
      </c>
      <c r="I192" s="24">
        <f t="shared" si="26"/>
        <v>0</v>
      </c>
      <c r="J192" s="32" t="str" cm="1">
        <f t="array" ref="J192">IFERROR(_xlfn.IFS(B192="044 - BLEND TRADICION","BLEND",B192="113 - CAFÉ GOURMET","GOURMET",B192="114 - CAFÉ CONSUMO","CONSUMO",B192="112 - CAFÉ ORGANICO","GOURMET",B192="172 - CAFÉ COSECHA","ESPECIALES",B192="176 - CAFE DESCAFEINADO","GOURMET",B192="147 - CAPSULAS","CAPSULAS",B192="130 - GALLETAS CAFECITAS","DERIVADOS",B192="140 - MERENGUES","DERIVADOS",B192="100 - CAFÉ ESPECIAL","ESPECIALES",B192="141 - AREQUIPE","DERIVADOS",B192="142 - MERMELADA","DERIVADOS",B192="131 - GALLETAS AVENA","DERIVADOS",B192="160 - SOUVENIR","OTROS",B192="148 - CARAMELOS","DERIVADOS",B192="143 - CHOCOFFES","DERIVADOS",B192="162 - CONVENIOS Y DSC POS ","OTROS"),"OTROS")</f>
        <v>GOURMET</v>
      </c>
      <c r="L192" s="27">
        <f t="shared" si="21"/>
        <v>272027</v>
      </c>
      <c r="M192" s="27">
        <f t="shared" si="22"/>
        <v>272027</v>
      </c>
    </row>
    <row r="193" spans="1:13" ht="16.5" hidden="1" outlineLevel="1">
      <c r="A193" s="19" t="s">
        <v>54</v>
      </c>
      <c r="B193" s="56" t="s">
        <v>32</v>
      </c>
      <c r="C193" s="54">
        <f>SUM(C179:C192)</f>
        <v>53860869</v>
      </c>
      <c r="D193" s="54">
        <f>SUM(D179:D192)</f>
        <v>0</v>
      </c>
      <c r="E193" s="54">
        <f>SUM(E179:E192)</f>
        <v>0</v>
      </c>
      <c r="F193" s="58">
        <f>SUM(F179:F192)</f>
        <v>179945706.40000001</v>
      </c>
      <c r="G193" s="55">
        <f t="shared" si="24"/>
        <v>0.29931733341985423</v>
      </c>
      <c r="H193" s="23">
        <f t="shared" si="26"/>
        <v>0</v>
      </c>
      <c r="I193" s="24">
        <f t="shared" si="26"/>
        <v>0</v>
      </c>
      <c r="J193" s="32" t="str" cm="1">
        <f t="array" ref="J193">IFERROR(_xlfn.IFS(B193="044 - BLEND TRADICION","BLEND",B193="113 - CAFÉ GOURMET","GOURMET",B193="114 - CAFÉ CONSUMO","CONSUMO",B193="112 - CAFÉ ORGANICO","GOURMET",B193="172 - CAFÉ COSECHA","ESPECIALES",B193="176 - CAFE DESCAFEINADO","GOURMET",B193="147 - CAPSULAS","CAPSULAS",B193="130 - GALLETAS CAFECITAS","DERIVADOS",B193="140 - MERENGUES","DERIVADOS",B193="100 - CAFÉ ESPECIAL","ESPECIALES",B193="141 - AREQUIPE","DERIVADOS",B193="142 - MERMELADA","DERIVADOS",B193="131 - GALLETAS AVENA","DERIVADOS",B193="160 - SOUVENIR","OTROS",B193="148 - CARAMELOS","DERIVADOS",B193="143 - CHOCOFFES","DERIVADOS",B193="162 - CONVENIOS Y DSC POS ","OTROS"),"OTROS")</f>
        <v>OTROS</v>
      </c>
      <c r="L193" s="27">
        <f t="shared" si="21"/>
        <v>53860869</v>
      </c>
      <c r="M193" s="27">
        <f t="shared" si="22"/>
        <v>53860869</v>
      </c>
    </row>
    <row r="194" spans="1:13" ht="16.5" collapsed="1">
      <c r="A194" s="28" t="s">
        <v>55</v>
      </c>
      <c r="B194" s="29" t="s">
        <v>17</v>
      </c>
      <c r="C194" s="30">
        <f>+C209</f>
        <v>71246101</v>
      </c>
      <c r="D194" s="30">
        <f t="shared" ref="D194:E194" si="27">+D209</f>
        <v>0</v>
      </c>
      <c r="E194" s="30">
        <f t="shared" si="27"/>
        <v>0</v>
      </c>
      <c r="F194" s="30">
        <f>+F209</f>
        <v>251466278.25</v>
      </c>
      <c r="G194" s="31">
        <f t="shared" si="24"/>
        <v>0.28332268444029435</v>
      </c>
      <c r="H194" s="23">
        <f t="shared" si="26"/>
        <v>0</v>
      </c>
      <c r="I194" s="24">
        <f t="shared" si="26"/>
        <v>0</v>
      </c>
      <c r="J194" s="32" t="str" cm="1">
        <f t="array" ref="J194">IFERROR(_xlfn.IFS(B194="044 - BLEND TRADICION","BLEND",B194="113 - CAFÉ GOURMET","GOURMET",B194="114 - CAFÉ CONSUMO","CONSUMO",B194="112 - CAFÉ ORGANICO","GOURMET",B194="172 - CAFÉ COSECHA","ESPECIALES",B194="176 - CAFE DESCAFEINADO","GOURMET",B194="147 - CAPSULAS","CAPSULAS",B194="130 - GALLETAS CAFECITAS","DERIVADOS",B194="140 - MERENGUES","DERIVADOS",B194="100 - CAFÉ ESPECIAL","ESPECIALES",B194="141 - AREQUIPE","DERIVADOS",B194="142 - MERMELADA","DERIVADOS",B194="131 - GALLETAS AVENA","DERIVADOS",B194="160 - SOUVENIR","OTROS",B194="148 - CARAMELOS","DERIVADOS",B194="143 - CHOCOFFES","DERIVADOS",B194="162 - CONVENIOS Y DSC POS ","OTROS"),"OTROS")</f>
        <v>OTROS</v>
      </c>
      <c r="L194" s="27">
        <f t="shared" si="21"/>
        <v>71246101</v>
      </c>
      <c r="M194" s="27">
        <f t="shared" si="22"/>
        <v>71246101</v>
      </c>
    </row>
    <row r="195" spans="1:13" ht="16.5" hidden="1" outlineLevel="1">
      <c r="A195" s="38"/>
      <c r="B195" s="39" t="s">
        <v>34</v>
      </c>
      <c r="C195" s="36">
        <v>2116004</v>
      </c>
      <c r="D195" s="36">
        <v>0</v>
      </c>
      <c r="E195" s="36">
        <v>0</v>
      </c>
      <c r="F195" s="36">
        <v>4405498.4400000004</v>
      </c>
      <c r="G195" s="37">
        <f t="shared" si="24"/>
        <v>0.48030978306282179</v>
      </c>
      <c r="H195" s="23">
        <f t="shared" si="26"/>
        <v>0</v>
      </c>
      <c r="I195" s="24">
        <f t="shared" si="26"/>
        <v>0</v>
      </c>
      <c r="J195" s="32" t="str" cm="1">
        <f t="array" ref="J195">IFERROR(_xlfn.IFS(B195="044 - BLEND TRADICION","BLEND",B195="113 - CAFÉ GOURMET","GOURMET",B195="114 - CAFÉ CONSUMO","CONSUMO",B195="112 - CAFÉ ORGANICO","GOURMET",B195="172 - CAFÉ COSECHA","ESPECIALES",B195="176 - CAFE DESCAFEINADO","GOURMET",B195="147 - CAPSULAS","CAPSULAS",B195="130 - GALLETAS CAFECITAS","DERIVADOS",B195="140 - MERENGUES","DERIVADOS",B195="100 - CAFÉ ESPECIAL","ESPECIALES",B195="141 - AREQUIPE","DERIVADOS",B195="142 - MERMELADA","DERIVADOS",B195="131 - GALLETAS AVENA","DERIVADOS",B195="160 - SOUVENIR","OTROS",B195="148 - CARAMELOS","DERIVADOS",B195="143 - CHOCOFFES","DERIVADOS",B195="162 - CONVENIOS Y DSC POS ","OTROS"),"OTROS")</f>
        <v>OTROS</v>
      </c>
      <c r="K195" s="62"/>
      <c r="L195" s="27">
        <f t="shared" si="21"/>
        <v>2116004</v>
      </c>
      <c r="M195" s="27">
        <f t="shared" si="22"/>
        <v>2116004</v>
      </c>
    </row>
    <row r="196" spans="1:13" ht="16.5" hidden="1" outlineLevel="1">
      <c r="A196" s="38"/>
      <c r="B196" s="39" t="s">
        <v>18</v>
      </c>
      <c r="C196" s="36">
        <v>523500</v>
      </c>
      <c r="D196" s="36">
        <v>0</v>
      </c>
      <c r="E196" s="36"/>
      <c r="F196" s="36">
        <v>1752263.11</v>
      </c>
      <c r="G196" s="37">
        <f t="shared" si="24"/>
        <v>0.29875650352531818</v>
      </c>
      <c r="H196" s="23">
        <f t="shared" si="26"/>
        <v>0</v>
      </c>
      <c r="I196" s="24">
        <f t="shared" si="26"/>
        <v>0</v>
      </c>
      <c r="J196" s="32" t="str" cm="1">
        <f t="array" ref="J196">IFERROR(_xlfn.IFS(B196="044 - BLEND TRADICION","BLEND",B196="113 - CAFÉ GOURMET","GOURMET",B196="114 - CAFÉ CONSUMO","CONSUMO",B196="112 - CAFÉ ORGANICO","GOURMET",B196="172 - CAFÉ COSECHA","ESPECIALES",B196="176 - CAFE DESCAFEINADO","GOURMET",B196="147 - CAPSULAS","CAPSULAS",B196="130 - GALLETAS CAFECITAS","DERIVADOS",B196="140 - MERENGUES","DERIVADOS",B196="100 - CAFÉ ESPECIAL","ESPECIALES",B196="141 - AREQUIPE","DERIVADOS",B196="142 - MERMELADA","DERIVADOS",B196="131 - GALLETAS AVENA","DERIVADOS",B196="160 - SOUVENIR","OTROS",B196="148 - CARAMELOS","DERIVADOS",B196="143 - CHOCOFFES","DERIVADOS",B196="162 - CONVENIOS Y DSC POS ","OTROS"),"OTROS")</f>
        <v>BLEND</v>
      </c>
      <c r="K196" s="62"/>
      <c r="L196" s="27">
        <f t="shared" si="21"/>
        <v>523500</v>
      </c>
      <c r="M196" s="27">
        <f t="shared" si="22"/>
        <v>523500</v>
      </c>
    </row>
    <row r="197" spans="1:13" ht="16.5" hidden="1" outlineLevel="1">
      <c r="A197" s="38"/>
      <c r="B197" s="39" t="s">
        <v>19</v>
      </c>
      <c r="C197" s="36">
        <v>1432109</v>
      </c>
      <c r="D197" s="36">
        <v>0</v>
      </c>
      <c r="E197" s="36"/>
      <c r="F197" s="36">
        <v>5187386.37</v>
      </c>
      <c r="G197" s="37">
        <f t="shared" si="24"/>
        <v>0.27607525213125778</v>
      </c>
      <c r="H197" s="23">
        <f t="shared" si="26"/>
        <v>0</v>
      </c>
      <c r="I197" s="24">
        <f t="shared" si="26"/>
        <v>0</v>
      </c>
      <c r="J197" s="32" t="str" cm="1">
        <f t="array" ref="J197">IFERROR(_xlfn.IFS(B197="044 - BLEND TRADICION","BLEND",B197="113 - CAFÉ GOURMET","GOURMET",B197="114 - CAFÉ CONSUMO","CONSUMO",B197="112 - CAFÉ ORGANICO","GOURMET",B197="172 - CAFÉ COSECHA","ESPECIALES",B197="176 - CAFE DESCAFEINADO","GOURMET",B197="147 - CAPSULAS","CAPSULAS",B197="130 - GALLETAS CAFECITAS","DERIVADOS",B197="140 - MERENGUES","DERIVADOS",B197="100 - CAFÉ ESPECIAL","ESPECIALES",B197="141 - AREQUIPE","DERIVADOS",B197="142 - MERMELADA","DERIVADOS",B197="131 - GALLETAS AVENA","DERIVADOS",B197="160 - SOUVENIR","OTROS",B197="148 - CARAMELOS","DERIVADOS",B197="143 - CHOCOFFES","DERIVADOS",B197="162 - CONVENIOS Y DSC POS ","OTROS"),"OTROS")</f>
        <v>ESPECIALES</v>
      </c>
      <c r="K197" s="62"/>
      <c r="L197" s="27">
        <f t="shared" si="21"/>
        <v>1432109</v>
      </c>
      <c r="M197" s="27">
        <f t="shared" si="22"/>
        <v>1432109</v>
      </c>
    </row>
    <row r="198" spans="1:13" ht="16.5" hidden="1" outlineLevel="1">
      <c r="A198" s="38"/>
      <c r="B198" s="39" t="s">
        <v>20</v>
      </c>
      <c r="C198" s="36">
        <v>924209</v>
      </c>
      <c r="D198" s="36">
        <v>0</v>
      </c>
      <c r="E198" s="36"/>
      <c r="F198" s="36">
        <v>7440163.29</v>
      </c>
      <c r="G198" s="37">
        <f t="shared" si="24"/>
        <v>0.12421891348032497</v>
      </c>
      <c r="H198" s="23">
        <f t="shared" si="26"/>
        <v>0</v>
      </c>
      <c r="I198" s="24">
        <f t="shared" si="26"/>
        <v>0</v>
      </c>
      <c r="J198" s="32" t="str" cm="1">
        <f t="array" ref="J198">IFERROR(_xlfn.IFS(B198="044 - BLEND TRADICION","BLEND",B198="113 - CAFÉ GOURMET","GOURMET",B198="114 - CAFÉ CONSUMO","CONSUMO",B198="112 - CAFÉ ORGANICO","GOURMET",B198="172 - CAFÉ COSECHA","ESPECIALES",B198="176 - CAFE DESCAFEINADO","GOURMET",B198="147 - CAPSULAS","CAPSULAS",B198="130 - GALLETAS CAFECITAS","DERIVADOS",B198="140 - MERENGUES","DERIVADOS",B198="100 - CAFÉ ESPECIAL","ESPECIALES",B198="141 - AREQUIPE","DERIVADOS",B198="142 - MERMELADA","DERIVADOS",B198="131 - GALLETAS AVENA","DERIVADOS",B198="160 - SOUVENIR","OTROS",B198="148 - CARAMELOS","DERIVADOS",B198="143 - CHOCOFFES","DERIVADOS",B198="162 - CONVENIOS Y DSC POS ","OTROS"),"OTROS")</f>
        <v>GOURMET</v>
      </c>
      <c r="K198" s="62"/>
      <c r="L198" s="27">
        <f t="shared" si="21"/>
        <v>924209</v>
      </c>
      <c r="M198" s="27">
        <f t="shared" si="22"/>
        <v>924209</v>
      </c>
    </row>
    <row r="199" spans="1:13" ht="16.5" hidden="1" outlineLevel="1">
      <c r="A199" s="38"/>
      <c r="B199" s="39" t="s">
        <v>21</v>
      </c>
      <c r="C199" s="36">
        <v>38066026</v>
      </c>
      <c r="D199" s="36">
        <v>0</v>
      </c>
      <c r="E199" s="36"/>
      <c r="F199" s="36">
        <v>142013899.65000001</v>
      </c>
      <c r="G199" s="37">
        <f t="shared" si="24"/>
        <v>0.26804436814857929</v>
      </c>
      <c r="H199" s="23">
        <f t="shared" si="26"/>
        <v>0</v>
      </c>
      <c r="I199" s="24">
        <f t="shared" si="26"/>
        <v>0</v>
      </c>
      <c r="J199" s="32" t="str" cm="1">
        <f t="array" ref="J199">IFERROR(_xlfn.IFS(B199="044 - BLEND TRADICION","BLEND",B199="113 - CAFÉ GOURMET","GOURMET",B199="114 - CAFÉ CONSUMO","CONSUMO",B199="112 - CAFÉ ORGANICO","GOURMET",B199="172 - CAFÉ COSECHA","ESPECIALES",B199="176 - CAFE DESCAFEINADO","GOURMET",B199="147 - CAPSULAS","CAPSULAS",B199="130 - GALLETAS CAFECITAS","DERIVADOS",B199="140 - MERENGUES","DERIVADOS",B199="100 - CAFÉ ESPECIAL","ESPECIALES",B199="141 - AREQUIPE","DERIVADOS",B199="142 - MERMELADA","DERIVADOS",B199="131 - GALLETAS AVENA","DERIVADOS",B199="160 - SOUVENIR","OTROS",B199="148 - CARAMELOS","DERIVADOS",B199="143 - CHOCOFFES","DERIVADOS",B199="162 - CONVENIOS Y DSC POS ","OTROS"),"OTROS")</f>
        <v>GOURMET</v>
      </c>
      <c r="K199" s="62"/>
      <c r="L199" s="27">
        <f t="shared" ref="L199:L248" si="28">C199-(D199+E199)</f>
        <v>38066026</v>
      </c>
      <c r="M199" s="27">
        <f t="shared" ref="M199:M248" si="29">L199</f>
        <v>38066026</v>
      </c>
    </row>
    <row r="200" spans="1:13" ht="16.5" hidden="1" outlineLevel="1">
      <c r="A200" s="38"/>
      <c r="B200" s="39" t="s">
        <v>22</v>
      </c>
      <c r="C200" s="36">
        <v>405773</v>
      </c>
      <c r="D200" s="36">
        <v>0</v>
      </c>
      <c r="E200" s="36"/>
      <c r="F200" s="36">
        <v>2033308.06</v>
      </c>
      <c r="G200" s="37">
        <f t="shared" si="24"/>
        <v>0.19956297227287831</v>
      </c>
      <c r="H200" s="23">
        <f t="shared" si="26"/>
        <v>0</v>
      </c>
      <c r="I200" s="24">
        <f t="shared" si="26"/>
        <v>0</v>
      </c>
      <c r="J200" s="32" t="str" cm="1">
        <f t="array" ref="J200">IFERROR(_xlfn.IFS(B200="044 - BLEND TRADICION","BLEND",B200="113 - CAFÉ GOURMET","GOURMET",B200="114 - CAFÉ CONSUMO","CONSUMO",B200="112 - CAFÉ ORGANICO","GOURMET",B200="172 - CAFÉ COSECHA","ESPECIALES",B200="176 - CAFE DESCAFEINADO","GOURMET",B200="147 - CAPSULAS","CAPSULAS",B200="130 - GALLETAS CAFECITAS","DERIVADOS",B200="140 - MERENGUES","DERIVADOS",B200="100 - CAFÉ ESPECIAL","ESPECIALES",B200="141 - AREQUIPE","DERIVADOS",B200="142 - MERMELADA","DERIVADOS",B200="131 - GALLETAS AVENA","DERIVADOS",B200="160 - SOUVENIR","OTROS",B200="148 - CARAMELOS","DERIVADOS",B200="143 - CHOCOFFES","DERIVADOS",B200="162 - CONVENIOS Y DSC POS ","OTROS"),"OTROS")</f>
        <v>DERIVADOS</v>
      </c>
      <c r="K200" s="62"/>
      <c r="L200" s="27">
        <f t="shared" si="28"/>
        <v>405773</v>
      </c>
      <c r="M200" s="27">
        <f t="shared" si="29"/>
        <v>405773</v>
      </c>
    </row>
    <row r="201" spans="1:13" ht="16.5" hidden="1" outlineLevel="1">
      <c r="A201" s="38"/>
      <c r="B201" s="39" t="s">
        <v>24</v>
      </c>
      <c r="C201" s="36">
        <v>0</v>
      </c>
      <c r="D201" s="36">
        <v>0</v>
      </c>
      <c r="E201" s="36"/>
      <c r="F201" s="36">
        <v>5794.52</v>
      </c>
      <c r="G201" s="37">
        <f t="shared" si="24"/>
        <v>0</v>
      </c>
      <c r="H201" s="23">
        <f t="shared" si="26"/>
        <v>0</v>
      </c>
      <c r="I201" s="24">
        <f t="shared" si="26"/>
        <v>0</v>
      </c>
      <c r="J201" s="32" t="str" cm="1">
        <f t="array" ref="J201">IFERROR(_xlfn.IFS(B201="044 - BLEND TRADICION","BLEND",B201="113 - CAFÉ GOURMET","GOURMET",B201="114 - CAFÉ CONSUMO","CONSUMO",B201="112 - CAFÉ ORGANICO","GOURMET",B201="172 - CAFÉ COSECHA","ESPECIALES",B201="176 - CAFE DESCAFEINADO","GOURMET",B201="147 - CAPSULAS","CAPSULAS",B201="130 - GALLETAS CAFECITAS","DERIVADOS",B201="140 - MERENGUES","DERIVADOS",B201="100 - CAFÉ ESPECIAL","ESPECIALES",B201="141 - AREQUIPE","DERIVADOS",B201="142 - MERMELADA","DERIVADOS",B201="131 - GALLETAS AVENA","DERIVADOS",B201="160 - SOUVENIR","OTROS",B201="148 - CARAMELOS","DERIVADOS",B201="143 - CHOCOFFES","DERIVADOS",B201="162 - CONVENIOS Y DSC POS ","OTROS"),"OTROS")</f>
        <v>DERIVADOS</v>
      </c>
      <c r="K201" s="62"/>
      <c r="L201" s="27">
        <f t="shared" si="28"/>
        <v>0</v>
      </c>
      <c r="M201" s="27">
        <f t="shared" si="29"/>
        <v>0</v>
      </c>
    </row>
    <row r="202" spans="1:13" ht="16.5" hidden="1" outlineLevel="1">
      <c r="A202" s="38"/>
      <c r="B202" s="39" t="s">
        <v>25</v>
      </c>
      <c r="C202" s="36">
        <v>870428</v>
      </c>
      <c r="D202" s="36">
        <v>0</v>
      </c>
      <c r="E202" s="36"/>
      <c r="F202" s="36">
        <v>3644356.83</v>
      </c>
      <c r="G202" s="37">
        <f t="shared" si="24"/>
        <v>0.23884269312892722</v>
      </c>
      <c r="H202" s="23">
        <f t="shared" si="26"/>
        <v>0</v>
      </c>
      <c r="I202" s="24">
        <f t="shared" si="26"/>
        <v>0</v>
      </c>
      <c r="J202" s="32" t="str" cm="1">
        <f t="array" ref="J202">IFERROR(_xlfn.IFS(B202="044 - BLEND TRADICION","BLEND",B202="113 - CAFÉ GOURMET","GOURMET",B202="114 - CAFÉ CONSUMO","CONSUMO",B202="112 - CAFÉ ORGANICO","GOURMET",B202="172 - CAFÉ COSECHA","ESPECIALES",B202="176 - CAFE DESCAFEINADO","GOURMET",B202="147 - CAPSULAS","CAPSULAS",B202="130 - GALLETAS CAFECITAS","DERIVADOS",B202="140 - MERENGUES","DERIVADOS",B202="100 - CAFÉ ESPECIAL","ESPECIALES",B202="141 - AREQUIPE","DERIVADOS",B202="142 - MERMELADA","DERIVADOS",B202="131 - GALLETAS AVENA","DERIVADOS",B202="160 - SOUVENIR","OTROS",B202="148 - CARAMELOS","DERIVADOS",B202="143 - CHOCOFFES","DERIVADOS",B202="162 - CONVENIOS Y DSC POS ","OTROS"),"OTROS")</f>
        <v>DERIVADOS</v>
      </c>
      <c r="K202" s="62"/>
      <c r="L202" s="27">
        <f t="shared" si="28"/>
        <v>870428</v>
      </c>
      <c r="M202" s="27">
        <f t="shared" si="29"/>
        <v>870428</v>
      </c>
    </row>
    <row r="203" spans="1:13" ht="16.5" hidden="1" outlineLevel="1">
      <c r="A203" s="38"/>
      <c r="B203" s="39" t="s">
        <v>26</v>
      </c>
      <c r="C203" s="36">
        <v>22090437</v>
      </c>
      <c r="D203" s="36">
        <v>0</v>
      </c>
      <c r="E203" s="36"/>
      <c r="F203" s="36">
        <v>59490908.259999998</v>
      </c>
      <c r="G203" s="37">
        <f t="shared" si="24"/>
        <v>0.3713245880102487</v>
      </c>
      <c r="H203" s="23">
        <f t="shared" si="26"/>
        <v>0</v>
      </c>
      <c r="I203" s="24">
        <f t="shared" si="26"/>
        <v>0</v>
      </c>
      <c r="J203" s="32" t="str" cm="1">
        <f t="array" ref="J203">IFERROR(_xlfn.IFS(B203="044 - BLEND TRADICION","BLEND",B203="113 - CAFÉ GOURMET","GOURMET",B203="114 - CAFÉ CONSUMO","CONSUMO",B203="112 - CAFÉ ORGANICO","GOURMET",B203="172 - CAFÉ COSECHA","ESPECIALES",B203="176 - CAFE DESCAFEINADO","GOURMET",B203="147 - CAPSULAS","CAPSULAS",B203="130 - GALLETAS CAFECITAS","DERIVADOS",B203="140 - MERENGUES","DERIVADOS",B203="100 - CAFÉ ESPECIAL","ESPECIALES",B203="141 - AREQUIPE","DERIVADOS",B203="142 - MERMELADA","DERIVADOS",B203="131 - GALLETAS AVENA","DERIVADOS",B203="160 - SOUVENIR","OTROS",B203="148 - CARAMELOS","DERIVADOS",B203="143 - CHOCOFFES","DERIVADOS",B203="162 - CONVENIOS Y DSC POS ","OTROS"),"OTROS")</f>
        <v>CAPSULAS</v>
      </c>
      <c r="K203" s="62"/>
      <c r="L203" s="27">
        <f t="shared" si="28"/>
        <v>22090437</v>
      </c>
      <c r="M203" s="27">
        <f t="shared" si="29"/>
        <v>22090437</v>
      </c>
    </row>
    <row r="204" spans="1:13" ht="16.5" hidden="1" outlineLevel="1">
      <c r="A204" s="38"/>
      <c r="B204" s="39" t="s">
        <v>27</v>
      </c>
      <c r="C204" s="36">
        <v>95547</v>
      </c>
      <c r="D204" s="36">
        <v>0</v>
      </c>
      <c r="E204" s="36"/>
      <c r="F204" s="36">
        <v>3108564.42</v>
      </c>
      <c r="G204" s="37">
        <f t="shared" si="24"/>
        <v>3.0736696137054802E-2</v>
      </c>
      <c r="H204" s="23">
        <f t="shared" si="26"/>
        <v>0</v>
      </c>
      <c r="I204" s="24">
        <f t="shared" si="26"/>
        <v>0</v>
      </c>
      <c r="J204" s="32" t="str" cm="1">
        <f t="array" ref="J204">IFERROR(_xlfn.IFS(B204="044 - BLEND TRADICION","BLEND",B204="113 - CAFÉ GOURMET","GOURMET",B204="114 - CAFÉ CONSUMO","CONSUMO",B204="112 - CAFÉ ORGANICO","GOURMET",B204="172 - CAFÉ COSECHA","ESPECIALES",B204="176 - CAFE DESCAFEINADO","GOURMET",B204="147 - CAPSULAS","CAPSULAS",B204="130 - GALLETAS CAFECITAS","DERIVADOS",B204="140 - MERENGUES","DERIVADOS",B204="100 - CAFÉ ESPECIAL","ESPECIALES",B204="141 - AREQUIPE","DERIVADOS",B204="142 - MERMELADA","DERIVADOS",B204="131 - GALLETAS AVENA","DERIVADOS",B204="160 - SOUVENIR","OTROS",B204="148 - CARAMELOS","DERIVADOS",B204="143 - CHOCOFFES","DERIVADOS",B204="162 - CONVENIOS Y DSC POS ","OTROS"),"OTROS")</f>
        <v>DERIVADOS</v>
      </c>
      <c r="K204" s="62"/>
      <c r="L204" s="27">
        <f t="shared" si="28"/>
        <v>95547</v>
      </c>
      <c r="M204" s="27">
        <f t="shared" si="29"/>
        <v>95547</v>
      </c>
    </row>
    <row r="205" spans="1:13" ht="16.5" hidden="1" outlineLevel="1">
      <c r="A205" s="38"/>
      <c r="B205" s="39" t="s">
        <v>28</v>
      </c>
      <c r="C205" s="36">
        <v>1063757</v>
      </c>
      <c r="D205" s="36">
        <v>0</v>
      </c>
      <c r="E205" s="36"/>
      <c r="F205" s="36">
        <v>7821246.9800000004</v>
      </c>
      <c r="G205" s="37">
        <f t="shared" si="24"/>
        <v>0.13600861892229874</v>
      </c>
      <c r="H205" s="23">
        <f t="shared" si="26"/>
        <v>0</v>
      </c>
      <c r="I205" s="24">
        <f t="shared" si="26"/>
        <v>0</v>
      </c>
      <c r="J205" s="32" t="str" cm="1">
        <f t="array" ref="J205">IFERROR(_xlfn.IFS(B205="044 - BLEND TRADICION","BLEND",B205="113 - CAFÉ GOURMET","GOURMET",B205="114 - CAFÉ CONSUMO","CONSUMO",B205="112 - CAFÉ ORGANICO","GOURMET",B205="172 - CAFÉ COSECHA","ESPECIALES",B205="176 - CAFE DESCAFEINADO","GOURMET",B205="147 - CAPSULAS","CAPSULAS",B205="130 - GALLETAS CAFECITAS","DERIVADOS",B205="140 - MERENGUES","DERIVADOS",B205="100 - CAFÉ ESPECIAL","ESPECIALES",B205="141 - AREQUIPE","DERIVADOS",B205="142 - MERMELADA","DERIVADOS",B205="131 - GALLETAS AVENA","DERIVADOS",B205="160 - SOUVENIR","OTROS",B205="148 - CARAMELOS","DERIVADOS",B205="143 - CHOCOFFES","DERIVADOS",B205="162 - CONVENIOS Y DSC POS ","OTROS"),"OTROS")</f>
        <v>OTROS</v>
      </c>
      <c r="K205" s="62"/>
      <c r="L205" s="27">
        <f t="shared" si="28"/>
        <v>1063757</v>
      </c>
      <c r="M205" s="27">
        <f t="shared" si="29"/>
        <v>1063757</v>
      </c>
    </row>
    <row r="206" spans="1:13" ht="16.5" hidden="1" outlineLevel="1">
      <c r="A206" s="38"/>
      <c r="B206" s="39" t="s">
        <v>29</v>
      </c>
      <c r="C206" s="36">
        <v>1798709</v>
      </c>
      <c r="D206" s="36">
        <v>0</v>
      </c>
      <c r="E206" s="36"/>
      <c r="F206" s="36">
        <v>12404965.970000001</v>
      </c>
      <c r="G206" s="37">
        <f t="shared" si="24"/>
        <v>0.14499910796611398</v>
      </c>
      <c r="H206" s="23">
        <f t="shared" si="26"/>
        <v>0</v>
      </c>
      <c r="I206" s="24">
        <f t="shared" si="26"/>
        <v>0</v>
      </c>
      <c r="J206" s="32" t="str" cm="1">
        <f t="array" ref="J206">IFERROR(_xlfn.IFS(B206="044 - BLEND TRADICION","BLEND",B206="113 - CAFÉ GOURMET","GOURMET",B206="114 - CAFÉ CONSUMO","CONSUMO",B206="112 - CAFÉ ORGANICO","GOURMET",B206="172 - CAFÉ COSECHA","ESPECIALES",B206="176 - CAFE DESCAFEINADO","GOURMET",B206="147 - CAPSULAS","CAPSULAS",B206="130 - GALLETAS CAFECITAS","DERIVADOS",B206="140 - MERENGUES","DERIVADOS",B206="100 - CAFÉ ESPECIAL","ESPECIALES",B206="141 - AREQUIPE","DERIVADOS",B206="142 - MERMELADA","DERIVADOS",B206="131 - GALLETAS AVENA","DERIVADOS",B206="160 - SOUVENIR","OTROS",B206="148 - CARAMELOS","DERIVADOS",B206="143 - CHOCOFFES","DERIVADOS",B206="162 - CONVENIOS Y DSC POS ","OTROS"),"OTROS")</f>
        <v>ESPECIALES</v>
      </c>
      <c r="K206" s="62"/>
      <c r="L206" s="27">
        <f t="shared" si="28"/>
        <v>1798709</v>
      </c>
      <c r="M206" s="27">
        <f t="shared" si="29"/>
        <v>1798709</v>
      </c>
    </row>
    <row r="207" spans="1:13" ht="16.5" hidden="1" outlineLevel="1">
      <c r="A207" s="38"/>
      <c r="B207" s="39" t="s">
        <v>30</v>
      </c>
      <c r="C207" s="36">
        <v>1834602</v>
      </c>
      <c r="D207" s="36">
        <v>0</v>
      </c>
      <c r="E207" s="36"/>
      <c r="F207" s="36">
        <v>2157922.35</v>
      </c>
      <c r="G207" s="37">
        <f t="shared" si="24"/>
        <v>0.8501705355616711</v>
      </c>
      <c r="H207" s="23">
        <f t="shared" si="26"/>
        <v>0</v>
      </c>
      <c r="I207" s="24">
        <f t="shared" si="26"/>
        <v>0</v>
      </c>
      <c r="J207" s="32" t="str" cm="1">
        <f t="array" ref="J207">IFERROR(_xlfn.IFS(B207="044 - BLEND TRADICION","BLEND",B207="113 - CAFÉ GOURMET","GOURMET",B207="114 - CAFÉ CONSUMO","CONSUMO",B207="112 - CAFÉ ORGANICO","GOURMET",B207="172 - CAFÉ COSECHA","ESPECIALES",B207="176 - CAFE DESCAFEINADO","GOURMET",B207="147 - CAPSULAS","CAPSULAS",B207="130 - GALLETAS CAFECITAS","DERIVADOS",B207="140 - MERENGUES","DERIVADOS",B207="100 - CAFÉ ESPECIAL","ESPECIALES",B207="141 - AREQUIPE","DERIVADOS",B207="142 - MERMELADA","DERIVADOS",B207="131 - GALLETAS AVENA","DERIVADOS",B207="160 - SOUVENIR","OTROS",B207="148 - CARAMELOS","DERIVADOS",B207="143 - CHOCOFFES","DERIVADOS",B207="162 - CONVENIOS Y DSC POS ","OTROS"),"OTROS")</f>
        <v>GOURMET</v>
      </c>
      <c r="K207" s="62"/>
      <c r="L207" s="27">
        <f t="shared" si="28"/>
        <v>1834602</v>
      </c>
      <c r="M207" s="27">
        <f t="shared" si="29"/>
        <v>1834602</v>
      </c>
    </row>
    <row r="208" spans="1:13" ht="16.5" hidden="1" outlineLevel="1">
      <c r="A208" s="38"/>
      <c r="B208" s="39" t="s">
        <v>31</v>
      </c>
      <c r="C208" s="36">
        <v>25000</v>
      </c>
      <c r="D208" s="36">
        <v>0</v>
      </c>
      <c r="E208" s="36"/>
      <c r="F208" s="36">
        <v>0</v>
      </c>
      <c r="G208" s="37" t="str">
        <f t="shared" si="24"/>
        <v>-</v>
      </c>
      <c r="H208" s="23">
        <f t="shared" si="26"/>
        <v>0</v>
      </c>
      <c r="I208" s="24">
        <f t="shared" si="26"/>
        <v>0</v>
      </c>
      <c r="J208" s="32" t="str" cm="1">
        <f t="array" ref="J208">IFERROR(_xlfn.IFS(B208="044 - BLEND TRADICION","BLEND",B208="113 - CAFÉ GOURMET","GOURMET",B208="114 - CAFÉ CONSUMO","CONSUMO",B208="112 - CAFÉ ORGANICO","GOURMET",B208="172 - CAFÉ COSECHA","ESPECIALES",B208="176 - CAFE DESCAFEINADO","GOURMET",B208="147 - CAPSULAS","CAPSULAS",B208="130 - GALLETAS CAFECITAS","DERIVADOS",B208="140 - MERENGUES","DERIVADOS",B208="100 - CAFÉ ESPECIAL","ESPECIALES",B208="141 - AREQUIPE","DERIVADOS",B208="142 - MERMELADA","DERIVADOS",B208="131 - GALLETAS AVENA","DERIVADOS",B208="160 - SOUVENIR","OTROS",B208="148 - CARAMELOS","DERIVADOS",B208="143 - CHOCOFFES","DERIVADOS",B208="162 - CONVENIOS Y DSC POS ","OTROS"),"OTROS")</f>
        <v>OTROS</v>
      </c>
      <c r="K208" s="62"/>
      <c r="L208" s="27">
        <f t="shared" si="28"/>
        <v>25000</v>
      </c>
      <c r="M208" s="27">
        <f t="shared" si="29"/>
        <v>25000</v>
      </c>
    </row>
    <row r="209" spans="1:13" ht="16.5" hidden="1" outlineLevel="1">
      <c r="A209" s="19" t="s">
        <v>56</v>
      </c>
      <c r="B209" s="56" t="s">
        <v>32</v>
      </c>
      <c r="C209" s="54">
        <f>SUM(C195:C208)</f>
        <v>71246101</v>
      </c>
      <c r="D209" s="54">
        <f>SUM(D195:D208)</f>
        <v>0</v>
      </c>
      <c r="E209" s="54">
        <f>SUM(E195:E208)</f>
        <v>0</v>
      </c>
      <c r="F209" s="58">
        <f>SUM(F195:F208)</f>
        <v>251466278.25</v>
      </c>
      <c r="G209" s="55">
        <f t="shared" si="24"/>
        <v>0.28332268444029435</v>
      </c>
      <c r="H209" s="23">
        <f t="shared" si="26"/>
        <v>0</v>
      </c>
      <c r="I209" s="24">
        <f t="shared" si="26"/>
        <v>0</v>
      </c>
      <c r="J209" s="32" t="str" cm="1">
        <f t="array" ref="J209">IFERROR(_xlfn.IFS(B209="044 - BLEND TRADICION","BLEND",B209="113 - CAFÉ GOURMET","GOURMET",B209="114 - CAFÉ CONSUMO","CONSUMO",B209="112 - CAFÉ ORGANICO","GOURMET",B209="172 - CAFÉ COSECHA","ESPECIALES",B209="176 - CAFE DESCAFEINADO","GOURMET",B209="147 - CAPSULAS","CAPSULAS",B209="130 - GALLETAS CAFECITAS","DERIVADOS",B209="140 - MERENGUES","DERIVADOS",B209="100 - CAFÉ ESPECIAL","ESPECIALES",B209="141 - AREQUIPE","DERIVADOS",B209="142 - MERMELADA","DERIVADOS",B209="131 - GALLETAS AVENA","DERIVADOS",B209="160 - SOUVENIR","OTROS",B209="148 - CARAMELOS","DERIVADOS",B209="143 - CHOCOFFES","DERIVADOS",B209="162 - CONVENIOS Y DSC POS ","OTROS"),"OTROS")</f>
        <v>OTROS</v>
      </c>
      <c r="K209" s="62">
        <f>C209-E209</f>
        <v>71246101</v>
      </c>
      <c r="L209" s="27">
        <f t="shared" si="28"/>
        <v>71246101</v>
      </c>
      <c r="M209" s="27">
        <f t="shared" si="29"/>
        <v>71246101</v>
      </c>
    </row>
    <row r="210" spans="1:13" ht="16.5" collapsed="1">
      <c r="A210" s="28" t="s">
        <v>57</v>
      </c>
      <c r="B210" s="29" t="s">
        <v>17</v>
      </c>
      <c r="C210" s="30">
        <f>+C225</f>
        <v>73541540</v>
      </c>
      <c r="D210" s="30">
        <f>+D225</f>
        <v>0</v>
      </c>
      <c r="E210" s="30">
        <f>+E225</f>
        <v>0</v>
      </c>
      <c r="F210" s="30">
        <f>+F225</f>
        <v>242185563.47000003</v>
      </c>
      <c r="G210" s="31">
        <f t="shared" si="24"/>
        <v>0.30365781901409544</v>
      </c>
      <c r="H210" s="23">
        <f t="shared" si="26"/>
        <v>0</v>
      </c>
      <c r="I210" s="24">
        <f t="shared" si="26"/>
        <v>0</v>
      </c>
      <c r="J210" s="32" t="str" cm="1">
        <f t="array" ref="J210">IFERROR(_xlfn.IFS(B210="044 - BLEND TRADICION","BLEND",B210="113 - CAFÉ GOURMET","GOURMET",B210="114 - CAFÉ CONSUMO","CONSUMO",B210="112 - CAFÉ ORGANICO","GOURMET",B210="172 - CAFÉ COSECHA","ESPECIALES",B210="176 - CAFE DESCAFEINADO","GOURMET",B210="147 - CAPSULAS","CAPSULAS",B210="130 - GALLETAS CAFECITAS","DERIVADOS",B210="140 - MERENGUES","DERIVADOS",B210="100 - CAFÉ ESPECIAL","ESPECIALES",B210="141 - AREQUIPE","DERIVADOS",B210="142 - MERMELADA","DERIVADOS",B210="131 - GALLETAS AVENA","DERIVADOS",B210="160 - SOUVENIR","OTROS",B210="148 - CARAMELOS","DERIVADOS",B210="143 - CHOCOFFES","DERIVADOS",B210="162 - CONVENIOS Y DSC POS ","OTROS"),"OTROS")</f>
        <v>OTROS</v>
      </c>
      <c r="K210" s="62">
        <f>C210-E210</f>
        <v>73541540</v>
      </c>
      <c r="L210" s="27">
        <f t="shared" si="28"/>
        <v>73541540</v>
      </c>
      <c r="M210" s="27">
        <f t="shared" si="29"/>
        <v>73541540</v>
      </c>
    </row>
    <row r="211" spans="1:13" ht="15.75" hidden="1" customHeight="1" outlineLevel="1">
      <c r="A211" s="44"/>
      <c r="B211" s="45" t="s">
        <v>34</v>
      </c>
      <c r="C211" s="46">
        <v>71575</v>
      </c>
      <c r="D211" s="46">
        <v>0</v>
      </c>
      <c r="E211" s="46"/>
      <c r="F211" s="46">
        <v>183711.31</v>
      </c>
      <c r="G211" s="37">
        <f t="shared" si="24"/>
        <v>0.38960584408221793</v>
      </c>
      <c r="H211" s="23">
        <f t="shared" si="26"/>
        <v>0</v>
      </c>
      <c r="I211" s="24">
        <f t="shared" si="26"/>
        <v>0</v>
      </c>
      <c r="J211" s="32" t="str" cm="1">
        <f t="array" ref="J211">IFERROR(_xlfn.IFS(B211="044 - BLEND TRADICION","BLEND",B211="113 - CAFÉ GOURMET","GOURMET",B211="114 - CAFÉ CONSUMO","CONSUMO",B211="112 - CAFÉ ORGANICO","GOURMET",B211="172 - CAFÉ COSECHA","ESPECIALES",B211="176 - CAFE DESCAFEINADO","GOURMET",B211="147 - CAPSULAS","CAPSULAS",B211="130 - GALLETAS CAFECITAS","DERIVADOS",B211="140 - MERENGUES","DERIVADOS",B211="100 - CAFÉ ESPECIAL","ESPECIALES",B211="141 - AREQUIPE","DERIVADOS",B211="142 - MERMELADA","DERIVADOS",B211="131 - GALLETAS AVENA","DERIVADOS",B211="160 - SOUVENIR","OTROS",B211="148 - CARAMELOS","DERIVADOS",B211="143 - CHOCOFFES","DERIVADOS",B211="162 - CONVENIOS Y DSC POS ","OTROS"),"OTROS")</f>
        <v>OTROS</v>
      </c>
      <c r="K211" s="62">
        <f>C211-E211</f>
        <v>71575</v>
      </c>
      <c r="L211" s="27">
        <f t="shared" si="28"/>
        <v>71575</v>
      </c>
      <c r="M211" s="27">
        <f t="shared" si="29"/>
        <v>71575</v>
      </c>
    </row>
    <row r="212" spans="1:13" ht="15.75" hidden="1" customHeight="1" outlineLevel="1">
      <c r="A212" s="44"/>
      <c r="B212" s="45" t="s">
        <v>18</v>
      </c>
      <c r="C212" s="46">
        <v>2736800</v>
      </c>
      <c r="D212" s="46">
        <v>0</v>
      </c>
      <c r="E212" s="46"/>
      <c r="F212" s="46">
        <v>22057449.760000002</v>
      </c>
      <c r="G212" s="37">
        <f t="shared" si="24"/>
        <v>0.1240759938151617</v>
      </c>
      <c r="H212" s="23">
        <f t="shared" si="26"/>
        <v>0</v>
      </c>
      <c r="I212" s="24">
        <f t="shared" si="26"/>
        <v>0</v>
      </c>
      <c r="J212" s="32" t="str" cm="1">
        <f t="array" ref="J212">IFERROR(_xlfn.IFS(B212="044 - BLEND TRADICION","BLEND",B212="113 - CAFÉ GOURMET","GOURMET",B212="114 - CAFÉ CONSUMO","CONSUMO",B212="112 - CAFÉ ORGANICO","GOURMET",B212="172 - CAFÉ COSECHA","ESPECIALES",B212="176 - CAFE DESCAFEINADO","GOURMET",B212="147 - CAPSULAS","CAPSULAS",B212="130 - GALLETAS CAFECITAS","DERIVADOS",B212="140 - MERENGUES","DERIVADOS",B212="100 - CAFÉ ESPECIAL","ESPECIALES",B212="141 - AREQUIPE","DERIVADOS",B212="142 - MERMELADA","DERIVADOS",B212="131 - GALLETAS AVENA","DERIVADOS",B212="160 - SOUVENIR","OTROS",B212="148 - CARAMELOS","DERIVADOS",B212="143 - CHOCOFFES","DERIVADOS",B212="162 - CONVENIOS Y DSC POS ","OTROS"),"OTROS")</f>
        <v>BLEND</v>
      </c>
      <c r="K212" s="62">
        <f>C212-E212</f>
        <v>2736800</v>
      </c>
      <c r="L212" s="27">
        <f t="shared" si="28"/>
        <v>2736800</v>
      </c>
      <c r="M212" s="27">
        <f t="shared" si="29"/>
        <v>2736800</v>
      </c>
    </row>
    <row r="213" spans="1:13" ht="15.75" hidden="1" customHeight="1" outlineLevel="1">
      <c r="A213" s="44"/>
      <c r="B213" s="45" t="s">
        <v>19</v>
      </c>
      <c r="C213" s="46">
        <v>2292547</v>
      </c>
      <c r="D213" s="46">
        <v>0</v>
      </c>
      <c r="E213" s="46"/>
      <c r="F213" s="46">
        <v>4724786.33</v>
      </c>
      <c r="G213" s="37">
        <f t="shared" si="24"/>
        <v>0.48521707435603761</v>
      </c>
      <c r="H213" s="23">
        <f t="shared" si="26"/>
        <v>0</v>
      </c>
      <c r="I213" s="24">
        <f t="shared" si="26"/>
        <v>0</v>
      </c>
      <c r="J213" s="32" t="str" cm="1">
        <f t="array" ref="J213">IFERROR(_xlfn.IFS(B213="044 - BLEND TRADICION","BLEND",B213="113 - CAFÉ GOURMET","GOURMET",B213="114 - CAFÉ CONSUMO","CONSUMO",B213="112 - CAFÉ ORGANICO","GOURMET",B213="172 - CAFÉ COSECHA","ESPECIALES",B213="176 - CAFE DESCAFEINADO","GOURMET",B213="147 - CAPSULAS","CAPSULAS",B213="130 - GALLETAS CAFECITAS","DERIVADOS",B213="140 - MERENGUES","DERIVADOS",B213="100 - CAFÉ ESPECIAL","ESPECIALES",B213="141 - AREQUIPE","DERIVADOS",B213="142 - MERMELADA","DERIVADOS",B213="131 - GALLETAS AVENA","DERIVADOS",B213="160 - SOUVENIR","OTROS",B213="148 - CARAMELOS","DERIVADOS",B213="143 - CHOCOFFES","DERIVADOS",B213="162 - CONVENIOS Y DSC POS ","OTROS"),"OTROS")</f>
        <v>ESPECIALES</v>
      </c>
      <c r="K213" s="62"/>
      <c r="L213" s="27">
        <f t="shared" si="28"/>
        <v>2292547</v>
      </c>
      <c r="M213" s="27">
        <f t="shared" si="29"/>
        <v>2292547</v>
      </c>
    </row>
    <row r="214" spans="1:13" ht="15.75" hidden="1" customHeight="1" outlineLevel="1">
      <c r="A214" s="44"/>
      <c r="B214" s="45" t="s">
        <v>20</v>
      </c>
      <c r="C214" s="46">
        <v>2464560</v>
      </c>
      <c r="D214" s="46">
        <v>0</v>
      </c>
      <c r="E214" s="46"/>
      <c r="F214" s="46">
        <v>4267385.9800000004</v>
      </c>
      <c r="G214" s="37">
        <f t="shared" si="24"/>
        <v>0.57753388410391693</v>
      </c>
      <c r="H214" s="23">
        <f t="shared" si="26"/>
        <v>0</v>
      </c>
      <c r="I214" s="24">
        <f t="shared" si="26"/>
        <v>0</v>
      </c>
      <c r="J214" s="32" t="str" cm="1">
        <f t="array" ref="J214">IFERROR(_xlfn.IFS(B214="044 - BLEND TRADICION","BLEND",B214="113 - CAFÉ GOURMET","GOURMET",B214="114 - CAFÉ CONSUMO","CONSUMO",B214="112 - CAFÉ ORGANICO","GOURMET",B214="172 - CAFÉ COSECHA","ESPECIALES",B214="176 - CAFE DESCAFEINADO","GOURMET",B214="147 - CAPSULAS","CAPSULAS",B214="130 - GALLETAS CAFECITAS","DERIVADOS",B214="140 - MERENGUES","DERIVADOS",B214="100 - CAFÉ ESPECIAL","ESPECIALES",B214="141 - AREQUIPE","DERIVADOS",B214="142 - MERMELADA","DERIVADOS",B214="131 - GALLETAS AVENA","DERIVADOS",B214="160 - SOUVENIR","OTROS",B214="148 - CARAMELOS","DERIVADOS",B214="143 - CHOCOFFES","DERIVADOS",B214="162 - CONVENIOS Y DSC POS ","OTROS"),"OTROS")</f>
        <v>GOURMET</v>
      </c>
      <c r="K214" s="62"/>
      <c r="L214" s="27">
        <f t="shared" si="28"/>
        <v>2464560</v>
      </c>
      <c r="M214" s="27">
        <f t="shared" si="29"/>
        <v>2464560</v>
      </c>
    </row>
    <row r="215" spans="1:13" ht="15.75" hidden="1" customHeight="1" outlineLevel="1">
      <c r="A215" s="44"/>
      <c r="B215" s="45" t="s">
        <v>21</v>
      </c>
      <c r="C215" s="46">
        <v>43442576</v>
      </c>
      <c r="D215" s="46">
        <v>0</v>
      </c>
      <c r="E215" s="46"/>
      <c r="F215" s="46">
        <v>156321504.86000001</v>
      </c>
      <c r="G215" s="37">
        <f t="shared" ref="G215:G248" si="30">IFERROR(C215/F215*100%,"-")</f>
        <v>0.27790530828696114</v>
      </c>
      <c r="H215" s="23">
        <f t="shared" si="26"/>
        <v>0</v>
      </c>
      <c r="I215" s="24">
        <f t="shared" si="26"/>
        <v>0</v>
      </c>
      <c r="J215" s="32" t="str" cm="1">
        <f t="array" ref="J215">IFERROR(_xlfn.IFS(B215="044 - BLEND TRADICION","BLEND",B215="113 - CAFÉ GOURMET","GOURMET",B215="114 - CAFÉ CONSUMO","CONSUMO",B215="112 - CAFÉ ORGANICO","GOURMET",B215="172 - CAFÉ COSECHA","ESPECIALES",B215="176 - CAFE DESCAFEINADO","GOURMET",B215="147 - CAPSULAS","CAPSULAS",B215="130 - GALLETAS CAFECITAS","DERIVADOS",B215="140 - MERENGUES","DERIVADOS",B215="100 - CAFÉ ESPECIAL","ESPECIALES",B215="141 - AREQUIPE","DERIVADOS",B215="142 - MERMELADA","DERIVADOS",B215="131 - GALLETAS AVENA","DERIVADOS",B215="160 - SOUVENIR","OTROS",B215="148 - CARAMELOS","DERIVADOS",B215="143 - CHOCOFFES","DERIVADOS",B215="162 - CONVENIOS Y DSC POS ","OTROS"),"OTROS")</f>
        <v>GOURMET</v>
      </c>
      <c r="K215" s="62">
        <f t="shared" ref="K215" si="31">C215-E215</f>
        <v>43442576</v>
      </c>
      <c r="L215" s="27">
        <f t="shared" si="28"/>
        <v>43442576</v>
      </c>
      <c r="M215" s="27">
        <f t="shared" si="29"/>
        <v>43442576</v>
      </c>
    </row>
    <row r="216" spans="1:13" ht="15.75" hidden="1" customHeight="1" outlineLevel="1">
      <c r="A216" s="44"/>
      <c r="B216" s="45" t="s">
        <v>22</v>
      </c>
      <c r="C216" s="46">
        <v>1123399</v>
      </c>
      <c r="D216" s="46">
        <v>0</v>
      </c>
      <c r="E216" s="46"/>
      <c r="F216" s="46">
        <v>7161969.0599999996</v>
      </c>
      <c r="G216" s="37">
        <f t="shared" si="30"/>
        <v>0.15685616491618856</v>
      </c>
      <c r="H216" s="23">
        <f t="shared" si="26"/>
        <v>0</v>
      </c>
      <c r="I216" s="24">
        <f t="shared" si="26"/>
        <v>0</v>
      </c>
      <c r="J216" s="32" t="str" cm="1">
        <f t="array" ref="J216">IFERROR(_xlfn.IFS(B216="044 - BLEND TRADICION","BLEND",B216="113 - CAFÉ GOURMET","GOURMET",B216="114 - CAFÉ CONSUMO","CONSUMO",B216="112 - CAFÉ ORGANICO","GOURMET",B216="172 - CAFÉ COSECHA","ESPECIALES",B216="176 - CAFE DESCAFEINADO","GOURMET",B216="147 - CAPSULAS","CAPSULAS",B216="130 - GALLETAS CAFECITAS","DERIVADOS",B216="140 - MERENGUES","DERIVADOS",B216="100 - CAFÉ ESPECIAL","ESPECIALES",B216="141 - AREQUIPE","DERIVADOS",B216="142 - MERMELADA","DERIVADOS",B216="131 - GALLETAS AVENA","DERIVADOS",B216="160 - SOUVENIR","OTROS",B216="148 - CARAMELOS","DERIVADOS",B216="143 - CHOCOFFES","DERIVADOS",B216="162 - CONVENIOS Y DSC POS ","OTROS"),"OTROS")</f>
        <v>DERIVADOS</v>
      </c>
      <c r="K216" s="62"/>
      <c r="L216" s="27">
        <f t="shared" si="28"/>
        <v>1123399</v>
      </c>
      <c r="M216" s="27">
        <f t="shared" si="29"/>
        <v>1123399</v>
      </c>
    </row>
    <row r="217" spans="1:13" ht="15.75" hidden="1" customHeight="1" outlineLevel="1">
      <c r="A217" s="44"/>
      <c r="B217" s="45" t="s">
        <v>23</v>
      </c>
      <c r="C217" s="46">
        <v>0</v>
      </c>
      <c r="D217" s="46">
        <v>0</v>
      </c>
      <c r="E217" s="46"/>
      <c r="F217" s="46">
        <v>19945.96</v>
      </c>
      <c r="G217" s="37">
        <f t="shared" si="30"/>
        <v>0</v>
      </c>
      <c r="H217" s="23">
        <f t="shared" si="26"/>
        <v>0</v>
      </c>
      <c r="I217" s="24">
        <f t="shared" si="26"/>
        <v>0</v>
      </c>
      <c r="J217" s="32" t="str" cm="1">
        <f t="array" ref="J217">IFERROR(_xlfn.IFS(B217="044 - BLEND TRADICION","BLEND",B217="113 - CAFÉ GOURMET","GOURMET",B217="114 - CAFÉ CONSUMO","CONSUMO",B217="112 - CAFÉ ORGANICO","GOURMET",B217="172 - CAFÉ COSECHA","ESPECIALES",B217="176 - CAFE DESCAFEINADO","GOURMET",B217="147 - CAPSULAS","CAPSULAS",B217="130 - GALLETAS CAFECITAS","DERIVADOS",B217="140 - MERENGUES","DERIVADOS",B217="100 - CAFÉ ESPECIAL","ESPECIALES",B217="141 - AREQUIPE","DERIVADOS",B217="142 - MERMELADA","DERIVADOS",B217="131 - GALLETAS AVENA","DERIVADOS",B217="160 - SOUVENIR","OTROS",B217="148 - CARAMELOS","DERIVADOS",B217="143 - CHOCOFFES","DERIVADOS",B217="162 - CONVENIOS Y DSC POS ","OTROS"),"OTROS")</f>
        <v>DERIVADOS</v>
      </c>
      <c r="K217" s="62"/>
      <c r="L217" s="27">
        <f t="shared" si="28"/>
        <v>0</v>
      </c>
      <c r="M217" s="27">
        <f t="shared" si="29"/>
        <v>0</v>
      </c>
    </row>
    <row r="218" spans="1:13" ht="15.75" hidden="1" customHeight="1" outlineLevel="1">
      <c r="A218" s="44"/>
      <c r="B218" s="45" t="s">
        <v>24</v>
      </c>
      <c r="C218" s="46">
        <v>334049</v>
      </c>
      <c r="D218" s="46">
        <v>0</v>
      </c>
      <c r="E218" s="46"/>
      <c r="F218" s="46">
        <v>1393477.12</v>
      </c>
      <c r="G218" s="37">
        <f t="shared" si="30"/>
        <v>0.23972334759253167</v>
      </c>
      <c r="H218" s="23">
        <f t="shared" si="26"/>
        <v>0</v>
      </c>
      <c r="I218" s="24">
        <f t="shared" si="26"/>
        <v>0</v>
      </c>
      <c r="J218" s="32" t="str" cm="1">
        <f t="array" ref="J218">IFERROR(_xlfn.IFS(B218="044 - BLEND TRADICION","BLEND",B218="113 - CAFÉ GOURMET","GOURMET",B218="114 - CAFÉ CONSUMO","CONSUMO",B218="112 - CAFÉ ORGANICO","GOURMET",B218="172 - CAFÉ COSECHA","ESPECIALES",B218="176 - CAFE DESCAFEINADO","GOURMET",B218="147 - CAPSULAS","CAPSULAS",B218="130 - GALLETAS CAFECITAS","DERIVADOS",B218="140 - MERENGUES","DERIVADOS",B218="100 - CAFÉ ESPECIAL","ESPECIALES",B218="141 - AREQUIPE","DERIVADOS",B218="142 - MERMELADA","DERIVADOS",B218="131 - GALLETAS AVENA","DERIVADOS",B218="160 - SOUVENIR","OTROS",B218="148 - CARAMELOS","DERIVADOS",B218="143 - CHOCOFFES","DERIVADOS",B218="162 - CONVENIOS Y DSC POS ","OTROS"),"OTROS")</f>
        <v>DERIVADOS</v>
      </c>
      <c r="K218" s="62">
        <f t="shared" ref="K218" si="32">C218-E218</f>
        <v>334049</v>
      </c>
      <c r="L218" s="27">
        <f t="shared" si="28"/>
        <v>334049</v>
      </c>
      <c r="M218" s="27">
        <f t="shared" si="29"/>
        <v>334049</v>
      </c>
    </row>
    <row r="219" spans="1:13" ht="15.75" hidden="1" customHeight="1" outlineLevel="1">
      <c r="A219" s="44"/>
      <c r="B219" s="45" t="s">
        <v>25</v>
      </c>
      <c r="C219" s="46">
        <v>1022308</v>
      </c>
      <c r="D219" s="46">
        <v>0</v>
      </c>
      <c r="E219" s="46"/>
      <c r="F219" s="46">
        <v>2683173.4900000002</v>
      </c>
      <c r="G219" s="37">
        <f t="shared" si="30"/>
        <v>0.38100704401339325</v>
      </c>
      <c r="H219" s="23">
        <f t="shared" si="26"/>
        <v>0</v>
      </c>
      <c r="I219" s="24">
        <f t="shared" si="26"/>
        <v>0</v>
      </c>
      <c r="J219" s="32" t="str" cm="1">
        <f t="array" ref="J219">IFERROR(_xlfn.IFS(B219="044 - BLEND TRADICION","BLEND",B219="113 - CAFÉ GOURMET","GOURMET",B219="114 - CAFÉ CONSUMO","CONSUMO",B219="112 - CAFÉ ORGANICO","GOURMET",B219="172 - CAFÉ COSECHA","ESPECIALES",B219="176 - CAFE DESCAFEINADO","GOURMET",B219="147 - CAPSULAS","CAPSULAS",B219="130 - GALLETAS CAFECITAS","DERIVADOS",B219="140 - MERENGUES","DERIVADOS",B219="100 - CAFÉ ESPECIAL","ESPECIALES",B219="141 - AREQUIPE","DERIVADOS",B219="142 - MERMELADA","DERIVADOS",B219="131 - GALLETAS AVENA","DERIVADOS",B219="160 - SOUVENIR","OTROS",B219="148 - CARAMELOS","DERIVADOS",B219="143 - CHOCOFFES","DERIVADOS",B219="162 - CONVENIOS Y DSC POS ","OTROS"),"OTROS")</f>
        <v>DERIVADOS</v>
      </c>
      <c r="K219" s="62"/>
      <c r="L219" s="27">
        <f t="shared" si="28"/>
        <v>1022308</v>
      </c>
      <c r="M219" s="27">
        <f t="shared" si="29"/>
        <v>1022308</v>
      </c>
    </row>
    <row r="220" spans="1:13" ht="15.75" hidden="1" customHeight="1" outlineLevel="1">
      <c r="A220" s="44"/>
      <c r="B220" s="45" t="s">
        <v>26</v>
      </c>
      <c r="C220" s="46">
        <v>7625161</v>
      </c>
      <c r="D220" s="46">
        <v>0</v>
      </c>
      <c r="E220" s="46"/>
      <c r="F220" s="46">
        <v>14923818.029999999</v>
      </c>
      <c r="G220" s="37">
        <f t="shared" si="30"/>
        <v>0.51093902275354941</v>
      </c>
      <c r="H220" s="23">
        <f t="shared" si="26"/>
        <v>0</v>
      </c>
      <c r="I220" s="24">
        <f t="shared" si="26"/>
        <v>0</v>
      </c>
      <c r="J220" s="32" t="str" cm="1">
        <f t="array" ref="J220">IFERROR(_xlfn.IFS(B220="044 - BLEND TRADICION","BLEND",B220="113 - CAFÉ GOURMET","GOURMET",B220="114 - CAFÉ CONSUMO","CONSUMO",B220="112 - CAFÉ ORGANICO","GOURMET",B220="172 - CAFÉ COSECHA","ESPECIALES",B220="176 - CAFE DESCAFEINADO","GOURMET",B220="147 - CAPSULAS","CAPSULAS",B220="130 - GALLETAS CAFECITAS","DERIVADOS",B220="140 - MERENGUES","DERIVADOS",B220="100 - CAFÉ ESPECIAL","ESPECIALES",B220="141 - AREQUIPE","DERIVADOS",B220="142 - MERMELADA","DERIVADOS",B220="131 - GALLETAS AVENA","DERIVADOS",B220="160 - SOUVENIR","OTROS",B220="148 - CARAMELOS","DERIVADOS",B220="143 - CHOCOFFES","DERIVADOS",B220="162 - CONVENIOS Y DSC POS ","OTROS"),"OTROS")</f>
        <v>CAPSULAS</v>
      </c>
      <c r="K220" s="62"/>
      <c r="L220" s="27">
        <f t="shared" si="28"/>
        <v>7625161</v>
      </c>
      <c r="M220" s="27">
        <f t="shared" si="29"/>
        <v>7625161</v>
      </c>
    </row>
    <row r="221" spans="1:13" ht="15.75" hidden="1" customHeight="1" outlineLevel="1">
      <c r="A221" s="44"/>
      <c r="B221" s="45" t="s">
        <v>27</v>
      </c>
      <c r="C221" s="46">
        <v>1019132</v>
      </c>
      <c r="D221" s="46">
        <v>0</v>
      </c>
      <c r="E221" s="46"/>
      <c r="F221" s="46">
        <v>3692134.82</v>
      </c>
      <c r="G221" s="37">
        <f t="shared" si="30"/>
        <v>0.2760278401751321</v>
      </c>
      <c r="H221" s="23">
        <f t="shared" si="26"/>
        <v>0</v>
      </c>
      <c r="I221" s="24">
        <f t="shared" si="26"/>
        <v>0</v>
      </c>
      <c r="J221" s="32" t="str" cm="1">
        <f t="array" ref="J221">IFERROR(_xlfn.IFS(B221="044 - BLEND TRADICION","BLEND",B221="113 - CAFÉ GOURMET","GOURMET",B221="114 - CAFÉ CONSUMO","CONSUMO",B221="112 - CAFÉ ORGANICO","GOURMET",B221="172 - CAFÉ COSECHA","ESPECIALES",B221="176 - CAFE DESCAFEINADO","GOURMET",B221="147 - CAPSULAS","CAPSULAS",B221="130 - GALLETAS CAFECITAS","DERIVADOS",B221="140 - MERENGUES","DERIVADOS",B221="100 - CAFÉ ESPECIAL","ESPECIALES",B221="141 - AREQUIPE","DERIVADOS",B221="142 - MERMELADA","DERIVADOS",B221="131 - GALLETAS AVENA","DERIVADOS",B221="160 - SOUVENIR","OTROS",B221="148 - CARAMELOS","DERIVADOS",B221="143 - CHOCOFFES","DERIVADOS",B221="162 - CONVENIOS Y DSC POS ","OTROS"),"OTROS")</f>
        <v>DERIVADOS</v>
      </c>
      <c r="K221" s="62">
        <f t="shared" ref="K221" si="33">C221-E221</f>
        <v>1019132</v>
      </c>
      <c r="L221" s="27">
        <f t="shared" si="28"/>
        <v>1019132</v>
      </c>
      <c r="M221" s="27">
        <f t="shared" si="29"/>
        <v>1019132</v>
      </c>
    </row>
    <row r="222" spans="1:13" ht="15.75" hidden="1" customHeight="1" outlineLevel="1">
      <c r="A222" s="44"/>
      <c r="B222" s="45" t="s">
        <v>28</v>
      </c>
      <c r="C222" s="46">
        <v>5272575</v>
      </c>
      <c r="D222" s="46">
        <v>0</v>
      </c>
      <c r="E222" s="46"/>
      <c r="F222" s="46">
        <v>11283255.869999999</v>
      </c>
      <c r="G222" s="37">
        <f t="shared" si="30"/>
        <v>0.46729198209700801</v>
      </c>
      <c r="H222" s="23">
        <f t="shared" si="26"/>
        <v>0</v>
      </c>
      <c r="I222" s="24">
        <f t="shared" si="26"/>
        <v>0</v>
      </c>
      <c r="J222" s="32" t="str" cm="1">
        <f t="array" ref="J222">IFERROR(_xlfn.IFS(B222="044 - BLEND TRADICION","BLEND",B222="113 - CAFÉ GOURMET","GOURMET",B222="114 - CAFÉ CONSUMO","CONSUMO",B222="112 - CAFÉ ORGANICO","GOURMET",B222="172 - CAFÉ COSECHA","ESPECIALES",B222="176 - CAFE DESCAFEINADO","GOURMET",B222="147 - CAPSULAS","CAPSULAS",B222="130 - GALLETAS CAFECITAS","DERIVADOS",B222="140 - MERENGUES","DERIVADOS",B222="100 - CAFÉ ESPECIAL","ESPECIALES",B222="141 - AREQUIPE","DERIVADOS",B222="142 - MERMELADA","DERIVADOS",B222="131 - GALLETAS AVENA","DERIVADOS",B222="160 - SOUVENIR","OTROS",B222="148 - CARAMELOS","DERIVADOS",B222="143 - CHOCOFFES","DERIVADOS",B222="162 - CONVENIOS Y DSC POS ","OTROS"),"OTROS")</f>
        <v>OTROS</v>
      </c>
      <c r="K222" s="62"/>
      <c r="L222" s="27">
        <f t="shared" si="28"/>
        <v>5272575</v>
      </c>
      <c r="M222" s="27">
        <f t="shared" si="29"/>
        <v>5272575</v>
      </c>
    </row>
    <row r="223" spans="1:13" ht="15.75" hidden="1" customHeight="1" outlineLevel="1">
      <c r="A223" s="44"/>
      <c r="B223" s="45" t="s">
        <v>29</v>
      </c>
      <c r="C223" s="46">
        <v>6136858</v>
      </c>
      <c r="D223" s="46">
        <v>0</v>
      </c>
      <c r="E223" s="46"/>
      <c r="F223" s="46">
        <v>12790414.619999999</v>
      </c>
      <c r="G223" s="37">
        <f t="shared" si="30"/>
        <v>0.47980133422758431</v>
      </c>
      <c r="H223" s="23">
        <f t="shared" si="26"/>
        <v>0</v>
      </c>
      <c r="I223" s="24">
        <f t="shared" si="26"/>
        <v>0</v>
      </c>
      <c r="J223" s="32" t="str" cm="1">
        <f t="array" ref="J223">IFERROR(_xlfn.IFS(B223="044 - BLEND TRADICION","BLEND",B223="113 - CAFÉ GOURMET","GOURMET",B223="114 - CAFÉ CONSUMO","CONSUMO",B223="112 - CAFÉ ORGANICO","GOURMET",B223="172 - CAFÉ COSECHA","ESPECIALES",B223="176 - CAFE DESCAFEINADO","GOURMET",B223="147 - CAPSULAS","CAPSULAS",B223="130 - GALLETAS CAFECITAS","DERIVADOS",B223="140 - MERENGUES","DERIVADOS",B223="100 - CAFÉ ESPECIAL","ESPECIALES",B223="141 - AREQUIPE","DERIVADOS",B223="142 - MERMELADA","DERIVADOS",B223="131 - GALLETAS AVENA","DERIVADOS",B223="160 - SOUVENIR","OTROS",B223="148 - CARAMELOS","DERIVADOS",B223="143 - CHOCOFFES","DERIVADOS",B223="162 - CONVENIOS Y DSC POS ","OTROS"),"OTROS")</f>
        <v>ESPECIALES</v>
      </c>
      <c r="K223" s="62"/>
      <c r="L223" s="27">
        <f t="shared" si="28"/>
        <v>6136858</v>
      </c>
      <c r="M223" s="27">
        <f t="shared" si="29"/>
        <v>6136858</v>
      </c>
    </row>
    <row r="224" spans="1:13" ht="15.75" hidden="1" customHeight="1" outlineLevel="1">
      <c r="A224" s="44"/>
      <c r="B224" s="45" t="s">
        <v>30</v>
      </c>
      <c r="C224" s="46">
        <v>0</v>
      </c>
      <c r="D224" s="46">
        <v>0</v>
      </c>
      <c r="E224" s="46"/>
      <c r="F224" s="46">
        <v>682536.26</v>
      </c>
      <c r="G224" s="37">
        <f t="shared" si="30"/>
        <v>0</v>
      </c>
      <c r="H224" s="23">
        <f t="shared" si="26"/>
        <v>0</v>
      </c>
      <c r="I224" s="24">
        <f t="shared" si="26"/>
        <v>0</v>
      </c>
      <c r="J224" s="32" t="str" cm="1">
        <f t="array" ref="J224">IFERROR(_xlfn.IFS(B224="044 - BLEND TRADICION","BLEND",B224="113 - CAFÉ GOURMET","GOURMET",B224="114 - CAFÉ CONSUMO","CONSUMO",B224="112 - CAFÉ ORGANICO","GOURMET",B224="172 - CAFÉ COSECHA","ESPECIALES",B224="176 - CAFE DESCAFEINADO","GOURMET",B224="147 - CAPSULAS","CAPSULAS",B224="130 - GALLETAS CAFECITAS","DERIVADOS",B224="140 - MERENGUES","DERIVADOS",B224="100 - CAFÉ ESPECIAL","ESPECIALES",B224="141 - AREQUIPE","DERIVADOS",B224="142 - MERMELADA","DERIVADOS",B224="131 - GALLETAS AVENA","DERIVADOS",B224="160 - SOUVENIR","OTROS",B224="148 - CARAMELOS","DERIVADOS",B224="143 - CHOCOFFES","DERIVADOS",B224="162 - CONVENIOS Y DSC POS ","OTROS"),"OTROS")</f>
        <v>GOURMET</v>
      </c>
      <c r="K224" s="62">
        <f t="shared" ref="K224" si="34">C224-E224</f>
        <v>0</v>
      </c>
      <c r="L224" s="27">
        <f t="shared" si="28"/>
        <v>0</v>
      </c>
      <c r="M224" s="27">
        <f t="shared" si="29"/>
        <v>0</v>
      </c>
    </row>
    <row r="225" spans="1:13" ht="15.75" hidden="1" customHeight="1" outlineLevel="1">
      <c r="A225" s="19" t="s">
        <v>58</v>
      </c>
      <c r="B225" s="40" t="s">
        <v>32</v>
      </c>
      <c r="C225" s="41">
        <f>SUM(C211:C224)</f>
        <v>73541540</v>
      </c>
      <c r="D225" s="41">
        <f>SUM(D211:D224)</f>
        <v>0</v>
      </c>
      <c r="E225" s="41">
        <f>SUM(E211:E224)</f>
        <v>0</v>
      </c>
      <c r="F225" s="41">
        <f>SUM(F211:F224)</f>
        <v>242185563.47000003</v>
      </c>
      <c r="G225" s="42">
        <f t="shared" si="30"/>
        <v>0.30365781901409544</v>
      </c>
      <c r="H225" s="43">
        <f t="shared" si="26"/>
        <v>0</v>
      </c>
      <c r="I225" s="24">
        <f t="shared" si="26"/>
        <v>0</v>
      </c>
      <c r="J225" s="32" t="str" cm="1">
        <f t="array" ref="J225">IFERROR(_xlfn.IFS(B225="044 - BLEND TRADICION","BLEND",B225="113 - CAFÉ GOURMET","GOURMET",B225="114 - CAFÉ CONSUMO","CONSUMO",B225="112 - CAFÉ ORGANICO","GOURMET",B225="172 - CAFÉ COSECHA","ESPECIALES",B225="176 - CAFE DESCAFEINADO","GOURMET",B225="147 - CAPSULAS","CAPSULAS",B225="130 - GALLETAS CAFECITAS","DERIVADOS",B225="140 - MERENGUES","DERIVADOS",B225="100 - CAFÉ ESPECIAL","ESPECIALES",B225="141 - AREQUIPE","DERIVADOS",B225="142 - MERMELADA","DERIVADOS",B225="131 - GALLETAS AVENA","DERIVADOS",B225="160 - SOUVENIR","OTROS",B225="148 - CARAMELOS","DERIVADOS",B225="143 - CHOCOFFES","DERIVADOS",B225="162 - CONVENIOS Y DSC POS ","OTROS"),"OTROS")</f>
        <v>OTROS</v>
      </c>
      <c r="L225" s="27">
        <f t="shared" si="28"/>
        <v>73541540</v>
      </c>
      <c r="M225" s="27">
        <f t="shared" si="29"/>
        <v>73541540</v>
      </c>
    </row>
    <row r="226" spans="1:13" ht="16.5" collapsed="1">
      <c r="A226" s="28" t="s">
        <v>59</v>
      </c>
      <c r="B226" s="29" t="s">
        <v>17</v>
      </c>
      <c r="C226" s="30">
        <f>+C240</f>
        <v>81743434</v>
      </c>
      <c r="D226" s="30">
        <f>+D240</f>
        <v>0</v>
      </c>
      <c r="E226" s="30">
        <f>+E240</f>
        <v>0</v>
      </c>
      <c r="F226" s="30">
        <f>+F240</f>
        <v>278548044.25999999</v>
      </c>
      <c r="G226" s="31">
        <f t="shared" si="30"/>
        <v>0.2934626025365295</v>
      </c>
      <c r="H226" s="23">
        <f t="shared" si="26"/>
        <v>0</v>
      </c>
      <c r="I226" s="24">
        <f t="shared" si="26"/>
        <v>0</v>
      </c>
      <c r="J226" s="32" t="str" cm="1">
        <f t="array" ref="J226">IFERROR(_xlfn.IFS(B226="044 - BLEND TRADICION","BLEND",B226="113 - CAFÉ GOURMET","GOURMET",B226="114 - CAFÉ CONSUMO","CONSUMO",B226="112 - CAFÉ ORGANICO","GOURMET",B226="172 - CAFÉ COSECHA","ESPECIALES",B226="176 - CAFE DESCAFEINADO","GOURMET",B226="147 - CAPSULAS","CAPSULAS",B226="130 - GALLETAS CAFECITAS","DERIVADOS",B226="140 - MERENGUES","DERIVADOS",B226="100 - CAFÉ ESPECIAL","ESPECIALES",B226="141 - AREQUIPE","DERIVADOS",B226="142 - MERMELADA","DERIVADOS",B226="131 - GALLETAS AVENA","DERIVADOS",B226="160 - SOUVENIR","OTROS",B226="148 - CARAMELOS","DERIVADOS",B226="143 - CHOCOFFES","DERIVADOS",B226="162 - CONVENIOS Y DSC POS ","OTROS"),"OTROS")</f>
        <v>OTROS</v>
      </c>
      <c r="K226" s="6"/>
      <c r="L226" s="27">
        <f t="shared" si="28"/>
        <v>81743434</v>
      </c>
      <c r="M226" s="27">
        <f t="shared" si="29"/>
        <v>81743434</v>
      </c>
    </row>
    <row r="227" spans="1:13" ht="15.75" hidden="1" customHeight="1" outlineLevel="2">
      <c r="A227" s="33"/>
      <c r="B227" s="45" t="s">
        <v>18</v>
      </c>
      <c r="C227" s="46">
        <v>3912000</v>
      </c>
      <c r="D227" s="46">
        <v>0</v>
      </c>
      <c r="E227" s="46">
        <v>0</v>
      </c>
      <c r="F227" s="35">
        <v>12548768.83</v>
      </c>
      <c r="G227" s="37">
        <f t="shared" si="30"/>
        <v>0.3117437298428582</v>
      </c>
      <c r="H227" s="23">
        <f t="shared" si="26"/>
        <v>0</v>
      </c>
      <c r="I227" s="24">
        <f t="shared" si="26"/>
        <v>0</v>
      </c>
      <c r="J227" s="32" t="str" cm="1">
        <f t="array" ref="J227">IFERROR(_xlfn.IFS(B227="044 - BLEND TRADICION","BLEND",B227="113 - CAFÉ GOURMET","GOURMET",B227="114 - CAFÉ CONSUMO","CONSUMO",B227="112 - CAFÉ ORGANICO","GOURMET",B227="172 - CAFÉ COSECHA","ESPECIALES",B227="176 - CAFE DESCAFEINADO","GOURMET",B227="147 - CAPSULAS","CAPSULAS",B227="130 - GALLETAS CAFECITAS","DERIVADOS",B227="140 - MERENGUES","DERIVADOS",B227="100 - CAFÉ ESPECIAL","ESPECIALES",B227="141 - AREQUIPE","DERIVADOS",B227="142 - MERMELADA","DERIVADOS",B227="131 - GALLETAS AVENA","DERIVADOS",B227="160 - SOUVENIR","OTROS",B227="148 - CARAMELOS","DERIVADOS",B227="143 - CHOCOFFES","DERIVADOS",B227="162 - CONVENIOS Y DSC POS ","OTROS"),"OTROS")</f>
        <v>BLEND</v>
      </c>
      <c r="K227" s="6"/>
      <c r="L227" s="27">
        <f t="shared" si="28"/>
        <v>3912000</v>
      </c>
      <c r="M227" s="27">
        <f t="shared" si="29"/>
        <v>3912000</v>
      </c>
    </row>
    <row r="228" spans="1:13" ht="15.75" hidden="1" customHeight="1" outlineLevel="2">
      <c r="A228" s="33"/>
      <c r="B228" s="45" t="s">
        <v>19</v>
      </c>
      <c r="C228" s="46">
        <v>9500984</v>
      </c>
      <c r="D228" s="46">
        <v>0</v>
      </c>
      <c r="E228" s="46"/>
      <c r="F228" s="35">
        <v>15024939.119999999</v>
      </c>
      <c r="G228" s="37">
        <f t="shared" si="30"/>
        <v>0.63234758717611361</v>
      </c>
      <c r="H228" s="23">
        <f t="shared" si="26"/>
        <v>0</v>
      </c>
      <c r="I228" s="24">
        <f t="shared" si="26"/>
        <v>0</v>
      </c>
      <c r="J228" s="32" t="str" cm="1">
        <f t="array" ref="J228">IFERROR(_xlfn.IFS(B228="044 - BLEND TRADICION","BLEND",B228="113 - CAFÉ GOURMET","GOURMET",B228="114 - CAFÉ CONSUMO","CONSUMO",B228="112 - CAFÉ ORGANICO","GOURMET",B228="172 - CAFÉ COSECHA","ESPECIALES",B228="176 - CAFE DESCAFEINADO","GOURMET",B228="147 - CAPSULAS","CAPSULAS",B228="130 - GALLETAS CAFECITAS","DERIVADOS",B228="140 - MERENGUES","DERIVADOS",B228="100 - CAFÉ ESPECIAL","ESPECIALES",B228="141 - AREQUIPE","DERIVADOS",B228="142 - MERMELADA","DERIVADOS",B228="131 - GALLETAS AVENA","DERIVADOS",B228="160 - SOUVENIR","OTROS",B228="148 - CARAMELOS","DERIVADOS",B228="143 - CHOCOFFES","DERIVADOS",B228="162 - CONVENIOS Y DSC POS ","OTROS"),"OTROS")</f>
        <v>ESPECIALES</v>
      </c>
      <c r="K228" s="6"/>
      <c r="L228" s="27">
        <f t="shared" si="28"/>
        <v>9500984</v>
      </c>
      <c r="M228" s="27">
        <f t="shared" si="29"/>
        <v>9500984</v>
      </c>
    </row>
    <row r="229" spans="1:13" ht="15.75" hidden="1" customHeight="1" outlineLevel="2">
      <c r="A229" s="38"/>
      <c r="B229" s="45" t="s">
        <v>20</v>
      </c>
      <c r="C229" s="46">
        <v>4244437</v>
      </c>
      <c r="D229" s="46">
        <v>0</v>
      </c>
      <c r="E229" s="46">
        <v>0</v>
      </c>
      <c r="F229" s="36">
        <v>16967408.859999999</v>
      </c>
      <c r="G229" s="37">
        <f t="shared" si="30"/>
        <v>0.2501523382280304</v>
      </c>
      <c r="H229" s="23">
        <f t="shared" si="26"/>
        <v>0</v>
      </c>
      <c r="I229" s="24">
        <f t="shared" si="26"/>
        <v>0</v>
      </c>
      <c r="J229" s="32" t="str" cm="1">
        <f t="array" ref="J229">IFERROR(_xlfn.IFS(B229="044 - BLEND TRADICION","BLEND",B229="113 - CAFÉ GOURMET","GOURMET",B229="114 - CAFÉ CONSUMO","CONSUMO",B229="112 - CAFÉ ORGANICO","GOURMET",B229="172 - CAFÉ COSECHA","ESPECIALES",B229="176 - CAFE DESCAFEINADO","GOURMET",B229="147 - CAPSULAS","CAPSULAS",B229="130 - GALLETAS CAFECITAS","DERIVADOS",B229="140 - MERENGUES","DERIVADOS",B229="100 - CAFÉ ESPECIAL","ESPECIALES",B229="141 - AREQUIPE","DERIVADOS",B229="142 - MERMELADA","DERIVADOS",B229="131 - GALLETAS AVENA","DERIVADOS",B229="160 - SOUVENIR","OTROS",B229="148 - CARAMELOS","DERIVADOS",B229="143 - CHOCOFFES","DERIVADOS",B229="162 - CONVENIOS Y DSC POS ","OTROS"),"OTROS")</f>
        <v>GOURMET</v>
      </c>
      <c r="K229" s="6"/>
      <c r="L229" s="27">
        <f t="shared" si="28"/>
        <v>4244437</v>
      </c>
      <c r="M229" s="27">
        <f t="shared" si="29"/>
        <v>4244437</v>
      </c>
    </row>
    <row r="230" spans="1:13" ht="15.75" hidden="1" customHeight="1" outlineLevel="2">
      <c r="A230" s="38"/>
      <c r="B230" s="45" t="s">
        <v>21</v>
      </c>
      <c r="C230" s="46">
        <v>47782632</v>
      </c>
      <c r="D230" s="46">
        <v>0</v>
      </c>
      <c r="E230" s="46">
        <v>0</v>
      </c>
      <c r="F230" s="36">
        <v>189138509.15000001</v>
      </c>
      <c r="G230" s="37">
        <f t="shared" si="30"/>
        <v>0.25263301595607401</v>
      </c>
      <c r="H230" s="23">
        <f t="shared" si="26"/>
        <v>0</v>
      </c>
      <c r="I230" s="24">
        <f t="shared" si="26"/>
        <v>0</v>
      </c>
      <c r="J230" s="32" t="str" cm="1">
        <f t="array" ref="J230">IFERROR(_xlfn.IFS(B230="044 - BLEND TRADICION","BLEND",B230="113 - CAFÉ GOURMET","GOURMET",B230="114 - CAFÉ CONSUMO","CONSUMO",B230="112 - CAFÉ ORGANICO","GOURMET",B230="172 - CAFÉ COSECHA","ESPECIALES",B230="176 - CAFE DESCAFEINADO","GOURMET",B230="147 - CAPSULAS","CAPSULAS",B230="130 - GALLETAS CAFECITAS","DERIVADOS",B230="140 - MERENGUES","DERIVADOS",B230="100 - CAFÉ ESPECIAL","ESPECIALES",B230="141 - AREQUIPE","DERIVADOS",B230="142 - MERMELADA","DERIVADOS",B230="131 - GALLETAS AVENA","DERIVADOS",B230="160 - SOUVENIR","OTROS",B230="148 - CARAMELOS","DERIVADOS",B230="143 - CHOCOFFES","DERIVADOS",B230="162 - CONVENIOS Y DSC POS ","OTROS"),"OTROS")</f>
        <v>GOURMET</v>
      </c>
      <c r="K230" s="6"/>
      <c r="L230" s="27">
        <f t="shared" si="28"/>
        <v>47782632</v>
      </c>
      <c r="M230" s="27">
        <f t="shared" si="29"/>
        <v>47782632</v>
      </c>
    </row>
    <row r="231" spans="1:13" ht="15.75" hidden="1" customHeight="1" outlineLevel="2">
      <c r="A231" s="38"/>
      <c r="B231" s="45" t="s">
        <v>38</v>
      </c>
      <c r="C231" s="46">
        <v>0</v>
      </c>
      <c r="D231" s="46">
        <v>0</v>
      </c>
      <c r="E231" s="46">
        <v>0</v>
      </c>
      <c r="F231" s="36">
        <v>1194829.97</v>
      </c>
      <c r="G231" s="37">
        <f t="shared" si="30"/>
        <v>0</v>
      </c>
      <c r="H231" s="23">
        <f t="shared" si="26"/>
        <v>0</v>
      </c>
      <c r="I231" s="24">
        <f t="shared" si="26"/>
        <v>0</v>
      </c>
      <c r="J231" s="32" t="str" cm="1">
        <f t="array" ref="J231">IFERROR(_xlfn.IFS(B231="044 - BLEND TRADICION","BLEND",B231="113 - CAFÉ GOURMET","GOURMET",B231="114 - CAFÉ CONSUMO","CONSUMO",B231="112 - CAFÉ ORGANICO","GOURMET",B231="172 - CAFÉ COSECHA","ESPECIALES",B231="176 - CAFE DESCAFEINADO","GOURMET",B231="147 - CAPSULAS","CAPSULAS",B231="130 - GALLETAS CAFECITAS","DERIVADOS",B231="140 - MERENGUES","DERIVADOS",B231="100 - CAFÉ ESPECIAL","ESPECIALES",B231="141 - AREQUIPE","DERIVADOS",B231="142 - MERMELADA","DERIVADOS",B231="131 - GALLETAS AVENA","DERIVADOS",B231="160 - SOUVENIR","OTROS",B231="148 - CARAMELOS","DERIVADOS",B231="143 - CHOCOFFES","DERIVADOS",B231="162 - CONVENIOS Y DSC POS ","OTROS"),"OTROS")</f>
        <v>CONSUMO</v>
      </c>
      <c r="K231" s="6"/>
      <c r="L231" s="27">
        <f t="shared" si="28"/>
        <v>0</v>
      </c>
      <c r="M231" s="27">
        <f t="shared" si="29"/>
        <v>0</v>
      </c>
    </row>
    <row r="232" spans="1:13" ht="15.75" hidden="1" customHeight="1" outlineLevel="2">
      <c r="A232" s="38"/>
      <c r="B232" s="45" t="s">
        <v>22</v>
      </c>
      <c r="C232" s="46">
        <v>1945987</v>
      </c>
      <c r="D232" s="46">
        <v>0</v>
      </c>
      <c r="E232" s="46"/>
      <c r="F232" s="36">
        <v>4066253.4</v>
      </c>
      <c r="G232" s="37">
        <f t="shared" si="30"/>
        <v>0.47857002714095487</v>
      </c>
      <c r="H232" s="23">
        <f t="shared" si="26"/>
        <v>0</v>
      </c>
      <c r="I232" s="24">
        <f t="shared" si="26"/>
        <v>0</v>
      </c>
      <c r="J232" s="32" t="str" cm="1">
        <f t="array" ref="J232">IFERROR(_xlfn.IFS(B232="044 - BLEND TRADICION","BLEND",B232="113 - CAFÉ GOURMET","GOURMET",B232="114 - CAFÉ CONSUMO","CONSUMO",B232="112 - CAFÉ ORGANICO","GOURMET",B232="172 - CAFÉ COSECHA","ESPECIALES",B232="176 - CAFE DESCAFEINADO","GOURMET",B232="147 - CAPSULAS","CAPSULAS",B232="130 - GALLETAS CAFECITAS","DERIVADOS",B232="140 - MERENGUES","DERIVADOS",B232="100 - CAFÉ ESPECIAL","ESPECIALES",B232="141 - AREQUIPE","DERIVADOS",B232="142 - MERMELADA","DERIVADOS",B232="131 - GALLETAS AVENA","DERIVADOS",B232="160 - SOUVENIR","OTROS",B232="148 - CARAMELOS","DERIVADOS",B232="143 - CHOCOFFES","DERIVADOS",B232="162 - CONVENIOS Y DSC POS ","OTROS"),"OTROS")</f>
        <v>DERIVADOS</v>
      </c>
      <c r="K232" s="6"/>
      <c r="L232" s="27">
        <f t="shared" si="28"/>
        <v>1945987</v>
      </c>
      <c r="M232" s="27">
        <f t="shared" si="29"/>
        <v>1945987</v>
      </c>
    </row>
    <row r="233" spans="1:13" ht="15.75" hidden="1" customHeight="1" outlineLevel="2">
      <c r="A233" s="38"/>
      <c r="B233" s="45" t="s">
        <v>24</v>
      </c>
      <c r="C233" s="46">
        <v>51477</v>
      </c>
      <c r="D233" s="46">
        <v>0</v>
      </c>
      <c r="E233" s="46"/>
      <c r="F233" s="36">
        <v>552955.56000000006</v>
      </c>
      <c r="G233" s="37">
        <f t="shared" si="30"/>
        <v>9.3094280487929254E-2</v>
      </c>
      <c r="H233" s="23">
        <f t="shared" si="26"/>
        <v>0</v>
      </c>
      <c r="I233" s="24">
        <f t="shared" si="26"/>
        <v>0</v>
      </c>
      <c r="J233" s="32" t="str" cm="1">
        <f t="array" ref="J233">IFERROR(_xlfn.IFS(B233="044 - BLEND TRADICION","BLEND",B233="113 - CAFÉ GOURMET","GOURMET",B233="114 - CAFÉ CONSUMO","CONSUMO",B233="112 - CAFÉ ORGANICO","GOURMET",B233="172 - CAFÉ COSECHA","ESPECIALES",B233="176 - CAFE DESCAFEINADO","GOURMET",B233="147 - CAPSULAS","CAPSULAS",B233="130 - GALLETAS CAFECITAS","DERIVADOS",B233="140 - MERENGUES","DERIVADOS",B233="100 - CAFÉ ESPECIAL","ESPECIALES",B233="141 - AREQUIPE","DERIVADOS",B233="142 - MERMELADA","DERIVADOS",B233="131 - GALLETAS AVENA","DERIVADOS",B233="160 - SOUVENIR","OTROS",B233="148 - CARAMELOS","DERIVADOS",B233="143 - CHOCOFFES","DERIVADOS",B233="162 - CONVENIOS Y DSC POS ","OTROS"),"OTROS")</f>
        <v>DERIVADOS</v>
      </c>
      <c r="K233" s="6"/>
      <c r="L233" s="27">
        <f t="shared" si="28"/>
        <v>51477</v>
      </c>
      <c r="M233" s="27">
        <f t="shared" si="29"/>
        <v>51477</v>
      </c>
    </row>
    <row r="234" spans="1:13" ht="15.75" hidden="1" customHeight="1" outlineLevel="2">
      <c r="A234" s="38"/>
      <c r="B234" s="45" t="s">
        <v>25</v>
      </c>
      <c r="C234" s="46">
        <v>773360</v>
      </c>
      <c r="D234" s="46">
        <v>0</v>
      </c>
      <c r="E234" s="46"/>
      <c r="F234" s="36">
        <v>2361213.7599999998</v>
      </c>
      <c r="G234" s="37">
        <f t="shared" si="30"/>
        <v>0.3275264667270108</v>
      </c>
      <c r="H234" s="23">
        <f t="shared" si="26"/>
        <v>0</v>
      </c>
      <c r="I234" s="24">
        <f t="shared" si="26"/>
        <v>0</v>
      </c>
      <c r="J234" s="32" t="str" cm="1">
        <f t="array" ref="J234">IFERROR(_xlfn.IFS(B234="044 - BLEND TRADICION","BLEND",B234="113 - CAFÉ GOURMET","GOURMET",B234="114 - CAFÉ CONSUMO","CONSUMO",B234="112 - CAFÉ ORGANICO","GOURMET",B234="172 - CAFÉ COSECHA","ESPECIALES",B234="176 - CAFE DESCAFEINADO","GOURMET",B234="147 - CAPSULAS","CAPSULAS",B234="130 - GALLETAS CAFECITAS","DERIVADOS",B234="140 - MERENGUES","DERIVADOS",B234="100 - CAFÉ ESPECIAL","ESPECIALES",B234="141 - AREQUIPE","DERIVADOS",B234="142 - MERMELADA","DERIVADOS",B234="131 - GALLETAS AVENA","DERIVADOS",B234="160 - SOUVENIR","OTROS",B234="148 - CARAMELOS","DERIVADOS",B234="143 - CHOCOFFES","DERIVADOS",B234="162 - CONVENIOS Y DSC POS ","OTROS"),"OTROS")</f>
        <v>DERIVADOS</v>
      </c>
      <c r="K234" s="6"/>
      <c r="L234" s="27">
        <f t="shared" si="28"/>
        <v>773360</v>
      </c>
      <c r="M234" s="27">
        <f t="shared" si="29"/>
        <v>773360</v>
      </c>
    </row>
    <row r="235" spans="1:13" ht="15.75" hidden="1" customHeight="1" outlineLevel="2">
      <c r="A235" s="38"/>
      <c r="B235" s="45" t="s">
        <v>26</v>
      </c>
      <c r="C235" s="46">
        <v>1605381</v>
      </c>
      <c r="D235" s="46">
        <v>0</v>
      </c>
      <c r="E235" s="46"/>
      <c r="F235" s="36">
        <v>4996182.5999999996</v>
      </c>
      <c r="G235" s="37">
        <f t="shared" si="30"/>
        <v>0.32132152255604113</v>
      </c>
      <c r="H235" s="23">
        <f t="shared" si="26"/>
        <v>0</v>
      </c>
      <c r="I235" s="24">
        <f t="shared" si="26"/>
        <v>0</v>
      </c>
      <c r="J235" s="32" t="str" cm="1">
        <f t="array" ref="J235">IFERROR(_xlfn.IFS(B235="044 - BLEND TRADICION","BLEND",B235="113 - CAFÉ GOURMET","GOURMET",B235="114 - CAFÉ CONSUMO","CONSUMO",B235="112 - CAFÉ ORGANICO","GOURMET",B235="172 - CAFÉ COSECHA","ESPECIALES",B235="176 - CAFE DESCAFEINADO","GOURMET",B235="147 - CAPSULAS","CAPSULAS",B235="130 - GALLETAS CAFECITAS","DERIVADOS",B235="140 - MERENGUES","DERIVADOS",B235="100 - CAFÉ ESPECIAL","ESPECIALES",B235="141 - AREQUIPE","DERIVADOS",B235="142 - MERMELADA","DERIVADOS",B235="131 - GALLETAS AVENA","DERIVADOS",B235="160 - SOUVENIR","OTROS",B235="148 - CARAMELOS","DERIVADOS",B235="143 - CHOCOFFES","DERIVADOS",B235="162 - CONVENIOS Y DSC POS ","OTROS"),"OTROS")</f>
        <v>CAPSULAS</v>
      </c>
      <c r="K235" s="6"/>
      <c r="L235" s="27">
        <f t="shared" si="28"/>
        <v>1605381</v>
      </c>
      <c r="M235" s="27">
        <f t="shared" si="29"/>
        <v>1605381</v>
      </c>
    </row>
    <row r="236" spans="1:13" ht="15.75" hidden="1" customHeight="1" outlineLevel="2">
      <c r="A236" s="38"/>
      <c r="B236" s="45" t="s">
        <v>27</v>
      </c>
      <c r="C236" s="46">
        <v>89298</v>
      </c>
      <c r="D236" s="46">
        <v>0</v>
      </c>
      <c r="E236" s="46">
        <v>0</v>
      </c>
      <c r="F236" s="36">
        <v>1098154.5900000001</v>
      </c>
      <c r="G236" s="37">
        <f t="shared" si="30"/>
        <v>8.1316420122598584E-2</v>
      </c>
      <c r="H236" s="23">
        <f t="shared" si="26"/>
        <v>0</v>
      </c>
      <c r="I236" s="24">
        <f t="shared" si="26"/>
        <v>0</v>
      </c>
      <c r="J236" s="32" t="str" cm="1">
        <f t="array" ref="J236">IFERROR(_xlfn.IFS(B236="044 - BLEND TRADICION","BLEND",B236="113 - CAFÉ GOURMET","GOURMET",B236="114 - CAFÉ CONSUMO","CONSUMO",B236="112 - CAFÉ ORGANICO","GOURMET",B236="172 - CAFÉ COSECHA","ESPECIALES",B236="176 - CAFE DESCAFEINADO","GOURMET",B236="147 - CAPSULAS","CAPSULAS",B236="130 - GALLETAS CAFECITAS","DERIVADOS",B236="140 - MERENGUES","DERIVADOS",B236="100 - CAFÉ ESPECIAL","ESPECIALES",B236="141 - AREQUIPE","DERIVADOS",B236="142 - MERMELADA","DERIVADOS",B236="131 - GALLETAS AVENA","DERIVADOS",B236="160 - SOUVENIR","OTROS",B236="148 - CARAMELOS","DERIVADOS",B236="143 - CHOCOFFES","DERIVADOS",B236="162 - CONVENIOS Y DSC POS ","OTROS"),"OTROS")</f>
        <v>DERIVADOS</v>
      </c>
      <c r="K236" s="6"/>
      <c r="L236" s="27">
        <f t="shared" si="28"/>
        <v>89298</v>
      </c>
      <c r="M236" s="27">
        <f t="shared" si="29"/>
        <v>89298</v>
      </c>
    </row>
    <row r="237" spans="1:13" ht="15.75" hidden="1" customHeight="1" outlineLevel="2">
      <c r="A237" s="38"/>
      <c r="B237" s="45" t="s">
        <v>28</v>
      </c>
      <c r="C237" s="46">
        <v>3419443</v>
      </c>
      <c r="D237" s="46">
        <v>0</v>
      </c>
      <c r="E237" s="46"/>
      <c r="F237" s="36">
        <v>4332933.07</v>
      </c>
      <c r="G237" s="37">
        <f t="shared" si="30"/>
        <v>0.78917512566147252</v>
      </c>
      <c r="H237" s="23">
        <f t="shared" si="26"/>
        <v>0</v>
      </c>
      <c r="I237" s="24">
        <f t="shared" si="26"/>
        <v>0</v>
      </c>
      <c r="J237" s="32" t="str" cm="1">
        <f t="array" ref="J237">IFERROR(_xlfn.IFS(B237="044 - BLEND TRADICION","BLEND",B237="113 - CAFÉ GOURMET","GOURMET",B237="114 - CAFÉ CONSUMO","CONSUMO",B237="112 - CAFÉ ORGANICO","GOURMET",B237="172 - CAFÉ COSECHA","ESPECIALES",B237="176 - CAFE DESCAFEINADO","GOURMET",B237="147 - CAPSULAS","CAPSULAS",B237="130 - GALLETAS CAFECITAS","DERIVADOS",B237="140 - MERENGUES","DERIVADOS",B237="100 - CAFÉ ESPECIAL","ESPECIALES",B237="141 - AREQUIPE","DERIVADOS",B237="142 - MERMELADA","DERIVADOS",B237="131 - GALLETAS AVENA","DERIVADOS",B237="160 - SOUVENIR","OTROS",B237="148 - CARAMELOS","DERIVADOS",B237="143 - CHOCOFFES","DERIVADOS",B237="162 - CONVENIOS Y DSC POS ","OTROS"),"OTROS")</f>
        <v>OTROS</v>
      </c>
      <c r="K237" s="6"/>
      <c r="L237" s="27">
        <f t="shared" si="28"/>
        <v>3419443</v>
      </c>
      <c r="M237" s="27">
        <f t="shared" si="29"/>
        <v>3419443</v>
      </c>
    </row>
    <row r="238" spans="1:13" ht="15.75" hidden="1" customHeight="1" outlineLevel="2">
      <c r="A238" s="38"/>
      <c r="B238" s="45" t="s">
        <v>29</v>
      </c>
      <c r="C238" s="46">
        <v>6710361</v>
      </c>
      <c r="D238" s="46">
        <v>0</v>
      </c>
      <c r="E238" s="46"/>
      <c r="F238" s="36">
        <v>19696186.350000001</v>
      </c>
      <c r="G238" s="37">
        <f t="shared" si="30"/>
        <v>0.34069341550477356</v>
      </c>
      <c r="H238" s="23">
        <f t="shared" si="26"/>
        <v>0</v>
      </c>
      <c r="I238" s="24">
        <f t="shared" si="26"/>
        <v>0</v>
      </c>
      <c r="J238" s="32" t="str" cm="1">
        <f t="array" ref="J238">IFERROR(_xlfn.IFS(B238="044 - BLEND TRADICION","BLEND",B238="113 - CAFÉ GOURMET","GOURMET",B238="114 - CAFÉ CONSUMO","CONSUMO",B238="112 - CAFÉ ORGANICO","GOURMET",B238="172 - CAFÉ COSECHA","ESPECIALES",B238="176 - CAFE DESCAFEINADO","GOURMET",B238="147 - CAPSULAS","CAPSULAS",B238="130 - GALLETAS CAFECITAS","DERIVADOS",B238="140 - MERENGUES","DERIVADOS",B238="100 - CAFÉ ESPECIAL","ESPECIALES",B238="141 - AREQUIPE","DERIVADOS",B238="142 - MERMELADA","DERIVADOS",B238="131 - GALLETAS AVENA","DERIVADOS",B238="160 - SOUVENIR","OTROS",B238="148 - CARAMELOS","DERIVADOS",B238="143 - CHOCOFFES","DERIVADOS",B238="162 - CONVENIOS Y DSC POS ","OTROS"),"OTROS")</f>
        <v>ESPECIALES</v>
      </c>
      <c r="K238" s="6"/>
      <c r="L238" s="27">
        <f t="shared" si="28"/>
        <v>6710361</v>
      </c>
      <c r="M238" s="27">
        <f t="shared" si="29"/>
        <v>6710361</v>
      </c>
    </row>
    <row r="239" spans="1:13" ht="15.75" hidden="1" customHeight="1" outlineLevel="2">
      <c r="A239" s="38"/>
      <c r="B239" s="45" t="s">
        <v>30</v>
      </c>
      <c r="C239" s="46">
        <v>1708074</v>
      </c>
      <c r="D239" s="46">
        <v>0</v>
      </c>
      <c r="E239" s="46"/>
      <c r="F239" s="36">
        <v>6569709</v>
      </c>
      <c r="G239" s="37">
        <f t="shared" si="30"/>
        <v>0.25999233756015677</v>
      </c>
      <c r="H239" s="23">
        <f t="shared" si="26"/>
        <v>0</v>
      </c>
      <c r="I239" s="24">
        <f>IFERROR(+E239/M239*100%,0)</f>
        <v>0</v>
      </c>
      <c r="J239" s="32" t="str" cm="1">
        <f t="array" ref="J239">IFERROR(_xlfn.IFS(B239="044 - BLEND TRADICION","BLEND",B239="113 - CAFÉ GOURMET","GOURMET",B239="114 - CAFÉ CONSUMO","CONSUMO",B239="112 - CAFÉ ORGANICO","GOURMET",B239="172 - CAFÉ COSECHA","ESPECIALES",B239="176 - CAFE DESCAFEINADO","GOURMET",B239="147 - CAPSULAS","CAPSULAS",B239="130 - GALLETAS CAFECITAS","DERIVADOS",B239="140 - MERENGUES","DERIVADOS",B239="100 - CAFÉ ESPECIAL","ESPECIALES",B239="141 - AREQUIPE","DERIVADOS",B239="142 - MERMELADA","DERIVADOS",B239="131 - GALLETAS AVENA","DERIVADOS",B239="160 - SOUVENIR","OTROS",B239="148 - CARAMELOS","DERIVADOS",B239="143 - CHOCOFFES","DERIVADOS",B239="162 - CONVENIOS Y DSC POS ","OTROS"),"OTROS")</f>
        <v>GOURMET</v>
      </c>
      <c r="K239" s="6"/>
      <c r="L239" s="27">
        <f>C239-(D239+E239)</f>
        <v>1708074</v>
      </c>
      <c r="M239" s="27">
        <f t="shared" si="29"/>
        <v>1708074</v>
      </c>
    </row>
    <row r="240" spans="1:13" ht="15.75" hidden="1" customHeight="1" outlineLevel="2">
      <c r="A240" s="19" t="s">
        <v>60</v>
      </c>
      <c r="B240" s="56" t="s">
        <v>32</v>
      </c>
      <c r="C240" s="54">
        <f>SUM(C227:C239)</f>
        <v>81743434</v>
      </c>
      <c r="D240" s="54">
        <f>SUM(D227:D239)</f>
        <v>0</v>
      </c>
      <c r="E240" s="54">
        <f>SUM(E227:E239)</f>
        <v>0</v>
      </c>
      <c r="F240" s="58">
        <f>SUM(F227:F239)</f>
        <v>278548044.25999999</v>
      </c>
      <c r="G240" s="55">
        <f t="shared" si="30"/>
        <v>0.2934626025365295</v>
      </c>
      <c r="H240" s="23">
        <f t="shared" si="26"/>
        <v>0</v>
      </c>
      <c r="I240" s="24">
        <f>IFERROR(+E240/M240*100%,0)</f>
        <v>0</v>
      </c>
      <c r="J240" s="32" t="str" cm="1">
        <f t="array" ref="J240">IFERROR(_xlfn.IFS(B240="044 - BLEND TRADICION","BLEND",B240="113 - CAFÉ GOURMET","GOURMET",B240="114 - CAFÉ CONSUMO","CONSUMO",B240="112 - CAFÉ ORGANICO","GOURMET",B240="172 - CAFÉ COSECHA","ESPECIALES",B240="176 - CAFE DESCAFEINADO","GOURMET",B240="147 - CAPSULAS","CAPSULAS",B240="130 - GALLETAS CAFECITAS","DERIVADOS",B240="140 - MERENGUES","DERIVADOS",B240="100 - CAFÉ ESPECIAL","ESPECIALES",B240="141 - AREQUIPE","DERIVADOS",B240="142 - MERMELADA","DERIVADOS",B240="131 - GALLETAS AVENA","DERIVADOS",B240="160 - SOUVENIR","OTROS",B240="148 - CARAMELOS","DERIVADOS",B240="143 - CHOCOFFES","DERIVADOS",B240="162 - CONVENIOS Y DSC POS ","OTROS"),"OTROS")</f>
        <v>OTROS</v>
      </c>
      <c r="K240" s="6"/>
      <c r="L240" s="27">
        <f>C240-(D240+E240)</f>
        <v>81743434</v>
      </c>
      <c r="M240" s="27">
        <f t="shared" si="29"/>
        <v>81743434</v>
      </c>
    </row>
    <row r="241" spans="1:13" ht="16.5" collapsed="1">
      <c r="A241" s="28" t="s">
        <v>61</v>
      </c>
      <c r="B241" s="29" t="s">
        <v>17</v>
      </c>
      <c r="C241" s="30">
        <f>+C244+C252+C256</f>
        <v>56591947</v>
      </c>
      <c r="D241" s="30"/>
      <c r="E241" s="30">
        <f>+E244+E252+E256</f>
        <v>-185271</v>
      </c>
      <c r="F241" s="30">
        <f>+F244+F252+F256</f>
        <v>468781637.60000002</v>
      </c>
      <c r="G241" s="31">
        <f t="shared" si="30"/>
        <v>0.12072133902200438</v>
      </c>
      <c r="H241" s="23">
        <f t="shared" si="26"/>
        <v>0</v>
      </c>
      <c r="I241" s="24">
        <f t="shared" si="26"/>
        <v>-3.2631221910168263E-3</v>
      </c>
      <c r="J241" s="32" t="str" cm="1">
        <f t="array" ref="J241">IFERROR(_xlfn.IFS(B241="044 - BLEND TRADICION","BLEND",B241="113 - CAFÉ GOURMET","GOURMET",B241="114 - CAFÉ CONSUMO","CONSUMO",B241="112 - CAFÉ ORGANICO","GOURMET",B241="172 - CAFÉ COSECHA","ESPECIALES",B241="176 - CAFE DESCAFEINADO","GOURMET",B241="147 - CAPSULAS","CAPSULAS",B241="130 - GALLETAS CAFECITAS","DERIVADOS",B241="140 - MERENGUES","DERIVADOS",B241="100 - CAFÉ ESPECIAL","ESPECIALES",B241="141 - AREQUIPE","DERIVADOS",B241="142 - MERMELADA","DERIVADOS",B241="131 - GALLETAS AVENA","DERIVADOS",B241="160 - SOUVENIR","OTROS",B241="148 - CARAMELOS","DERIVADOS",B241="143 - CHOCOFFES","DERIVADOS",B241="162 - CONVENIOS Y DSC POS ","OTROS"),"OTROS")</f>
        <v>OTROS</v>
      </c>
      <c r="K241" s="6"/>
      <c r="L241" s="27">
        <f t="shared" si="28"/>
        <v>56777218</v>
      </c>
      <c r="M241" s="27">
        <f t="shared" si="29"/>
        <v>56777218</v>
      </c>
    </row>
    <row r="242" spans="1:13" ht="15.75" hidden="1" customHeight="1" outlineLevel="1">
      <c r="A242" s="33"/>
      <c r="B242" s="45" t="s">
        <v>62</v>
      </c>
      <c r="C242" s="46">
        <v>39351</v>
      </c>
      <c r="D242" s="46">
        <v>0</v>
      </c>
      <c r="E242" s="46">
        <v>0</v>
      </c>
      <c r="F242" s="46">
        <v>0</v>
      </c>
      <c r="G242" s="37" t="str">
        <f t="shared" si="30"/>
        <v>-</v>
      </c>
      <c r="H242" s="23">
        <f t="shared" si="26"/>
        <v>0</v>
      </c>
      <c r="I242" s="24">
        <f t="shared" si="26"/>
        <v>0</v>
      </c>
      <c r="J242" s="32" t="str" cm="1">
        <f t="array" ref="J242">IFERROR(_xlfn.IFS(B242="044 - BLEND TRADICION","BLEND",B242="113 - CAFÉ GOURMET","GOURMET",B242="114 - CAFÉ CONSUMO","CONSUMO",B242="112 - CAFÉ ORGANICO","GOURMET",B242="172 - CAFÉ COSECHA","ESPECIALES",B242="176 - CAFE DESCAFEINADO","GOURMET",B242="147 - CAPSULAS","CAPSULAS",B242="130 - GALLETAS CAFECITAS","DERIVADOS",B242="140 - MERENGUES","DERIVADOS",B242="100 - CAFÉ ESPECIAL","ESPECIALES",B242="141 - AREQUIPE","DERIVADOS",B242="142 - MERMELADA","DERIVADOS",B242="131 - GALLETAS AVENA","DERIVADOS",B242="160 - SOUVENIR","OTROS",B242="148 - CARAMELOS","DERIVADOS",B242="143 - CHOCOFFES","DERIVADOS",B242="162 - CONVENIOS Y DSC POS ","OTROS"),"OTROS")</f>
        <v>OTROS</v>
      </c>
      <c r="K242" s="6"/>
      <c r="L242" s="27">
        <f t="shared" si="28"/>
        <v>39351</v>
      </c>
      <c r="M242" s="27">
        <f t="shared" si="29"/>
        <v>39351</v>
      </c>
    </row>
    <row r="243" spans="1:13" ht="15.75" hidden="1" customHeight="1" outlineLevel="1">
      <c r="A243" s="33"/>
      <c r="B243" s="45" t="s">
        <v>39</v>
      </c>
      <c r="C243" s="46">
        <v>10800000</v>
      </c>
      <c r="D243" s="46">
        <v>0</v>
      </c>
      <c r="E243" s="46"/>
      <c r="F243" s="46">
        <v>0</v>
      </c>
      <c r="G243" s="37" t="str">
        <f t="shared" si="30"/>
        <v>-</v>
      </c>
      <c r="H243" s="23">
        <f t="shared" si="26"/>
        <v>0</v>
      </c>
      <c r="I243" s="24">
        <f t="shared" si="26"/>
        <v>0</v>
      </c>
      <c r="J243" s="32" t="str" cm="1">
        <f t="array" ref="J243">IFERROR(_xlfn.IFS(B243="044 - BLEND TRADICION","BLEND",B243="113 - CAFÉ GOURMET","GOURMET",B243="114 - CAFÉ CONSUMO","CONSUMO",B243="112 - CAFÉ ORGANICO","GOURMET",B243="172 - CAFÉ COSECHA","ESPECIALES",B243="176 - CAFE DESCAFEINADO","GOURMET",B243="147 - CAPSULAS","CAPSULAS",B243="130 - GALLETAS CAFECITAS","DERIVADOS",B243="140 - MERENGUES","DERIVADOS",B243="100 - CAFÉ ESPECIAL","ESPECIALES",B243="141 - AREQUIPE","DERIVADOS",B243="142 - MERMELADA","DERIVADOS",B243="131 - GALLETAS AVENA","DERIVADOS",B243="160 - SOUVENIR","OTROS",B243="148 - CARAMELOS","DERIVADOS",B243="143 - CHOCOFFES","DERIVADOS",B243="162 - CONVENIOS Y DSC POS ","OTROS"),"OTROS")</f>
        <v>OTROS</v>
      </c>
      <c r="K243" s="6"/>
      <c r="L243" s="27">
        <f t="shared" si="28"/>
        <v>10800000</v>
      </c>
      <c r="M243" s="27">
        <f t="shared" si="29"/>
        <v>10800000</v>
      </c>
    </row>
    <row r="244" spans="1:13" ht="15.75" hidden="1" customHeight="1" outlineLevel="1">
      <c r="A244" s="52" t="s">
        <v>63</v>
      </c>
      <c r="B244" s="20" t="s">
        <v>32</v>
      </c>
      <c r="C244" s="21">
        <f>SUM(C242:C243)</f>
        <v>10839351</v>
      </c>
      <c r="D244" s="21"/>
      <c r="E244" s="21">
        <v>0</v>
      </c>
      <c r="F244" s="21">
        <v>0</v>
      </c>
      <c r="G244" s="55" t="str">
        <f t="shared" si="30"/>
        <v>-</v>
      </c>
      <c r="H244" s="23">
        <f t="shared" si="26"/>
        <v>0</v>
      </c>
      <c r="I244" s="24">
        <f t="shared" si="26"/>
        <v>0</v>
      </c>
      <c r="J244" s="32" t="str" cm="1">
        <f t="array" ref="J244">IFERROR(_xlfn.IFS(B244="044 - BLEND TRADICION","BLEND",B244="113 - CAFÉ GOURMET","GOURMET",B244="114 - CAFÉ CONSUMO","CONSUMO",B244="112 - CAFÉ ORGANICO","GOURMET",B244="172 - CAFÉ COSECHA","ESPECIALES",B244="176 - CAFE DESCAFEINADO","GOURMET",B244="147 - CAPSULAS","CAPSULAS",B244="130 - GALLETAS CAFECITAS","DERIVADOS",B244="140 - MERENGUES","DERIVADOS",B244="100 - CAFÉ ESPECIAL","ESPECIALES",B244="141 - AREQUIPE","DERIVADOS",B244="142 - MERMELADA","DERIVADOS",B244="131 - GALLETAS AVENA","DERIVADOS",B244="160 - SOUVENIR","OTROS",B244="148 - CARAMELOS","DERIVADOS",B244="143 - CHOCOFFES","DERIVADOS",B244="162 - CONVENIOS Y DSC POS ","OTROS"),"OTROS")</f>
        <v>OTROS</v>
      </c>
      <c r="K244" s="6"/>
      <c r="L244" s="27">
        <f t="shared" si="28"/>
        <v>10839351</v>
      </c>
      <c r="M244" s="27">
        <f t="shared" si="29"/>
        <v>10839351</v>
      </c>
    </row>
    <row r="245" spans="1:13" ht="15.75" hidden="1" customHeight="1" outlineLevel="1">
      <c r="A245" s="33"/>
      <c r="B245" s="45" t="s">
        <v>18</v>
      </c>
      <c r="C245" s="151">
        <v>28900000</v>
      </c>
      <c r="D245" s="152">
        <v>0</v>
      </c>
      <c r="E245" s="36"/>
      <c r="F245" s="36">
        <v>413971911.05000001</v>
      </c>
      <c r="G245" s="37">
        <f t="shared" si="30"/>
        <v>6.9811499835092494E-2</v>
      </c>
      <c r="H245" s="23">
        <f t="shared" si="26"/>
        <v>0</v>
      </c>
      <c r="I245" s="24">
        <f t="shared" si="26"/>
        <v>0</v>
      </c>
      <c r="J245" s="32" t="str" cm="1">
        <f t="array" ref="J245">IFERROR(_xlfn.IFS(B245="044 - BLEND TRADICION","BLEND",B245="113 - CAFÉ GOURMET","GOURMET",B245="114 - CAFÉ CONSUMO","CONSUMO",B245="112 - CAFÉ ORGANICO","GOURMET",B245="172 - CAFÉ COSECHA","ESPECIALES",B245="176 - CAFE DESCAFEINADO","GOURMET",B245="147 - CAPSULAS","CAPSULAS",B245="130 - GALLETAS CAFECITAS","DERIVADOS",B245="140 - MERENGUES","DERIVADOS",B245="100 - CAFÉ ESPECIAL","ESPECIALES",B245="141 - AREQUIPE","DERIVADOS",B245="142 - MERMELADA","DERIVADOS",B245="131 - GALLETAS AVENA","DERIVADOS",B245="160 - SOUVENIR","OTROS",B245="148 - CARAMELOS","DERIVADOS",B245="143 - CHOCOFFES","DERIVADOS",B245="162 - CONVENIOS Y DSC POS ","OTROS"),"OTROS")</f>
        <v>BLEND</v>
      </c>
      <c r="K245" s="6"/>
      <c r="L245" s="27">
        <f t="shared" si="28"/>
        <v>28900000</v>
      </c>
      <c r="M245" s="27">
        <f t="shared" si="29"/>
        <v>28900000</v>
      </c>
    </row>
    <row r="246" spans="1:13" ht="15.75" hidden="1" customHeight="1" outlineLevel="1">
      <c r="A246" s="33"/>
      <c r="B246" s="45" t="s">
        <v>20</v>
      </c>
      <c r="C246" s="151">
        <v>2053771</v>
      </c>
      <c r="D246" s="152">
        <v>0</v>
      </c>
      <c r="E246" s="36"/>
      <c r="F246" s="36">
        <v>4542701.25</v>
      </c>
      <c r="G246" s="37">
        <f t="shared" si="30"/>
        <v>0.45210347037459264</v>
      </c>
      <c r="H246" s="23">
        <f t="shared" si="26"/>
        <v>0</v>
      </c>
      <c r="I246" s="24">
        <f t="shared" si="26"/>
        <v>0</v>
      </c>
      <c r="J246" s="32" t="str" cm="1">
        <f t="array" ref="J246">IFERROR(_xlfn.IFS(B246="044 - BLEND TRADICION","BLEND",B246="113 - CAFÉ GOURMET","GOURMET",B246="114 - CAFÉ CONSUMO","CONSUMO",B246="112 - CAFÉ ORGANICO","GOURMET",B246="172 - CAFÉ COSECHA","ESPECIALES",B246="176 - CAFE DESCAFEINADO","GOURMET",B246="147 - CAPSULAS","CAPSULAS",B246="130 - GALLETAS CAFECITAS","DERIVADOS",B246="140 - MERENGUES","DERIVADOS",B246="100 - CAFÉ ESPECIAL","ESPECIALES",B246="141 - AREQUIPE","DERIVADOS",B246="142 - MERMELADA","DERIVADOS",B246="131 - GALLETAS AVENA","DERIVADOS",B246="160 - SOUVENIR","OTROS",B246="148 - CARAMELOS","DERIVADOS",B246="143 - CHOCOFFES","DERIVADOS",B246="162 - CONVENIOS Y DSC POS ","OTROS"),"OTROS")</f>
        <v>GOURMET</v>
      </c>
      <c r="K246" s="6"/>
      <c r="L246" s="27">
        <f t="shared" si="28"/>
        <v>2053771</v>
      </c>
      <c r="M246" s="27">
        <f t="shared" si="29"/>
        <v>2053771</v>
      </c>
    </row>
    <row r="247" spans="1:13" ht="15.75" hidden="1" customHeight="1" outlineLevel="1">
      <c r="A247" s="33"/>
      <c r="B247" s="45" t="s">
        <v>21</v>
      </c>
      <c r="C247" s="151">
        <v>11134326</v>
      </c>
      <c r="D247" s="152">
        <v>0</v>
      </c>
      <c r="E247" s="36"/>
      <c r="F247" s="36">
        <v>25938878.649999999</v>
      </c>
      <c r="G247" s="37">
        <f t="shared" si="30"/>
        <v>0.42925240332237724</v>
      </c>
      <c r="H247" s="23">
        <f t="shared" si="26"/>
        <v>0</v>
      </c>
      <c r="I247" s="24">
        <f t="shared" si="26"/>
        <v>0</v>
      </c>
      <c r="J247" s="32" t="str" cm="1">
        <f t="array" ref="J247">IFERROR(_xlfn.IFS(B247="044 - BLEND TRADICION","BLEND",B247="113 - CAFÉ GOURMET","GOURMET",B247="114 - CAFÉ CONSUMO","CONSUMO",B247="112 - CAFÉ ORGANICO","GOURMET",B247="172 - CAFÉ COSECHA","ESPECIALES",B247="176 - CAFE DESCAFEINADO","GOURMET",B247="147 - CAPSULAS","CAPSULAS",B247="130 - GALLETAS CAFECITAS","DERIVADOS",B247="140 - MERENGUES","DERIVADOS",B247="100 - CAFÉ ESPECIAL","ESPECIALES",B247="141 - AREQUIPE","DERIVADOS",B247="142 - MERMELADA","DERIVADOS",B247="131 - GALLETAS AVENA","DERIVADOS",B247="160 - SOUVENIR","OTROS",B247="148 - CARAMELOS","DERIVADOS",B247="143 - CHOCOFFES","DERIVADOS",B247="162 - CONVENIOS Y DSC POS ","OTROS"),"OTROS")</f>
        <v>GOURMET</v>
      </c>
      <c r="K247" s="6"/>
      <c r="L247" s="27">
        <f t="shared" si="28"/>
        <v>11134326</v>
      </c>
      <c r="M247" s="27">
        <f t="shared" si="29"/>
        <v>11134326</v>
      </c>
    </row>
    <row r="248" spans="1:13" ht="15.75" hidden="1" customHeight="1" outlineLevel="1">
      <c r="A248" s="33"/>
      <c r="B248" s="45" t="s">
        <v>22</v>
      </c>
      <c r="C248" s="151">
        <v>0</v>
      </c>
      <c r="D248" s="152">
        <v>0</v>
      </c>
      <c r="E248" s="36"/>
      <c r="F248" s="36">
        <v>21964513.23</v>
      </c>
      <c r="G248" s="37">
        <f t="shared" si="30"/>
        <v>0</v>
      </c>
      <c r="H248" s="23">
        <f t="shared" si="26"/>
        <v>0</v>
      </c>
      <c r="I248" s="24">
        <f t="shared" si="26"/>
        <v>0</v>
      </c>
      <c r="J248" s="32" t="str" cm="1">
        <f t="array" ref="J248">IFERROR(_xlfn.IFS(B248="044 - BLEND TRADICION","BLEND",B248="113 - CAFÉ GOURMET","GOURMET",B248="114 - CAFÉ CONSUMO","CONSUMO",B248="112 - CAFÉ ORGANICO","GOURMET",B248="172 - CAFÉ COSECHA","ESPECIALES",B248="176 - CAFE DESCAFEINADO","GOURMET",B248="147 - CAPSULAS","CAPSULAS",B248="130 - GALLETAS CAFECITAS","DERIVADOS",B248="140 - MERENGUES","DERIVADOS",B248="100 - CAFÉ ESPECIAL","ESPECIALES",B248="141 - AREQUIPE","DERIVADOS",B248="142 - MERMELADA","DERIVADOS",B248="131 - GALLETAS AVENA","DERIVADOS",B248="160 - SOUVENIR","OTROS",B248="148 - CARAMELOS","DERIVADOS",B248="143 - CHOCOFFES","DERIVADOS",B248="162 - CONVENIOS Y DSC POS ","OTROS"),"OTROS")</f>
        <v>DERIVADOS</v>
      </c>
      <c r="K248" s="6"/>
      <c r="L248" s="27">
        <f t="shared" si="28"/>
        <v>0</v>
      </c>
      <c r="M248" s="27">
        <f t="shared" si="29"/>
        <v>0</v>
      </c>
    </row>
    <row r="249" spans="1:13" ht="15.75" hidden="1" customHeight="1" outlineLevel="1">
      <c r="A249" s="33"/>
      <c r="B249" s="45" t="s">
        <v>50</v>
      </c>
      <c r="C249" s="151">
        <v>-185271</v>
      </c>
      <c r="D249" s="152">
        <v>0</v>
      </c>
      <c r="E249" s="152">
        <v>-185271</v>
      </c>
      <c r="F249" s="36"/>
      <c r="G249" s="37"/>
      <c r="H249" s="23"/>
      <c r="I249" s="24"/>
      <c r="J249" s="32"/>
      <c r="K249" s="6"/>
      <c r="L249" s="27"/>
      <c r="M249" s="27"/>
    </row>
    <row r="250" spans="1:13" ht="15.75" hidden="1" customHeight="1" outlineLevel="1">
      <c r="A250" s="33"/>
      <c r="B250" s="45" t="s">
        <v>29</v>
      </c>
      <c r="C250" s="151">
        <v>0</v>
      </c>
      <c r="D250" s="152">
        <v>0</v>
      </c>
      <c r="E250" s="36">
        <v>0</v>
      </c>
      <c r="F250" s="36">
        <v>2363633.42</v>
      </c>
      <c r="G250" s="37">
        <f t="shared" ref="G250:G270" si="35">IFERROR(C250/F250*100%,"-")</f>
        <v>0</v>
      </c>
      <c r="H250" s="23">
        <f t="shared" ref="H250:I271" si="36">IFERROR(+D250/L250*100%,0)</f>
        <v>0</v>
      </c>
      <c r="I250" s="24">
        <f t="shared" si="36"/>
        <v>0</v>
      </c>
      <c r="J250" s="32" t="str" cm="1">
        <f t="array" ref="J250">IFERROR(_xlfn.IFS(B250="044 - BLEND TRADICION","BLEND",B250="113 - CAFÉ GOURMET","GOURMET",B250="114 - CAFÉ CONSUMO","CONSUMO",B250="112 - CAFÉ ORGANICO","GOURMET",B250="172 - CAFÉ COSECHA","ESPECIALES",B250="176 - CAFE DESCAFEINADO","GOURMET",B250="147 - CAPSULAS","CAPSULAS",B250="130 - GALLETAS CAFECITAS","DERIVADOS",B250="140 - MERENGUES","DERIVADOS",B250="100 - CAFÉ ESPECIAL","ESPECIALES",B250="141 - AREQUIPE","DERIVADOS",B250="142 - MERMELADA","DERIVADOS",B250="131 - GALLETAS AVENA","DERIVADOS",B250="160 - SOUVENIR","OTROS",B250="148 - CARAMELOS","DERIVADOS",B250="143 - CHOCOFFES","DERIVADOS",B250="162 - CONVENIOS Y DSC POS ","OTROS"),"OTROS")</f>
        <v>ESPECIALES</v>
      </c>
      <c r="K250" s="6"/>
      <c r="L250" s="27">
        <f t="shared" ref="L250:L253" si="37">C250-(D250+E250)</f>
        <v>0</v>
      </c>
      <c r="M250" s="27">
        <f t="shared" ref="M250:M270" si="38">L250</f>
        <v>0</v>
      </c>
    </row>
    <row r="251" spans="1:13" ht="15.75" hidden="1" customHeight="1" outlineLevel="1">
      <c r="A251" s="44"/>
      <c r="B251" s="45" t="s">
        <v>92</v>
      </c>
      <c r="C251" s="151">
        <v>3845520</v>
      </c>
      <c r="D251" s="152">
        <v>0</v>
      </c>
      <c r="E251" s="36">
        <v>0</v>
      </c>
      <c r="F251" s="36">
        <v>0</v>
      </c>
      <c r="G251" s="37" t="str">
        <f t="shared" si="35"/>
        <v>-</v>
      </c>
      <c r="H251" s="23">
        <f t="shared" si="36"/>
        <v>0</v>
      </c>
      <c r="I251" s="24">
        <f t="shared" si="36"/>
        <v>0</v>
      </c>
      <c r="J251" s="32" t="str" cm="1">
        <f t="array" ref="J251">IFERROR(_xlfn.IFS(B251="044 - BLEND TRADICION","BLEND",B251="113 - CAFÉ GOURMET","GOURMET",B251="114 - CAFÉ CONSUMO","CONSUMO",B251="112 - CAFÉ ORGANICO","GOURMET",B251="172 - CAFÉ COSECHA","ESPECIALES",B251="176 - CAFE DESCAFEINADO","GOURMET",B251="147 - CAPSULAS","CAPSULAS",B251="130 - GALLETAS CAFECITAS","DERIVADOS",B251="140 - MERENGUES","DERIVADOS",B251="100 - CAFÉ ESPECIAL","ESPECIALES",B251="141 - AREQUIPE","DERIVADOS",B251="142 - MERMELADA","DERIVADOS",B251="131 - GALLETAS AVENA","DERIVADOS",B251="160 - SOUVENIR","OTROS",B251="148 - CARAMELOS","DERIVADOS",B251="143 - CHOCOFFES","DERIVADOS",B251="162 - CONVENIOS Y DSC POS ","OTROS"),"OTROS")</f>
        <v>OTROS</v>
      </c>
      <c r="K251" s="6"/>
      <c r="L251" s="27">
        <f t="shared" si="37"/>
        <v>3845520</v>
      </c>
      <c r="M251" s="27">
        <f t="shared" si="38"/>
        <v>3845520</v>
      </c>
    </row>
    <row r="252" spans="1:13" ht="15.75" hidden="1" customHeight="1" outlineLevel="1">
      <c r="A252" s="19" t="s">
        <v>64</v>
      </c>
      <c r="B252" s="40" t="s">
        <v>32</v>
      </c>
      <c r="C252" s="54">
        <f>SUM(C245:C251)</f>
        <v>45748346</v>
      </c>
      <c r="D252" s="54">
        <f>SUM(D245:D251)</f>
        <v>0</v>
      </c>
      <c r="E252" s="54">
        <f>SUM(E245:E251)</f>
        <v>-185271</v>
      </c>
      <c r="F252" s="54">
        <f>SUM(F245:F251)</f>
        <v>468781637.60000002</v>
      </c>
      <c r="G252" s="55">
        <f t="shared" si="35"/>
        <v>9.7589884779224118E-2</v>
      </c>
      <c r="H252" s="23">
        <f t="shared" si="36"/>
        <v>0</v>
      </c>
      <c r="I252" s="24">
        <f t="shared" si="36"/>
        <v>-4.03345114320085E-3</v>
      </c>
      <c r="J252" s="32" t="str" cm="1">
        <f t="array" ref="J252">IFERROR(_xlfn.IFS(B252="044 - BLEND TRADICION","BLEND",B252="113 - CAFÉ GOURMET","GOURMET",B252="114 - CAFÉ CONSUMO","CONSUMO",B252="112 - CAFÉ ORGANICO","GOURMET",B252="172 - CAFÉ COSECHA","ESPECIALES",B252="176 - CAFE DESCAFEINADO","GOURMET",B252="147 - CAPSULAS","CAPSULAS",B252="130 - GALLETAS CAFECITAS","DERIVADOS",B252="140 - MERENGUES","DERIVADOS",B252="100 - CAFÉ ESPECIAL","ESPECIALES",B252="141 - AREQUIPE","DERIVADOS",B252="142 - MERMELADA","DERIVADOS",B252="131 - GALLETAS AVENA","DERIVADOS",B252="160 - SOUVENIR","OTROS",B252="148 - CARAMELOS","DERIVADOS",B252="143 - CHOCOFFES","DERIVADOS",B252="162 - CONVENIOS Y DSC POS ","OTROS"),"OTROS")</f>
        <v>OTROS</v>
      </c>
      <c r="L252" s="27">
        <f t="shared" si="37"/>
        <v>45933617</v>
      </c>
      <c r="M252" s="27">
        <f t="shared" si="38"/>
        <v>45933617</v>
      </c>
    </row>
    <row r="253" spans="1:13" ht="15.75" hidden="1" customHeight="1" outlineLevel="1">
      <c r="A253" s="33"/>
      <c r="B253" s="39" t="s">
        <v>24</v>
      </c>
      <c r="C253" s="36">
        <v>4250</v>
      </c>
      <c r="D253" s="36"/>
      <c r="E253" s="36">
        <v>0</v>
      </c>
      <c r="F253" s="36">
        <v>0</v>
      </c>
      <c r="G253" s="37" t="str">
        <f t="shared" si="35"/>
        <v>-</v>
      </c>
      <c r="H253" s="23">
        <f t="shared" si="36"/>
        <v>0</v>
      </c>
      <c r="I253" s="24">
        <f t="shared" si="36"/>
        <v>0</v>
      </c>
      <c r="J253" s="32" t="str" cm="1">
        <f t="array" ref="J253">IFERROR(_xlfn.IFS(B253="044 - BLEND TRADICION","BLEND",B253="113 - CAFÉ GOURMET","GOURMET",B253="114 - CAFÉ CONSUMO","CONSUMO",B253="112 - CAFÉ ORGANICO","GOURMET",B253="172 - CAFÉ COSECHA","ESPECIALES",B253="176 - CAFE DESCAFEINADO","GOURMET",B253="147 - CAPSULAS","CAPSULAS",B253="130 - GALLETAS CAFECITAS","DERIVADOS",B253="140 - MERENGUES","DERIVADOS",B253="100 - CAFÉ ESPECIAL","ESPECIALES",B253="141 - AREQUIPE","DERIVADOS",B253="142 - MERMELADA","DERIVADOS",B253="131 - GALLETAS AVENA","DERIVADOS",B253="160 - SOUVENIR","OTROS",B253="148 - CARAMELOS","DERIVADOS",B253="143 - CHOCOFFES","DERIVADOS",B253="162 - CONVENIOS Y DSC POS ","OTROS"),"OTROS")</f>
        <v>DERIVADOS</v>
      </c>
      <c r="L253" s="27">
        <f t="shared" si="37"/>
        <v>4250</v>
      </c>
      <c r="M253" s="27">
        <f t="shared" si="38"/>
        <v>4250</v>
      </c>
    </row>
    <row r="254" spans="1:13" ht="15.75" hidden="1" customHeight="1" outlineLevel="1">
      <c r="A254" s="33"/>
      <c r="B254" s="39" t="s">
        <v>25</v>
      </c>
      <c r="C254" s="36">
        <v>0</v>
      </c>
      <c r="D254" s="36">
        <v>0</v>
      </c>
      <c r="E254" s="36"/>
      <c r="F254" s="36">
        <v>0</v>
      </c>
      <c r="G254" s="37" t="str">
        <f t="shared" si="35"/>
        <v>-</v>
      </c>
      <c r="H254" s="23">
        <f t="shared" si="36"/>
        <v>0</v>
      </c>
      <c r="I254" s="24">
        <f t="shared" si="36"/>
        <v>0</v>
      </c>
      <c r="J254" s="32" t="str" cm="1">
        <f t="array" ref="J254">IFERROR(_xlfn.IFS(B254="044 - BLEND TRADICION","BLEND",B254="113 - CAFÉ GOURMET","GOURMET",B254="114 - CAFÉ CONSUMO","CONSUMO",B254="112 - CAFÉ ORGANICO","GOURMET",B254="172 - CAFÉ COSECHA","ESPECIALES",B254="176 - CAFE DESCAFEINADO","GOURMET",B254="147 - CAPSULAS","CAPSULAS",B254="130 - GALLETAS CAFECITAS","DERIVADOS",B254="140 - MERENGUES","DERIVADOS",B254="100 - CAFÉ ESPECIAL","ESPECIALES",B254="141 - AREQUIPE","DERIVADOS",B254="142 - MERMELADA","DERIVADOS",B254="131 - GALLETAS AVENA","DERIVADOS",B254="160 - SOUVENIR","OTROS",B254="148 - CARAMELOS","DERIVADOS",B254="143 - CHOCOFFES","DERIVADOS",B254="162 - CONVENIOS Y DSC POS ","OTROS"),"OTROS")</f>
        <v>DERIVADOS</v>
      </c>
      <c r="K254" s="6"/>
      <c r="L254" s="27">
        <f>C254-(D254+E254)</f>
        <v>0</v>
      </c>
      <c r="M254" s="27">
        <f t="shared" si="38"/>
        <v>0</v>
      </c>
    </row>
    <row r="255" spans="1:13" ht="15.75" hidden="1" customHeight="1" outlineLevel="1">
      <c r="A255" s="38"/>
      <c r="B255" s="39" t="s">
        <v>29</v>
      </c>
      <c r="C255" s="36">
        <v>0</v>
      </c>
      <c r="D255" s="36">
        <v>0</v>
      </c>
      <c r="E255" s="36">
        <v>0</v>
      </c>
      <c r="F255" s="36">
        <v>0</v>
      </c>
      <c r="G255" s="37" t="str">
        <f t="shared" si="35"/>
        <v>-</v>
      </c>
      <c r="H255" s="23">
        <f t="shared" si="36"/>
        <v>0</v>
      </c>
      <c r="I255" s="24">
        <f t="shared" si="36"/>
        <v>0</v>
      </c>
      <c r="J255" s="32" t="str" cm="1">
        <f t="array" ref="J255">IFERROR(_xlfn.IFS(B255="044 - BLEND TRADICION","BLEND",B255="113 - CAFÉ GOURMET","GOURMET",B255="114 - CAFÉ CONSUMO","CONSUMO",B255="112 - CAFÉ ORGANICO","GOURMET",B255="172 - CAFÉ COSECHA","ESPECIALES",B255="176 - CAFE DESCAFEINADO","GOURMET",B255="147 - CAPSULAS","CAPSULAS",B255="130 - GALLETAS CAFECITAS","DERIVADOS",B255="140 - MERENGUES","DERIVADOS",B255="100 - CAFÉ ESPECIAL","ESPECIALES",B255="141 - AREQUIPE","DERIVADOS",B255="142 - MERMELADA","DERIVADOS",B255="131 - GALLETAS AVENA","DERIVADOS",B255="160 - SOUVENIR","OTROS",B255="148 - CARAMELOS","DERIVADOS",B255="143 - CHOCOFFES","DERIVADOS",B255="162 - CONVENIOS Y DSC POS ","OTROS"),"OTROS")</f>
        <v>ESPECIALES</v>
      </c>
      <c r="K255" s="6"/>
      <c r="L255" s="27">
        <f t="shared" ref="L255:L271" si="39">C255-(D255+E255)</f>
        <v>0</v>
      </c>
      <c r="M255" s="27">
        <f t="shared" si="38"/>
        <v>0</v>
      </c>
    </row>
    <row r="256" spans="1:13" ht="15.75" hidden="1" customHeight="1" outlineLevel="1">
      <c r="A256" s="19" t="s">
        <v>65</v>
      </c>
      <c r="B256" s="56" t="s">
        <v>32</v>
      </c>
      <c r="C256" s="54">
        <f>SUM(C253:C255)</f>
        <v>4250</v>
      </c>
      <c r="D256" s="54">
        <f>SUM(D253:D255)</f>
        <v>0</v>
      </c>
      <c r="E256" s="57">
        <v>0</v>
      </c>
      <c r="F256" s="58">
        <v>0</v>
      </c>
      <c r="G256" s="55" t="str">
        <f t="shared" si="35"/>
        <v>-</v>
      </c>
      <c r="H256" s="23">
        <f t="shared" si="36"/>
        <v>0</v>
      </c>
      <c r="I256" s="24">
        <f t="shared" si="36"/>
        <v>0</v>
      </c>
      <c r="J256" s="32" t="str" cm="1">
        <f t="array" ref="J256">IFERROR(_xlfn.IFS(B256="044 - BLEND TRADICION","BLEND",B256="113 - CAFÉ GOURMET","GOURMET",B256="114 - CAFÉ CONSUMO","CONSUMO",B256="112 - CAFÉ ORGANICO","GOURMET",B256="172 - CAFÉ COSECHA","ESPECIALES",B256="176 - CAFE DESCAFEINADO","GOURMET",B256="147 - CAPSULAS","CAPSULAS",B256="130 - GALLETAS CAFECITAS","DERIVADOS",B256="140 - MERENGUES","DERIVADOS",B256="100 - CAFÉ ESPECIAL","ESPECIALES",B256="141 - AREQUIPE","DERIVADOS",B256="142 - MERMELADA","DERIVADOS",B256="131 - GALLETAS AVENA","DERIVADOS",B256="160 - SOUVENIR","OTROS",B256="148 - CARAMELOS","DERIVADOS",B256="143 - CHOCOFFES","DERIVADOS",B256="162 - CONVENIOS Y DSC POS ","OTROS"),"OTROS")</f>
        <v>OTROS</v>
      </c>
      <c r="K256" s="6"/>
      <c r="L256" s="27">
        <f t="shared" si="39"/>
        <v>4250</v>
      </c>
      <c r="M256" s="27">
        <f t="shared" si="38"/>
        <v>4250</v>
      </c>
    </row>
    <row r="257" spans="1:13" ht="17" collapsed="1" thickBot="1">
      <c r="A257" s="63" t="s">
        <v>66</v>
      </c>
      <c r="B257" s="64" t="s">
        <v>17</v>
      </c>
      <c r="C257" s="65">
        <f>+C270</f>
        <v>338072242</v>
      </c>
      <c r="D257" s="65">
        <f>+D270</f>
        <v>-46670439</v>
      </c>
      <c r="E257" s="65">
        <f>+E270</f>
        <v>0</v>
      </c>
      <c r="F257" s="65">
        <f>+F270</f>
        <v>3060120402.4200006</v>
      </c>
      <c r="G257" s="66">
        <f t="shared" si="35"/>
        <v>0.11047677788515972</v>
      </c>
      <c r="H257" s="23">
        <f t="shared" si="36"/>
        <v>-0.12130299367540145</v>
      </c>
      <c r="I257" s="24">
        <f t="shared" si="36"/>
        <v>0</v>
      </c>
      <c r="J257" s="32" t="str" cm="1">
        <f t="array" ref="J257">IFERROR(_xlfn.IFS(B257="044 - BLEND TRADICION","BLEND",B257="113 - CAFÉ GOURMET","GOURMET",B257="114 - CAFÉ CONSUMO","CONSUMO",B257="112 - CAFÉ ORGANICO","GOURMET",B257="172 - CAFÉ COSECHA","ESPECIALES",B257="176 - CAFE DESCAFEINADO","GOURMET",B257="147 - CAPSULAS","CAPSULAS",B257="130 - GALLETAS CAFECITAS","DERIVADOS",B257="140 - MERENGUES","DERIVADOS",B257="100 - CAFÉ ESPECIAL","ESPECIALES",B257="141 - AREQUIPE","DERIVADOS",B257="142 - MERMELADA","DERIVADOS",B257="131 - GALLETAS AVENA","DERIVADOS",B257="160 - SOUVENIR","OTROS",B257="148 - CARAMELOS","DERIVADOS",B257="143 - CHOCOFFES","DERIVADOS",B257="162 - CONVENIOS Y DSC POS ","OTROS"),"OTROS")</f>
        <v>OTROS</v>
      </c>
      <c r="K257" s="6"/>
      <c r="L257" s="27">
        <f t="shared" si="39"/>
        <v>384742681</v>
      </c>
      <c r="M257" s="27">
        <f t="shared" si="38"/>
        <v>384742681</v>
      </c>
    </row>
    <row r="258" spans="1:13" s="26" customFormat="1" ht="15.75" hidden="1" customHeight="1" outlineLevel="1">
      <c r="A258" s="67"/>
      <c r="B258" s="34" t="s">
        <v>18</v>
      </c>
      <c r="C258" s="68">
        <v>521600</v>
      </c>
      <c r="D258" s="68">
        <v>0</v>
      </c>
      <c r="E258" s="35">
        <v>0</v>
      </c>
      <c r="F258" s="35">
        <v>4301469.12</v>
      </c>
      <c r="G258" s="49">
        <f t="shared" si="35"/>
        <v>0.12126089609124056</v>
      </c>
      <c r="H258" s="23">
        <f t="shared" si="36"/>
        <v>0</v>
      </c>
      <c r="I258" s="24">
        <f t="shared" si="36"/>
        <v>0</v>
      </c>
      <c r="J258" s="32" t="str" cm="1">
        <f t="array" ref="J258">IFERROR(_xlfn.IFS(B258="044 - BLEND TRADICION","BLEND",B258="113 - CAFÉ GOURMET","GOURMET",B258="114 - CAFÉ CONSUMO","CONSUMO",B258="112 - CAFÉ ORGANICO","GOURMET",B258="172 - CAFÉ COSECHA","ESPECIALES",B258="176 - CAFE DESCAFEINADO","GOURMET",B258="147 - CAPSULAS","CAPSULAS",B258="130 - GALLETAS CAFECITAS","DERIVADOS",B258="140 - MERENGUES","DERIVADOS",B258="100 - CAFÉ ESPECIAL","ESPECIALES",B258="141 - AREQUIPE","DERIVADOS",B258="142 - MERMELADA","DERIVADOS",B258="131 - GALLETAS AVENA","DERIVADOS",B258="160 - SOUVENIR","OTROS",B258="148 - CARAMELOS","DERIVADOS",B258="143 - CHOCOFFES","DERIVADOS",B258="162 - CONVENIOS Y DSC POS ","OTROS"),"OTROS")</f>
        <v>BLEND</v>
      </c>
      <c r="L258" s="27">
        <f t="shared" si="39"/>
        <v>521600</v>
      </c>
      <c r="M258" s="27">
        <f t="shared" si="38"/>
        <v>521600</v>
      </c>
    </row>
    <row r="259" spans="1:13" s="26" customFormat="1" ht="15.75" hidden="1" customHeight="1" outlineLevel="1">
      <c r="A259" s="67"/>
      <c r="B259" s="39" t="s">
        <v>19</v>
      </c>
      <c r="C259" s="60">
        <v>20572293</v>
      </c>
      <c r="D259" s="60">
        <v>-6284991</v>
      </c>
      <c r="E259" s="36"/>
      <c r="F259" s="35">
        <v>133747007.69</v>
      </c>
      <c r="G259" s="37">
        <f t="shared" si="35"/>
        <v>0.15381497766052937</v>
      </c>
      <c r="H259" s="23">
        <f t="shared" si="36"/>
        <v>-0.23401439252010739</v>
      </c>
      <c r="I259" s="24">
        <f t="shared" si="36"/>
        <v>0</v>
      </c>
      <c r="J259" s="32" t="str" cm="1">
        <f t="array" ref="J259">IFERROR(_xlfn.IFS(B259="044 - BLEND TRADICION","BLEND",B259="113 - CAFÉ GOURMET","GOURMET",B259="114 - CAFÉ CONSUMO","CONSUMO",B259="112 - CAFÉ ORGANICO","GOURMET",B259="172 - CAFÉ COSECHA","ESPECIALES",B259="176 - CAFE DESCAFEINADO","GOURMET",B259="147 - CAPSULAS","CAPSULAS",B259="130 - GALLETAS CAFECITAS","DERIVADOS",B259="140 - MERENGUES","DERIVADOS",B259="100 - CAFÉ ESPECIAL","ESPECIALES",B259="141 - AREQUIPE","DERIVADOS",B259="142 - MERMELADA","DERIVADOS",B259="131 - GALLETAS AVENA","DERIVADOS",B259="160 - SOUVENIR","OTROS",B259="148 - CARAMELOS","DERIVADOS",B259="143 - CHOCOFFES","DERIVADOS",B259="162 - CONVENIOS Y DSC POS ","OTROS"),"OTROS")</f>
        <v>ESPECIALES</v>
      </c>
      <c r="L259" s="27">
        <f t="shared" si="39"/>
        <v>26857284</v>
      </c>
      <c r="M259" s="27">
        <f t="shared" si="38"/>
        <v>26857284</v>
      </c>
    </row>
    <row r="260" spans="1:13" s="26" customFormat="1" ht="15.75" hidden="1" customHeight="1" outlineLevel="1">
      <c r="A260" s="69"/>
      <c r="B260" s="39" t="s">
        <v>20</v>
      </c>
      <c r="C260" s="60">
        <v>20375092</v>
      </c>
      <c r="D260" s="60">
        <v>-351898</v>
      </c>
      <c r="E260" s="36">
        <v>0</v>
      </c>
      <c r="F260" s="36">
        <v>166140099.77000001</v>
      </c>
      <c r="G260" s="37">
        <f t="shared" si="35"/>
        <v>0.12263801471292446</v>
      </c>
      <c r="H260" s="23">
        <f t="shared" si="36"/>
        <v>-1.6977766670413792E-2</v>
      </c>
      <c r="I260" s="24">
        <f t="shared" si="36"/>
        <v>0</v>
      </c>
      <c r="J260" s="32" t="str" cm="1">
        <f t="array" ref="J260">IFERROR(_xlfn.IFS(B260="044 - BLEND TRADICION","BLEND",B260="113 - CAFÉ GOURMET","GOURMET",B260="114 - CAFÉ CONSUMO","CONSUMO",B260="112 - CAFÉ ORGANICO","GOURMET",B260="172 - CAFÉ COSECHA","ESPECIALES",B260="176 - CAFE DESCAFEINADO","GOURMET",B260="147 - CAPSULAS","CAPSULAS",B260="130 - GALLETAS CAFECITAS","DERIVADOS",B260="140 - MERENGUES","DERIVADOS",B260="100 - CAFÉ ESPECIAL","ESPECIALES",B260="141 - AREQUIPE","DERIVADOS",B260="142 - MERMELADA","DERIVADOS",B260="131 - GALLETAS AVENA","DERIVADOS",B260="160 - SOUVENIR","OTROS",B260="148 - CARAMELOS","DERIVADOS",B260="143 - CHOCOFFES","DERIVADOS",B260="162 - CONVENIOS Y DSC POS ","OTROS"),"OTROS")</f>
        <v>GOURMET</v>
      </c>
      <c r="L260" s="27">
        <f t="shared" si="39"/>
        <v>20726990</v>
      </c>
      <c r="M260" s="27">
        <f t="shared" si="38"/>
        <v>20726990</v>
      </c>
    </row>
    <row r="261" spans="1:13" s="26" customFormat="1" ht="15.75" hidden="1" customHeight="1" outlineLevel="1">
      <c r="A261" s="69"/>
      <c r="B261" s="39" t="s">
        <v>21</v>
      </c>
      <c r="C261" s="60">
        <v>263970466</v>
      </c>
      <c r="D261" s="60">
        <v>-9774975</v>
      </c>
      <c r="E261" s="36">
        <v>0</v>
      </c>
      <c r="F261" s="35">
        <v>2016617010.9000001</v>
      </c>
      <c r="G261" s="37">
        <f t="shared" si="35"/>
        <v>0.13089766900369054</v>
      </c>
      <c r="H261" s="23">
        <f t="shared" si="36"/>
        <v>-3.5708265914097911E-2</v>
      </c>
      <c r="I261" s="24">
        <f t="shared" si="36"/>
        <v>0</v>
      </c>
      <c r="J261" s="32" t="str" cm="1">
        <f t="array" ref="J261">IFERROR(_xlfn.IFS(B261="044 - BLEND TRADICION","BLEND",B261="113 - CAFÉ GOURMET","GOURMET",B261="114 - CAFÉ CONSUMO","CONSUMO",B261="112 - CAFÉ ORGANICO","GOURMET",B261="172 - CAFÉ COSECHA","ESPECIALES",B261="176 - CAFE DESCAFEINADO","GOURMET",B261="147 - CAPSULAS","CAPSULAS",B261="130 - GALLETAS CAFECITAS","DERIVADOS",B261="140 - MERENGUES","DERIVADOS",B261="100 - CAFÉ ESPECIAL","ESPECIALES",B261="141 - AREQUIPE","DERIVADOS",B261="142 - MERMELADA","DERIVADOS",B261="131 - GALLETAS AVENA","DERIVADOS",B261="160 - SOUVENIR","OTROS",B261="148 - CARAMELOS","DERIVADOS",B261="143 - CHOCOFFES","DERIVADOS",B261="162 - CONVENIOS Y DSC POS ","OTROS"),"OTROS")</f>
        <v>GOURMET</v>
      </c>
      <c r="L261" s="27">
        <f t="shared" si="39"/>
        <v>273745441</v>
      </c>
      <c r="M261" s="27">
        <f t="shared" si="38"/>
        <v>273745441</v>
      </c>
    </row>
    <row r="262" spans="1:13" s="26" customFormat="1" ht="15.75" hidden="1" customHeight="1" outlineLevel="1">
      <c r="A262" s="69"/>
      <c r="B262" s="39" t="s">
        <v>22</v>
      </c>
      <c r="C262" s="60">
        <v>14781071</v>
      </c>
      <c r="D262" s="60">
        <v>-2367734</v>
      </c>
      <c r="E262" s="36">
        <v>0</v>
      </c>
      <c r="F262" s="36">
        <v>61087901.090000004</v>
      </c>
      <c r="G262" s="37">
        <f t="shared" si="35"/>
        <v>0.24196396890806973</v>
      </c>
      <c r="H262" s="23">
        <f t="shared" si="36"/>
        <v>-0.13806991216006012</v>
      </c>
      <c r="I262" s="24">
        <f t="shared" si="36"/>
        <v>0</v>
      </c>
      <c r="J262" s="32" t="str" cm="1">
        <f t="array" ref="J262">IFERROR(_xlfn.IFS(B262="044 - BLEND TRADICION","BLEND",B262="113 - CAFÉ GOURMET","GOURMET",B262="114 - CAFÉ CONSUMO","CONSUMO",B262="112 - CAFÉ ORGANICO","GOURMET",B262="172 - CAFÉ COSECHA","ESPECIALES",B262="176 - CAFE DESCAFEINADO","GOURMET",B262="147 - CAPSULAS","CAPSULAS",B262="130 - GALLETAS CAFECITAS","DERIVADOS",B262="140 - MERENGUES","DERIVADOS",B262="100 - CAFÉ ESPECIAL","ESPECIALES",B262="141 - AREQUIPE","DERIVADOS",B262="142 - MERMELADA","DERIVADOS",B262="131 - GALLETAS AVENA","DERIVADOS",B262="160 - SOUVENIR","OTROS",B262="148 - CARAMELOS","DERIVADOS",B262="143 - CHOCOFFES","DERIVADOS",B262="162 - CONVENIOS Y DSC POS ","OTROS"),"OTROS")</f>
        <v>DERIVADOS</v>
      </c>
      <c r="L262" s="27">
        <f t="shared" si="39"/>
        <v>17148805</v>
      </c>
      <c r="M262" s="27">
        <f t="shared" si="38"/>
        <v>17148805</v>
      </c>
    </row>
    <row r="263" spans="1:13" s="26" customFormat="1" ht="15.75" hidden="1" customHeight="1" outlineLevel="1">
      <c r="A263" s="69"/>
      <c r="B263" s="39" t="s">
        <v>24</v>
      </c>
      <c r="C263" s="60">
        <v>4594183</v>
      </c>
      <c r="D263" s="60">
        <v>-168057</v>
      </c>
      <c r="E263" s="36"/>
      <c r="F263" s="35">
        <v>7233101.0300000003</v>
      </c>
      <c r="G263" s="37">
        <f t="shared" si="35"/>
        <v>0.63516090552933968</v>
      </c>
      <c r="H263" s="23">
        <f t="shared" si="36"/>
        <v>-3.5289485620212335E-2</v>
      </c>
      <c r="I263" s="24">
        <f t="shared" si="36"/>
        <v>0</v>
      </c>
      <c r="J263" s="32" t="str" cm="1">
        <f t="array" ref="J263">IFERROR(_xlfn.IFS(B263="044 - BLEND TRADICION","BLEND",B263="113 - CAFÉ GOURMET","GOURMET",B263="114 - CAFÉ CONSUMO","CONSUMO",B263="112 - CAFÉ ORGANICO","GOURMET",B263="172 - CAFÉ COSECHA","ESPECIALES",B263="176 - CAFE DESCAFEINADO","GOURMET",B263="147 - CAPSULAS","CAPSULAS",B263="130 - GALLETAS CAFECITAS","DERIVADOS",B263="140 - MERENGUES","DERIVADOS",B263="100 - CAFÉ ESPECIAL","ESPECIALES",B263="141 - AREQUIPE","DERIVADOS",B263="142 - MERMELADA","DERIVADOS",B263="131 - GALLETAS AVENA","DERIVADOS",B263="160 - SOUVENIR","OTROS",B263="148 - CARAMELOS","DERIVADOS",B263="143 - CHOCOFFES","DERIVADOS",B263="162 - CONVENIOS Y DSC POS ","OTROS"),"OTROS")</f>
        <v>DERIVADOS</v>
      </c>
      <c r="L263" s="27">
        <f t="shared" si="39"/>
        <v>4762240</v>
      </c>
      <c r="M263" s="27">
        <f t="shared" si="38"/>
        <v>4762240</v>
      </c>
    </row>
    <row r="264" spans="1:13" s="26" customFormat="1" ht="15.75" hidden="1" customHeight="1" outlineLevel="1">
      <c r="A264" s="69"/>
      <c r="B264" s="39" t="s">
        <v>25</v>
      </c>
      <c r="C264" s="60">
        <v>1536508</v>
      </c>
      <c r="D264" s="60">
        <v>-149012</v>
      </c>
      <c r="E264" s="36"/>
      <c r="F264" s="35">
        <v>8769038.3300000001</v>
      </c>
      <c r="G264" s="37">
        <f t="shared" si="35"/>
        <v>0.17521966972631536</v>
      </c>
      <c r="H264" s="23">
        <f t="shared" si="36"/>
        <v>-8.8407138449855233E-2</v>
      </c>
      <c r="I264" s="24">
        <f t="shared" si="36"/>
        <v>0</v>
      </c>
      <c r="J264" s="32" t="str" cm="1">
        <f t="array" ref="J264">IFERROR(_xlfn.IFS(B264="044 - BLEND TRADICION","BLEND",B264="113 - CAFÉ GOURMET","GOURMET",B264="114 - CAFÉ CONSUMO","CONSUMO",B264="112 - CAFÉ ORGANICO","GOURMET",B264="172 - CAFÉ COSECHA","ESPECIALES",B264="176 - CAFE DESCAFEINADO","GOURMET",B264="147 - CAPSULAS","CAPSULAS",B264="130 - GALLETAS CAFECITAS","DERIVADOS",B264="140 - MERENGUES","DERIVADOS",B264="100 - CAFÉ ESPECIAL","ESPECIALES",B264="141 - AREQUIPE","DERIVADOS",B264="142 - MERMELADA","DERIVADOS",B264="131 - GALLETAS AVENA","DERIVADOS",B264="160 - SOUVENIR","OTROS",B264="148 - CARAMELOS","DERIVADOS",B264="143 - CHOCOFFES","DERIVADOS",B264="162 - CONVENIOS Y DSC POS ","OTROS"),"OTROS")</f>
        <v>DERIVADOS</v>
      </c>
      <c r="L264" s="27">
        <f t="shared" si="39"/>
        <v>1685520</v>
      </c>
      <c r="M264" s="27">
        <f t="shared" si="38"/>
        <v>1685520</v>
      </c>
    </row>
    <row r="265" spans="1:13" s="26" customFormat="1" ht="15.75" hidden="1" customHeight="1" outlineLevel="1">
      <c r="A265" s="69"/>
      <c r="B265" s="39" t="s">
        <v>26</v>
      </c>
      <c r="C265" s="60">
        <v>-13945470</v>
      </c>
      <c r="D265" s="60">
        <v>-24435333</v>
      </c>
      <c r="E265" s="36">
        <v>0</v>
      </c>
      <c r="F265" s="36">
        <v>155253232.08000001</v>
      </c>
      <c r="G265" s="37">
        <f t="shared" si="35"/>
        <v>-8.9824023713812776E-2</v>
      </c>
      <c r="H265" s="23">
        <f t="shared" si="36"/>
        <v>-2.3294234633950892</v>
      </c>
      <c r="I265" s="24">
        <f t="shared" si="36"/>
        <v>0</v>
      </c>
      <c r="J265" s="32" t="str" cm="1">
        <f t="array" ref="J265">IFERROR(_xlfn.IFS(B265="044 - BLEND TRADICION","BLEND",B265="113 - CAFÉ GOURMET","GOURMET",B265="114 - CAFÉ CONSUMO","CONSUMO",B265="112 - CAFÉ ORGANICO","GOURMET",B265="172 - CAFÉ COSECHA","ESPECIALES",B265="176 - CAFE DESCAFEINADO","GOURMET",B265="147 - CAPSULAS","CAPSULAS",B265="130 - GALLETAS CAFECITAS","DERIVADOS",B265="140 - MERENGUES","DERIVADOS",B265="100 - CAFÉ ESPECIAL","ESPECIALES",B265="141 - AREQUIPE","DERIVADOS",B265="142 - MERMELADA","DERIVADOS",B265="131 - GALLETAS AVENA","DERIVADOS",B265="160 - SOUVENIR","OTROS",B265="148 - CARAMELOS","DERIVADOS",B265="143 - CHOCOFFES","DERIVADOS",B265="162 - CONVENIOS Y DSC POS ","OTROS"),"OTROS")</f>
        <v>CAPSULAS</v>
      </c>
      <c r="L265" s="27">
        <f t="shared" si="39"/>
        <v>10489863</v>
      </c>
      <c r="M265" s="27">
        <f t="shared" si="38"/>
        <v>10489863</v>
      </c>
    </row>
    <row r="266" spans="1:13" s="26" customFormat="1" ht="15.75" hidden="1" customHeight="1" outlineLevel="1">
      <c r="A266" s="69"/>
      <c r="B266" s="39" t="s">
        <v>27</v>
      </c>
      <c r="C266" s="60">
        <v>1068749</v>
      </c>
      <c r="D266" s="60">
        <v>0</v>
      </c>
      <c r="E266" s="36">
        <v>0</v>
      </c>
      <c r="F266" s="35">
        <v>5439026.3600000003</v>
      </c>
      <c r="G266" s="37">
        <f t="shared" si="35"/>
        <v>0.1964963817531489</v>
      </c>
      <c r="H266" s="23">
        <f t="shared" si="36"/>
        <v>0</v>
      </c>
      <c r="I266" s="24">
        <f t="shared" si="36"/>
        <v>0</v>
      </c>
      <c r="J266" s="32" t="str" cm="1">
        <f t="array" ref="J266">IFERROR(_xlfn.IFS(B266="044 - BLEND TRADICION","BLEND",B266="113 - CAFÉ GOURMET","GOURMET",B266="114 - CAFÉ CONSUMO","CONSUMO",B266="112 - CAFÉ ORGANICO","GOURMET",B266="172 - CAFÉ COSECHA","ESPECIALES",B266="176 - CAFE DESCAFEINADO","GOURMET",B266="147 - CAPSULAS","CAPSULAS",B266="130 - GALLETAS CAFECITAS","DERIVADOS",B266="140 - MERENGUES","DERIVADOS",B266="100 - CAFÉ ESPECIAL","ESPECIALES",B266="141 - AREQUIPE","DERIVADOS",B266="142 - MERMELADA","DERIVADOS",B266="131 - GALLETAS AVENA","DERIVADOS",B266="160 - SOUVENIR","OTROS",B266="148 - CARAMELOS","DERIVADOS",B266="143 - CHOCOFFES","DERIVADOS",B266="162 - CONVENIOS Y DSC POS ","OTROS"),"OTROS")</f>
        <v>DERIVADOS</v>
      </c>
      <c r="L266" s="27">
        <f t="shared" si="39"/>
        <v>1068749</v>
      </c>
      <c r="M266" s="27">
        <f t="shared" si="38"/>
        <v>1068749</v>
      </c>
    </row>
    <row r="267" spans="1:13" s="26" customFormat="1" ht="15.75" hidden="1" customHeight="1" outlineLevel="1">
      <c r="A267" s="69"/>
      <c r="B267" s="39" t="s">
        <v>28</v>
      </c>
      <c r="C267" s="60">
        <v>10675038</v>
      </c>
      <c r="D267" s="60">
        <v>-1217631</v>
      </c>
      <c r="E267" s="36">
        <v>0</v>
      </c>
      <c r="F267" s="36">
        <v>137373469.31999999</v>
      </c>
      <c r="G267" s="37">
        <f t="shared" si="35"/>
        <v>7.7708148835736193E-2</v>
      </c>
      <c r="H267" s="23">
        <f t="shared" si="36"/>
        <v>-0.10238500709975196</v>
      </c>
      <c r="I267" s="24">
        <f t="shared" si="36"/>
        <v>0</v>
      </c>
      <c r="J267" s="32" t="str" cm="1">
        <f t="array" ref="J267">IFERROR(_xlfn.IFS(B267="044 - BLEND TRADICION","BLEND",B267="113 - CAFÉ GOURMET","GOURMET",B267="114 - CAFÉ CONSUMO","CONSUMO",B267="112 - CAFÉ ORGANICO","GOURMET",B267="172 - CAFÉ COSECHA","ESPECIALES",B267="176 - CAFE DESCAFEINADO","GOURMET",B267="147 - CAPSULAS","CAPSULAS",B267="130 - GALLETAS CAFECITAS","DERIVADOS",B267="140 - MERENGUES","DERIVADOS",B267="100 - CAFÉ ESPECIAL","ESPECIALES",B267="141 - AREQUIPE","DERIVADOS",B267="142 - MERMELADA","DERIVADOS",B267="131 - GALLETAS AVENA","DERIVADOS",B267="160 - SOUVENIR","OTROS",B267="148 - CARAMELOS","DERIVADOS",B267="143 - CHOCOFFES","DERIVADOS",B267="162 - CONVENIOS Y DSC POS ","OTROS"),"OTROS")</f>
        <v>OTROS</v>
      </c>
      <c r="L267" s="27">
        <f t="shared" si="39"/>
        <v>11892669</v>
      </c>
      <c r="M267" s="27">
        <f t="shared" si="38"/>
        <v>11892669</v>
      </c>
    </row>
    <row r="268" spans="1:13" s="26" customFormat="1" ht="15.75" hidden="1" customHeight="1" outlineLevel="1">
      <c r="A268" s="69"/>
      <c r="B268" s="39" t="s">
        <v>29</v>
      </c>
      <c r="C268" s="60">
        <v>10894263</v>
      </c>
      <c r="D268" s="60">
        <v>-1887989</v>
      </c>
      <c r="E268" s="36">
        <v>0</v>
      </c>
      <c r="F268" s="36">
        <v>320749097.20999998</v>
      </c>
      <c r="G268" s="37">
        <f t="shared" si="35"/>
        <v>3.3965062083611532E-2</v>
      </c>
      <c r="H268" s="23">
        <f t="shared" si="36"/>
        <v>-0.14770394137120751</v>
      </c>
      <c r="I268" s="24">
        <f t="shared" si="36"/>
        <v>0</v>
      </c>
      <c r="J268" s="32" t="str" cm="1">
        <f t="array" ref="J268">IFERROR(_xlfn.IFS(B268="044 - BLEND TRADICION","BLEND",B268="113 - CAFÉ GOURMET","GOURMET",B268="114 - CAFÉ CONSUMO","CONSUMO",B268="112 - CAFÉ ORGANICO","GOURMET",B268="172 - CAFÉ COSECHA","ESPECIALES",B268="176 - CAFE DESCAFEINADO","GOURMET",B268="147 - CAPSULAS","CAPSULAS",B268="130 - GALLETAS CAFECITAS","DERIVADOS",B268="140 - MERENGUES","DERIVADOS",B268="100 - CAFÉ ESPECIAL","ESPECIALES",B268="141 - AREQUIPE","DERIVADOS",B268="142 - MERMELADA","DERIVADOS",B268="131 - GALLETAS AVENA","DERIVADOS",B268="160 - SOUVENIR","OTROS",B268="148 - CARAMELOS","DERIVADOS",B268="143 - CHOCOFFES","DERIVADOS",B268="162 - CONVENIOS Y DSC POS ","OTROS"),"OTROS")</f>
        <v>ESPECIALES</v>
      </c>
      <c r="L268" s="27">
        <f t="shared" si="39"/>
        <v>12782252</v>
      </c>
      <c r="M268" s="27">
        <f t="shared" si="38"/>
        <v>12782252</v>
      </c>
    </row>
    <row r="269" spans="1:13" s="26" customFormat="1" ht="15.75" hidden="1" customHeight="1" outlineLevel="1">
      <c r="A269" s="69"/>
      <c r="B269" s="39" t="s">
        <v>30</v>
      </c>
      <c r="C269" s="60">
        <v>3028449</v>
      </c>
      <c r="D269" s="60">
        <v>-32819</v>
      </c>
      <c r="E269" s="60">
        <v>0</v>
      </c>
      <c r="F269" s="36">
        <v>43409949.520000003</v>
      </c>
      <c r="G269" s="37">
        <f t="shared" si="35"/>
        <v>6.9763937380409091E-2</v>
      </c>
      <c r="H269" s="23">
        <f t="shared" si="36"/>
        <v>-1.0720720956152809E-2</v>
      </c>
      <c r="I269" s="24">
        <f t="shared" si="36"/>
        <v>0</v>
      </c>
      <c r="J269" s="32" t="str" cm="1">
        <f t="array" ref="J269">IFERROR(_xlfn.IFS(B269="044 - BLEND TRADICION","BLEND",B269="113 - CAFÉ GOURMET","GOURMET",B269="114 - CAFÉ CONSUMO","CONSUMO",B269="112 - CAFÉ ORGANICO","GOURMET",B269="172 - CAFÉ COSECHA","ESPECIALES",B269="176 - CAFE DESCAFEINADO","GOURMET",B269="147 - CAPSULAS","CAPSULAS",B269="130 - GALLETAS CAFECITAS","DERIVADOS",B269="140 - MERENGUES","DERIVADOS",B269="100 - CAFÉ ESPECIAL","ESPECIALES",B269="141 - AREQUIPE","DERIVADOS",B269="142 - MERMELADA","DERIVADOS",B269="131 - GALLETAS AVENA","DERIVADOS",B269="160 - SOUVENIR","OTROS",B269="148 - CARAMELOS","DERIVADOS",B269="143 - CHOCOFFES","DERIVADOS",B269="162 - CONVENIOS Y DSC POS ","OTROS"),"OTROS")</f>
        <v>GOURMET</v>
      </c>
      <c r="L269" s="27">
        <f t="shared" si="39"/>
        <v>3061268</v>
      </c>
      <c r="M269" s="27">
        <f t="shared" si="38"/>
        <v>3061268</v>
      </c>
    </row>
    <row r="270" spans="1:13" s="26" customFormat="1" ht="15.75" hidden="1" customHeight="1" outlineLevel="1" thickBot="1">
      <c r="A270" s="70" t="s">
        <v>66</v>
      </c>
      <c r="B270" s="56" t="s">
        <v>32</v>
      </c>
      <c r="C270" s="54">
        <f>SUM(C258:C269)</f>
        <v>338072242</v>
      </c>
      <c r="D270" s="54">
        <f>SUM(D258:D269)</f>
        <v>-46670439</v>
      </c>
      <c r="E270" s="54">
        <f>SUM(E258:E269)</f>
        <v>0</v>
      </c>
      <c r="F270" s="71">
        <f>SUM(F258:F269)</f>
        <v>3060120402.4200006</v>
      </c>
      <c r="G270" s="72">
        <f t="shared" si="35"/>
        <v>0.11047677788515972</v>
      </c>
      <c r="H270" s="73">
        <f t="shared" si="36"/>
        <v>-0.12130299367540145</v>
      </c>
      <c r="I270" s="74">
        <f t="shared" si="36"/>
        <v>0</v>
      </c>
      <c r="J270" s="32"/>
      <c r="L270" s="27">
        <f t="shared" si="39"/>
        <v>384742681</v>
      </c>
      <c r="M270" s="27">
        <f t="shared" si="38"/>
        <v>384742681</v>
      </c>
    </row>
    <row r="271" spans="1:13" s="26" customFormat="1" ht="17" collapsed="1" thickBot="1">
      <c r="A271" s="181" t="s">
        <v>67</v>
      </c>
      <c r="B271" s="182"/>
      <c r="C271" s="75">
        <f>+C61+C110+C194+C210+C241+C5+C226+C257+C21</f>
        <v>1096840446</v>
      </c>
      <c r="D271" s="75">
        <f>+D61+D110+D194+D210+D241+D5+D226+D257+D21</f>
        <v>-62937994</v>
      </c>
      <c r="E271" s="75">
        <f>+E61+E110+E194+E210+E241+E5+E226+E257+E21</f>
        <v>-2584562</v>
      </c>
      <c r="F271" s="75">
        <f>+F61+F110+F194+F210+F241+F5+F226+F257+F21</f>
        <v>6068096467.1400003</v>
      </c>
      <c r="G271" s="76">
        <f>IFERROR(C271/F271*100%,"-")</f>
        <v>0.1807552750585984</v>
      </c>
      <c r="H271" s="76">
        <f t="shared" si="36"/>
        <v>-5.4146590945949605E-2</v>
      </c>
      <c r="I271" s="77">
        <f t="shared" si="36"/>
        <v>-2.2235411790920028E-3</v>
      </c>
      <c r="J271" s="32"/>
      <c r="L271" s="27">
        <f t="shared" si="39"/>
        <v>1162363002</v>
      </c>
      <c r="M271" s="27">
        <f>L271</f>
        <v>1162363002</v>
      </c>
    </row>
    <row r="272" spans="1:13" s="26" customFormat="1" ht="16.5">
      <c r="A272" s="6" t="s">
        <v>68</v>
      </c>
      <c r="B272" s="6" t="s">
        <v>68</v>
      </c>
      <c r="C272" s="78"/>
      <c r="D272" s="78"/>
      <c r="E272" s="78"/>
      <c r="F272" s="79"/>
      <c r="G272" s="79"/>
      <c r="H272" s="6"/>
      <c r="I272" s="6"/>
      <c r="J272" s="32"/>
    </row>
    <row r="273" spans="1:10" s="26" customFormat="1" ht="16.5">
      <c r="A273" s="183" t="s">
        <v>69</v>
      </c>
      <c r="B273" s="184"/>
      <c r="C273" s="187"/>
      <c r="D273" s="187"/>
      <c r="E273" s="187"/>
      <c r="F273" s="188"/>
      <c r="G273" s="79"/>
      <c r="H273" s="6"/>
      <c r="I273" s="6"/>
      <c r="J273" s="32"/>
    </row>
    <row r="274" spans="1:10" s="26" customFormat="1" ht="16.5">
      <c r="A274" s="185"/>
      <c r="B274" s="186"/>
      <c r="C274" s="171"/>
      <c r="D274" s="171"/>
      <c r="E274" s="171"/>
      <c r="F274" s="172"/>
      <c r="G274" s="79"/>
      <c r="H274" s="6"/>
      <c r="I274" s="6"/>
      <c r="J274" s="32"/>
    </row>
    <row r="275" spans="1:10" s="26" customFormat="1" ht="16.5">
      <c r="A275" s="80"/>
      <c r="B275" s="12" t="s">
        <v>2</v>
      </c>
      <c r="C275" s="13" t="s">
        <v>3</v>
      </c>
      <c r="D275" s="13" t="s">
        <v>4</v>
      </c>
      <c r="E275" s="13" t="s">
        <v>6</v>
      </c>
      <c r="F275" s="15" t="s">
        <v>7</v>
      </c>
      <c r="G275" s="81" t="s">
        <v>8</v>
      </c>
      <c r="H275" s="6"/>
      <c r="I275" s="6"/>
      <c r="J275" s="32"/>
    </row>
    <row r="276" spans="1:10" s="26" customFormat="1" ht="16.5">
      <c r="A276" s="82"/>
      <c r="B276" s="83" t="s">
        <v>62</v>
      </c>
      <c r="C276" s="84">
        <v>18333</v>
      </c>
      <c r="D276" s="84">
        <v>0</v>
      </c>
      <c r="E276" s="84">
        <v>0</v>
      </c>
      <c r="F276" s="85" t="str">
        <f>IFERROR(C276/E276*100%,"-")</f>
        <v>-</v>
      </c>
      <c r="G276" s="85">
        <f t="shared" ref="G276:G298" si="40">IFERROR((D276/C276)*100%,"-")</f>
        <v>0</v>
      </c>
      <c r="H276" s="6"/>
      <c r="I276" s="6"/>
      <c r="J276" s="32"/>
    </row>
    <row r="277" spans="1:10" s="26" customFormat="1" ht="16.5">
      <c r="A277" s="82"/>
      <c r="B277" s="83" t="s">
        <v>34</v>
      </c>
      <c r="C277" s="84">
        <v>31135539</v>
      </c>
      <c r="D277" s="84">
        <v>-2726312</v>
      </c>
      <c r="E277" s="84">
        <v>54501464.539999999</v>
      </c>
      <c r="F277" s="85">
        <f t="shared" ref="F277:F298" si="41">IFERROR(C277/E277*100%,"-")</f>
        <v>0.57127894200253726</v>
      </c>
      <c r="G277" s="85">
        <f t="shared" si="40"/>
        <v>-8.7562704470926289E-2</v>
      </c>
      <c r="H277" s="6"/>
      <c r="I277" s="6"/>
      <c r="J277" s="32"/>
    </row>
    <row r="278" spans="1:10" s="26" customFormat="1" ht="16.5">
      <c r="A278" s="82"/>
      <c r="B278" s="83" t="s">
        <v>95</v>
      </c>
      <c r="C278" s="84">
        <v>82845</v>
      </c>
      <c r="D278" s="84">
        <v>-82846</v>
      </c>
      <c r="E278" s="84">
        <v>0</v>
      </c>
      <c r="F278" s="85" t="str">
        <f t="shared" si="41"/>
        <v>-</v>
      </c>
      <c r="G278" s="85">
        <f t="shared" si="40"/>
        <v>-1.0000120707345042</v>
      </c>
      <c r="H278" s="6"/>
      <c r="I278" s="6"/>
      <c r="J278" s="32"/>
    </row>
    <row r="279" spans="1:10" s="26" customFormat="1" ht="16.5">
      <c r="A279" s="82"/>
      <c r="B279" s="83" t="s">
        <v>42</v>
      </c>
      <c r="C279" s="84">
        <v>436199</v>
      </c>
      <c r="D279" s="84">
        <v>0</v>
      </c>
      <c r="E279" s="84">
        <v>0</v>
      </c>
      <c r="F279" s="85" t="str">
        <f t="shared" si="41"/>
        <v>-</v>
      </c>
      <c r="G279" s="85">
        <f t="shared" si="40"/>
        <v>0</v>
      </c>
      <c r="H279" s="6"/>
      <c r="I279" s="6"/>
      <c r="J279" s="32"/>
    </row>
    <row r="280" spans="1:10" s="26" customFormat="1" ht="16.5">
      <c r="A280" s="82"/>
      <c r="B280" s="83" t="s">
        <v>18</v>
      </c>
      <c r="C280" s="84">
        <v>47832424</v>
      </c>
      <c r="D280" s="84">
        <v>0</v>
      </c>
      <c r="E280" s="84">
        <v>507299188.97000003</v>
      </c>
      <c r="F280" s="85">
        <f t="shared" si="41"/>
        <v>9.4288390440988162E-2</v>
      </c>
      <c r="G280" s="85">
        <f t="shared" si="40"/>
        <v>0</v>
      </c>
      <c r="H280" s="6"/>
      <c r="I280" s="6"/>
      <c r="J280" s="32"/>
    </row>
    <row r="281" spans="1:10" s="26" customFormat="1" ht="16.5">
      <c r="A281" s="82"/>
      <c r="B281" s="83" t="s">
        <v>36</v>
      </c>
      <c r="C281" s="84">
        <v>15646</v>
      </c>
      <c r="D281" s="84">
        <v>0</v>
      </c>
      <c r="E281" s="84">
        <v>0</v>
      </c>
      <c r="F281" s="85" t="str">
        <f t="shared" ref="F281:F295" si="42">IFERROR(C281/E281*100%,"-")</f>
        <v>-</v>
      </c>
      <c r="G281" s="85">
        <f t="shared" ref="G281:G295" si="43">IFERROR((D281/C281)*100%,"-")</f>
        <v>0</v>
      </c>
      <c r="H281" s="6"/>
      <c r="I281" s="6"/>
      <c r="J281" s="32"/>
    </row>
    <row r="282" spans="1:10" s="26" customFormat="1" ht="16.5">
      <c r="A282" s="82"/>
      <c r="B282" s="83" t="s">
        <v>19</v>
      </c>
      <c r="C282" s="84">
        <v>42675194</v>
      </c>
      <c r="D282" s="84">
        <v>-6284991</v>
      </c>
      <c r="E282" s="84">
        <v>191019804.03</v>
      </c>
      <c r="F282" s="85">
        <f t="shared" si="42"/>
        <v>0.22340717087793568</v>
      </c>
      <c r="G282" s="85">
        <f t="shared" si="43"/>
        <v>-0.14727504226459989</v>
      </c>
      <c r="H282" s="6"/>
      <c r="I282" s="6"/>
      <c r="J282" s="32"/>
    </row>
    <row r="283" spans="1:10" s="26" customFormat="1" ht="16.5">
      <c r="A283" s="82"/>
      <c r="B283" s="83" t="s">
        <v>20</v>
      </c>
      <c r="C283" s="84">
        <v>36578738</v>
      </c>
      <c r="D283" s="84">
        <v>-351898</v>
      </c>
      <c r="E283" s="84">
        <v>223501100.75</v>
      </c>
      <c r="F283" s="85">
        <f t="shared" si="42"/>
        <v>0.16366245122396786</v>
      </c>
      <c r="G283" s="85">
        <f t="shared" si="43"/>
        <v>-9.6202881575630089E-3</v>
      </c>
      <c r="H283" s="6"/>
      <c r="I283" s="6"/>
      <c r="J283" s="32"/>
    </row>
    <row r="284" spans="1:10" s="26" customFormat="1" ht="16.5">
      <c r="A284" s="82"/>
      <c r="B284" s="83" t="s">
        <v>21</v>
      </c>
      <c r="C284" s="84">
        <v>687969599</v>
      </c>
      <c r="D284" s="84">
        <v>-20561730</v>
      </c>
      <c r="E284" s="84">
        <v>3601471598.6100001</v>
      </c>
      <c r="F284" s="85">
        <f t="shared" si="42"/>
        <v>0.19102457985938973</v>
      </c>
      <c r="G284" s="85">
        <f t="shared" si="43"/>
        <v>-2.9887556121502398E-2</v>
      </c>
      <c r="H284" s="6"/>
      <c r="I284" s="6"/>
      <c r="J284" s="32"/>
    </row>
    <row r="285" spans="1:10" s="26" customFormat="1" ht="16.5">
      <c r="A285" s="82"/>
      <c r="B285" s="83" t="s">
        <v>38</v>
      </c>
      <c r="C285" s="84">
        <v>27479858</v>
      </c>
      <c r="D285" s="84">
        <v>0</v>
      </c>
      <c r="E285" s="84">
        <v>53476353.159999996</v>
      </c>
      <c r="F285" s="85">
        <f t="shared" si="42"/>
        <v>0.513869334316439</v>
      </c>
      <c r="G285" s="85">
        <f t="shared" si="43"/>
        <v>0</v>
      </c>
      <c r="H285" s="6"/>
      <c r="I285" s="6"/>
      <c r="J285" s="32"/>
    </row>
    <row r="286" spans="1:10" s="26" customFormat="1" ht="16.5">
      <c r="A286" s="82"/>
      <c r="B286" s="83" t="s">
        <v>22</v>
      </c>
      <c r="C286" s="84">
        <v>46895863</v>
      </c>
      <c r="D286" s="84">
        <v>-2367734</v>
      </c>
      <c r="E286" s="84">
        <v>217515060.65000001</v>
      </c>
      <c r="F286" s="85">
        <f t="shared" si="42"/>
        <v>0.21559823425495755</v>
      </c>
      <c r="G286" s="85">
        <f t="shared" si="43"/>
        <v>-5.0489187073921638E-2</v>
      </c>
      <c r="H286" s="6"/>
      <c r="I286" s="6"/>
      <c r="J286" s="32"/>
    </row>
    <row r="287" spans="1:10" s="26" customFormat="1" ht="16.5">
      <c r="A287" s="82"/>
      <c r="B287" s="83" t="s">
        <v>23</v>
      </c>
      <c r="C287" s="84">
        <v>68789</v>
      </c>
      <c r="D287" s="84">
        <v>-343068</v>
      </c>
      <c r="E287" s="84">
        <v>2178053.21</v>
      </c>
      <c r="F287" s="85">
        <f t="shared" si="42"/>
        <v>3.1582791312981744E-2</v>
      </c>
      <c r="G287" s="85">
        <f t="shared" si="43"/>
        <v>-4.9872508685981769</v>
      </c>
      <c r="H287" s="6"/>
      <c r="I287" s="6"/>
      <c r="J287" s="32"/>
    </row>
    <row r="288" spans="1:10" s="26" customFormat="1" ht="16.5">
      <c r="A288" s="82"/>
      <c r="B288" s="83" t="s">
        <v>24</v>
      </c>
      <c r="C288" s="84">
        <v>9328059</v>
      </c>
      <c r="D288" s="84">
        <v>-168057</v>
      </c>
      <c r="E288" s="84">
        <v>22254856.469999999</v>
      </c>
      <c r="F288" s="85">
        <f t="shared" si="42"/>
        <v>0.41914712020607342</v>
      </c>
      <c r="G288" s="85">
        <f t="shared" si="43"/>
        <v>-1.8016288276049713E-2</v>
      </c>
      <c r="H288" s="6"/>
      <c r="I288" s="6"/>
      <c r="J288" s="32"/>
    </row>
    <row r="289" spans="1:31" s="26" customFormat="1" ht="16.5">
      <c r="A289" s="82"/>
      <c r="B289" s="83" t="s">
        <v>25</v>
      </c>
      <c r="C289" s="84">
        <v>22134406</v>
      </c>
      <c r="D289" s="84">
        <v>-149012</v>
      </c>
      <c r="E289" s="84">
        <v>73446237.840000004</v>
      </c>
      <c r="F289" s="85">
        <f t="shared" si="42"/>
        <v>0.30136881957410822</v>
      </c>
      <c r="G289" s="85">
        <f t="shared" si="43"/>
        <v>-6.7321436138832909E-3</v>
      </c>
      <c r="H289" s="6"/>
      <c r="I289" s="6"/>
      <c r="J289" s="32"/>
    </row>
    <row r="290" spans="1:31" s="26" customFormat="1" ht="16.5">
      <c r="A290" s="82"/>
      <c r="B290" s="83" t="s">
        <v>26</v>
      </c>
      <c r="C290" s="84">
        <v>30887128</v>
      </c>
      <c r="D290" s="84">
        <v>-26255171</v>
      </c>
      <c r="E290" s="84">
        <v>283274900.44</v>
      </c>
      <c r="F290" s="85">
        <f t="shared" si="42"/>
        <v>0.10903587981859393</v>
      </c>
      <c r="G290" s="85">
        <f t="shared" si="43"/>
        <v>-0.85003600852756522</v>
      </c>
      <c r="H290" s="6"/>
      <c r="I290" s="6"/>
      <c r="J290" s="32"/>
    </row>
    <row r="291" spans="1:31" s="26" customFormat="1" ht="16.5">
      <c r="A291" s="82"/>
      <c r="B291" s="83" t="s">
        <v>27</v>
      </c>
      <c r="C291" s="84">
        <v>24732005</v>
      </c>
      <c r="D291" s="84">
        <v>0</v>
      </c>
      <c r="E291" s="84">
        <v>86150297.260000005</v>
      </c>
      <c r="F291" s="85">
        <f t="shared" si="42"/>
        <v>0.2870797407159173</v>
      </c>
      <c r="G291" s="85">
        <f t="shared" si="43"/>
        <v>0</v>
      </c>
      <c r="H291" s="6"/>
      <c r="I291" s="6"/>
      <c r="J291" s="32"/>
    </row>
    <row r="292" spans="1:31" s="26" customFormat="1" ht="16.5">
      <c r="A292" s="82"/>
      <c r="B292" s="83" t="s">
        <v>28</v>
      </c>
      <c r="C292" s="84">
        <v>32759317</v>
      </c>
      <c r="D292" s="84">
        <v>-1217631</v>
      </c>
      <c r="E292" s="84">
        <v>247793209.88999999</v>
      </c>
      <c r="F292" s="85">
        <f t="shared" si="42"/>
        <v>0.13220425618015308</v>
      </c>
      <c r="G292" s="85">
        <f t="shared" si="43"/>
        <v>-3.7168998364648445E-2</v>
      </c>
      <c r="H292" s="6"/>
      <c r="I292" s="6"/>
      <c r="J292" s="32"/>
    </row>
    <row r="293" spans="1:31" s="26" customFormat="1" ht="16.5">
      <c r="A293" s="82"/>
      <c r="B293" s="83" t="s">
        <v>39</v>
      </c>
      <c r="C293" s="84">
        <v>81408</v>
      </c>
      <c r="D293" s="84">
        <v>0</v>
      </c>
      <c r="E293" s="84">
        <v>0</v>
      </c>
      <c r="F293" s="85" t="str">
        <f t="shared" si="42"/>
        <v>-</v>
      </c>
      <c r="G293" s="85">
        <f t="shared" si="43"/>
        <v>0</v>
      </c>
      <c r="H293" s="6"/>
      <c r="I293" s="6"/>
      <c r="J293" s="32"/>
    </row>
    <row r="294" spans="1:31" s="26" customFormat="1" ht="16.5">
      <c r="A294" s="82"/>
      <c r="B294" s="83" t="s">
        <v>50</v>
      </c>
      <c r="C294" s="84">
        <v>8215438</v>
      </c>
      <c r="D294" s="84">
        <v>-2584562</v>
      </c>
      <c r="E294" s="84">
        <v>0</v>
      </c>
      <c r="F294" s="85" t="str">
        <f t="shared" si="42"/>
        <v>-</v>
      </c>
      <c r="G294" s="85">
        <f t="shared" si="43"/>
        <v>-0.31459819914653364</v>
      </c>
      <c r="H294" s="6"/>
      <c r="I294" s="6"/>
      <c r="J294" s="32"/>
    </row>
    <row r="295" spans="1:31" s="26" customFormat="1" ht="16.5">
      <c r="A295" s="82"/>
      <c r="B295" s="83" t="s">
        <v>29</v>
      </c>
      <c r="C295" s="84">
        <v>34807422</v>
      </c>
      <c r="D295" s="84">
        <v>-1887989</v>
      </c>
      <c r="E295" s="84">
        <v>442463603.77999997</v>
      </c>
      <c r="F295" s="85">
        <f t="shared" si="42"/>
        <v>7.8667311170088489E-2</v>
      </c>
      <c r="G295" s="85">
        <f t="shared" si="43"/>
        <v>-5.4240989177538057E-2</v>
      </c>
      <c r="H295" s="6"/>
      <c r="I295" s="6"/>
      <c r="J295" s="32"/>
    </row>
    <row r="296" spans="1:31" s="26" customFormat="1">
      <c r="A296" s="82"/>
      <c r="B296" s="83" t="s">
        <v>30</v>
      </c>
      <c r="C296" s="84">
        <v>9296452</v>
      </c>
      <c r="D296" s="84">
        <v>-32819</v>
      </c>
      <c r="E296" s="84">
        <v>61750737.539999999</v>
      </c>
      <c r="F296" s="85">
        <f t="shared" si="41"/>
        <v>0.15054803181869819</v>
      </c>
      <c r="G296" s="85">
        <f t="shared" si="40"/>
        <v>-3.5302715487586017E-3</v>
      </c>
      <c r="H296" s="6"/>
      <c r="I296" s="6"/>
    </row>
    <row r="297" spans="1:31" s="26" customFormat="1">
      <c r="A297" s="82"/>
      <c r="B297" s="83" t="s">
        <v>92</v>
      </c>
      <c r="C297" s="84">
        <v>3845520</v>
      </c>
      <c r="D297" s="84">
        <v>0</v>
      </c>
      <c r="E297" s="84">
        <v>0</v>
      </c>
      <c r="F297" s="85" t="str">
        <f t="shared" si="41"/>
        <v>-</v>
      </c>
      <c r="G297" s="85">
        <f t="shared" si="40"/>
        <v>0</v>
      </c>
      <c r="H297" s="6"/>
      <c r="I297" s="6"/>
    </row>
    <row r="298" spans="1:31" s="26" customFormat="1" ht="16.5">
      <c r="A298" s="82"/>
      <c r="B298" s="83" t="s">
        <v>31</v>
      </c>
      <c r="C298" s="84">
        <v>-435736</v>
      </c>
      <c r="D298" s="84">
        <v>-508736</v>
      </c>
      <c r="E298" s="84">
        <v>0</v>
      </c>
      <c r="F298" s="85" t="str">
        <f t="shared" si="41"/>
        <v>-</v>
      </c>
      <c r="G298" s="85">
        <f t="shared" si="40"/>
        <v>1.1675326344392016</v>
      </c>
      <c r="H298" s="6"/>
      <c r="I298" s="6"/>
      <c r="J298" s="32"/>
    </row>
    <row r="299" spans="1:31" s="79" customFormat="1" ht="16.5">
      <c r="A299" s="82"/>
      <c r="B299" s="86" t="s">
        <v>32</v>
      </c>
      <c r="C299" s="87">
        <f>SUM(C276:C298)</f>
        <v>1096840446</v>
      </c>
      <c r="D299" s="87">
        <f>SUM(D276:D298)</f>
        <v>-65522556</v>
      </c>
      <c r="E299" s="87">
        <f>SUM(E276:E298)</f>
        <v>6068096467.1399994</v>
      </c>
      <c r="F299" s="88">
        <f>C299/E299*100%</f>
        <v>0.18075527505859842</v>
      </c>
      <c r="G299" s="88">
        <v>2.1700000000000001E-2</v>
      </c>
      <c r="H299" s="6"/>
      <c r="I299" s="27"/>
      <c r="J299" s="32"/>
      <c r="K299" s="26"/>
      <c r="L299" s="26"/>
      <c r="M299" s="26"/>
      <c r="O299" s="26"/>
      <c r="P299" s="26"/>
      <c r="R299" s="26"/>
      <c r="S299" s="26"/>
      <c r="U299" s="26"/>
      <c r="V299" s="26"/>
      <c r="X299" s="26"/>
      <c r="Y299" s="26"/>
      <c r="Z299" s="26"/>
      <c r="AA299" s="26"/>
      <c r="AB299" s="26"/>
      <c r="AC299" s="26"/>
      <c r="AD299" s="26"/>
      <c r="AE299" s="26"/>
    </row>
    <row r="300" spans="1:31" s="79" customFormat="1">
      <c r="A300" s="89"/>
      <c r="B300" s="90"/>
      <c r="C300" s="91"/>
      <c r="D300" s="91"/>
      <c r="E300" s="91"/>
      <c r="F300" s="92"/>
      <c r="H300" s="6"/>
      <c r="I300" s="6"/>
      <c r="J300" s="83" t="s">
        <v>50</v>
      </c>
      <c r="K300" s="26"/>
      <c r="L300" s="93"/>
      <c r="M300" s="26"/>
      <c r="O300" s="26"/>
      <c r="P300" s="26"/>
      <c r="R300" s="26"/>
      <c r="S300" s="26"/>
      <c r="X300" s="26"/>
      <c r="Y300" s="26"/>
      <c r="Z300" s="26"/>
      <c r="AA300" s="26"/>
      <c r="AB300" s="26"/>
      <c r="AD300" s="26"/>
      <c r="AE300" s="26"/>
    </row>
    <row r="301" spans="1:31" s="79" customFormat="1" ht="16.5">
      <c r="A301" s="165">
        <f>+A1</f>
        <v>46243</v>
      </c>
      <c r="B301" s="166"/>
      <c r="C301" s="169"/>
      <c r="D301" s="169"/>
      <c r="E301" s="169"/>
      <c r="F301" s="170"/>
      <c r="H301" s="6"/>
      <c r="I301" s="6"/>
      <c r="J301" s="32"/>
      <c r="K301" s="26"/>
      <c r="L301" s="27"/>
      <c r="M301" s="26"/>
      <c r="O301" s="26"/>
      <c r="P301" s="26"/>
      <c r="R301" s="26"/>
      <c r="S301" s="26"/>
      <c r="X301" s="26"/>
      <c r="Y301" s="26"/>
      <c r="Z301" s="26"/>
      <c r="AA301" s="26"/>
      <c r="AB301" s="26"/>
      <c r="AD301" s="26"/>
      <c r="AE301" s="26"/>
    </row>
    <row r="302" spans="1:31" s="78" customFormat="1">
      <c r="A302" s="167"/>
      <c r="B302" s="168"/>
      <c r="C302" s="171"/>
      <c r="D302" s="171"/>
      <c r="E302" s="171"/>
      <c r="F302" s="172"/>
      <c r="G302" s="94">
        <f>+H2</f>
        <v>0.19047619047619047</v>
      </c>
      <c r="H302" s="6"/>
      <c r="I302" s="6"/>
      <c r="J302" s="27"/>
      <c r="K302" s="26"/>
      <c r="L302" s="26"/>
      <c r="M302" s="26"/>
      <c r="O302" s="26"/>
      <c r="P302" s="26"/>
      <c r="R302" s="26"/>
      <c r="S302" s="26"/>
      <c r="U302" s="79"/>
      <c r="V302" s="79"/>
      <c r="X302" s="26"/>
      <c r="Y302" s="26"/>
      <c r="Z302" s="26"/>
      <c r="AA302" s="26"/>
      <c r="AB302" s="26"/>
      <c r="AC302" s="79"/>
      <c r="AD302" s="26"/>
      <c r="AE302" s="26"/>
    </row>
    <row r="303" spans="1:31">
      <c r="A303" s="95" t="s">
        <v>1</v>
      </c>
      <c r="B303" s="12" t="s">
        <v>2</v>
      </c>
      <c r="C303" s="13" t="s">
        <v>3</v>
      </c>
      <c r="D303" s="13" t="s">
        <v>4</v>
      </c>
      <c r="E303" s="13" t="s">
        <v>6</v>
      </c>
      <c r="F303" s="15" t="s">
        <v>7</v>
      </c>
      <c r="G303" s="81" t="s">
        <v>8</v>
      </c>
      <c r="O303" s="26"/>
      <c r="P303" s="26"/>
      <c r="R303" s="26"/>
      <c r="S303" s="26"/>
      <c r="U303" s="78"/>
      <c r="V303" s="78"/>
      <c r="X303" s="26"/>
      <c r="Y303" s="26"/>
      <c r="Z303" s="79"/>
      <c r="AA303" s="26"/>
      <c r="AB303" s="26"/>
      <c r="AC303" s="78"/>
      <c r="AD303" s="79"/>
      <c r="AE303" s="79"/>
    </row>
    <row r="304" spans="1:31">
      <c r="A304" s="173" t="s">
        <v>69</v>
      </c>
      <c r="B304" s="174"/>
      <c r="C304" s="96">
        <f>+C5+C61+C110+C194+C210+C226+C241+C257+C21</f>
        <v>1096840446</v>
      </c>
      <c r="D304" s="96">
        <f>+D5+D61+D110+D194+D210+D226+D241+D257+D21</f>
        <v>-62937994</v>
      </c>
      <c r="E304" s="97">
        <f>+F61+F110+F194+F210+F5+F241+F226+F257+F21</f>
        <v>6068096467.1400003</v>
      </c>
      <c r="F304" s="31">
        <f>C304/E304*100%</f>
        <v>0.1807552750585984</v>
      </c>
      <c r="G304" s="31">
        <f>D304/C304*100%</f>
        <v>-5.7381175383826061E-2</v>
      </c>
      <c r="L304" s="98"/>
      <c r="M304" s="98"/>
      <c r="O304" s="26"/>
      <c r="P304" s="26"/>
      <c r="R304" s="26"/>
      <c r="S304" s="26"/>
      <c r="X304" s="79"/>
      <c r="Y304" s="79"/>
      <c r="Z304" s="79"/>
      <c r="AA304" s="26"/>
      <c r="AB304" s="26"/>
      <c r="AD304" s="79"/>
      <c r="AE304" s="79"/>
    </row>
    <row r="305" spans="1:31" s="26" customFormat="1">
      <c r="A305" s="99"/>
      <c r="B305" s="6"/>
      <c r="C305" s="78"/>
      <c r="D305" s="6"/>
      <c r="E305" s="6"/>
      <c r="F305" s="6"/>
      <c r="G305" s="6"/>
      <c r="H305" s="6"/>
      <c r="I305" s="6"/>
      <c r="J305" s="6"/>
      <c r="L305" s="98"/>
      <c r="M305" s="98"/>
      <c r="U305" s="6"/>
      <c r="V305" s="6"/>
      <c r="X305" s="79"/>
      <c r="Y305" s="79"/>
      <c r="Z305" s="79"/>
      <c r="AC305" s="6"/>
      <c r="AD305" s="79"/>
      <c r="AE305" s="79"/>
    </row>
    <row r="306" spans="1:31">
      <c r="J306" s="78"/>
      <c r="O306" s="26"/>
      <c r="P306" s="26"/>
      <c r="R306" s="26"/>
      <c r="S306" s="26"/>
      <c r="X306" s="26"/>
      <c r="Y306" s="26"/>
      <c r="Z306" s="26"/>
      <c r="AA306" s="26"/>
      <c r="AB306" s="26"/>
      <c r="AD306" s="26"/>
      <c r="AE306" s="26"/>
    </row>
    <row r="307" spans="1:31">
      <c r="O307" s="26"/>
      <c r="P307" s="26"/>
      <c r="R307" s="26"/>
      <c r="S307" s="26"/>
      <c r="X307" s="26"/>
      <c r="Y307" s="26"/>
      <c r="Z307" s="26"/>
      <c r="AA307" s="26"/>
      <c r="AB307" s="26"/>
      <c r="AD307" s="26"/>
      <c r="AE307" s="26"/>
    </row>
    <row r="308" spans="1:31">
      <c r="O308" s="26"/>
      <c r="P308" s="26"/>
      <c r="R308" s="26"/>
      <c r="S308" s="26"/>
      <c r="X308" s="26"/>
      <c r="Y308" s="26"/>
      <c r="Z308" s="26"/>
      <c r="AA308" s="26"/>
      <c r="AB308" s="26"/>
      <c r="AD308" s="26"/>
      <c r="AE308" s="26"/>
    </row>
    <row r="309" spans="1:31">
      <c r="O309" s="26"/>
      <c r="P309" s="26"/>
      <c r="R309" s="26"/>
      <c r="S309" s="26"/>
      <c r="X309" s="26"/>
      <c r="Y309" s="26"/>
      <c r="AA309" s="26"/>
      <c r="AB309" s="26"/>
    </row>
    <row r="310" spans="1:31">
      <c r="O310" s="26"/>
      <c r="P310" s="26"/>
      <c r="R310" s="26"/>
      <c r="S310" s="26"/>
      <c r="AA310" s="26"/>
      <c r="AB310" s="26"/>
    </row>
    <row r="311" spans="1:31">
      <c r="O311" s="26"/>
      <c r="P311" s="26"/>
      <c r="R311" s="26"/>
      <c r="S311" s="26"/>
      <c r="AA311" s="26"/>
      <c r="AB311" s="26"/>
    </row>
  </sheetData>
  <mergeCells count="10">
    <mergeCell ref="A301:B302"/>
    <mergeCell ref="C301:F301"/>
    <mergeCell ref="C302:F302"/>
    <mergeCell ref="A304:B304"/>
    <mergeCell ref="A1:B2"/>
    <mergeCell ref="C2:G2"/>
    <mergeCell ref="A271:B271"/>
    <mergeCell ref="A273:B274"/>
    <mergeCell ref="C273:F273"/>
    <mergeCell ref="C274:F274"/>
  </mergeCells>
  <conditionalFormatting sqref="F276:F298">
    <cfRule type="top10" dxfId="11" priority="1" bottom="1" rank="3"/>
    <cfRule type="top10" dxfId="10" priority="2" rank="3"/>
  </conditionalFormatting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1AC76-DC19-49E7-8895-C75C647C2819}">
  <dimension ref="A1:AE312"/>
  <sheetViews>
    <sheetView showGridLines="0" zoomScale="70" zoomScaleNormal="70" zoomScaleSheetLayoutView="70" workbookViewId="0">
      <selection activeCell="O276" sqref="O276"/>
    </sheetView>
  </sheetViews>
  <sheetFormatPr baseColWidth="10" defaultColWidth="11.453125" defaultRowHeight="15.5" outlineLevelRow="2"/>
  <cols>
    <col min="1" max="1" width="36.7265625" style="6" customWidth="1"/>
    <col min="2" max="2" width="30.7265625" style="6" customWidth="1"/>
    <col min="3" max="3" width="18.81640625" style="78" bestFit="1" customWidth="1"/>
    <col min="4" max="4" width="18" style="78" customWidth="1"/>
    <col min="5" max="5" width="28.7265625" style="78" customWidth="1"/>
    <col min="6" max="6" width="22.26953125" style="79" bestFit="1" customWidth="1"/>
    <col min="7" max="7" width="18.7265625" style="79" bestFit="1" customWidth="1"/>
    <col min="8" max="8" width="11.81640625" style="6" customWidth="1"/>
    <col min="9" max="9" width="13.1796875" style="6" bestFit="1" customWidth="1"/>
    <col min="10" max="10" width="13.81640625" style="6" customWidth="1"/>
    <col min="11" max="11" width="3.26953125" style="26" customWidth="1"/>
    <col min="12" max="12" width="19.54296875" style="26" customWidth="1"/>
    <col min="13" max="13" width="18.81640625" style="26" customWidth="1"/>
    <col min="14" max="14" width="11.453125" style="6"/>
    <col min="15" max="15" width="21.7265625" style="6" bestFit="1" customWidth="1"/>
    <col min="16" max="16" width="13" style="6" bestFit="1" customWidth="1"/>
    <col min="17" max="17" width="11.453125" style="6"/>
    <col min="18" max="18" width="21.7265625" style="6" bestFit="1" customWidth="1"/>
    <col min="19" max="19" width="13" style="6" bestFit="1" customWidth="1"/>
    <col min="20" max="20" width="11.453125" style="6"/>
    <col min="21" max="21" width="22.26953125" style="6" bestFit="1" customWidth="1"/>
    <col min="22" max="22" width="13.54296875" style="6" bestFit="1" customWidth="1"/>
    <col min="23" max="23" width="11.453125" style="6"/>
    <col min="24" max="24" width="22.26953125" style="6" bestFit="1" customWidth="1"/>
    <col min="25" max="25" width="14.26953125" style="6" bestFit="1" customWidth="1"/>
    <col min="26" max="26" width="11.453125" style="6"/>
    <col min="27" max="27" width="22.26953125" style="6" bestFit="1" customWidth="1"/>
    <col min="28" max="28" width="13" style="6" bestFit="1" customWidth="1"/>
    <col min="29" max="29" width="11.453125" style="6"/>
    <col min="30" max="30" width="26.54296875" style="6" bestFit="1" customWidth="1"/>
    <col min="31" max="31" width="14.26953125" style="6" bestFit="1" customWidth="1"/>
    <col min="32" max="16384" width="11.453125" style="6"/>
  </cols>
  <sheetData>
    <row r="1" spans="1:13">
      <c r="A1" s="175">
        <v>46245</v>
      </c>
      <c r="B1" s="176"/>
      <c r="C1" s="1"/>
      <c r="D1" s="1"/>
      <c r="E1" s="1"/>
      <c r="F1" s="2"/>
      <c r="G1" s="2"/>
      <c r="H1" s="3"/>
      <c r="I1" s="4" t="s">
        <v>0</v>
      </c>
      <c r="J1" s="5"/>
      <c r="K1" s="6"/>
      <c r="L1" s="6"/>
      <c r="M1" s="6"/>
    </row>
    <row r="2" spans="1:13">
      <c r="A2" s="177"/>
      <c r="B2" s="178"/>
      <c r="C2" s="179"/>
      <c r="D2" s="179"/>
      <c r="E2" s="179"/>
      <c r="F2" s="179"/>
      <c r="G2" s="180"/>
      <c r="H2" s="7">
        <f>+M2/100</f>
        <v>0.2857142857142857</v>
      </c>
      <c r="I2" s="8">
        <v>6</v>
      </c>
      <c r="J2" s="9"/>
      <c r="K2" s="6"/>
      <c r="L2" s="10">
        <f>100/21</f>
        <v>4.7619047619047619</v>
      </c>
      <c r="M2" s="10">
        <f>L2*I2</f>
        <v>28.571428571428569</v>
      </c>
    </row>
    <row r="3" spans="1:13" ht="31">
      <c r="A3" s="11" t="s">
        <v>1</v>
      </c>
      <c r="B3" s="12" t="s">
        <v>2</v>
      </c>
      <c r="C3" s="13" t="s">
        <v>3</v>
      </c>
      <c r="D3" s="13" t="s">
        <v>4</v>
      </c>
      <c r="E3" s="14" t="s">
        <v>5</v>
      </c>
      <c r="F3" s="13" t="s">
        <v>6</v>
      </c>
      <c r="G3" s="15" t="s">
        <v>7</v>
      </c>
      <c r="H3" s="16" t="s">
        <v>8</v>
      </c>
      <c r="I3" s="17" t="s">
        <v>9</v>
      </c>
      <c r="J3" s="18" t="s">
        <v>10</v>
      </c>
      <c r="K3" s="6"/>
      <c r="L3" s="6"/>
      <c r="M3" s="6"/>
    </row>
    <row r="4" spans="1:13" ht="18.75" hidden="1" customHeight="1" outlineLevel="1">
      <c r="A4" s="19" t="s">
        <v>11</v>
      </c>
      <c r="B4" s="20" t="s">
        <v>12</v>
      </c>
      <c r="C4" s="21" t="s">
        <v>13</v>
      </c>
      <c r="D4" s="21" t="s">
        <v>14</v>
      </c>
      <c r="E4" s="14" t="s">
        <v>5</v>
      </c>
      <c r="F4" s="21" t="s">
        <v>6</v>
      </c>
      <c r="G4" s="22" t="s">
        <v>15</v>
      </c>
      <c r="H4" s="23">
        <f t="shared" ref="H4:I19" si="0">IFERROR(+D4/L4*100%,0)</f>
        <v>0</v>
      </c>
      <c r="I4" s="24">
        <f t="shared" si="0"/>
        <v>0</v>
      </c>
      <c r="J4" s="25"/>
      <c r="L4" s="27"/>
      <c r="M4" s="27"/>
    </row>
    <row r="5" spans="1:13" ht="16.5" collapsed="1">
      <c r="A5" s="28" t="s">
        <v>16</v>
      </c>
      <c r="B5" s="29" t="s">
        <v>17</v>
      </c>
      <c r="C5" s="30">
        <f>+C20</f>
        <v>20422526</v>
      </c>
      <c r="D5" s="30">
        <f>+D20</f>
        <v>-508736</v>
      </c>
      <c r="E5" s="30">
        <f>+E20</f>
        <v>0</v>
      </c>
      <c r="F5" s="30">
        <f>+F20</f>
        <v>132391087.09</v>
      </c>
      <c r="G5" s="31">
        <f t="shared" ref="G5" si="1">IFERROR(C5/F5*100%,"-")</f>
        <v>0.154259070220616</v>
      </c>
      <c r="H5" s="23">
        <f t="shared" si="0"/>
        <v>-2.4305080123692493E-2</v>
      </c>
      <c r="I5" s="24">
        <f t="shared" si="0"/>
        <v>0</v>
      </c>
      <c r="J5" s="32"/>
      <c r="L5" s="27">
        <f t="shared" ref="L5:L70" si="2">C5-(D5+E5)</f>
        <v>20931262</v>
      </c>
      <c r="M5" s="27">
        <f t="shared" ref="M5:M70" si="3">L5</f>
        <v>20931262</v>
      </c>
    </row>
    <row r="6" spans="1:13" ht="16.5" hidden="1" outlineLevel="1">
      <c r="A6" s="33"/>
      <c r="B6" s="34" t="s">
        <v>18</v>
      </c>
      <c r="C6" s="35">
        <v>0</v>
      </c>
      <c r="D6" s="36">
        <v>0</v>
      </c>
      <c r="E6" s="36">
        <v>0</v>
      </c>
      <c r="F6" s="35">
        <v>2190251</v>
      </c>
      <c r="G6" s="37">
        <f>IFERROR(C6/F6*100%,"-")</f>
        <v>0</v>
      </c>
      <c r="H6" s="23">
        <f t="shared" si="0"/>
        <v>0</v>
      </c>
      <c r="I6" s="24">
        <f t="shared" si="0"/>
        <v>0</v>
      </c>
      <c r="J6" s="32" t="str" cm="1">
        <f t="array" ref="J6">IFERROR(_xlfn.IFS(B6="044 - BLEND TRADICION","BLEND",B6="113 - CAFÉ GOURMET","GOURMET",B6="114 - CAFÉ CONSUMO","CONSUMO",B6="112 - CAFÉ ORGANICO","GOURMET",B6="172 - CAFÉ COSECHA","ESPECIALES",B6="176 - CAFE DESCAFEINADO","GOURMET",B6="147 - CAPSULAS","CAPSULAS",B6="130 - GALLETAS CAFECITAS","DERIVADOS",B6="140 - MERENGUES","DERIVADOS",B6="100 - CAFÉ ESPECIAL","ESPECIALES",B6="141 - AREQUIPE","DERIVADOS",B6="142 - MERMELADA","DERIVADOS",B6="131 - GALLETAS AVENA","DERIVADOS",B6="160 - SOUVENIR","OTROS",B6="148 - CARAMELOS","DERIVADOS",B6="143 - CHOCOFFES","DERIVADOS",B6="162 - CONVENIOS Y DSC POS ","OTROS"),"OTROS")</f>
        <v>BLEND</v>
      </c>
      <c r="L6" s="27">
        <f t="shared" si="2"/>
        <v>0</v>
      </c>
      <c r="M6" s="27">
        <f t="shared" si="3"/>
        <v>0</v>
      </c>
    </row>
    <row r="7" spans="1:13" ht="16.5" hidden="1" outlineLevel="1">
      <c r="A7" s="33"/>
      <c r="B7" s="34" t="s">
        <v>19</v>
      </c>
      <c r="C7" s="35">
        <v>0</v>
      </c>
      <c r="D7" s="36">
        <v>0</v>
      </c>
      <c r="E7" s="36"/>
      <c r="F7" s="35">
        <v>3013430.38</v>
      </c>
      <c r="G7" s="37">
        <f t="shared" ref="G7:G18" si="4">IFERROR(C7/F7*100%,"-")</f>
        <v>0</v>
      </c>
      <c r="H7" s="23">
        <f t="shared" si="0"/>
        <v>0</v>
      </c>
      <c r="I7" s="24">
        <f t="shared" si="0"/>
        <v>0</v>
      </c>
      <c r="J7" s="32" t="str" cm="1">
        <f t="array" ref="J7">IFERROR(_xlfn.IFS(B7="044 - BLEND TRADICION","BLEND",B7="113 - CAFÉ GOURMET","GOURMET",B7="114 - CAFÉ CONSUMO","CONSUMO",B7="112 - CAFÉ ORGANICO","GOURMET",B7="172 - CAFÉ COSECHA","ESPECIALES",B7="176 - CAFE DESCAFEINADO","GOURMET",B7="147 - CAPSULAS","CAPSULAS",B7="130 - GALLETAS CAFECITAS","DERIVADOS",B7="140 - MERENGUES","DERIVADOS",B7="100 - CAFÉ ESPECIAL","ESPECIALES",B7="141 - AREQUIPE","DERIVADOS",B7="142 - MERMELADA","DERIVADOS",B7="131 - GALLETAS AVENA","DERIVADOS",B7="160 - SOUVENIR","OTROS",B7="148 - CARAMELOS","DERIVADOS",B7="143 - CHOCOFFES","DERIVADOS",B7="162 - CONVENIOS Y DSC POS ","OTROS"),"OTROS")</f>
        <v>ESPECIALES</v>
      </c>
      <c r="L7" s="27">
        <f t="shared" si="2"/>
        <v>0</v>
      </c>
      <c r="M7" s="27">
        <f t="shared" si="3"/>
        <v>0</v>
      </c>
    </row>
    <row r="8" spans="1:13" ht="16.5" hidden="1" outlineLevel="1">
      <c r="A8" s="38"/>
      <c r="B8" s="39" t="s">
        <v>20</v>
      </c>
      <c r="C8" s="36">
        <v>68459</v>
      </c>
      <c r="D8" s="36">
        <v>0</v>
      </c>
      <c r="E8" s="36">
        <v>0</v>
      </c>
      <c r="F8" s="36">
        <v>2838463.33</v>
      </c>
      <c r="G8" s="37">
        <f t="shared" si="4"/>
        <v>2.4118331660814514E-2</v>
      </c>
      <c r="H8" s="23">
        <f t="shared" si="0"/>
        <v>0</v>
      </c>
      <c r="I8" s="24">
        <f t="shared" si="0"/>
        <v>0</v>
      </c>
      <c r="J8" s="32" t="str" cm="1">
        <f t="array" ref="J8">IFERROR(_xlfn.IFS(B8="044 - BLEND TRADICION","BLEND",B8="113 - CAFÉ GOURMET","GOURMET",B8="114 - CAFÉ CONSUMO","CONSUMO",B8="112 - CAFÉ ORGANICO","GOURMET",B8="172 - CAFÉ COSECHA","ESPECIALES",B8="176 - CAFE DESCAFEINADO","GOURMET",B8="147 - CAPSULAS","CAPSULAS",B8="130 - GALLETAS CAFECITAS","DERIVADOS",B8="140 - MERENGUES","DERIVADOS",B8="100 - CAFÉ ESPECIAL","ESPECIALES",B8="141 - AREQUIPE","DERIVADOS",B8="142 - MERMELADA","DERIVADOS",B8="131 - GALLETAS AVENA","DERIVADOS",B8="160 - SOUVENIR","OTROS",B8="148 - CARAMELOS","DERIVADOS",B8="143 - CHOCOFFES","DERIVADOS",B8="162 - CONVENIOS Y DSC POS ","OTROS"),"OTROS")</f>
        <v>GOURMET</v>
      </c>
      <c r="L8" s="27">
        <f t="shared" si="2"/>
        <v>68459</v>
      </c>
      <c r="M8" s="27">
        <f t="shared" si="3"/>
        <v>68459</v>
      </c>
    </row>
    <row r="9" spans="1:13" ht="16.5" hidden="1" outlineLevel="1">
      <c r="A9" s="38"/>
      <c r="B9" s="39" t="s">
        <v>21</v>
      </c>
      <c r="C9" s="36">
        <v>19662551</v>
      </c>
      <c r="D9" s="36">
        <v>0</v>
      </c>
      <c r="E9" s="36">
        <v>0</v>
      </c>
      <c r="F9" s="36">
        <v>87912157.530000001</v>
      </c>
      <c r="G9" s="37">
        <f t="shared" si="4"/>
        <v>0.22366134050674571</v>
      </c>
      <c r="H9" s="23">
        <f t="shared" si="0"/>
        <v>0</v>
      </c>
      <c r="I9" s="24">
        <f t="shared" si="0"/>
        <v>0</v>
      </c>
      <c r="J9" s="32" t="str" cm="1">
        <f t="array" ref="J9">IFERROR(_xlfn.IFS(B9="044 - BLEND TRADICION","BLEND",B9="113 - CAFÉ GOURMET","GOURMET",B9="114 - CAFÉ CONSUMO","CONSUMO",B9="112 - CAFÉ ORGANICO","GOURMET",B9="172 - CAFÉ COSECHA","ESPECIALES",B9="176 - CAFE DESCAFEINADO","GOURMET",B9="147 - CAPSULAS","CAPSULAS",B9="130 - GALLETAS CAFECITAS","DERIVADOS",B9="140 - MERENGUES","DERIVADOS",B9="100 - CAFÉ ESPECIAL","ESPECIALES",B9="141 - AREQUIPE","DERIVADOS",B9="142 - MERMELADA","DERIVADOS",B9="131 - GALLETAS AVENA","DERIVADOS",B9="160 - SOUVENIR","OTROS",B9="148 - CARAMELOS","DERIVADOS",B9="143 - CHOCOFFES","DERIVADOS",B9="162 - CONVENIOS Y DSC POS ","OTROS"),"OTROS")</f>
        <v>GOURMET</v>
      </c>
      <c r="L9" s="27">
        <f t="shared" si="2"/>
        <v>19662551</v>
      </c>
      <c r="M9" s="27">
        <f t="shared" si="3"/>
        <v>19662551</v>
      </c>
    </row>
    <row r="10" spans="1:13" ht="16.5" hidden="1" outlineLevel="1">
      <c r="A10" s="38"/>
      <c r="B10" s="39" t="s">
        <v>22</v>
      </c>
      <c r="C10" s="36">
        <v>250456</v>
      </c>
      <c r="D10" s="36">
        <v>0</v>
      </c>
      <c r="E10" s="36">
        <v>0</v>
      </c>
      <c r="F10" s="36">
        <v>4458765.92</v>
      </c>
      <c r="G10" s="37">
        <f t="shared" si="4"/>
        <v>5.6171596467212613E-2</v>
      </c>
      <c r="H10" s="23">
        <f t="shared" si="0"/>
        <v>0</v>
      </c>
      <c r="I10" s="24">
        <f t="shared" si="0"/>
        <v>0</v>
      </c>
      <c r="J10" s="32" t="str" cm="1">
        <f t="array" ref="J10">IFERROR(_xlfn.IFS(B10="044 - BLEND TRADICION","BLEND",B10="113 - CAFÉ GOURMET","GOURMET",B10="114 - CAFÉ CONSUMO","CONSUMO",B10="112 - CAFÉ ORGANICO","GOURMET",B10="172 - CAFÉ COSECHA","ESPECIALES",B10="176 - CAFE DESCAFEINADO","GOURMET",B10="147 - CAPSULAS","CAPSULAS",B10="130 - GALLETAS CAFECITAS","DERIVADOS",B10="140 - MERENGUES","DERIVADOS",B10="100 - CAFÉ ESPECIAL","ESPECIALES",B10="141 - AREQUIPE","DERIVADOS",B10="142 - MERMELADA","DERIVADOS",B10="131 - GALLETAS AVENA","DERIVADOS",B10="160 - SOUVENIR","OTROS",B10="148 - CARAMELOS","DERIVADOS",B10="143 - CHOCOFFES","DERIVADOS",B10="162 - CONVENIOS Y DSC POS ","OTROS"),"OTROS")</f>
        <v>DERIVADOS</v>
      </c>
      <c r="L10" s="27">
        <f t="shared" si="2"/>
        <v>250456</v>
      </c>
      <c r="M10" s="27">
        <f t="shared" si="3"/>
        <v>250456</v>
      </c>
    </row>
    <row r="11" spans="1:13" ht="16.5" hidden="1" outlineLevel="1">
      <c r="A11" s="38"/>
      <c r="B11" s="39" t="s">
        <v>23</v>
      </c>
      <c r="C11" s="36">
        <v>63836</v>
      </c>
      <c r="D11" s="36">
        <v>0</v>
      </c>
      <c r="E11" s="36">
        <v>0</v>
      </c>
      <c r="F11" s="36">
        <v>347556.62</v>
      </c>
      <c r="G11" s="37">
        <f t="shared" si="4"/>
        <v>0.18367079297755859</v>
      </c>
      <c r="H11" s="23">
        <f t="shared" si="0"/>
        <v>0</v>
      </c>
      <c r="I11" s="24">
        <f t="shared" si="0"/>
        <v>0</v>
      </c>
      <c r="J11" s="32" t="str" cm="1">
        <f t="array" ref="J11">IFERROR(_xlfn.IFS(B11="044 - BLEND TRADICION","BLEND",B11="113 - CAFÉ GOURMET","GOURMET",B11="114 - CAFÉ CONSUMO","CONSUMO",B11="112 - CAFÉ ORGANICO","GOURMET",B11="172 - CAFÉ COSECHA","ESPECIALES",B11="176 - CAFE DESCAFEINADO","GOURMET",B11="147 - CAPSULAS","CAPSULAS",B11="130 - GALLETAS CAFECITAS","DERIVADOS",B11="140 - MERENGUES","DERIVADOS",B11="100 - CAFÉ ESPECIAL","ESPECIALES",B11="141 - AREQUIPE","DERIVADOS",B11="142 - MERMELADA","DERIVADOS",B11="131 - GALLETAS AVENA","DERIVADOS",B11="160 - SOUVENIR","OTROS",B11="148 - CARAMELOS","DERIVADOS",B11="143 - CHOCOFFES","DERIVADOS",B11="162 - CONVENIOS Y DSC POS ","OTROS"),"OTROS")</f>
        <v>DERIVADOS</v>
      </c>
      <c r="L11" s="27">
        <f t="shared" si="2"/>
        <v>63836</v>
      </c>
      <c r="M11" s="27">
        <f t="shared" si="3"/>
        <v>63836</v>
      </c>
    </row>
    <row r="12" spans="1:13" ht="16.5" hidden="1" outlineLevel="1">
      <c r="A12" s="38"/>
      <c r="B12" s="39" t="s">
        <v>24</v>
      </c>
      <c r="C12" s="36">
        <v>48741</v>
      </c>
      <c r="D12" s="36">
        <v>0</v>
      </c>
      <c r="E12" s="36"/>
      <c r="F12" s="36">
        <v>1108552.25</v>
      </c>
      <c r="G12" s="37">
        <f t="shared" si="4"/>
        <v>4.3968157567674415E-2</v>
      </c>
      <c r="H12" s="23">
        <f t="shared" si="0"/>
        <v>0</v>
      </c>
      <c r="I12" s="24">
        <f t="shared" si="0"/>
        <v>0</v>
      </c>
      <c r="J12" s="32" t="str" cm="1">
        <f t="array" ref="J12">IFERROR(_xlfn.IFS(B12="044 - BLEND TRADICION","BLEND",B12="113 - CAFÉ GOURMET","GOURMET",B12="114 - CAFÉ CONSUMO","CONSUMO",B12="112 - CAFÉ ORGANICO","GOURMET",B12="172 - CAFÉ COSECHA","ESPECIALES",B12="176 - CAFE DESCAFEINADO","GOURMET",B12="147 - CAPSULAS","CAPSULAS",B12="130 - GALLETAS CAFECITAS","DERIVADOS",B12="140 - MERENGUES","DERIVADOS",B12="100 - CAFÉ ESPECIAL","ESPECIALES",B12="141 - AREQUIPE","DERIVADOS",B12="142 - MERMELADA","DERIVADOS",B12="131 - GALLETAS AVENA","DERIVADOS",B12="160 - SOUVENIR","OTROS",B12="148 - CARAMELOS","DERIVADOS",B12="143 - CHOCOFFES","DERIVADOS",B12="162 - CONVENIOS Y DSC POS ","OTROS"),"OTROS")</f>
        <v>DERIVADOS</v>
      </c>
      <c r="L12" s="27">
        <f t="shared" si="2"/>
        <v>48741</v>
      </c>
      <c r="M12" s="27">
        <f t="shared" si="3"/>
        <v>48741</v>
      </c>
    </row>
    <row r="13" spans="1:13" ht="16.5" hidden="1" outlineLevel="1">
      <c r="A13" s="38"/>
      <c r="B13" s="39" t="s">
        <v>25</v>
      </c>
      <c r="C13" s="36">
        <v>42096</v>
      </c>
      <c r="D13" s="36">
        <v>0</v>
      </c>
      <c r="E13" s="36"/>
      <c r="F13" s="36">
        <v>5164325.42</v>
      </c>
      <c r="G13" s="37">
        <f t="shared" si="4"/>
        <v>8.1513066231213606E-3</v>
      </c>
      <c r="H13" s="23">
        <f t="shared" si="0"/>
        <v>0</v>
      </c>
      <c r="I13" s="24">
        <f t="shared" si="0"/>
        <v>0</v>
      </c>
      <c r="J13" s="32" t="str" cm="1">
        <f t="array" ref="J13">IFERROR(_xlfn.IFS(B13="044 - BLEND TRADICION","BLEND",B13="113 - CAFÉ GOURMET","GOURMET",B13="114 - CAFÉ CONSUMO","CONSUMO",B13="112 - CAFÉ ORGANICO","GOURMET",B13="172 - CAFÉ COSECHA","ESPECIALES",B13="176 - CAFE DESCAFEINADO","GOURMET",B13="147 - CAPSULAS","CAPSULAS",B13="130 - GALLETAS CAFECITAS","DERIVADOS",B13="140 - MERENGUES","DERIVADOS",B13="100 - CAFÉ ESPECIAL","ESPECIALES",B13="141 - AREQUIPE","DERIVADOS",B13="142 - MERMELADA","DERIVADOS",B13="131 - GALLETAS AVENA","DERIVADOS",B13="160 - SOUVENIR","OTROS",B13="148 - CARAMELOS","DERIVADOS",B13="143 - CHOCOFFES","DERIVADOS",B13="162 - CONVENIOS Y DSC POS ","OTROS"),"OTROS")</f>
        <v>DERIVADOS</v>
      </c>
      <c r="L13" s="27">
        <f t="shared" si="2"/>
        <v>42096</v>
      </c>
      <c r="M13" s="27">
        <f t="shared" si="3"/>
        <v>42096</v>
      </c>
    </row>
    <row r="14" spans="1:13" ht="16.5" hidden="1" outlineLevel="1">
      <c r="A14" s="38"/>
      <c r="B14" s="39" t="s">
        <v>26</v>
      </c>
      <c r="C14" s="36">
        <v>0</v>
      </c>
      <c r="D14" s="36">
        <v>0</v>
      </c>
      <c r="E14" s="36"/>
      <c r="F14" s="36">
        <v>2621339.7000000002</v>
      </c>
      <c r="G14" s="37">
        <f t="shared" si="4"/>
        <v>0</v>
      </c>
      <c r="H14" s="23">
        <f t="shared" si="0"/>
        <v>0</v>
      </c>
      <c r="I14" s="24">
        <f t="shared" si="0"/>
        <v>0</v>
      </c>
      <c r="J14" s="32" t="str" cm="1">
        <f t="array" ref="J14">IFERROR(_xlfn.IFS(B14="044 - BLEND TRADICION","BLEND",B14="113 - CAFÉ GOURMET","GOURMET",B14="114 - CAFÉ CONSUMO","CONSUMO",B14="112 - CAFÉ ORGANICO","GOURMET",B14="172 - CAFÉ COSECHA","ESPECIALES",B14="176 - CAFE DESCAFEINADO","GOURMET",B14="147 - CAPSULAS","CAPSULAS",B14="130 - GALLETAS CAFECITAS","DERIVADOS",B14="140 - MERENGUES","DERIVADOS",B14="100 - CAFÉ ESPECIAL","ESPECIALES",B14="141 - AREQUIPE","DERIVADOS",B14="142 - MERMELADA","DERIVADOS",B14="131 - GALLETAS AVENA","DERIVADOS",B14="160 - SOUVENIR","OTROS",B14="148 - CARAMELOS","DERIVADOS",B14="143 - CHOCOFFES","DERIVADOS",B14="162 - CONVENIOS Y DSC POS ","OTROS"),"OTROS")</f>
        <v>CAPSULAS</v>
      </c>
      <c r="L14" s="27">
        <f t="shared" si="2"/>
        <v>0</v>
      </c>
      <c r="M14" s="27">
        <f t="shared" si="3"/>
        <v>0</v>
      </c>
    </row>
    <row r="15" spans="1:13" ht="16.5" hidden="1" outlineLevel="1">
      <c r="A15" s="38"/>
      <c r="B15" s="39" t="s">
        <v>27</v>
      </c>
      <c r="C15" s="36">
        <v>155915</v>
      </c>
      <c r="D15" s="36">
        <v>0</v>
      </c>
      <c r="E15" s="36"/>
      <c r="F15" s="36">
        <v>4581829.2699999996</v>
      </c>
      <c r="G15" s="37">
        <f t="shared" si="4"/>
        <v>3.4028985108823143E-2</v>
      </c>
      <c r="H15" s="23">
        <f t="shared" si="0"/>
        <v>0</v>
      </c>
      <c r="I15" s="24">
        <f t="shared" si="0"/>
        <v>0</v>
      </c>
      <c r="J15" s="32" t="str" cm="1">
        <f t="array" ref="J15">IFERROR(_xlfn.IFS(B15="044 - BLEND TRADICION","BLEND",B15="113 - CAFÉ GOURMET","GOURMET",B15="114 - CAFÉ CONSUMO","CONSUMO",B15="112 - CAFÉ ORGANICO","GOURMET",B15="172 - CAFÉ COSECHA","ESPECIALES",B15="176 - CAFE DESCAFEINADO","GOURMET",B15="147 - CAPSULAS","CAPSULAS",B15="130 - GALLETAS CAFECITAS","DERIVADOS",B15="140 - MERENGUES","DERIVADOS",B15="100 - CAFÉ ESPECIAL","ESPECIALES",B15="141 - AREQUIPE","DERIVADOS",B15="142 - MERMELADA","DERIVADOS",B15="131 - GALLETAS AVENA","DERIVADOS",B15="160 - SOUVENIR","OTROS",B15="148 - CARAMELOS","DERIVADOS",B15="143 - CHOCOFFES","DERIVADOS",B15="162 - CONVENIOS Y DSC POS ","OTROS"),"OTROS")</f>
        <v>DERIVADOS</v>
      </c>
      <c r="L15" s="27">
        <f t="shared" si="2"/>
        <v>155915</v>
      </c>
      <c r="M15" s="27">
        <f t="shared" si="3"/>
        <v>155915</v>
      </c>
    </row>
    <row r="16" spans="1:13" ht="16.5" hidden="1" outlineLevel="1">
      <c r="A16" s="38"/>
      <c r="B16" s="39" t="s">
        <v>28</v>
      </c>
      <c r="C16" s="36">
        <v>494974</v>
      </c>
      <c r="D16" s="36">
        <v>0</v>
      </c>
      <c r="E16" s="36"/>
      <c r="F16" s="36">
        <v>11251446.380000001</v>
      </c>
      <c r="G16" s="37">
        <f t="shared" si="4"/>
        <v>4.3992032960299278E-2</v>
      </c>
      <c r="H16" s="23">
        <f t="shared" si="0"/>
        <v>0</v>
      </c>
      <c r="I16" s="24">
        <f t="shared" si="0"/>
        <v>0</v>
      </c>
      <c r="J16" s="32" t="str" cm="1">
        <f t="array" ref="J16">IFERROR(_xlfn.IFS(B16="044 - BLEND TRADICION","BLEND",B16="113 - CAFÉ GOURMET","GOURMET",B16="114 - CAFÉ CONSUMO","CONSUMO",B16="112 - CAFÉ ORGANICO","GOURMET",B16="172 - CAFÉ COSECHA","ESPECIALES",B16="176 - CAFE DESCAFEINADO","GOURMET",B16="147 - CAPSULAS","CAPSULAS",B16="130 - GALLETAS CAFECITAS","DERIVADOS",B16="140 - MERENGUES","DERIVADOS",B16="100 - CAFÉ ESPECIAL","ESPECIALES",B16="141 - AREQUIPE","DERIVADOS",B16="142 - MERMELADA","DERIVADOS",B16="131 - GALLETAS AVENA","DERIVADOS",B16="160 - SOUVENIR","OTROS",B16="148 - CARAMELOS","DERIVADOS",B16="143 - CHOCOFFES","DERIVADOS",B16="162 - CONVENIOS Y DSC POS ","OTROS"),"OTROS")</f>
        <v>OTROS</v>
      </c>
      <c r="L16" s="27">
        <f t="shared" si="2"/>
        <v>494974</v>
      </c>
      <c r="M16" s="27">
        <f t="shared" si="3"/>
        <v>494974</v>
      </c>
    </row>
    <row r="17" spans="1:13" ht="16.5" hidden="1" outlineLevel="1">
      <c r="A17" s="38"/>
      <c r="B17" s="39" t="s">
        <v>29</v>
      </c>
      <c r="C17" s="36">
        <v>0</v>
      </c>
      <c r="D17" s="36">
        <v>0</v>
      </c>
      <c r="E17" s="36"/>
      <c r="F17" s="36">
        <v>6227226.4500000002</v>
      </c>
      <c r="G17" s="37">
        <f t="shared" si="4"/>
        <v>0</v>
      </c>
      <c r="H17" s="23">
        <f t="shared" si="0"/>
        <v>0</v>
      </c>
      <c r="I17" s="24">
        <f t="shared" si="0"/>
        <v>0</v>
      </c>
      <c r="J17" s="32" t="str" cm="1">
        <f t="array" ref="J17">IFERROR(_xlfn.IFS(B17="044 - BLEND TRADICION","BLEND",B17="113 - CAFÉ GOURMET","GOURMET",B17="114 - CAFÉ CONSUMO","CONSUMO",B17="112 - CAFÉ ORGANICO","GOURMET",B17="172 - CAFÉ COSECHA","ESPECIALES",B17="176 - CAFE DESCAFEINADO","GOURMET",B17="147 - CAPSULAS","CAPSULAS",B17="130 - GALLETAS CAFECITAS","DERIVADOS",B17="140 - MERENGUES","DERIVADOS",B17="100 - CAFÉ ESPECIAL","ESPECIALES",B17="141 - AREQUIPE","DERIVADOS",B17="142 - MERMELADA","DERIVADOS",B17="131 - GALLETAS AVENA","DERIVADOS",B17="160 - SOUVENIR","OTROS",B17="148 - CARAMELOS","DERIVADOS",B17="143 - CHOCOFFES","DERIVADOS",B17="162 - CONVENIOS Y DSC POS ","OTROS"),"OTROS")</f>
        <v>ESPECIALES</v>
      </c>
      <c r="L17" s="27">
        <f t="shared" si="2"/>
        <v>0</v>
      </c>
      <c r="M17" s="27">
        <f t="shared" si="3"/>
        <v>0</v>
      </c>
    </row>
    <row r="18" spans="1:13" ht="16.5" hidden="1" outlineLevel="1">
      <c r="A18" s="38"/>
      <c r="B18" s="39" t="s">
        <v>30</v>
      </c>
      <c r="C18" s="36">
        <v>144234</v>
      </c>
      <c r="D18" s="36">
        <v>0</v>
      </c>
      <c r="E18" s="36"/>
      <c r="F18" s="36">
        <v>675742.84</v>
      </c>
      <c r="G18" s="37">
        <f t="shared" si="4"/>
        <v>0.21344510287375004</v>
      </c>
      <c r="H18" s="23">
        <f t="shared" si="0"/>
        <v>0</v>
      </c>
      <c r="I18" s="24">
        <f t="shared" si="0"/>
        <v>0</v>
      </c>
      <c r="J18" s="32" t="str" cm="1">
        <f t="array" ref="J18">IFERROR(_xlfn.IFS(B18="044 - BLEND TRADICION","BLEND",B18="113 - CAFÉ GOURMET","GOURMET",B18="114 - CAFÉ CONSUMO","CONSUMO",B18="112 - CAFÉ ORGANICO","GOURMET",B18="172 - CAFÉ COSECHA","ESPECIALES",B18="176 - CAFE DESCAFEINADO","GOURMET",B18="147 - CAPSULAS","CAPSULAS",B18="130 - GALLETAS CAFECITAS","DERIVADOS",B18="140 - MERENGUES","DERIVADOS",B18="100 - CAFÉ ESPECIAL","ESPECIALES",B18="141 - AREQUIPE","DERIVADOS",B18="142 - MERMELADA","DERIVADOS",B18="131 - GALLETAS AVENA","DERIVADOS",B18="160 - SOUVENIR","OTROS",B18="148 - CARAMELOS","DERIVADOS",B18="143 - CHOCOFFES","DERIVADOS",B18="162 - CONVENIOS Y DSC POS ","OTROS"),"OTROS")</f>
        <v>GOURMET</v>
      </c>
      <c r="L18" s="27">
        <f t="shared" si="2"/>
        <v>144234</v>
      </c>
      <c r="M18" s="27">
        <f t="shared" si="3"/>
        <v>144234</v>
      </c>
    </row>
    <row r="19" spans="1:13" ht="16.5" hidden="1" outlineLevel="1">
      <c r="A19" s="38"/>
      <c r="B19" s="39" t="s">
        <v>31</v>
      </c>
      <c r="C19" s="36">
        <v>-508736</v>
      </c>
      <c r="D19" s="36">
        <v>-508736</v>
      </c>
      <c r="E19" s="36"/>
      <c r="F19" s="36"/>
      <c r="G19" s="37"/>
      <c r="H19" s="23">
        <f t="shared" si="0"/>
        <v>0</v>
      </c>
      <c r="I19" s="24">
        <f t="shared" si="0"/>
        <v>0</v>
      </c>
      <c r="J19" s="32" t="str" cm="1">
        <f t="array" ref="J19">IFERROR(_xlfn.IFS(B19="044 - BLEND TRADICION","BLEND",B19="113 - CAFÉ GOURMET","GOURMET",B19="114 - CAFÉ CONSUMO","CONSUMO",B19="112 - CAFÉ ORGANICO","GOURMET",B19="172 - CAFÉ COSECHA","ESPECIALES",B19="176 - CAFE DESCAFEINADO","GOURMET",B19="147 - CAPSULAS","CAPSULAS",B19="130 - GALLETAS CAFECITAS","DERIVADOS",B19="140 - MERENGUES","DERIVADOS",B19="100 - CAFÉ ESPECIAL","ESPECIALES",B19="141 - AREQUIPE","DERIVADOS",B19="142 - MERMELADA","DERIVADOS",B19="131 - GALLETAS AVENA","DERIVADOS",B19="160 - SOUVENIR","OTROS",B19="148 - CARAMELOS","DERIVADOS",B19="143 - CHOCOFFES","DERIVADOS",B19="162 - CONVENIOS Y DSC POS ","OTROS"),"OTROS")</f>
        <v>OTROS</v>
      </c>
      <c r="L19" s="27">
        <f t="shared" si="2"/>
        <v>0</v>
      </c>
      <c r="M19" s="27">
        <f t="shared" si="3"/>
        <v>0</v>
      </c>
    </row>
    <row r="20" spans="1:13" ht="16.5" hidden="1" outlineLevel="1">
      <c r="A20" s="19" t="s">
        <v>16</v>
      </c>
      <c r="B20" s="40" t="s">
        <v>32</v>
      </c>
      <c r="C20" s="41">
        <f>SUM(C6:C19)</f>
        <v>20422526</v>
      </c>
      <c r="D20" s="41">
        <f>SUM(D6:D19)</f>
        <v>-508736</v>
      </c>
      <c r="E20" s="41">
        <f>SUM(E6:E19)</f>
        <v>0</v>
      </c>
      <c r="F20" s="41">
        <f>SUM(F6:F19)</f>
        <v>132391087.09</v>
      </c>
      <c r="G20" s="42">
        <f t="shared" ref="G20:G89" si="5">IFERROR(C20/F20*100%,"-")</f>
        <v>0.154259070220616</v>
      </c>
      <c r="H20" s="43">
        <f t="shared" ref="H20:I35" si="6">IFERROR(+D20/L20*100%,0)</f>
        <v>-2.4305080123692493E-2</v>
      </c>
      <c r="I20" s="24">
        <f t="shared" si="6"/>
        <v>0</v>
      </c>
      <c r="J20" s="32" t="str" cm="1">
        <f t="array" ref="J20">IFERROR(_xlfn.IFS(B20="044 - BLEND TRADICION","BLEND",B20="113 - CAFÉ GOURMET","GOURMET",B20="114 - CAFÉ CONSUMO","CONSUMO",B20="112 - CAFÉ ORGANICO","GOURMET",B20="172 - CAFÉ COSECHA","ESPECIALES",B20="176 - CAFE DESCAFEINADO","GOURMET",B20="147 - CAPSULAS","CAPSULAS",B20="130 - GALLETAS CAFECITAS","DERIVADOS",B20="140 - MERENGUES","DERIVADOS",B20="100 - CAFÉ ESPECIAL","ESPECIALES",B20="141 - AREQUIPE","DERIVADOS",B20="142 - MERMELADA","DERIVADOS",B20="131 - GALLETAS AVENA","DERIVADOS",B20="160 - SOUVENIR","OTROS",B20="148 - CARAMELOS","DERIVADOS",B20="143 - CHOCOFFES","DERIVADOS",B20="162 - CONVENIOS Y DSC POS ","OTROS"),"OTROS")</f>
        <v>OTROS</v>
      </c>
      <c r="L20" s="27">
        <f t="shared" si="2"/>
        <v>20931262</v>
      </c>
      <c r="M20" s="27">
        <f t="shared" si="3"/>
        <v>20931262</v>
      </c>
    </row>
    <row r="21" spans="1:13" ht="16.5" collapsed="1">
      <c r="A21" s="28" t="s">
        <v>33</v>
      </c>
      <c r="B21" s="29" t="s">
        <v>17</v>
      </c>
      <c r="C21" s="30">
        <f>+C26+C60+C41</f>
        <v>161143642</v>
      </c>
      <c r="D21" s="30">
        <f>+D26+D60+D41</f>
        <v>-12308696</v>
      </c>
      <c r="E21" s="30">
        <f>+E26+E60+E41</f>
        <v>0</v>
      </c>
      <c r="F21" s="30">
        <f>+F26+F60+F41</f>
        <v>482062133.13</v>
      </c>
      <c r="G21" s="31">
        <f t="shared" si="5"/>
        <v>0.33427981773574328</v>
      </c>
      <c r="H21" s="43">
        <f t="shared" si="6"/>
        <v>-7.0962986961870755E-2</v>
      </c>
      <c r="I21" s="24">
        <f t="shared" si="6"/>
        <v>0</v>
      </c>
      <c r="J21" s="32" t="str" cm="1">
        <f t="array" ref="J21">IFERROR(_xlfn.IFS(B21="044 - BLEND TRADICION","BLEND",B21="113 - CAFÉ GOURMET","GOURMET",B21="114 - CAFÉ CONSUMO","CONSUMO",B21="112 - CAFÉ ORGANICO","GOURMET",B21="172 - CAFÉ COSECHA","ESPECIALES",B21="176 - CAFE DESCAFEINADO","GOURMET",B21="147 - CAPSULAS","CAPSULAS",B21="130 - GALLETAS CAFECITAS","DERIVADOS",B21="140 - MERENGUES","DERIVADOS",B21="100 - CAFÉ ESPECIAL","ESPECIALES",B21="141 - AREQUIPE","DERIVADOS",B21="142 - MERMELADA","DERIVADOS",B21="131 - GALLETAS AVENA","DERIVADOS",B21="160 - SOUVENIR","OTROS",B21="148 - CARAMELOS","DERIVADOS",B21="143 - CHOCOFFES","DERIVADOS",B21="162 - CONVENIOS Y DSC POS ","OTROS"),"OTROS")</f>
        <v>OTROS</v>
      </c>
      <c r="L21" s="27">
        <f t="shared" si="2"/>
        <v>173452338</v>
      </c>
      <c r="M21" s="27">
        <f t="shared" si="3"/>
        <v>173452338</v>
      </c>
    </row>
    <row r="22" spans="1:13" ht="16.5" hidden="1" outlineLevel="1">
      <c r="A22" s="44"/>
      <c r="B22" s="45" t="s">
        <v>34</v>
      </c>
      <c r="C22" s="46">
        <v>26048700</v>
      </c>
      <c r="D22" s="47">
        <v>0</v>
      </c>
      <c r="E22" s="48"/>
      <c r="F22" s="48">
        <v>43207145.729999997</v>
      </c>
      <c r="G22" s="49">
        <f t="shared" si="5"/>
        <v>0.60287944412661398</v>
      </c>
      <c r="H22" s="43">
        <f t="shared" si="6"/>
        <v>0</v>
      </c>
      <c r="I22" s="24">
        <f t="shared" si="6"/>
        <v>0</v>
      </c>
      <c r="J22" s="32" t="str" cm="1">
        <f t="array" ref="J22">IFERROR(_xlfn.IFS(B22="044 - BLEND TRADICION","BLEND",B22="113 - CAFÉ GOURMET","GOURMET",B22="114 - CAFÉ CONSUMO","CONSUMO",B22="112 - CAFÉ ORGANICO","GOURMET",B22="172 - CAFÉ COSECHA","ESPECIALES",B22="176 - CAFE DESCAFEINADO","GOURMET",B22="147 - CAPSULAS","CAPSULAS",B22="130 - GALLETAS CAFECITAS","DERIVADOS",B22="140 - MERENGUES","DERIVADOS",B22="100 - CAFÉ ESPECIAL","ESPECIALES",B22="141 - AREQUIPE","DERIVADOS",B22="142 - MERMELADA","DERIVADOS",B22="131 - GALLETAS AVENA","DERIVADOS",B22="160 - SOUVENIR","OTROS",B22="148 - CARAMELOS","DERIVADOS",B22="143 - CHOCOFFES","DERIVADOS",B22="162 - CONVENIOS Y DSC POS ","OTROS"),"OTROS")</f>
        <v>OTROS</v>
      </c>
      <c r="L22" s="27">
        <f t="shared" si="2"/>
        <v>26048700</v>
      </c>
      <c r="M22" s="27">
        <f t="shared" si="3"/>
        <v>26048700</v>
      </c>
    </row>
    <row r="23" spans="1:13" ht="16.5" hidden="1" outlineLevel="1">
      <c r="A23" s="44"/>
      <c r="B23" s="45" t="s">
        <v>21</v>
      </c>
      <c r="C23" s="46">
        <v>17902500</v>
      </c>
      <c r="D23" s="50">
        <v>0</v>
      </c>
      <c r="E23" s="51"/>
      <c r="F23" s="51">
        <v>40827157.719999999</v>
      </c>
      <c r="G23" s="49">
        <f t="shared" si="5"/>
        <v>0.43849488918083812</v>
      </c>
      <c r="H23" s="43">
        <f t="shared" si="6"/>
        <v>0</v>
      </c>
      <c r="I23" s="24">
        <f t="shared" si="6"/>
        <v>0</v>
      </c>
      <c r="J23" s="32" t="str" cm="1">
        <f t="array" ref="J23">IFERROR(_xlfn.IFS(B23="044 - BLEND TRADICION","BLEND",B23="113 - CAFÉ GOURMET","GOURMET",B23="114 - CAFÉ CONSUMO","CONSUMO",B23="112 - CAFÉ ORGANICO","GOURMET",B23="172 - CAFÉ COSECHA","ESPECIALES",B23="176 - CAFE DESCAFEINADO","GOURMET",B23="147 - CAPSULAS","CAPSULAS",B23="130 - GALLETAS CAFECITAS","DERIVADOS",B23="140 - MERENGUES","DERIVADOS",B23="100 - CAFÉ ESPECIAL","ESPECIALES",B23="141 - AREQUIPE","DERIVADOS",B23="142 - MERMELADA","DERIVADOS",B23="131 - GALLETAS AVENA","DERIVADOS",B23="160 - SOUVENIR","OTROS",B23="148 - CARAMELOS","DERIVADOS",B23="143 - CHOCOFFES","DERIVADOS",B23="162 - CONVENIOS Y DSC POS ","OTROS"),"OTROS")</f>
        <v>GOURMET</v>
      </c>
      <c r="L23" s="27">
        <f t="shared" si="2"/>
        <v>17902500</v>
      </c>
      <c r="M23" s="27">
        <f t="shared" si="3"/>
        <v>17902500</v>
      </c>
    </row>
    <row r="24" spans="1:13" ht="16.5" hidden="1" outlineLevel="1">
      <c r="A24" s="44"/>
      <c r="B24" s="45" t="s">
        <v>26</v>
      </c>
      <c r="C24" s="46">
        <v>0</v>
      </c>
      <c r="D24" s="50">
        <v>0</v>
      </c>
      <c r="E24" s="51"/>
      <c r="F24" s="51">
        <v>72407.34</v>
      </c>
      <c r="G24" s="49">
        <f t="shared" si="5"/>
        <v>0</v>
      </c>
      <c r="H24" s="43">
        <f t="shared" si="6"/>
        <v>0</v>
      </c>
      <c r="I24" s="24">
        <f t="shared" si="6"/>
        <v>0</v>
      </c>
      <c r="J24" s="32" t="str" cm="1">
        <f t="array" ref="J24">IFERROR(_xlfn.IFS(B24="044 - BLEND TRADICION","BLEND",B24="113 - CAFÉ GOURMET","GOURMET",B24="114 - CAFÉ CONSUMO","CONSUMO",B24="112 - CAFÉ ORGANICO","GOURMET",B24="172 - CAFÉ COSECHA","ESPECIALES",B24="176 - CAFE DESCAFEINADO","GOURMET",B24="147 - CAPSULAS","CAPSULAS",B24="130 - GALLETAS CAFECITAS","DERIVADOS",B24="140 - MERENGUES","DERIVADOS",B24="100 - CAFÉ ESPECIAL","ESPECIALES",B24="141 - AREQUIPE","DERIVADOS",B24="142 - MERMELADA","DERIVADOS",B24="131 - GALLETAS AVENA","DERIVADOS",B24="160 - SOUVENIR","OTROS",B24="148 - CARAMELOS","DERIVADOS",B24="143 - CHOCOFFES","DERIVADOS",B24="162 - CONVENIOS Y DSC POS ","OTROS"),"OTROS")</f>
        <v>CAPSULAS</v>
      </c>
      <c r="L24" s="27">
        <f t="shared" si="2"/>
        <v>0</v>
      </c>
      <c r="M24" s="27">
        <f t="shared" si="3"/>
        <v>0</v>
      </c>
    </row>
    <row r="25" spans="1:13" ht="16.5" hidden="1" outlineLevel="1">
      <c r="A25" s="44"/>
      <c r="B25" s="45" t="s">
        <v>28</v>
      </c>
      <c r="C25" s="46">
        <v>0</v>
      </c>
      <c r="D25" s="50">
        <v>0</v>
      </c>
      <c r="E25" s="51"/>
      <c r="F25" s="51">
        <v>7805453.8099999996</v>
      </c>
      <c r="G25" s="49">
        <f t="shared" si="5"/>
        <v>0</v>
      </c>
      <c r="H25" s="43">
        <f t="shared" si="6"/>
        <v>0</v>
      </c>
      <c r="I25" s="24">
        <f t="shared" si="6"/>
        <v>0</v>
      </c>
      <c r="J25" s="32" t="str" cm="1">
        <f t="array" ref="J25">IFERROR(_xlfn.IFS(B25="044 - BLEND TRADICION","BLEND",B25="113 - CAFÉ GOURMET","GOURMET",B25="114 - CAFÉ CONSUMO","CONSUMO",B25="112 - CAFÉ ORGANICO","GOURMET",B25="172 - CAFÉ COSECHA","ESPECIALES",B25="176 - CAFE DESCAFEINADO","GOURMET",B25="147 - CAPSULAS","CAPSULAS",B25="130 - GALLETAS CAFECITAS","DERIVADOS",B25="140 - MERENGUES","DERIVADOS",B25="100 - CAFÉ ESPECIAL","ESPECIALES",B25="141 - AREQUIPE","DERIVADOS",B25="142 - MERMELADA","DERIVADOS",B25="131 - GALLETAS AVENA","DERIVADOS",B25="160 - SOUVENIR","OTROS",B25="148 - CARAMELOS","DERIVADOS",B25="143 - CHOCOFFES","DERIVADOS",B25="162 - CONVENIOS Y DSC POS ","OTROS"),"OTROS")</f>
        <v>OTROS</v>
      </c>
      <c r="L25" s="27">
        <f t="shared" si="2"/>
        <v>0</v>
      </c>
      <c r="M25" s="27">
        <f t="shared" si="3"/>
        <v>0</v>
      </c>
    </row>
    <row r="26" spans="1:13" ht="16.5" hidden="1" outlineLevel="1">
      <c r="A26" s="52" t="s">
        <v>35</v>
      </c>
      <c r="B26" s="20" t="s">
        <v>32</v>
      </c>
      <c r="C26" s="21">
        <f>SUM(C22:C25)</f>
        <v>43951200</v>
      </c>
      <c r="D26" s="53">
        <f t="shared" ref="D26:E26" si="7">SUM(D22)</f>
        <v>0</v>
      </c>
      <c r="E26" s="54">
        <f t="shared" si="7"/>
        <v>0</v>
      </c>
      <c r="F26" s="54">
        <f>SUM(F22:F25)</f>
        <v>91912164.599999994</v>
      </c>
      <c r="G26" s="55">
        <f t="shared" si="5"/>
        <v>0.47818697548115413</v>
      </c>
      <c r="H26" s="43">
        <f t="shared" si="6"/>
        <v>0</v>
      </c>
      <c r="I26" s="24">
        <f t="shared" si="6"/>
        <v>0</v>
      </c>
      <c r="J26" s="32" t="str" cm="1">
        <f t="array" ref="J26">IFERROR(_xlfn.IFS(B26="044 - BLEND TRADICION","BLEND",B26="113 - CAFÉ GOURMET","GOURMET",B26="114 - CAFÉ CONSUMO","CONSUMO",B26="112 - CAFÉ ORGANICO","GOURMET",B26="172 - CAFÉ COSECHA","ESPECIALES",B26="176 - CAFE DESCAFEINADO","GOURMET",B26="147 - CAPSULAS","CAPSULAS",B26="130 - GALLETAS CAFECITAS","DERIVADOS",B26="140 - MERENGUES","DERIVADOS",B26="100 - CAFÉ ESPECIAL","ESPECIALES",B26="141 - AREQUIPE","DERIVADOS",B26="142 - MERMELADA","DERIVADOS",B26="131 - GALLETAS AVENA","DERIVADOS",B26="160 - SOUVENIR","OTROS",B26="148 - CARAMELOS","DERIVADOS",B26="143 - CHOCOFFES","DERIVADOS",B26="162 - CONVENIOS Y DSC POS ","OTROS"),"OTROS")</f>
        <v>OTROS</v>
      </c>
      <c r="L26" s="27">
        <f t="shared" si="2"/>
        <v>43951200</v>
      </c>
      <c r="M26" s="27">
        <f t="shared" si="3"/>
        <v>43951200</v>
      </c>
    </row>
    <row r="27" spans="1:13" ht="16.5" hidden="1" outlineLevel="1">
      <c r="A27" s="44"/>
      <c r="B27" s="45" t="s">
        <v>34</v>
      </c>
      <c r="C27" s="46">
        <v>2899260</v>
      </c>
      <c r="D27" s="47">
        <v>-2726312</v>
      </c>
      <c r="E27" s="48">
        <v>0</v>
      </c>
      <c r="F27" s="48">
        <v>6545773.3099999996</v>
      </c>
      <c r="G27" s="49">
        <f t="shared" si="5"/>
        <v>0.44292092968920738</v>
      </c>
      <c r="H27" s="43">
        <f t="shared" si="6"/>
        <v>-0.48462840756459963</v>
      </c>
      <c r="I27" s="24">
        <f t="shared" si="6"/>
        <v>0</v>
      </c>
      <c r="J27" s="32" t="str" cm="1">
        <f t="array" ref="J27">IFERROR(_xlfn.IFS(B27="044 - BLEND TRADICION","BLEND",B27="113 - CAFÉ GOURMET","GOURMET",B27="114 - CAFÉ CONSUMO","CONSUMO",B27="112 - CAFÉ ORGANICO","GOURMET",B27="172 - CAFÉ COSECHA","ESPECIALES",B27="176 - CAFE DESCAFEINADO","GOURMET",B27="147 - CAPSULAS","CAPSULAS",B27="130 - GALLETAS CAFECITAS","DERIVADOS",B27="140 - MERENGUES","DERIVADOS",B27="100 - CAFÉ ESPECIAL","ESPECIALES",B27="141 - AREQUIPE","DERIVADOS",B27="142 - MERMELADA","DERIVADOS",B27="131 - GALLETAS AVENA","DERIVADOS",B27="160 - SOUVENIR","OTROS",B27="148 - CARAMELOS","DERIVADOS",B27="143 - CHOCOFFES","DERIVADOS",B27="162 - CONVENIOS Y DSC POS ","OTROS"),"OTROS")</f>
        <v>OTROS</v>
      </c>
      <c r="L27" s="27">
        <f t="shared" si="2"/>
        <v>5625572</v>
      </c>
      <c r="M27" s="27">
        <f t="shared" si="3"/>
        <v>5625572</v>
      </c>
    </row>
    <row r="28" spans="1:13" ht="16.5" hidden="1" outlineLevel="1">
      <c r="A28" s="38"/>
      <c r="B28" s="34" t="s">
        <v>19</v>
      </c>
      <c r="C28" s="35">
        <v>189399</v>
      </c>
      <c r="D28" s="36">
        <v>0</v>
      </c>
      <c r="E28" s="48">
        <v>0</v>
      </c>
      <c r="F28" s="48">
        <v>4061262.59</v>
      </c>
      <c r="G28" s="49">
        <f t="shared" si="5"/>
        <v>4.6635497164442159E-2</v>
      </c>
      <c r="H28" s="23">
        <f t="shared" si="6"/>
        <v>0</v>
      </c>
      <c r="I28" s="24">
        <f t="shared" si="6"/>
        <v>0</v>
      </c>
      <c r="J28" s="32" t="str" cm="1">
        <f t="array" ref="J28">IFERROR(_xlfn.IFS(B28="044 - BLEND TRADICION","BLEND",B28="113 - CAFÉ GOURMET","GOURMET",B28="114 - CAFÉ CONSUMO","CONSUMO",B28="112 - CAFÉ ORGANICO","GOURMET",B28="172 - CAFÉ COSECHA","ESPECIALES",B28="176 - CAFE DESCAFEINADO","GOURMET",B28="147 - CAPSULAS","CAPSULAS",B28="130 - GALLETAS CAFECITAS","DERIVADOS",B28="140 - MERENGUES","DERIVADOS",B28="100 - CAFÉ ESPECIAL","ESPECIALES",B28="141 - AREQUIPE","DERIVADOS",B28="142 - MERMELADA","DERIVADOS",B28="131 - GALLETAS AVENA","DERIVADOS",B28="160 - SOUVENIR","OTROS",B28="148 - CARAMELOS","DERIVADOS",B28="143 - CHOCOFFES","DERIVADOS",B28="162 - CONVENIOS Y DSC POS ","OTROS"),"OTROS")</f>
        <v>ESPECIALES</v>
      </c>
      <c r="L28" s="27">
        <f t="shared" si="2"/>
        <v>189399</v>
      </c>
      <c r="M28" s="27">
        <f t="shared" si="3"/>
        <v>189399</v>
      </c>
    </row>
    <row r="29" spans="1:13" ht="16.5" hidden="1" outlineLevel="1">
      <c r="A29" s="38"/>
      <c r="B29" s="39" t="s">
        <v>20</v>
      </c>
      <c r="C29" s="36">
        <v>639804</v>
      </c>
      <c r="D29" s="36">
        <v>0</v>
      </c>
      <c r="E29" s="48">
        <v>0</v>
      </c>
      <c r="F29" s="48">
        <v>1222472.22</v>
      </c>
      <c r="G29" s="49">
        <f t="shared" si="5"/>
        <v>0.52336894821217284</v>
      </c>
      <c r="H29" s="23">
        <f t="shared" si="6"/>
        <v>0</v>
      </c>
      <c r="I29" s="24">
        <f t="shared" si="6"/>
        <v>0</v>
      </c>
      <c r="J29" s="32" t="str" cm="1">
        <f t="array" ref="J29">IFERROR(_xlfn.IFS(B29="044 - BLEND TRADICION","BLEND",B29="113 - CAFÉ GOURMET","GOURMET",B29="114 - CAFÉ CONSUMO","CONSUMO",B29="112 - CAFÉ ORGANICO","GOURMET",B29="172 - CAFÉ COSECHA","ESPECIALES",B29="176 - CAFE DESCAFEINADO","GOURMET",B29="147 - CAPSULAS","CAPSULAS",B29="130 - GALLETAS CAFECITAS","DERIVADOS",B29="140 - MERENGUES","DERIVADOS",B29="100 - CAFÉ ESPECIAL","ESPECIALES",B29="141 - AREQUIPE","DERIVADOS",B29="142 - MERMELADA","DERIVADOS",B29="131 - GALLETAS AVENA","DERIVADOS",B29="160 - SOUVENIR","OTROS",B29="148 - CARAMELOS","DERIVADOS",B29="143 - CHOCOFFES","DERIVADOS",B29="162 - CONVENIOS Y DSC POS ","OTROS"),"OTROS")</f>
        <v>GOURMET</v>
      </c>
      <c r="L29" s="27">
        <f t="shared" si="2"/>
        <v>639804</v>
      </c>
      <c r="M29" s="27">
        <f t="shared" si="3"/>
        <v>639804</v>
      </c>
    </row>
    <row r="30" spans="1:13" ht="16.5" hidden="1" outlineLevel="1">
      <c r="A30" s="38"/>
      <c r="B30" s="39" t="s">
        <v>21</v>
      </c>
      <c r="C30" s="36">
        <v>67240742</v>
      </c>
      <c r="D30" s="36">
        <v>-7679700</v>
      </c>
      <c r="E30" s="48">
        <v>0</v>
      </c>
      <c r="F30" s="48">
        <v>223480484.16999999</v>
      </c>
      <c r="G30" s="49">
        <f t="shared" si="5"/>
        <v>0.30087970432733829</v>
      </c>
      <c r="H30" s="23">
        <f t="shared" si="6"/>
        <v>-0.10250473428867385</v>
      </c>
      <c r="I30" s="24">
        <f t="shared" si="6"/>
        <v>0</v>
      </c>
      <c r="J30" s="32" t="str" cm="1">
        <f t="array" ref="J30">IFERROR(_xlfn.IFS(B30="044 - BLEND TRADICION","BLEND",B30="113 - CAFÉ GOURMET","GOURMET",B30="114 - CAFÉ CONSUMO","CONSUMO",B30="112 - CAFÉ ORGANICO","GOURMET",B30="172 - CAFÉ COSECHA","ESPECIALES",B30="176 - CAFE DESCAFEINADO","GOURMET",B30="147 - CAPSULAS","CAPSULAS",B30="130 - GALLETAS CAFECITAS","DERIVADOS",B30="140 - MERENGUES","DERIVADOS",B30="100 - CAFÉ ESPECIAL","ESPECIALES",B30="141 - AREQUIPE","DERIVADOS",B30="142 - MERMELADA","DERIVADOS",B30="131 - GALLETAS AVENA","DERIVADOS",B30="160 - SOUVENIR","OTROS",B30="148 - CARAMELOS","DERIVADOS",B30="143 - CHOCOFFES","DERIVADOS",B30="162 - CONVENIOS Y DSC POS ","OTROS"),"OTROS")</f>
        <v>GOURMET</v>
      </c>
      <c r="L30" s="27">
        <f t="shared" si="2"/>
        <v>74920442</v>
      </c>
      <c r="M30" s="27">
        <f t="shared" si="3"/>
        <v>74920442</v>
      </c>
    </row>
    <row r="31" spans="1:13" ht="16.5" hidden="1" outlineLevel="1">
      <c r="A31" s="38"/>
      <c r="B31" s="39" t="s">
        <v>38</v>
      </c>
      <c r="C31" s="36">
        <v>14257425</v>
      </c>
      <c r="D31" s="36">
        <v>0</v>
      </c>
      <c r="E31" s="48">
        <v>0</v>
      </c>
      <c r="F31" s="48">
        <v>12078505</v>
      </c>
      <c r="G31" s="49">
        <f t="shared" si="5"/>
        <v>1.1803964977453749</v>
      </c>
      <c r="H31" s="23">
        <f t="shared" si="6"/>
        <v>0</v>
      </c>
      <c r="I31" s="24">
        <f t="shared" si="6"/>
        <v>0</v>
      </c>
      <c r="J31" s="32" t="str" cm="1">
        <f t="array" ref="J31">IFERROR(_xlfn.IFS(B31="044 - BLEND TRADICION","BLEND",B31="113 - CAFÉ GOURMET","GOURMET",B31="114 - CAFÉ CONSUMO","CONSUMO",B31="112 - CAFÉ ORGANICO","GOURMET",B31="172 - CAFÉ COSECHA","ESPECIALES",B31="176 - CAFE DESCAFEINADO","GOURMET",B31="147 - CAPSULAS","CAPSULAS",B31="130 - GALLETAS CAFECITAS","DERIVADOS",B31="140 - MERENGUES","DERIVADOS",B31="100 - CAFÉ ESPECIAL","ESPECIALES",B31="141 - AREQUIPE","DERIVADOS",B31="142 - MERMELADA","DERIVADOS",B31="131 - GALLETAS AVENA","DERIVADOS",B31="160 - SOUVENIR","OTROS",B31="148 - CARAMELOS","DERIVADOS",B31="143 - CHOCOFFES","DERIVADOS",B31="162 - CONVENIOS Y DSC POS ","OTROS"),"OTROS")</f>
        <v>CONSUMO</v>
      </c>
      <c r="L31" s="27">
        <f t="shared" si="2"/>
        <v>14257425</v>
      </c>
      <c r="M31" s="27">
        <f t="shared" si="3"/>
        <v>14257425</v>
      </c>
    </row>
    <row r="32" spans="1:13" ht="16.5" hidden="1" outlineLevel="1">
      <c r="A32" s="38"/>
      <c r="B32" s="39" t="s">
        <v>22</v>
      </c>
      <c r="C32" s="36">
        <v>1127800</v>
      </c>
      <c r="D32" s="36">
        <v>0</v>
      </c>
      <c r="E32" s="48">
        <v>0</v>
      </c>
      <c r="F32" s="48">
        <v>876245.45</v>
      </c>
      <c r="G32" s="49">
        <f t="shared" si="5"/>
        <v>1.2870822895571099</v>
      </c>
      <c r="H32" s="23">
        <f t="shared" si="6"/>
        <v>0</v>
      </c>
      <c r="I32" s="24">
        <f t="shared" si="6"/>
        <v>0</v>
      </c>
      <c r="J32" s="32" t="str" cm="1">
        <f t="array" ref="J32">IFERROR(_xlfn.IFS(B32="044 - BLEND TRADICION","BLEND",B32="113 - CAFÉ GOURMET","GOURMET",B32="114 - CAFÉ CONSUMO","CONSUMO",B32="112 - CAFÉ ORGANICO","GOURMET",B32="172 - CAFÉ COSECHA","ESPECIALES",B32="176 - CAFE DESCAFEINADO","GOURMET",B32="147 - CAPSULAS","CAPSULAS",B32="130 - GALLETAS CAFECITAS","DERIVADOS",B32="140 - MERENGUES","DERIVADOS",B32="100 - CAFÉ ESPECIAL","ESPECIALES",B32="141 - AREQUIPE","DERIVADOS",B32="142 - MERMELADA","DERIVADOS",B32="131 - GALLETAS AVENA","DERIVADOS",B32="160 - SOUVENIR","OTROS",B32="148 - CARAMELOS","DERIVADOS",B32="143 - CHOCOFFES","DERIVADOS",B32="162 - CONVENIOS Y DSC POS ","OTROS"),"OTROS")</f>
        <v>DERIVADOS</v>
      </c>
      <c r="L32" s="27">
        <f t="shared" si="2"/>
        <v>1127800</v>
      </c>
      <c r="M32" s="27">
        <f t="shared" si="3"/>
        <v>1127800</v>
      </c>
    </row>
    <row r="33" spans="1:13" ht="16.5" hidden="1" outlineLevel="1">
      <c r="A33" s="38"/>
      <c r="B33" s="39" t="s">
        <v>23</v>
      </c>
      <c r="C33" s="36">
        <v>49717</v>
      </c>
      <c r="D33" s="36">
        <v>0</v>
      </c>
      <c r="E33" s="48"/>
      <c r="F33" s="48">
        <v>315313</v>
      </c>
      <c r="G33" s="49">
        <f t="shared" si="5"/>
        <v>0.15767507207124348</v>
      </c>
      <c r="H33" s="23">
        <f t="shared" si="6"/>
        <v>0</v>
      </c>
      <c r="I33" s="24">
        <f t="shared" si="6"/>
        <v>0</v>
      </c>
      <c r="J33" s="32" t="str" cm="1">
        <f t="array" ref="J33">IFERROR(_xlfn.IFS(B33="044 - BLEND TRADICION","BLEND",B33="113 - CAFÉ GOURMET","GOURMET",B33="114 - CAFÉ CONSUMO","CONSUMO",B33="112 - CAFÉ ORGANICO","GOURMET",B33="172 - CAFÉ COSECHA","ESPECIALES",B33="176 - CAFE DESCAFEINADO","GOURMET",B33="147 - CAPSULAS","CAPSULAS",B33="130 - GALLETAS CAFECITAS","DERIVADOS",B33="140 - MERENGUES","DERIVADOS",B33="100 - CAFÉ ESPECIAL","ESPECIALES",B33="141 - AREQUIPE","DERIVADOS",B33="142 - MERMELADA","DERIVADOS",B33="131 - GALLETAS AVENA","DERIVADOS",B33="160 - SOUVENIR","OTROS",B33="148 - CARAMELOS","DERIVADOS",B33="143 - CHOCOFFES","DERIVADOS",B33="162 - CONVENIOS Y DSC POS ","OTROS"),"OTROS")</f>
        <v>DERIVADOS</v>
      </c>
      <c r="L33" s="27">
        <f t="shared" si="2"/>
        <v>49717</v>
      </c>
      <c r="M33" s="27">
        <f t="shared" si="3"/>
        <v>49717</v>
      </c>
    </row>
    <row r="34" spans="1:13" ht="16.5" hidden="1" outlineLevel="1">
      <c r="A34" s="38"/>
      <c r="B34" s="39" t="s">
        <v>24</v>
      </c>
      <c r="C34" s="36">
        <v>242944</v>
      </c>
      <c r="D34" s="36">
        <v>0</v>
      </c>
      <c r="E34" s="48"/>
      <c r="F34" s="48">
        <v>443819.64</v>
      </c>
      <c r="G34" s="49">
        <f t="shared" si="5"/>
        <v>0.54739353130023716</v>
      </c>
      <c r="H34" s="23">
        <f t="shared" si="6"/>
        <v>0</v>
      </c>
      <c r="I34" s="24">
        <f t="shared" si="6"/>
        <v>0</v>
      </c>
      <c r="J34" s="32" t="str" cm="1">
        <f t="array" ref="J34">IFERROR(_xlfn.IFS(B34="044 - BLEND TRADICION","BLEND",B34="113 - CAFÉ GOURMET","GOURMET",B34="114 - CAFÉ CONSUMO","CONSUMO",B34="112 - CAFÉ ORGANICO","GOURMET",B34="172 - CAFÉ COSECHA","ESPECIALES",B34="176 - CAFE DESCAFEINADO","GOURMET",B34="147 - CAPSULAS","CAPSULAS",B34="130 - GALLETAS CAFECITAS","DERIVADOS",B34="140 - MERENGUES","DERIVADOS",B34="100 - CAFÉ ESPECIAL","ESPECIALES",B34="141 - AREQUIPE","DERIVADOS",B34="142 - MERMELADA","DERIVADOS",B34="131 - GALLETAS AVENA","DERIVADOS",B34="160 - SOUVENIR","OTROS",B34="148 - CARAMELOS","DERIVADOS",B34="143 - CHOCOFFES","DERIVADOS",B34="162 - CONVENIOS Y DSC POS ","OTROS"),"OTROS")</f>
        <v>DERIVADOS</v>
      </c>
      <c r="L34" s="27">
        <f t="shared" si="2"/>
        <v>242944</v>
      </c>
      <c r="M34" s="27">
        <f t="shared" si="3"/>
        <v>242944</v>
      </c>
    </row>
    <row r="35" spans="1:13" ht="16.5" hidden="1" outlineLevel="1">
      <c r="A35" s="38"/>
      <c r="B35" s="39" t="s">
        <v>25</v>
      </c>
      <c r="C35" s="36">
        <v>155914</v>
      </c>
      <c r="D35" s="36">
        <v>0</v>
      </c>
      <c r="E35" s="48"/>
      <c r="F35" s="48">
        <v>253263.49</v>
      </c>
      <c r="G35" s="49">
        <f t="shared" si="5"/>
        <v>0.61561972473805837</v>
      </c>
      <c r="H35" s="23">
        <f t="shared" si="6"/>
        <v>0</v>
      </c>
      <c r="I35" s="24">
        <f t="shared" si="6"/>
        <v>0</v>
      </c>
      <c r="J35" s="32" t="str" cm="1">
        <f t="array" ref="J35">IFERROR(_xlfn.IFS(B35="044 - BLEND TRADICION","BLEND",B35="113 - CAFÉ GOURMET","GOURMET",B35="114 - CAFÉ CONSUMO","CONSUMO",B35="112 - CAFÉ ORGANICO","GOURMET",B35="172 - CAFÉ COSECHA","ESPECIALES",B35="176 - CAFE DESCAFEINADO","GOURMET",B35="147 - CAPSULAS","CAPSULAS",B35="130 - GALLETAS CAFECITAS","DERIVADOS",B35="140 - MERENGUES","DERIVADOS",B35="100 - CAFÉ ESPECIAL","ESPECIALES",B35="141 - AREQUIPE","DERIVADOS",B35="142 - MERMELADA","DERIVADOS",B35="131 - GALLETAS AVENA","DERIVADOS",B35="160 - SOUVENIR","OTROS",B35="148 - CARAMELOS","DERIVADOS",B35="143 - CHOCOFFES","DERIVADOS",B35="162 - CONVENIOS Y DSC POS ","OTROS"),"OTROS")</f>
        <v>DERIVADOS</v>
      </c>
      <c r="L35" s="27">
        <f t="shared" si="2"/>
        <v>155914</v>
      </c>
      <c r="M35" s="27">
        <f t="shared" si="3"/>
        <v>155914</v>
      </c>
    </row>
    <row r="36" spans="1:13" ht="16.5" hidden="1" outlineLevel="1">
      <c r="A36" s="38"/>
      <c r="B36" s="39" t="s">
        <v>26</v>
      </c>
      <c r="C36" s="36">
        <v>7231485</v>
      </c>
      <c r="D36" s="36">
        <v>-1819838</v>
      </c>
      <c r="E36" s="48"/>
      <c r="F36" s="48">
        <v>19346780.550000001</v>
      </c>
      <c r="G36" s="49">
        <f t="shared" si="5"/>
        <v>0.37378234488735129</v>
      </c>
      <c r="H36" s="23">
        <f t="shared" ref="H36:I90" si="8">IFERROR(+D36/L36*100%,0)</f>
        <v>-0.2010576796342369</v>
      </c>
      <c r="I36" s="24">
        <f t="shared" si="8"/>
        <v>0</v>
      </c>
      <c r="J36" s="32" t="str" cm="1">
        <f t="array" ref="J36">IFERROR(_xlfn.IFS(B36="044 - BLEND TRADICION","BLEND",B36="113 - CAFÉ GOURMET","GOURMET",B36="114 - CAFÉ CONSUMO","CONSUMO",B36="112 - CAFÉ ORGANICO","GOURMET",B36="172 - CAFÉ COSECHA","ESPECIALES",B36="176 - CAFE DESCAFEINADO","GOURMET",B36="147 - CAPSULAS","CAPSULAS",B36="130 - GALLETAS CAFECITAS","DERIVADOS",B36="140 - MERENGUES","DERIVADOS",B36="100 - CAFÉ ESPECIAL","ESPECIALES",B36="141 - AREQUIPE","DERIVADOS",B36="142 - MERMELADA","DERIVADOS",B36="131 - GALLETAS AVENA","DERIVADOS",B36="160 - SOUVENIR","OTROS",B36="148 - CARAMELOS","DERIVADOS",B36="143 - CHOCOFFES","DERIVADOS",B36="162 - CONVENIOS Y DSC POS ","OTROS"),"OTROS")</f>
        <v>CAPSULAS</v>
      </c>
      <c r="L36" s="27">
        <f t="shared" si="2"/>
        <v>9051323</v>
      </c>
      <c r="M36" s="27">
        <f t="shared" si="3"/>
        <v>9051323</v>
      </c>
    </row>
    <row r="37" spans="1:13" ht="16.5" hidden="1" outlineLevel="1">
      <c r="A37" s="38"/>
      <c r="B37" s="39" t="s">
        <v>27</v>
      </c>
      <c r="C37" s="36">
        <v>145715</v>
      </c>
      <c r="D37" s="36">
        <v>0</v>
      </c>
      <c r="E37" s="48"/>
      <c r="F37" s="48">
        <v>709870.17</v>
      </c>
      <c r="G37" s="49">
        <f t="shared" si="5"/>
        <v>0.20526992985210238</v>
      </c>
      <c r="H37" s="23">
        <f t="shared" si="8"/>
        <v>0</v>
      </c>
      <c r="I37" s="24">
        <f t="shared" si="8"/>
        <v>0</v>
      </c>
      <c r="J37" s="32" t="str" cm="1">
        <f t="array" ref="J37">IFERROR(_xlfn.IFS(B37="044 - BLEND TRADICION","BLEND",B37="113 - CAFÉ GOURMET","GOURMET",B37="114 - CAFÉ CONSUMO","CONSUMO",B37="112 - CAFÉ ORGANICO","GOURMET",B37="172 - CAFÉ COSECHA","ESPECIALES",B37="176 - CAFE DESCAFEINADO","GOURMET",B37="147 - CAPSULAS","CAPSULAS",B37="130 - GALLETAS CAFECITAS","DERIVADOS",B37="140 - MERENGUES","DERIVADOS",B37="100 - CAFÉ ESPECIAL","ESPECIALES",B37="141 - AREQUIPE","DERIVADOS",B37="142 - MERMELADA","DERIVADOS",B37="131 - GALLETAS AVENA","DERIVADOS",B37="160 - SOUVENIR","OTROS",B37="148 - CARAMELOS","DERIVADOS",B37="143 - CHOCOFFES","DERIVADOS",B37="162 - CONVENIOS Y DSC POS ","OTROS"),"OTROS")</f>
        <v>DERIVADOS</v>
      </c>
      <c r="L37" s="27">
        <f t="shared" si="2"/>
        <v>145715</v>
      </c>
      <c r="M37" s="27">
        <f t="shared" si="3"/>
        <v>145715</v>
      </c>
    </row>
    <row r="38" spans="1:13" ht="16.5" hidden="1" outlineLevel="1">
      <c r="A38" s="38"/>
      <c r="B38" s="39" t="s">
        <v>28</v>
      </c>
      <c r="C38" s="36">
        <v>137810</v>
      </c>
      <c r="D38" s="36">
        <v>0</v>
      </c>
      <c r="E38" s="48"/>
      <c r="F38" s="48">
        <v>926563.16</v>
      </c>
      <c r="G38" s="49">
        <f t="shared" si="5"/>
        <v>0.14873244043072034</v>
      </c>
      <c r="H38" s="23">
        <f t="shared" si="8"/>
        <v>0</v>
      </c>
      <c r="I38" s="24">
        <f t="shared" si="8"/>
        <v>0</v>
      </c>
      <c r="J38" s="32" t="str" cm="1">
        <f t="array" ref="J38">IFERROR(_xlfn.IFS(B38="044 - BLEND TRADICION","BLEND",B38="113 - CAFÉ GOURMET","GOURMET",B38="114 - CAFÉ CONSUMO","CONSUMO",B38="112 - CAFÉ ORGANICO","GOURMET",B38="172 - CAFÉ COSECHA","ESPECIALES",B38="176 - CAFE DESCAFEINADO","GOURMET",B38="147 - CAPSULAS","CAPSULAS",B38="130 - GALLETAS CAFECITAS","DERIVADOS",B38="140 - MERENGUES","DERIVADOS",B38="100 - CAFÉ ESPECIAL","ESPECIALES",B38="141 - AREQUIPE","DERIVADOS",B38="142 - MERMELADA","DERIVADOS",B38="131 - GALLETAS AVENA","DERIVADOS",B38="160 - SOUVENIR","OTROS",B38="148 - CARAMELOS","DERIVADOS",B38="143 - CHOCOFFES","DERIVADOS",B38="162 - CONVENIOS Y DSC POS ","OTROS"),"OTROS")</f>
        <v>OTROS</v>
      </c>
      <c r="L38" s="27">
        <f t="shared" si="2"/>
        <v>137810</v>
      </c>
      <c r="M38" s="27">
        <f t="shared" si="3"/>
        <v>137810</v>
      </c>
    </row>
    <row r="39" spans="1:13" ht="16.5" hidden="1" outlineLevel="1">
      <c r="A39" s="38"/>
      <c r="B39" s="39" t="s">
        <v>29</v>
      </c>
      <c r="C39" s="36">
        <v>0</v>
      </c>
      <c r="D39" s="36">
        <v>0</v>
      </c>
      <c r="E39" s="48"/>
      <c r="F39" s="48">
        <v>1035996.29</v>
      </c>
      <c r="G39" s="49">
        <f t="shared" si="5"/>
        <v>0</v>
      </c>
      <c r="H39" s="23">
        <f t="shared" si="8"/>
        <v>0</v>
      </c>
      <c r="I39" s="24">
        <f t="shared" si="8"/>
        <v>0</v>
      </c>
      <c r="J39" s="32" t="str" cm="1">
        <f t="array" ref="J39">IFERROR(_xlfn.IFS(B39="044 - BLEND TRADICION","BLEND",B39="113 - CAFÉ GOURMET","GOURMET",B39="114 - CAFÉ CONSUMO","CONSUMO",B39="112 - CAFÉ ORGANICO","GOURMET",B39="172 - CAFÉ COSECHA","ESPECIALES",B39="176 - CAFE DESCAFEINADO","GOURMET",B39="147 - CAPSULAS","CAPSULAS",B39="130 - GALLETAS CAFECITAS","DERIVADOS",B39="140 - MERENGUES","DERIVADOS",B39="100 - CAFÉ ESPECIAL","ESPECIALES",B39="141 - AREQUIPE","DERIVADOS",B39="142 - MERMELADA","DERIVADOS",B39="131 - GALLETAS AVENA","DERIVADOS",B39="160 - SOUVENIR","OTROS",B39="148 - CARAMELOS","DERIVADOS",B39="143 - CHOCOFFES","DERIVADOS",B39="162 - CONVENIOS Y DSC POS ","OTROS"),"OTROS")</f>
        <v>ESPECIALES</v>
      </c>
      <c r="L39" s="27">
        <f t="shared" si="2"/>
        <v>0</v>
      </c>
      <c r="M39" s="27">
        <f t="shared" si="3"/>
        <v>0</v>
      </c>
    </row>
    <row r="40" spans="1:13" ht="16.5" hidden="1" outlineLevel="1">
      <c r="A40" s="38"/>
      <c r="B40" s="39" t="s">
        <v>30</v>
      </c>
      <c r="C40" s="36">
        <v>63262</v>
      </c>
      <c r="D40" s="36">
        <v>0</v>
      </c>
      <c r="E40" s="48"/>
      <c r="F40" s="48">
        <v>573972.9</v>
      </c>
      <c r="G40" s="49">
        <f t="shared" si="5"/>
        <v>0.11021774721419773</v>
      </c>
      <c r="H40" s="23">
        <f t="shared" si="8"/>
        <v>0</v>
      </c>
      <c r="I40" s="24">
        <f t="shared" si="8"/>
        <v>0</v>
      </c>
      <c r="J40" s="32" t="str" cm="1">
        <f t="array" ref="J40">IFERROR(_xlfn.IFS(B40="044 - BLEND TRADICION","BLEND",B40="113 - CAFÉ GOURMET","GOURMET",B40="114 - CAFÉ CONSUMO","CONSUMO",B40="112 - CAFÉ ORGANICO","GOURMET",B40="172 - CAFÉ COSECHA","ESPECIALES",B40="176 - CAFE DESCAFEINADO","GOURMET",B40="147 - CAPSULAS","CAPSULAS",B40="130 - GALLETAS CAFECITAS","DERIVADOS",B40="140 - MERENGUES","DERIVADOS",B40="100 - CAFÉ ESPECIAL","ESPECIALES",B40="141 - AREQUIPE","DERIVADOS",B40="142 - MERMELADA","DERIVADOS",B40="131 - GALLETAS AVENA","DERIVADOS",B40="160 - SOUVENIR","OTROS",B40="148 - CARAMELOS","DERIVADOS",B40="143 - CHOCOFFES","DERIVADOS",B40="162 - CONVENIOS Y DSC POS ","OTROS"),"OTROS")</f>
        <v>GOURMET</v>
      </c>
      <c r="L40" s="27">
        <f t="shared" si="2"/>
        <v>63262</v>
      </c>
      <c r="M40" s="27">
        <f t="shared" si="3"/>
        <v>63262</v>
      </c>
    </row>
    <row r="41" spans="1:13" ht="16.5" hidden="1" outlineLevel="1">
      <c r="A41" s="19" t="s">
        <v>37</v>
      </c>
      <c r="B41" s="56" t="s">
        <v>32</v>
      </c>
      <c r="C41" s="54">
        <f>SUM(C27:C40)</f>
        <v>94381277</v>
      </c>
      <c r="D41" s="54">
        <f>SUM(D27:D40)</f>
        <v>-12225850</v>
      </c>
      <c r="E41" s="54">
        <f>SUM(E27:E40)</f>
        <v>0</v>
      </c>
      <c r="F41" s="54">
        <f>SUM(F27:F40)</f>
        <v>271870321.94</v>
      </c>
      <c r="G41" s="55">
        <f t="shared" si="5"/>
        <v>0.34715549798344419</v>
      </c>
      <c r="H41" s="23">
        <f t="shared" si="8"/>
        <v>-0.11468135709163234</v>
      </c>
      <c r="I41" s="24">
        <f t="shared" si="8"/>
        <v>0</v>
      </c>
      <c r="J41" s="32" t="str" cm="1">
        <f t="array" ref="J41">IFERROR(_xlfn.IFS(B41="044 - BLEND TRADICION","BLEND",B41="113 - CAFÉ GOURMET","GOURMET",B41="114 - CAFÉ CONSUMO","CONSUMO",B41="112 - CAFÉ ORGANICO","GOURMET",B41="172 - CAFÉ COSECHA","ESPECIALES",B41="176 - CAFE DESCAFEINADO","GOURMET",B41="147 - CAPSULAS","CAPSULAS",B41="130 - GALLETAS CAFECITAS","DERIVADOS",B41="140 - MERENGUES","DERIVADOS",B41="100 - CAFÉ ESPECIAL","ESPECIALES",B41="141 - AREQUIPE","DERIVADOS",B41="142 - MERMELADA","DERIVADOS",B41="131 - GALLETAS AVENA","DERIVADOS",B41="160 - SOUVENIR","OTROS",B41="148 - CARAMELOS","DERIVADOS",B41="143 - CHOCOFFES","DERIVADOS",B41="162 - CONVENIOS Y DSC POS ","OTROS"),"OTROS")</f>
        <v>OTROS</v>
      </c>
      <c r="L41" s="27">
        <f t="shared" si="2"/>
        <v>106607127</v>
      </c>
      <c r="M41" s="27">
        <f t="shared" si="3"/>
        <v>106607127</v>
      </c>
    </row>
    <row r="42" spans="1:13" ht="16.5" hidden="1" outlineLevel="1">
      <c r="A42" s="38"/>
      <c r="B42" s="39" t="s">
        <v>34</v>
      </c>
      <c r="C42" s="36">
        <v>0</v>
      </c>
      <c r="D42" s="36">
        <v>0</v>
      </c>
      <c r="E42" s="48">
        <v>0</v>
      </c>
      <c r="F42" s="48">
        <v>16995.71</v>
      </c>
      <c r="G42" s="49">
        <f t="shared" si="5"/>
        <v>0</v>
      </c>
      <c r="H42" s="23">
        <f t="shared" si="8"/>
        <v>0</v>
      </c>
      <c r="I42" s="24">
        <f t="shared" si="8"/>
        <v>0</v>
      </c>
      <c r="J42" s="32" t="str" cm="1">
        <f t="array" ref="J42">IFERROR(_xlfn.IFS(B42="044 - BLEND TRADICION","BLEND",B42="113 - CAFÉ GOURMET","GOURMET",B42="114 - CAFÉ CONSUMO","CONSUMO",B42="112 - CAFÉ ORGANICO","GOURMET",B42="172 - CAFÉ COSECHA","ESPECIALES",B42="176 - CAFE DESCAFEINADO","GOURMET",B42="147 - CAPSULAS","CAPSULAS",B42="130 - GALLETAS CAFECITAS","DERIVADOS",B42="140 - MERENGUES","DERIVADOS",B42="100 - CAFÉ ESPECIAL","ESPECIALES",B42="141 - AREQUIPE","DERIVADOS",B42="142 - MERMELADA","DERIVADOS",B42="131 - GALLETAS AVENA","DERIVADOS",B42="160 - SOUVENIR","OTROS",B42="148 - CARAMELOS","DERIVADOS",B42="143 - CHOCOFFES","DERIVADOS",B42="162 - CONVENIOS Y DSC POS ","OTROS"),"OTROS")</f>
        <v>OTROS</v>
      </c>
      <c r="L42" s="27">
        <f t="shared" si="2"/>
        <v>0</v>
      </c>
      <c r="M42" s="27">
        <f t="shared" si="3"/>
        <v>0</v>
      </c>
    </row>
    <row r="43" spans="1:13" ht="16.5" hidden="1" outlineLevel="1">
      <c r="A43" s="38"/>
      <c r="B43" s="39" t="s">
        <v>95</v>
      </c>
      <c r="C43" s="36">
        <v>82845</v>
      </c>
      <c r="D43" s="36">
        <v>-82846</v>
      </c>
      <c r="E43" s="48">
        <v>0</v>
      </c>
      <c r="F43" s="48">
        <v>0</v>
      </c>
      <c r="G43" s="49" t="str">
        <f t="shared" si="5"/>
        <v>-</v>
      </c>
      <c r="H43" s="23">
        <f t="shared" si="8"/>
        <v>-0.50000301766541333</v>
      </c>
      <c r="I43" s="24">
        <f t="shared" si="8"/>
        <v>0</v>
      </c>
      <c r="J43" s="32" t="str" cm="1">
        <f t="array" ref="J43">IFERROR(_xlfn.IFS(B43="044 - BLEND TRADICION","BLEND",B43="113 - CAFÉ GOURMET","GOURMET",B43="114 - CAFÉ CONSUMO","CONSUMO",B43="112 - CAFÉ ORGANICO","GOURMET",B43="172 - CAFÉ COSECHA","ESPECIALES",B43="176 - CAFE DESCAFEINADO","GOURMET",B43="147 - CAPSULAS","CAPSULAS",B43="130 - GALLETAS CAFECITAS","DERIVADOS",B43="140 - MERENGUES","DERIVADOS",B43="100 - CAFÉ ESPECIAL","ESPECIALES",B43="141 - AREQUIPE","DERIVADOS",B43="142 - MERMELADA","DERIVADOS",B43="131 - GALLETAS AVENA","DERIVADOS",B43="160 - SOUVENIR","OTROS",B43="148 - CARAMELOS","DERIVADOS",B43="143 - CHOCOFFES","DERIVADOS",B43="162 - CONVENIOS Y DSC POS ","OTROS"),"OTROS")</f>
        <v>OTROS</v>
      </c>
      <c r="L43" s="27">
        <f t="shared" si="2"/>
        <v>165691</v>
      </c>
      <c r="M43" s="27">
        <f t="shared" si="3"/>
        <v>165691</v>
      </c>
    </row>
    <row r="44" spans="1:13" ht="16.5" hidden="1" outlineLevel="1">
      <c r="A44" s="38"/>
      <c r="B44" s="39" t="s">
        <v>42</v>
      </c>
      <c r="C44" s="36">
        <v>348131</v>
      </c>
      <c r="D44" s="36">
        <v>0</v>
      </c>
      <c r="E44" s="48">
        <v>0</v>
      </c>
      <c r="F44" s="48">
        <v>0</v>
      </c>
      <c r="G44" s="49" t="str">
        <f t="shared" si="5"/>
        <v>-</v>
      </c>
      <c r="H44" s="23">
        <f t="shared" si="8"/>
        <v>0</v>
      </c>
      <c r="I44" s="24">
        <f t="shared" si="8"/>
        <v>0</v>
      </c>
      <c r="J44" s="32" t="str" cm="1">
        <f t="array" ref="J44">IFERROR(_xlfn.IFS(B44="044 - BLEND TRADICION","BLEND",B44="113 - CAFÉ GOURMET","GOURMET",B44="114 - CAFÉ CONSUMO","CONSUMO",B44="112 - CAFÉ ORGANICO","GOURMET",B44="172 - CAFÉ COSECHA","ESPECIALES",B44="176 - CAFE DESCAFEINADO","GOURMET",B44="147 - CAPSULAS","CAPSULAS",B44="130 - GALLETAS CAFECITAS","DERIVADOS",B44="140 - MERENGUES","DERIVADOS",B44="100 - CAFÉ ESPECIAL","ESPECIALES",B44="141 - AREQUIPE","DERIVADOS",B44="142 - MERMELADA","DERIVADOS",B44="131 - GALLETAS AVENA","DERIVADOS",B44="160 - SOUVENIR","OTROS",B44="148 - CARAMELOS","DERIVADOS",B44="143 - CHOCOFFES","DERIVADOS",B44="162 - CONVENIOS Y DSC POS ","OTROS"),"OTROS")</f>
        <v>OTROS</v>
      </c>
      <c r="L44" s="27">
        <f t="shared" si="2"/>
        <v>348131</v>
      </c>
      <c r="M44" s="27">
        <f t="shared" si="3"/>
        <v>348131</v>
      </c>
    </row>
    <row r="45" spans="1:13" ht="16.5" hidden="1" outlineLevel="1">
      <c r="A45" s="38"/>
      <c r="B45" s="39" t="s">
        <v>18</v>
      </c>
      <c r="C45" s="36">
        <v>0</v>
      </c>
      <c r="D45" s="36">
        <v>0</v>
      </c>
      <c r="E45" s="48">
        <v>0</v>
      </c>
      <c r="F45" s="48">
        <v>89635.4</v>
      </c>
      <c r="G45" s="49">
        <f t="shared" si="5"/>
        <v>0</v>
      </c>
      <c r="H45" s="23">
        <f t="shared" si="8"/>
        <v>0</v>
      </c>
      <c r="I45" s="24">
        <f t="shared" si="8"/>
        <v>0</v>
      </c>
      <c r="J45" s="32" t="str" cm="1">
        <f t="array" ref="J45">IFERROR(_xlfn.IFS(B45="044 - BLEND TRADICION","BLEND",B45="113 - CAFÉ GOURMET","GOURMET",B45="114 - CAFÉ CONSUMO","CONSUMO",B45="112 - CAFÉ ORGANICO","GOURMET",B45="172 - CAFÉ COSECHA","ESPECIALES",B45="176 - CAFE DESCAFEINADO","GOURMET",B45="147 - CAPSULAS","CAPSULAS",B45="130 - GALLETAS CAFECITAS","DERIVADOS",B45="140 - MERENGUES","DERIVADOS",B45="100 - CAFÉ ESPECIAL","ESPECIALES",B45="141 - AREQUIPE","DERIVADOS",B45="142 - MERMELADA","DERIVADOS",B45="131 - GALLETAS AVENA","DERIVADOS",B45="160 - SOUVENIR","OTROS",B45="148 - CARAMELOS","DERIVADOS",B45="143 - CHOCOFFES","DERIVADOS",B45="162 - CONVENIOS Y DSC POS ","OTROS"),"OTROS")</f>
        <v>BLEND</v>
      </c>
      <c r="L45" s="27">
        <f t="shared" si="2"/>
        <v>0</v>
      </c>
      <c r="M45" s="27">
        <f t="shared" si="3"/>
        <v>0</v>
      </c>
    </row>
    <row r="46" spans="1:13" ht="16.5" hidden="1" outlineLevel="1">
      <c r="A46" s="38"/>
      <c r="B46" s="39" t="s">
        <v>36</v>
      </c>
      <c r="C46" s="36">
        <v>15646</v>
      </c>
      <c r="D46" s="36">
        <v>0</v>
      </c>
      <c r="E46" s="48"/>
      <c r="F46" s="48">
        <v>0</v>
      </c>
      <c r="G46" s="49" t="str">
        <f t="shared" si="5"/>
        <v>-</v>
      </c>
      <c r="H46" s="23">
        <f t="shared" si="8"/>
        <v>0</v>
      </c>
      <c r="I46" s="24">
        <f t="shared" si="8"/>
        <v>0</v>
      </c>
      <c r="J46" s="32" t="str" cm="1">
        <f t="array" ref="J46">IFERROR(_xlfn.IFS(B46="044 - BLEND TRADICION","BLEND",B46="113 - CAFÉ GOURMET","GOURMET",B46="114 - CAFÉ CONSUMO","CONSUMO",B46="112 - CAFÉ ORGANICO","GOURMET",B46="172 - CAFÉ COSECHA","ESPECIALES",B46="176 - CAFE DESCAFEINADO","GOURMET",B46="147 - CAPSULAS","CAPSULAS",B46="130 - GALLETAS CAFECITAS","DERIVADOS",B46="140 - MERENGUES","DERIVADOS",B46="100 - CAFÉ ESPECIAL","ESPECIALES",B46="141 - AREQUIPE","DERIVADOS",B46="142 - MERMELADA","DERIVADOS",B46="131 - GALLETAS AVENA","DERIVADOS",B46="160 - SOUVENIR","OTROS",B46="148 - CARAMELOS","DERIVADOS",B46="143 - CHOCOFFES","DERIVADOS",B46="162 - CONVENIOS Y DSC POS ","OTROS"),"OTROS")</f>
        <v>OTROS</v>
      </c>
      <c r="L46" s="27">
        <f t="shared" si="2"/>
        <v>15646</v>
      </c>
      <c r="M46" s="27">
        <f t="shared" si="3"/>
        <v>15646</v>
      </c>
    </row>
    <row r="47" spans="1:13" ht="16.5" hidden="1" outlineLevel="1">
      <c r="A47" s="38"/>
      <c r="B47" s="39" t="s">
        <v>19</v>
      </c>
      <c r="C47" s="36">
        <v>0</v>
      </c>
      <c r="D47" s="36">
        <v>0</v>
      </c>
      <c r="E47" s="48"/>
      <c r="F47" s="48">
        <v>94237.05</v>
      </c>
      <c r="G47" s="49">
        <f t="shared" si="5"/>
        <v>0</v>
      </c>
      <c r="H47" s="23">
        <f t="shared" si="8"/>
        <v>0</v>
      </c>
      <c r="I47" s="24">
        <f t="shared" si="8"/>
        <v>0</v>
      </c>
      <c r="J47" s="32" t="str" cm="1">
        <f t="array" ref="J47">IFERROR(_xlfn.IFS(B47="044 - BLEND TRADICION","BLEND",B47="113 - CAFÉ GOURMET","GOURMET",B47="114 - CAFÉ CONSUMO","CONSUMO",B47="112 - CAFÉ ORGANICO","GOURMET",B47="172 - CAFÉ COSECHA","ESPECIALES",B47="176 - CAFE DESCAFEINADO","GOURMET",B47="147 - CAPSULAS","CAPSULAS",B47="130 - GALLETAS CAFECITAS","DERIVADOS",B47="140 - MERENGUES","DERIVADOS",B47="100 - CAFÉ ESPECIAL","ESPECIALES",B47="141 - AREQUIPE","DERIVADOS",B47="142 - MERMELADA","DERIVADOS",B47="131 - GALLETAS AVENA","DERIVADOS",B47="160 - SOUVENIR","OTROS",B47="148 - CARAMELOS","DERIVADOS",B47="143 - CHOCOFFES","DERIVADOS",B47="162 - CONVENIOS Y DSC POS ","OTROS"),"OTROS")</f>
        <v>ESPECIALES</v>
      </c>
      <c r="L47" s="27">
        <f t="shared" si="2"/>
        <v>0</v>
      </c>
      <c r="M47" s="27">
        <f t="shared" si="3"/>
        <v>0</v>
      </c>
    </row>
    <row r="48" spans="1:13" ht="16.5" hidden="1" outlineLevel="1">
      <c r="A48" s="38"/>
      <c r="B48" s="39" t="s">
        <v>20</v>
      </c>
      <c r="C48" s="36">
        <v>0</v>
      </c>
      <c r="D48" s="36">
        <v>0</v>
      </c>
      <c r="E48" s="48"/>
      <c r="F48" s="48">
        <v>136038.93</v>
      </c>
      <c r="G48" s="49">
        <f t="shared" si="5"/>
        <v>0</v>
      </c>
      <c r="H48" s="23">
        <f t="shared" si="8"/>
        <v>0</v>
      </c>
      <c r="I48" s="24">
        <f t="shared" si="8"/>
        <v>0</v>
      </c>
      <c r="J48" s="32" t="str" cm="1">
        <f t="array" ref="J48">IFERROR(_xlfn.IFS(B48="044 - BLEND TRADICION","BLEND",B48="113 - CAFÉ GOURMET","GOURMET",B48="114 - CAFÉ CONSUMO","CONSUMO",B48="112 - CAFÉ ORGANICO","GOURMET",B48="172 - CAFÉ COSECHA","ESPECIALES",B48="176 - CAFE DESCAFEINADO","GOURMET",B48="147 - CAPSULAS","CAPSULAS",B48="130 - GALLETAS CAFECITAS","DERIVADOS",B48="140 - MERENGUES","DERIVADOS",B48="100 - CAFÉ ESPECIAL","ESPECIALES",B48="141 - AREQUIPE","DERIVADOS",B48="142 - MERMELADA","DERIVADOS",B48="131 - GALLETAS AVENA","DERIVADOS",B48="160 - SOUVENIR","OTROS",B48="148 - CARAMELOS","DERIVADOS",B48="143 - CHOCOFFES","DERIVADOS",B48="162 - CONVENIOS Y DSC POS ","OTROS"),"OTROS")</f>
        <v>GOURMET</v>
      </c>
      <c r="L48" s="27">
        <f t="shared" si="2"/>
        <v>0</v>
      </c>
      <c r="M48" s="27">
        <f t="shared" si="3"/>
        <v>0</v>
      </c>
    </row>
    <row r="49" spans="1:13" ht="16.5" hidden="1" outlineLevel="1">
      <c r="A49" s="38"/>
      <c r="B49" s="39" t="s">
        <v>21</v>
      </c>
      <c r="C49" s="36">
        <v>15292050</v>
      </c>
      <c r="D49" s="36">
        <v>0</v>
      </c>
      <c r="E49" s="48"/>
      <c r="F49" s="48">
        <v>69823497.540000007</v>
      </c>
      <c r="G49" s="49">
        <f t="shared" si="5"/>
        <v>0.21901008312050818</v>
      </c>
      <c r="H49" s="23">
        <f t="shared" si="8"/>
        <v>0</v>
      </c>
      <c r="I49" s="24">
        <f t="shared" si="8"/>
        <v>0</v>
      </c>
      <c r="J49" s="32" t="str" cm="1">
        <f t="array" ref="J49">IFERROR(_xlfn.IFS(B49="044 - BLEND TRADICION","BLEND",B49="113 - CAFÉ GOURMET","GOURMET",B49="114 - CAFÉ CONSUMO","CONSUMO",B49="112 - CAFÉ ORGANICO","GOURMET",B49="172 - CAFÉ COSECHA","ESPECIALES",B49="176 - CAFE DESCAFEINADO","GOURMET",B49="147 - CAPSULAS","CAPSULAS",B49="130 - GALLETAS CAFECITAS","DERIVADOS",B49="140 - MERENGUES","DERIVADOS",B49="100 - CAFÉ ESPECIAL","ESPECIALES",B49="141 - AREQUIPE","DERIVADOS",B49="142 - MERMELADA","DERIVADOS",B49="131 - GALLETAS AVENA","DERIVADOS",B49="160 - SOUVENIR","OTROS",B49="148 - CARAMELOS","DERIVADOS",B49="143 - CHOCOFFES","DERIVADOS",B49="162 - CONVENIOS Y DSC POS ","OTROS"),"OTROS")</f>
        <v>GOURMET</v>
      </c>
      <c r="L49" s="27">
        <f t="shared" si="2"/>
        <v>15292050</v>
      </c>
      <c r="M49" s="27">
        <f t="shared" si="3"/>
        <v>15292050</v>
      </c>
    </row>
    <row r="50" spans="1:13" ht="16.5" hidden="1" outlineLevel="1">
      <c r="A50" s="38"/>
      <c r="B50" s="39" t="s">
        <v>38</v>
      </c>
      <c r="C50" s="36">
        <v>2872023</v>
      </c>
      <c r="D50" s="36">
        <v>0</v>
      </c>
      <c r="E50" s="48"/>
      <c r="F50" s="48">
        <v>14106647.08</v>
      </c>
      <c r="G50" s="49">
        <f t="shared" si="5"/>
        <v>0.20359359553779949</v>
      </c>
      <c r="H50" s="23">
        <f t="shared" si="8"/>
        <v>0</v>
      </c>
      <c r="I50" s="24">
        <f t="shared" si="8"/>
        <v>0</v>
      </c>
      <c r="J50" s="32" t="str" cm="1">
        <f t="array" ref="J50">IFERROR(_xlfn.IFS(B50="044 - BLEND TRADICION","BLEND",B50="113 - CAFÉ GOURMET","GOURMET",B50="114 - CAFÉ CONSUMO","CONSUMO",B50="112 - CAFÉ ORGANICO","GOURMET",B50="172 - CAFÉ COSECHA","ESPECIALES",B50="176 - CAFE DESCAFEINADO","GOURMET",B50="147 - CAPSULAS","CAPSULAS",B50="130 - GALLETAS CAFECITAS","DERIVADOS",B50="140 - MERENGUES","DERIVADOS",B50="100 - CAFÉ ESPECIAL","ESPECIALES",B50="141 - AREQUIPE","DERIVADOS",B50="142 - MERMELADA","DERIVADOS",B50="131 - GALLETAS AVENA","DERIVADOS",B50="160 - SOUVENIR","OTROS",B50="148 - CARAMELOS","DERIVADOS",B50="143 - CHOCOFFES","DERIVADOS",B50="162 - CONVENIOS Y DSC POS ","OTROS"),"OTROS")</f>
        <v>CONSUMO</v>
      </c>
      <c r="L50" s="27">
        <f t="shared" si="2"/>
        <v>2872023</v>
      </c>
      <c r="M50" s="27">
        <f t="shared" si="3"/>
        <v>2872023</v>
      </c>
    </row>
    <row r="51" spans="1:13" ht="16.5" hidden="1" outlineLevel="1">
      <c r="A51" s="38"/>
      <c r="B51" s="39" t="s">
        <v>22</v>
      </c>
      <c r="C51" s="36">
        <v>727297</v>
      </c>
      <c r="D51" s="36">
        <v>0</v>
      </c>
      <c r="E51" s="48"/>
      <c r="F51" s="48">
        <v>2927476.03</v>
      </c>
      <c r="G51" s="49">
        <f t="shared" si="5"/>
        <v>0.24843824254984592</v>
      </c>
      <c r="H51" s="23">
        <f t="shared" si="8"/>
        <v>0</v>
      </c>
      <c r="I51" s="24">
        <f t="shared" si="8"/>
        <v>0</v>
      </c>
      <c r="J51" s="32" t="str" cm="1">
        <f t="array" ref="J51">IFERROR(_xlfn.IFS(B51="044 - BLEND TRADICION","BLEND",B51="113 - CAFÉ GOURMET","GOURMET",B51="114 - CAFÉ CONSUMO","CONSUMO",B51="112 - CAFÉ ORGANICO","GOURMET",B51="172 - CAFÉ COSECHA","ESPECIALES",B51="176 - CAFE DESCAFEINADO","GOURMET",B51="147 - CAPSULAS","CAPSULAS",B51="130 - GALLETAS CAFECITAS","DERIVADOS",B51="140 - MERENGUES","DERIVADOS",B51="100 - CAFÉ ESPECIAL","ESPECIALES",B51="141 - AREQUIPE","DERIVADOS",B51="142 - MERMELADA","DERIVADOS",B51="131 - GALLETAS AVENA","DERIVADOS",B51="160 - SOUVENIR","OTROS",B51="148 - CARAMELOS","DERIVADOS",B51="143 - CHOCOFFES","DERIVADOS",B51="162 - CONVENIOS Y DSC POS ","OTROS"),"OTROS")</f>
        <v>DERIVADOS</v>
      </c>
      <c r="L51" s="27">
        <f t="shared" si="2"/>
        <v>727297</v>
      </c>
      <c r="M51" s="27">
        <f t="shared" si="3"/>
        <v>727297</v>
      </c>
    </row>
    <row r="52" spans="1:13" ht="16.5" hidden="1" outlineLevel="1">
      <c r="A52" s="38"/>
      <c r="B52" s="39" t="s">
        <v>23</v>
      </c>
      <c r="C52" s="36">
        <v>59660</v>
      </c>
      <c r="D52" s="36">
        <v>0</v>
      </c>
      <c r="E52" s="48"/>
      <c r="F52" s="48">
        <v>256078.41</v>
      </c>
      <c r="G52" s="49">
        <f t="shared" si="5"/>
        <v>0.2329755171472675</v>
      </c>
      <c r="H52" s="23">
        <f t="shared" si="8"/>
        <v>0</v>
      </c>
      <c r="I52" s="24">
        <f t="shared" si="8"/>
        <v>0</v>
      </c>
      <c r="J52" s="32" t="str" cm="1">
        <f t="array" ref="J52">IFERROR(_xlfn.IFS(B52="044 - BLEND TRADICION","BLEND",B52="113 - CAFÉ GOURMET","GOURMET",B52="114 - CAFÉ CONSUMO","CONSUMO",B52="112 - CAFÉ ORGANICO","GOURMET",B52="172 - CAFÉ COSECHA","ESPECIALES",B52="176 - CAFE DESCAFEINADO","GOURMET",B52="147 - CAPSULAS","CAPSULAS",B52="130 - GALLETAS CAFECITAS","DERIVADOS",B52="140 - MERENGUES","DERIVADOS",B52="100 - CAFÉ ESPECIAL","ESPECIALES",B52="141 - AREQUIPE","DERIVADOS",B52="142 - MERMELADA","DERIVADOS",B52="131 - GALLETAS AVENA","DERIVADOS",B52="160 - SOUVENIR","OTROS",B52="148 - CARAMELOS","DERIVADOS",B52="143 - CHOCOFFES","DERIVADOS",B52="162 - CONVENIOS Y DSC POS ","OTROS"),"OTROS")</f>
        <v>DERIVADOS</v>
      </c>
      <c r="L52" s="27">
        <f t="shared" si="2"/>
        <v>59660</v>
      </c>
      <c r="M52" s="27">
        <f t="shared" si="3"/>
        <v>59660</v>
      </c>
    </row>
    <row r="53" spans="1:13" ht="16.5" hidden="1" outlineLevel="1">
      <c r="A53" s="38"/>
      <c r="B53" s="39" t="s">
        <v>24</v>
      </c>
      <c r="C53" s="36">
        <v>91104</v>
      </c>
      <c r="D53" s="36">
        <v>0</v>
      </c>
      <c r="E53" s="48"/>
      <c r="F53" s="48">
        <v>589663.42000000004</v>
      </c>
      <c r="G53" s="49">
        <f t="shared" si="5"/>
        <v>0.15450169861308335</v>
      </c>
      <c r="H53" s="23">
        <f t="shared" si="8"/>
        <v>0</v>
      </c>
      <c r="I53" s="24">
        <f t="shared" si="8"/>
        <v>0</v>
      </c>
      <c r="J53" s="32" t="str" cm="1">
        <f t="array" ref="J53">IFERROR(_xlfn.IFS(B53="044 - BLEND TRADICION","BLEND",B53="113 - CAFÉ GOURMET","GOURMET",B53="114 - CAFÉ CONSUMO","CONSUMO",B53="112 - CAFÉ ORGANICO","GOURMET",B53="172 - CAFÉ COSECHA","ESPECIALES",B53="176 - CAFE DESCAFEINADO","GOURMET",B53="147 - CAPSULAS","CAPSULAS",B53="130 - GALLETAS CAFECITAS","DERIVADOS",B53="140 - MERENGUES","DERIVADOS",B53="100 - CAFÉ ESPECIAL","ESPECIALES",B53="141 - AREQUIPE","DERIVADOS",B53="142 - MERMELADA","DERIVADOS",B53="131 - GALLETAS AVENA","DERIVADOS",B53="160 - SOUVENIR","OTROS",B53="148 - CARAMELOS","DERIVADOS",B53="143 - CHOCOFFES","DERIVADOS",B53="162 - CONVENIOS Y DSC POS ","OTROS"),"OTROS")</f>
        <v>DERIVADOS</v>
      </c>
      <c r="L53" s="27">
        <f t="shared" si="2"/>
        <v>91104</v>
      </c>
      <c r="M53" s="27">
        <f t="shared" si="3"/>
        <v>91104</v>
      </c>
    </row>
    <row r="54" spans="1:13" ht="16.5" hidden="1" outlineLevel="1">
      <c r="A54" s="38"/>
      <c r="B54" s="39" t="s">
        <v>25</v>
      </c>
      <c r="C54" s="36">
        <v>13114</v>
      </c>
      <c r="D54" s="36">
        <v>0</v>
      </c>
      <c r="E54" s="48"/>
      <c r="F54" s="48">
        <v>1309142.77</v>
      </c>
      <c r="G54" s="49">
        <f t="shared" si="5"/>
        <v>1.0017242046106246E-2</v>
      </c>
      <c r="H54" s="23">
        <f t="shared" si="8"/>
        <v>0</v>
      </c>
      <c r="I54" s="24">
        <f t="shared" si="8"/>
        <v>0</v>
      </c>
      <c r="J54" s="32" t="str" cm="1">
        <f t="array" ref="J54">IFERROR(_xlfn.IFS(B54="044 - BLEND TRADICION","BLEND",B54="113 - CAFÉ GOURMET","GOURMET",B54="114 - CAFÉ CONSUMO","CONSUMO",B54="112 - CAFÉ ORGANICO","GOURMET",B54="172 - CAFÉ COSECHA","ESPECIALES",B54="176 - CAFE DESCAFEINADO","GOURMET",B54="147 - CAPSULAS","CAPSULAS",B54="130 - GALLETAS CAFECITAS","DERIVADOS",B54="140 - MERENGUES","DERIVADOS",B54="100 - CAFÉ ESPECIAL","ESPECIALES",B54="141 - AREQUIPE","DERIVADOS",B54="142 - MERMELADA","DERIVADOS",B54="131 - GALLETAS AVENA","DERIVADOS",B54="160 - SOUVENIR","OTROS",B54="148 - CARAMELOS","DERIVADOS",B54="143 - CHOCOFFES","DERIVADOS",B54="162 - CONVENIOS Y DSC POS ","OTROS"),"OTROS")</f>
        <v>DERIVADOS</v>
      </c>
      <c r="L54" s="27">
        <f t="shared" si="2"/>
        <v>13114</v>
      </c>
      <c r="M54" s="27">
        <f t="shared" si="3"/>
        <v>13114</v>
      </c>
    </row>
    <row r="55" spans="1:13" ht="16.5" hidden="1" outlineLevel="1">
      <c r="A55" s="38"/>
      <c r="B55" s="39" t="s">
        <v>26</v>
      </c>
      <c r="C55" s="36">
        <v>2310794</v>
      </c>
      <c r="D55" s="36">
        <v>0</v>
      </c>
      <c r="E55" s="48"/>
      <c r="F55" s="48">
        <v>11209211.369999999</v>
      </c>
      <c r="G55" s="49">
        <f t="shared" si="5"/>
        <v>0.20615134497191662</v>
      </c>
      <c r="H55" s="23">
        <f t="shared" si="8"/>
        <v>0</v>
      </c>
      <c r="I55" s="24">
        <f t="shared" si="8"/>
        <v>0</v>
      </c>
      <c r="J55" s="32" t="str" cm="1">
        <f t="array" ref="J55">IFERROR(_xlfn.IFS(B55="044 - BLEND TRADICION","BLEND",B55="113 - CAFÉ GOURMET","GOURMET",B55="114 - CAFÉ CONSUMO","CONSUMO",B55="112 - CAFÉ ORGANICO","GOURMET",B55="172 - CAFÉ COSECHA","ESPECIALES",B55="176 - CAFE DESCAFEINADO","GOURMET",B55="147 - CAPSULAS","CAPSULAS",B55="130 - GALLETAS CAFECITAS","DERIVADOS",B55="140 - MERENGUES","DERIVADOS",B55="100 - CAFÉ ESPECIAL","ESPECIALES",B55="141 - AREQUIPE","DERIVADOS",B55="142 - MERMELADA","DERIVADOS",B55="131 - GALLETAS AVENA","DERIVADOS",B55="160 - SOUVENIR","OTROS",B55="148 - CARAMELOS","DERIVADOS",B55="143 - CHOCOFFES","DERIVADOS",B55="162 - CONVENIOS Y DSC POS ","OTROS"),"OTROS")</f>
        <v>CAPSULAS</v>
      </c>
      <c r="L55" s="27">
        <f t="shared" si="2"/>
        <v>2310794</v>
      </c>
      <c r="M55" s="27">
        <f t="shared" si="3"/>
        <v>2310794</v>
      </c>
    </row>
    <row r="56" spans="1:13" ht="16.5" hidden="1" outlineLevel="1">
      <c r="A56" s="38"/>
      <c r="B56" s="39" t="s">
        <v>27</v>
      </c>
      <c r="C56" s="36">
        <v>291431</v>
      </c>
      <c r="D56" s="36">
        <v>0</v>
      </c>
      <c r="E56" s="48" t="s">
        <v>94</v>
      </c>
      <c r="F56" s="48">
        <v>1035181.45</v>
      </c>
      <c r="G56" s="49">
        <f t="shared" si="5"/>
        <v>0.28152648987286238</v>
      </c>
      <c r="H56" s="23">
        <f t="shared" si="8"/>
        <v>0</v>
      </c>
      <c r="I56" s="24">
        <f t="shared" si="8"/>
        <v>0</v>
      </c>
      <c r="J56" s="32" t="str" cm="1">
        <f t="array" ref="J56">IFERROR(_xlfn.IFS(B56="044 - BLEND TRADICION","BLEND",B56="113 - CAFÉ GOURMET","GOURMET",B56="114 - CAFÉ CONSUMO","CONSUMO",B56="112 - CAFÉ ORGANICO","GOURMET",B56="172 - CAFÉ COSECHA","ESPECIALES",B56="176 - CAFE DESCAFEINADO","GOURMET",B56="147 - CAPSULAS","CAPSULAS",B56="130 - GALLETAS CAFECITAS","DERIVADOS",B56="140 - MERENGUES","DERIVADOS",B56="100 - CAFÉ ESPECIAL","ESPECIALES",B56="141 - AREQUIPE","DERIVADOS",B56="142 - MERMELADA","DERIVADOS",B56="131 - GALLETAS AVENA","DERIVADOS",B56="160 - SOUVENIR","OTROS",B56="148 - CARAMELOS","DERIVADOS",B56="143 - CHOCOFFES","DERIVADOS",B56="162 - CONVENIOS Y DSC POS ","OTROS"),"OTROS")</f>
        <v>DERIVADOS</v>
      </c>
      <c r="L56" s="27" t="e">
        <f t="shared" si="2"/>
        <v>#VALUE!</v>
      </c>
      <c r="M56" s="27" t="e">
        <f t="shared" si="3"/>
        <v>#VALUE!</v>
      </c>
    </row>
    <row r="57" spans="1:13" ht="16.5" hidden="1" outlineLevel="1">
      <c r="A57" s="38"/>
      <c r="B57" s="39" t="s">
        <v>28</v>
      </c>
      <c r="C57" s="36">
        <v>0</v>
      </c>
      <c r="D57" s="36">
        <v>0</v>
      </c>
      <c r="E57" s="48"/>
      <c r="F57" s="48">
        <v>11765277.34</v>
      </c>
      <c r="G57" s="49">
        <f t="shared" si="5"/>
        <v>0</v>
      </c>
      <c r="H57" s="23">
        <f t="shared" si="8"/>
        <v>0</v>
      </c>
      <c r="I57" s="24">
        <f t="shared" si="8"/>
        <v>0</v>
      </c>
      <c r="J57" s="32" t="str" cm="1">
        <f t="array" ref="J57">IFERROR(_xlfn.IFS(B57="044 - BLEND TRADICION","BLEND",B57="113 - CAFÉ GOURMET","GOURMET",B57="114 - CAFÉ CONSUMO","CONSUMO",B57="112 - CAFÉ ORGANICO","GOURMET",B57="172 - CAFÉ COSECHA","ESPECIALES",B57="176 - CAFE DESCAFEINADO","GOURMET",B57="147 - CAPSULAS","CAPSULAS",B57="130 - GALLETAS CAFECITAS","DERIVADOS",B57="140 - MERENGUES","DERIVADOS",B57="100 - CAFÉ ESPECIAL","ESPECIALES",B57="141 - AREQUIPE","DERIVADOS",B57="142 - MERMELADA","DERIVADOS",B57="131 - GALLETAS AVENA","DERIVADOS",B57="160 - SOUVENIR","OTROS",B57="148 - CARAMELOS","DERIVADOS",B57="143 - CHOCOFFES","DERIVADOS",B57="162 - CONVENIOS Y DSC POS ","OTROS"),"OTROS")</f>
        <v>OTROS</v>
      </c>
      <c r="L57" s="27">
        <f t="shared" si="2"/>
        <v>0</v>
      </c>
      <c r="M57" s="27">
        <f t="shared" si="3"/>
        <v>0</v>
      </c>
    </row>
    <row r="58" spans="1:13" ht="16.5" hidden="1" outlineLevel="1">
      <c r="A58" s="38"/>
      <c r="B58" s="39" t="s">
        <v>39</v>
      </c>
      <c r="C58" s="36">
        <v>60390</v>
      </c>
      <c r="D58" s="36">
        <v>0</v>
      </c>
      <c r="E58" s="48"/>
      <c r="F58" s="48">
        <v>0</v>
      </c>
      <c r="G58" s="49" t="str">
        <f t="shared" si="5"/>
        <v>-</v>
      </c>
      <c r="H58" s="23">
        <f t="shared" si="8"/>
        <v>0</v>
      </c>
      <c r="I58" s="24">
        <f t="shared" si="8"/>
        <v>0</v>
      </c>
      <c r="J58" s="32" t="str" cm="1">
        <f t="array" ref="J58">IFERROR(_xlfn.IFS(B58="044 - BLEND TRADICION","BLEND",B58="113 - CAFÉ GOURMET","GOURMET",B58="114 - CAFÉ CONSUMO","CONSUMO",B58="112 - CAFÉ ORGANICO","GOURMET",B58="172 - CAFÉ COSECHA","ESPECIALES",B58="176 - CAFE DESCAFEINADO","GOURMET",B58="147 - CAPSULAS","CAPSULAS",B58="130 - GALLETAS CAFECITAS","DERIVADOS",B58="140 - MERENGUES","DERIVADOS",B58="100 - CAFÉ ESPECIAL","ESPECIALES",B58="141 - AREQUIPE","DERIVADOS",B58="142 - MERMELADA","DERIVADOS",B58="131 - GALLETAS AVENA","DERIVADOS",B58="160 - SOUVENIR","OTROS",B58="148 - CARAMELOS","DERIVADOS",B58="143 - CHOCOFFES","DERIVADOS",B58="162 - CONVENIOS Y DSC POS ","OTROS"),"OTROS")</f>
        <v>OTROS</v>
      </c>
      <c r="L58" s="27">
        <f t="shared" si="2"/>
        <v>60390</v>
      </c>
      <c r="M58" s="27">
        <f t="shared" si="3"/>
        <v>60390</v>
      </c>
    </row>
    <row r="59" spans="1:13" ht="16.5" hidden="1" outlineLevel="1">
      <c r="A59" s="38"/>
      <c r="B59" s="39" t="s">
        <v>29</v>
      </c>
      <c r="C59" s="36">
        <v>646680</v>
      </c>
      <c r="D59" s="36">
        <v>0</v>
      </c>
      <c r="E59" s="48"/>
      <c r="F59" s="48">
        <v>4920564.09</v>
      </c>
      <c r="G59" s="49">
        <f t="shared" si="5"/>
        <v>0.13142395631310638</v>
      </c>
      <c r="H59" s="23">
        <f t="shared" si="8"/>
        <v>0</v>
      </c>
      <c r="I59" s="24">
        <f t="shared" si="8"/>
        <v>0</v>
      </c>
      <c r="J59" s="32" t="str" cm="1">
        <f t="array" ref="J59">IFERROR(_xlfn.IFS(B59="044 - BLEND TRADICION","BLEND",B59="113 - CAFÉ GOURMET","GOURMET",B59="114 - CAFÉ CONSUMO","CONSUMO",B59="112 - CAFÉ ORGANICO","GOURMET",B59="172 - CAFÉ COSECHA","ESPECIALES",B59="176 - CAFE DESCAFEINADO","GOURMET",B59="147 - CAPSULAS","CAPSULAS",B59="130 - GALLETAS CAFECITAS","DERIVADOS",B59="140 - MERENGUES","DERIVADOS",B59="100 - CAFÉ ESPECIAL","ESPECIALES",B59="141 - AREQUIPE","DERIVADOS",B59="142 - MERMELADA","DERIVADOS",B59="131 - GALLETAS AVENA","DERIVADOS",B59="160 - SOUVENIR","OTROS",B59="148 - CARAMELOS","DERIVADOS",B59="143 - CHOCOFFES","DERIVADOS",B59="162 - CONVENIOS Y DSC POS ","OTROS"),"OTROS")</f>
        <v>ESPECIALES</v>
      </c>
      <c r="L59" s="27">
        <f t="shared" si="2"/>
        <v>646680</v>
      </c>
      <c r="M59" s="27">
        <f t="shared" si="3"/>
        <v>646680</v>
      </c>
    </row>
    <row r="60" spans="1:13" ht="16.5" hidden="1" outlineLevel="1">
      <c r="A60" s="19" t="s">
        <v>40</v>
      </c>
      <c r="B60" s="56" t="s">
        <v>32</v>
      </c>
      <c r="C60" s="54">
        <f>SUM(C42:C59)</f>
        <v>22811165</v>
      </c>
      <c r="D60" s="54">
        <f>SUM(D42:D59)</f>
        <v>-82846</v>
      </c>
      <c r="E60" s="54">
        <f>SUM(E42:E59)</f>
        <v>0</v>
      </c>
      <c r="F60" s="54">
        <f>SUM(F42:F59)</f>
        <v>118279646.59000002</v>
      </c>
      <c r="G60" s="55">
        <f t="shared" si="5"/>
        <v>0.1928579063063296</v>
      </c>
      <c r="H60" s="23">
        <f t="shared" si="8"/>
        <v>-3.6186756440363377E-3</v>
      </c>
      <c r="I60" s="24">
        <f t="shared" si="8"/>
        <v>0</v>
      </c>
      <c r="J60" s="32" t="str" cm="1">
        <f t="array" ref="J60">IFERROR(_xlfn.IFS(B60="044 - BLEND TRADICION","BLEND",B60="113 - CAFÉ GOURMET","GOURMET",B60="114 - CAFÉ CONSUMO","CONSUMO",B60="112 - CAFÉ ORGANICO","GOURMET",B60="172 - CAFÉ COSECHA","ESPECIALES",B60="176 - CAFE DESCAFEINADO","GOURMET",B60="147 - CAPSULAS","CAPSULAS",B60="130 - GALLETAS CAFECITAS","DERIVADOS",B60="140 - MERENGUES","DERIVADOS",B60="100 - CAFÉ ESPECIAL","ESPECIALES",B60="141 - AREQUIPE","DERIVADOS",B60="142 - MERMELADA","DERIVADOS",B60="131 - GALLETAS AVENA","DERIVADOS",B60="160 - SOUVENIR","OTROS",B60="148 - CARAMELOS","DERIVADOS",B60="143 - CHOCOFFES","DERIVADOS",B60="162 - CONVENIOS Y DSC POS ","OTROS"),"OTROS")</f>
        <v>OTROS</v>
      </c>
      <c r="L60" s="27">
        <f t="shared" si="2"/>
        <v>22894011</v>
      </c>
      <c r="M60" s="27">
        <f t="shared" si="3"/>
        <v>22894011</v>
      </c>
    </row>
    <row r="61" spans="1:13" ht="16.5" collapsed="1">
      <c r="A61" s="28" t="s">
        <v>41</v>
      </c>
      <c r="B61" s="29" t="s">
        <v>17</v>
      </c>
      <c r="C61" s="30">
        <f>+C81+C95+C109+C64</f>
        <v>165432361</v>
      </c>
      <c r="D61" s="30">
        <f>+D81+D95+D109+D64</f>
        <v>-3450123</v>
      </c>
      <c r="E61" s="30">
        <f>+E81+E95+E109+E64</f>
        <v>-2347272</v>
      </c>
      <c r="F61" s="30">
        <f>+F81+F95+F109+F64</f>
        <v>488313278.77999997</v>
      </c>
      <c r="G61" s="31">
        <f t="shared" si="5"/>
        <v>0.33878325286036781</v>
      </c>
      <c r="H61" s="23">
        <f t="shared" si="8"/>
        <v>-2.0149085536277936E-2</v>
      </c>
      <c r="I61" s="24">
        <f t="shared" si="8"/>
        <v>-1.3708318313552932E-2</v>
      </c>
      <c r="J61" s="32" t="str" cm="1">
        <f t="array" ref="J61">IFERROR(_xlfn.IFS(B61="044 - BLEND TRADICION","BLEND",B61="113 - CAFÉ GOURMET","GOURMET",B61="114 - CAFÉ CONSUMO","CONSUMO",B61="112 - CAFÉ ORGANICO","GOURMET",B61="172 - CAFÉ COSECHA","ESPECIALES",B61="176 - CAFE DESCAFEINADO","GOURMET",B61="147 - CAPSULAS","CAPSULAS",B61="130 - GALLETAS CAFECITAS","DERIVADOS",B61="140 - MERENGUES","DERIVADOS",B61="100 - CAFÉ ESPECIAL","ESPECIALES",B61="141 - AREQUIPE","DERIVADOS",B61="142 - MERMELADA","DERIVADOS",B61="131 - GALLETAS AVENA","DERIVADOS",B61="160 - SOUVENIR","OTROS",B61="148 - CARAMELOS","DERIVADOS",B61="143 - CHOCOFFES","DERIVADOS",B61="162 - CONVENIOS Y DSC POS ","OTROS"),"OTROS")</f>
        <v>OTROS</v>
      </c>
      <c r="L61" s="27">
        <f t="shared" si="2"/>
        <v>171229756</v>
      </c>
      <c r="M61" s="27">
        <f t="shared" si="3"/>
        <v>171229756</v>
      </c>
    </row>
    <row r="62" spans="1:13" ht="16.5" hidden="1" outlineLevel="1">
      <c r="A62" s="38"/>
      <c r="B62" s="39" t="s">
        <v>42</v>
      </c>
      <c r="C62" s="36">
        <v>0</v>
      </c>
      <c r="D62" s="36">
        <v>0</v>
      </c>
      <c r="E62" s="48"/>
      <c r="F62" s="48">
        <v>0</v>
      </c>
      <c r="G62" s="49" t="str">
        <f t="shared" si="5"/>
        <v>-</v>
      </c>
      <c r="H62" s="23">
        <f t="shared" si="8"/>
        <v>0</v>
      </c>
      <c r="I62" s="24">
        <f t="shared" si="8"/>
        <v>0</v>
      </c>
      <c r="J62" s="32" t="str" cm="1">
        <f t="array" ref="J62">IFERROR(_xlfn.IFS(B62="044 - BLEND TRADICION","BLEND",B62="113 - CAFÉ GOURMET","GOURMET",B62="114 - CAFÉ CONSUMO","CONSUMO",B62="112 - CAFÉ ORGANICO","GOURMET",B62="172 - CAFÉ COSECHA","ESPECIALES",B62="176 - CAFE DESCAFEINADO","GOURMET",B62="147 - CAPSULAS","CAPSULAS",B62="130 - GALLETAS CAFECITAS","DERIVADOS",B62="140 - MERENGUES","DERIVADOS",B62="100 - CAFÉ ESPECIAL","ESPECIALES",B62="141 - AREQUIPE","DERIVADOS",B62="142 - MERMELADA","DERIVADOS",B62="131 - GALLETAS AVENA","DERIVADOS",B62="160 - SOUVENIR","OTROS",B62="148 - CARAMELOS","DERIVADOS",B62="143 - CHOCOFFES","DERIVADOS",B62="162 - CONVENIOS Y DSC POS ","OTROS"),"OTROS")</f>
        <v>OTROS</v>
      </c>
      <c r="L62" s="27">
        <f t="shared" si="2"/>
        <v>0</v>
      </c>
      <c r="M62" s="27">
        <f t="shared" si="3"/>
        <v>0</v>
      </c>
    </row>
    <row r="63" spans="1:13" ht="16.5" hidden="1" outlineLevel="1">
      <c r="A63" s="38"/>
      <c r="B63" s="39" t="s">
        <v>21</v>
      </c>
      <c r="C63" s="36">
        <v>0</v>
      </c>
      <c r="D63" s="36">
        <v>0</v>
      </c>
      <c r="E63" s="48"/>
      <c r="F63" s="48">
        <v>0</v>
      </c>
      <c r="G63" s="49" t="str">
        <f t="shared" si="5"/>
        <v>-</v>
      </c>
      <c r="H63" s="23">
        <f t="shared" si="8"/>
        <v>0</v>
      </c>
      <c r="I63" s="24">
        <f t="shared" si="8"/>
        <v>0</v>
      </c>
      <c r="J63" s="32" t="str" cm="1">
        <f t="array" ref="J63">IFERROR(_xlfn.IFS(B63="044 - BLEND TRADICION","BLEND",B63="113 - CAFÉ GOURMET","GOURMET",B63="114 - CAFÉ CONSUMO","CONSUMO",B63="112 - CAFÉ ORGANICO","GOURMET",B63="172 - CAFÉ COSECHA","ESPECIALES",B63="176 - CAFE DESCAFEINADO","GOURMET",B63="147 - CAPSULAS","CAPSULAS",B63="130 - GALLETAS CAFECITAS","DERIVADOS",B63="140 - MERENGUES","DERIVADOS",B63="100 - CAFÉ ESPECIAL","ESPECIALES",B63="141 - AREQUIPE","DERIVADOS",B63="142 - MERMELADA","DERIVADOS",B63="131 - GALLETAS AVENA","DERIVADOS",B63="160 - SOUVENIR","OTROS",B63="148 - CARAMELOS","DERIVADOS",B63="143 - CHOCOFFES","DERIVADOS",B63="162 - CONVENIOS Y DSC POS ","OTROS"),"OTROS")</f>
        <v>GOURMET</v>
      </c>
      <c r="L63" s="27">
        <f t="shared" si="2"/>
        <v>0</v>
      </c>
      <c r="M63" s="27">
        <f t="shared" si="3"/>
        <v>0</v>
      </c>
    </row>
    <row r="64" spans="1:13" ht="16.5" hidden="1" outlineLevel="1">
      <c r="A64" s="19" t="s">
        <v>43</v>
      </c>
      <c r="B64" s="56" t="s">
        <v>32</v>
      </c>
      <c r="C64" s="54">
        <f>SUM(C62:C63)</f>
        <v>0</v>
      </c>
      <c r="D64" s="54">
        <f>SUM(D62:D63)</f>
        <v>0</v>
      </c>
      <c r="E64" s="54">
        <f>SUM(E62:E63)</f>
        <v>0</v>
      </c>
      <c r="F64" s="54">
        <f>SUM(F62:F63)</f>
        <v>0</v>
      </c>
      <c r="G64" s="55" t="str">
        <f t="shared" si="5"/>
        <v>-</v>
      </c>
      <c r="H64" s="23">
        <f t="shared" si="8"/>
        <v>0</v>
      </c>
      <c r="I64" s="24">
        <f t="shared" si="8"/>
        <v>0</v>
      </c>
      <c r="J64" s="32" t="str" cm="1">
        <f t="array" ref="J64">IFERROR(_xlfn.IFS(B64="044 - BLEND TRADICION","BLEND",B64="113 - CAFÉ GOURMET","GOURMET",B64="114 - CAFÉ CONSUMO","CONSUMO",B64="112 - CAFÉ ORGANICO","GOURMET",B64="172 - CAFÉ COSECHA","ESPECIALES",B64="176 - CAFE DESCAFEINADO","GOURMET",B64="147 - CAPSULAS","CAPSULAS",B64="130 - GALLETAS CAFECITAS","DERIVADOS",B64="140 - MERENGUES","DERIVADOS",B64="100 - CAFÉ ESPECIAL","ESPECIALES",B64="141 - AREQUIPE","DERIVADOS",B64="142 - MERMELADA","DERIVADOS",B64="131 - GALLETAS AVENA","DERIVADOS",B64="160 - SOUVENIR","OTROS",B64="148 - CARAMELOS","DERIVADOS",B64="143 - CHOCOFFES","DERIVADOS",B64="162 - CONVENIOS Y DSC POS ","OTROS"),"OTROS")</f>
        <v>OTROS</v>
      </c>
      <c r="L64" s="27">
        <f t="shared" si="2"/>
        <v>0</v>
      </c>
      <c r="M64" s="27">
        <f t="shared" si="3"/>
        <v>0</v>
      </c>
    </row>
    <row r="65" spans="1:13" ht="16.5" hidden="1" outlineLevel="1">
      <c r="A65" s="33"/>
      <c r="B65" s="39" t="s">
        <v>34</v>
      </c>
      <c r="C65" s="36">
        <v>0</v>
      </c>
      <c r="D65" s="36">
        <v>0</v>
      </c>
      <c r="E65" s="48">
        <v>0</v>
      </c>
      <c r="F65" s="48">
        <v>142340.04</v>
      </c>
      <c r="G65" s="49">
        <f t="shared" si="5"/>
        <v>0</v>
      </c>
      <c r="H65" s="23">
        <f t="shared" si="8"/>
        <v>0</v>
      </c>
      <c r="I65" s="24">
        <f t="shared" si="8"/>
        <v>0</v>
      </c>
      <c r="J65" s="32" t="str" cm="1">
        <f t="array" ref="J65">IFERROR(_xlfn.IFS(B65="044 - BLEND TRADICION","BLEND",B65="113 - CAFÉ GOURMET","GOURMET",B65="114 - CAFÉ CONSUMO","CONSUMO",B65="112 - CAFÉ ORGANICO","GOURMET",B65="172 - CAFÉ COSECHA","ESPECIALES",B65="176 - CAFE DESCAFEINADO","GOURMET",B65="147 - CAPSULAS","CAPSULAS",B65="130 - GALLETAS CAFECITAS","DERIVADOS",B65="140 - MERENGUES","DERIVADOS",B65="100 - CAFÉ ESPECIAL","ESPECIALES",B65="141 - AREQUIPE","DERIVADOS",B65="142 - MERMELADA","DERIVADOS",B65="131 - GALLETAS AVENA","DERIVADOS",B65="160 - SOUVENIR","OTROS",B65="148 - CARAMELOS","DERIVADOS",B65="143 - CHOCOFFES","DERIVADOS",B65="162 - CONVENIOS Y DSC POS ","OTROS"),"OTROS")</f>
        <v>OTROS</v>
      </c>
      <c r="L65" s="27">
        <f t="shared" si="2"/>
        <v>0</v>
      </c>
      <c r="M65" s="27">
        <f t="shared" si="3"/>
        <v>0</v>
      </c>
    </row>
    <row r="66" spans="1:13" ht="16.5" hidden="1" outlineLevel="1">
      <c r="A66" s="38"/>
      <c r="B66" s="39" t="s">
        <v>18</v>
      </c>
      <c r="C66" s="36">
        <v>0</v>
      </c>
      <c r="D66" s="36">
        <v>0</v>
      </c>
      <c r="E66" s="48">
        <v>0</v>
      </c>
      <c r="F66" s="48">
        <v>1206734.55</v>
      </c>
      <c r="G66" s="49">
        <f t="shared" si="5"/>
        <v>0</v>
      </c>
      <c r="H66" s="23">
        <f t="shared" si="8"/>
        <v>0</v>
      </c>
      <c r="I66" s="24">
        <f t="shared" si="8"/>
        <v>0</v>
      </c>
      <c r="J66" s="32" t="str" cm="1">
        <f t="array" ref="J66">IFERROR(_xlfn.IFS(B66="044 - BLEND TRADICION","BLEND",B66="113 - CAFÉ GOURMET","GOURMET",B66="114 - CAFÉ CONSUMO","CONSUMO",B66="112 - CAFÉ ORGANICO","GOURMET",B66="172 - CAFÉ COSECHA","ESPECIALES",B66="176 - CAFE DESCAFEINADO","GOURMET",B66="147 - CAPSULAS","CAPSULAS",B66="130 - GALLETAS CAFECITAS","DERIVADOS",B66="140 - MERENGUES","DERIVADOS",B66="100 - CAFÉ ESPECIAL","ESPECIALES",B66="141 - AREQUIPE","DERIVADOS",B66="142 - MERMELADA","DERIVADOS",B66="131 - GALLETAS AVENA","DERIVADOS",B66="160 - SOUVENIR","OTROS",B66="148 - CARAMELOS","DERIVADOS",B66="143 - CHOCOFFES","DERIVADOS",B66="162 - CONVENIOS Y DSC POS ","OTROS"),"OTROS")</f>
        <v>BLEND</v>
      </c>
      <c r="L66" s="27">
        <f t="shared" si="2"/>
        <v>0</v>
      </c>
      <c r="M66" s="27">
        <f t="shared" si="3"/>
        <v>0</v>
      </c>
    </row>
    <row r="67" spans="1:13" ht="16.5" hidden="1" outlineLevel="1">
      <c r="A67" s="38"/>
      <c r="B67" s="39" t="s">
        <v>19</v>
      </c>
      <c r="C67" s="36">
        <v>1260640</v>
      </c>
      <c r="D67" s="36">
        <v>0</v>
      </c>
      <c r="E67" s="48">
        <v>0</v>
      </c>
      <c r="F67" s="48">
        <v>3072107.02</v>
      </c>
      <c r="G67" s="49">
        <f t="shared" si="5"/>
        <v>0.41035028786204197</v>
      </c>
      <c r="H67" s="23">
        <f t="shared" si="8"/>
        <v>0</v>
      </c>
      <c r="I67" s="24">
        <f t="shared" si="8"/>
        <v>0</v>
      </c>
      <c r="J67" s="32" t="str" cm="1">
        <f t="array" ref="J67">IFERROR(_xlfn.IFS(B67="044 - BLEND TRADICION","BLEND",B67="113 - CAFÉ GOURMET","GOURMET",B67="114 - CAFÉ CONSUMO","CONSUMO",B67="112 - CAFÉ ORGANICO","GOURMET",B67="172 - CAFÉ COSECHA","ESPECIALES",B67="176 - CAFE DESCAFEINADO","GOURMET",B67="147 - CAPSULAS","CAPSULAS",B67="130 - GALLETAS CAFECITAS","DERIVADOS",B67="140 - MERENGUES","DERIVADOS",B67="100 - CAFÉ ESPECIAL","ESPECIALES",B67="141 - AREQUIPE","DERIVADOS",B67="142 - MERMELADA","DERIVADOS",B67="131 - GALLETAS AVENA","DERIVADOS",B67="160 - SOUVENIR","OTROS",B67="148 - CARAMELOS","DERIVADOS",B67="143 - CHOCOFFES","DERIVADOS",B67="162 - CONVENIOS Y DSC POS ","OTROS"),"OTROS")</f>
        <v>ESPECIALES</v>
      </c>
      <c r="L67" s="27">
        <f t="shared" si="2"/>
        <v>1260640</v>
      </c>
      <c r="M67" s="27">
        <f t="shared" si="3"/>
        <v>1260640</v>
      </c>
    </row>
    <row r="68" spans="1:13" ht="16.5" hidden="1" outlineLevel="1">
      <c r="A68" s="38"/>
      <c r="B68" s="39" t="s">
        <v>20</v>
      </c>
      <c r="C68" s="36">
        <v>34230</v>
      </c>
      <c r="D68" s="36">
        <v>0</v>
      </c>
      <c r="E68" s="48"/>
      <c r="F68" s="48">
        <v>457781.38</v>
      </c>
      <c r="G68" s="49">
        <f t="shared" si="5"/>
        <v>7.4773683455626794E-2</v>
      </c>
      <c r="H68" s="23">
        <f t="shared" si="8"/>
        <v>0</v>
      </c>
      <c r="I68" s="24">
        <f t="shared" si="8"/>
        <v>0</v>
      </c>
      <c r="J68" s="32" t="str" cm="1">
        <f t="array" ref="J68">IFERROR(_xlfn.IFS(B68="044 - BLEND TRADICION","BLEND",B68="113 - CAFÉ GOURMET","GOURMET",B68="114 - CAFÉ CONSUMO","CONSUMO",B68="112 - CAFÉ ORGANICO","GOURMET",B68="172 - CAFÉ COSECHA","ESPECIALES",B68="176 - CAFE DESCAFEINADO","GOURMET",B68="147 - CAPSULAS","CAPSULAS",B68="130 - GALLETAS CAFECITAS","DERIVADOS",B68="140 - MERENGUES","DERIVADOS",B68="100 - CAFÉ ESPECIAL","ESPECIALES",B68="141 - AREQUIPE","DERIVADOS",B68="142 - MERMELADA","DERIVADOS",B68="131 - GALLETAS AVENA","DERIVADOS",B68="160 - SOUVENIR","OTROS",B68="148 - CARAMELOS","DERIVADOS",B68="143 - CHOCOFFES","DERIVADOS",B68="162 - CONVENIOS Y DSC POS ","OTROS"),"OTROS")</f>
        <v>GOURMET</v>
      </c>
      <c r="L68" s="27">
        <f t="shared" si="2"/>
        <v>34230</v>
      </c>
      <c r="M68" s="27">
        <f t="shared" si="3"/>
        <v>34230</v>
      </c>
    </row>
    <row r="69" spans="1:13" ht="16.5" hidden="1" outlineLevel="1">
      <c r="A69" s="38"/>
      <c r="B69" s="39" t="s">
        <v>21</v>
      </c>
      <c r="C69" s="36">
        <v>47301750</v>
      </c>
      <c r="D69" s="36">
        <v>0</v>
      </c>
      <c r="E69" s="48"/>
      <c r="F69" s="48">
        <v>106018093.81999999</v>
      </c>
      <c r="G69" s="49">
        <f t="shared" si="5"/>
        <v>0.4461667654609035</v>
      </c>
      <c r="H69" s="23">
        <f t="shared" si="8"/>
        <v>0</v>
      </c>
      <c r="I69" s="24">
        <f t="shared" si="8"/>
        <v>0</v>
      </c>
      <c r="J69" s="32" t="str" cm="1">
        <f t="array" ref="J69">IFERROR(_xlfn.IFS(B69="044 - BLEND TRADICION","BLEND",B69="113 - CAFÉ GOURMET","GOURMET",B69="114 - CAFÉ CONSUMO","CONSUMO",B69="112 - CAFÉ ORGANICO","GOURMET",B69="172 - CAFÉ COSECHA","ESPECIALES",B69="176 - CAFE DESCAFEINADO","GOURMET",B69="147 - CAPSULAS","CAPSULAS",B69="130 - GALLETAS CAFECITAS","DERIVADOS",B69="140 - MERENGUES","DERIVADOS",B69="100 - CAFÉ ESPECIAL","ESPECIALES",B69="141 - AREQUIPE","DERIVADOS",B69="142 - MERMELADA","DERIVADOS",B69="131 - GALLETAS AVENA","DERIVADOS",B69="160 - SOUVENIR","OTROS",B69="148 - CARAMELOS","DERIVADOS",B69="143 - CHOCOFFES","DERIVADOS",B69="162 - CONVENIOS Y DSC POS ","OTROS"),"OTROS")</f>
        <v>GOURMET</v>
      </c>
      <c r="L69" s="27">
        <f t="shared" si="2"/>
        <v>47301750</v>
      </c>
      <c r="M69" s="27">
        <f t="shared" si="3"/>
        <v>47301750</v>
      </c>
    </row>
    <row r="70" spans="1:13" ht="16.5" hidden="1" outlineLevel="1">
      <c r="A70" s="38"/>
      <c r="B70" s="39" t="s">
        <v>22</v>
      </c>
      <c r="C70" s="36">
        <v>3059477</v>
      </c>
      <c r="D70" s="36">
        <v>0</v>
      </c>
      <c r="E70" s="48"/>
      <c r="F70" s="48">
        <v>5082259.87</v>
      </c>
      <c r="G70" s="49">
        <f t="shared" si="5"/>
        <v>0.60199145227888551</v>
      </c>
      <c r="H70" s="23">
        <f t="shared" si="8"/>
        <v>0</v>
      </c>
      <c r="I70" s="24">
        <f t="shared" si="8"/>
        <v>0</v>
      </c>
      <c r="J70" s="32" t="str" cm="1">
        <f t="array" ref="J70">IFERROR(_xlfn.IFS(B70="044 - BLEND TRADICION","BLEND",B70="113 - CAFÉ GOURMET","GOURMET",B70="114 - CAFÉ CONSUMO","CONSUMO",B70="112 - CAFÉ ORGANICO","GOURMET",B70="172 - CAFÉ COSECHA","ESPECIALES",B70="176 - CAFE DESCAFEINADO","GOURMET",B70="147 - CAPSULAS","CAPSULAS",B70="130 - GALLETAS CAFECITAS","DERIVADOS",B70="140 - MERENGUES","DERIVADOS",B70="100 - CAFÉ ESPECIAL","ESPECIALES",B70="141 - AREQUIPE","DERIVADOS",B70="142 - MERMELADA","DERIVADOS",B70="131 - GALLETAS AVENA","DERIVADOS",B70="160 - SOUVENIR","OTROS",B70="148 - CARAMELOS","DERIVADOS",B70="143 - CHOCOFFES","DERIVADOS",B70="162 - CONVENIOS Y DSC POS ","OTROS"),"OTROS")</f>
        <v>DERIVADOS</v>
      </c>
      <c r="L70" s="27">
        <f t="shared" si="2"/>
        <v>3059477</v>
      </c>
      <c r="M70" s="27">
        <f t="shared" si="3"/>
        <v>3059477</v>
      </c>
    </row>
    <row r="71" spans="1:13" ht="16.5" hidden="1" outlineLevel="1">
      <c r="A71" s="38"/>
      <c r="B71" s="39" t="s">
        <v>23</v>
      </c>
      <c r="C71" s="36">
        <v>0</v>
      </c>
      <c r="D71" s="36">
        <v>0</v>
      </c>
      <c r="E71" s="48"/>
      <c r="F71" s="48">
        <v>42776.35</v>
      </c>
      <c r="G71" s="49">
        <f t="shared" si="5"/>
        <v>0</v>
      </c>
      <c r="H71" s="23">
        <f t="shared" si="8"/>
        <v>0</v>
      </c>
      <c r="I71" s="24">
        <f t="shared" si="8"/>
        <v>0</v>
      </c>
      <c r="J71" s="32" t="str" cm="1">
        <f t="array" ref="J71">IFERROR(_xlfn.IFS(B71="044 - BLEND TRADICION","BLEND",B71="113 - CAFÉ GOURMET","GOURMET",B71="114 - CAFÉ CONSUMO","CONSUMO",B71="112 - CAFÉ ORGANICO","GOURMET",B71="172 - CAFÉ COSECHA","ESPECIALES",B71="176 - CAFE DESCAFEINADO","GOURMET",B71="147 - CAPSULAS","CAPSULAS",B71="130 - GALLETAS CAFECITAS","DERIVADOS",B71="140 - MERENGUES","DERIVADOS",B71="100 - CAFÉ ESPECIAL","ESPECIALES",B71="141 - AREQUIPE","DERIVADOS",B71="142 - MERMELADA","DERIVADOS",B71="131 - GALLETAS AVENA","DERIVADOS",B71="160 - SOUVENIR","OTROS",B71="148 - CARAMELOS","DERIVADOS",B71="143 - CHOCOFFES","DERIVADOS",B71="162 - CONVENIOS Y DSC POS ","OTROS"),"OTROS")</f>
        <v>DERIVADOS</v>
      </c>
      <c r="L71" s="27">
        <f t="shared" ref="L71:L134" si="9">C71-(D71+E71)</f>
        <v>0</v>
      </c>
      <c r="M71" s="27">
        <f t="shared" ref="M71:M134" si="10">L71</f>
        <v>0</v>
      </c>
    </row>
    <row r="72" spans="1:13" ht="16.5" hidden="1" outlineLevel="1">
      <c r="A72" s="38"/>
      <c r="B72" s="39" t="s">
        <v>24</v>
      </c>
      <c r="C72" s="36">
        <v>169530</v>
      </c>
      <c r="D72" s="36">
        <v>0</v>
      </c>
      <c r="E72" s="48"/>
      <c r="F72" s="48">
        <v>253296.1</v>
      </c>
      <c r="G72" s="49">
        <f t="shared" si="5"/>
        <v>0.66929573728138725</v>
      </c>
      <c r="H72" s="23">
        <f t="shared" si="8"/>
        <v>0</v>
      </c>
      <c r="I72" s="24">
        <f t="shared" si="8"/>
        <v>0</v>
      </c>
      <c r="J72" s="32" t="str" cm="1">
        <f t="array" ref="J72">IFERROR(_xlfn.IFS(B72="044 - BLEND TRADICION","BLEND",B72="113 - CAFÉ GOURMET","GOURMET",B72="114 - CAFÉ CONSUMO","CONSUMO",B72="112 - CAFÉ ORGANICO","GOURMET",B72="172 - CAFÉ COSECHA","ESPECIALES",B72="176 - CAFE DESCAFEINADO","GOURMET",B72="147 - CAPSULAS","CAPSULAS",B72="130 - GALLETAS CAFECITAS","DERIVADOS",B72="140 - MERENGUES","DERIVADOS",B72="100 - CAFÉ ESPECIAL","ESPECIALES",B72="141 - AREQUIPE","DERIVADOS",B72="142 - MERMELADA","DERIVADOS",B72="131 - GALLETAS AVENA","DERIVADOS",B72="160 - SOUVENIR","OTROS",B72="148 - CARAMELOS","DERIVADOS",B72="143 - CHOCOFFES","DERIVADOS",B72="162 - CONVENIOS Y DSC POS ","OTROS"),"OTROS")</f>
        <v>DERIVADOS</v>
      </c>
      <c r="L72" s="27">
        <f t="shared" si="9"/>
        <v>169530</v>
      </c>
      <c r="M72" s="27">
        <f t="shared" si="10"/>
        <v>169530</v>
      </c>
    </row>
    <row r="73" spans="1:13" ht="16.5" hidden="1" outlineLevel="1">
      <c r="A73" s="38"/>
      <c r="B73" s="39" t="s">
        <v>25</v>
      </c>
      <c r="C73" s="36">
        <v>6562179</v>
      </c>
      <c r="D73" s="36">
        <v>0</v>
      </c>
      <c r="E73" s="48"/>
      <c r="F73" s="48">
        <v>6237513.8499999996</v>
      </c>
      <c r="G73" s="49">
        <f t="shared" si="5"/>
        <v>1.0520504094752432</v>
      </c>
      <c r="H73" s="23">
        <f t="shared" si="8"/>
        <v>0</v>
      </c>
      <c r="I73" s="24">
        <f t="shared" si="8"/>
        <v>0</v>
      </c>
      <c r="J73" s="32" t="str" cm="1">
        <f t="array" ref="J73">IFERROR(_xlfn.IFS(B73="044 - BLEND TRADICION","BLEND",B73="113 - CAFÉ GOURMET","GOURMET",B73="114 - CAFÉ CONSUMO","CONSUMO",B73="112 - CAFÉ ORGANICO","GOURMET",B73="172 - CAFÉ COSECHA","ESPECIALES",B73="176 - CAFE DESCAFEINADO","GOURMET",B73="147 - CAPSULAS","CAPSULAS",B73="130 - GALLETAS CAFECITAS","DERIVADOS",B73="140 - MERENGUES","DERIVADOS",B73="100 - CAFÉ ESPECIAL","ESPECIALES",B73="141 - AREQUIPE","DERIVADOS",B73="142 - MERMELADA","DERIVADOS",B73="131 - GALLETAS AVENA","DERIVADOS",B73="160 - SOUVENIR","OTROS",B73="148 - CARAMELOS","DERIVADOS",B73="143 - CHOCOFFES","DERIVADOS",B73="162 - CONVENIOS Y DSC POS ","OTROS"),"OTROS")</f>
        <v>DERIVADOS</v>
      </c>
      <c r="L73" s="27">
        <f t="shared" si="9"/>
        <v>6562179</v>
      </c>
      <c r="M73" s="27">
        <f t="shared" si="10"/>
        <v>6562179</v>
      </c>
    </row>
    <row r="74" spans="1:13" ht="16.5" hidden="1" outlineLevel="1">
      <c r="A74" s="38"/>
      <c r="B74" s="39" t="s">
        <v>26</v>
      </c>
      <c r="C74" s="36">
        <v>0</v>
      </c>
      <c r="D74" s="36">
        <v>0</v>
      </c>
      <c r="E74" s="48">
        <v>0</v>
      </c>
      <c r="F74" s="48">
        <v>834555.96</v>
      </c>
      <c r="G74" s="49">
        <f t="shared" si="5"/>
        <v>0</v>
      </c>
      <c r="H74" s="23">
        <f t="shared" si="8"/>
        <v>0</v>
      </c>
      <c r="I74" s="24">
        <f t="shared" si="8"/>
        <v>0</v>
      </c>
      <c r="J74" s="32" t="str" cm="1">
        <f t="array" ref="J74">IFERROR(_xlfn.IFS(B74="044 - BLEND TRADICION","BLEND",B74="113 - CAFÉ GOURMET","GOURMET",B74="114 - CAFÉ CONSUMO","CONSUMO",B74="112 - CAFÉ ORGANICO","GOURMET",B74="172 - CAFÉ COSECHA","ESPECIALES",B74="176 - CAFE DESCAFEINADO","GOURMET",B74="147 - CAPSULAS","CAPSULAS",B74="130 - GALLETAS CAFECITAS","DERIVADOS",B74="140 - MERENGUES","DERIVADOS",B74="100 - CAFÉ ESPECIAL","ESPECIALES",B74="141 - AREQUIPE","DERIVADOS",B74="142 - MERMELADA","DERIVADOS",B74="131 - GALLETAS AVENA","DERIVADOS",B74="160 - SOUVENIR","OTROS",B74="148 - CARAMELOS","DERIVADOS",B74="143 - CHOCOFFES","DERIVADOS",B74="162 - CONVENIOS Y DSC POS ","OTROS"),"OTROS")</f>
        <v>CAPSULAS</v>
      </c>
      <c r="L74" s="27">
        <f t="shared" si="9"/>
        <v>0</v>
      </c>
      <c r="M74" s="27">
        <f t="shared" si="10"/>
        <v>0</v>
      </c>
    </row>
    <row r="75" spans="1:13" ht="16.5" hidden="1" outlineLevel="1">
      <c r="A75" s="38"/>
      <c r="B75" s="39" t="s">
        <v>27</v>
      </c>
      <c r="C75" s="36">
        <v>6077735</v>
      </c>
      <c r="D75" s="36">
        <v>0</v>
      </c>
      <c r="E75" s="48"/>
      <c r="F75" s="48">
        <v>6191934.2800000003</v>
      </c>
      <c r="G75" s="49">
        <f t="shared" si="5"/>
        <v>0.98155676807344916</v>
      </c>
      <c r="H75" s="23">
        <f t="shared" si="8"/>
        <v>0</v>
      </c>
      <c r="I75" s="24">
        <f t="shared" si="8"/>
        <v>0</v>
      </c>
      <c r="J75" s="32" t="str" cm="1">
        <f t="array" ref="J75">IFERROR(_xlfn.IFS(B75="044 - BLEND TRADICION","BLEND",B75="113 - CAFÉ GOURMET","GOURMET",B75="114 - CAFÉ CONSUMO","CONSUMO",B75="112 - CAFÉ ORGANICO","GOURMET",B75="172 - CAFÉ COSECHA","ESPECIALES",B75="176 - CAFE DESCAFEINADO","GOURMET",B75="147 - CAPSULAS","CAPSULAS",B75="130 - GALLETAS CAFECITAS","DERIVADOS",B75="140 - MERENGUES","DERIVADOS",B75="100 - CAFÉ ESPECIAL","ESPECIALES",B75="141 - AREQUIPE","DERIVADOS",B75="142 - MERMELADA","DERIVADOS",B75="131 - GALLETAS AVENA","DERIVADOS",B75="160 - SOUVENIR","OTROS",B75="148 - CARAMELOS","DERIVADOS",B75="143 - CHOCOFFES","DERIVADOS",B75="162 - CONVENIOS Y DSC POS ","OTROS"),"OTROS")</f>
        <v>DERIVADOS</v>
      </c>
      <c r="L75" s="27">
        <f t="shared" si="9"/>
        <v>6077735</v>
      </c>
      <c r="M75" s="27">
        <f t="shared" si="10"/>
        <v>6077735</v>
      </c>
    </row>
    <row r="76" spans="1:13" ht="16.5" hidden="1" outlineLevel="1">
      <c r="A76" s="38"/>
      <c r="B76" s="39" t="s">
        <v>28</v>
      </c>
      <c r="C76" s="36">
        <v>5006104</v>
      </c>
      <c r="D76" s="36">
        <v>0</v>
      </c>
      <c r="E76" s="48">
        <v>0</v>
      </c>
      <c r="F76" s="48">
        <v>6313546.5</v>
      </c>
      <c r="G76" s="49">
        <f t="shared" si="5"/>
        <v>0.79291472708722432</v>
      </c>
      <c r="H76" s="23">
        <f t="shared" si="8"/>
        <v>0</v>
      </c>
      <c r="I76" s="24">
        <f t="shared" si="8"/>
        <v>0</v>
      </c>
      <c r="J76" s="32" t="str" cm="1">
        <f t="array" ref="J76">IFERROR(_xlfn.IFS(B76="044 - BLEND TRADICION","BLEND",B76="113 - CAFÉ GOURMET","GOURMET",B76="114 - CAFÉ CONSUMO","CONSUMO",B76="112 - CAFÉ ORGANICO","GOURMET",B76="172 - CAFÉ COSECHA","ESPECIALES",B76="176 - CAFE DESCAFEINADO","GOURMET",B76="147 - CAPSULAS","CAPSULAS",B76="130 - GALLETAS CAFECITAS","DERIVADOS",B76="140 - MERENGUES","DERIVADOS",B76="100 - CAFÉ ESPECIAL","ESPECIALES",B76="141 - AREQUIPE","DERIVADOS",B76="142 - MERMELADA","DERIVADOS",B76="131 - GALLETAS AVENA","DERIVADOS",B76="160 - SOUVENIR","OTROS",B76="148 - CARAMELOS","DERIVADOS",B76="143 - CHOCOFFES","DERIVADOS",B76="162 - CONVENIOS Y DSC POS ","OTROS"),"OTROS")</f>
        <v>OTROS</v>
      </c>
      <c r="L76" s="27">
        <f t="shared" si="9"/>
        <v>5006104</v>
      </c>
      <c r="M76" s="27">
        <f t="shared" si="10"/>
        <v>5006104</v>
      </c>
    </row>
    <row r="77" spans="1:13" ht="16.5" hidden="1" outlineLevel="1">
      <c r="A77" s="38"/>
      <c r="B77" s="39" t="s">
        <v>50</v>
      </c>
      <c r="C77" s="36">
        <v>-2347272</v>
      </c>
      <c r="D77" s="36">
        <v>0</v>
      </c>
      <c r="E77" s="36">
        <v>-2347272</v>
      </c>
      <c r="F77" s="48">
        <v>0</v>
      </c>
      <c r="G77" s="49" t="str">
        <f t="shared" si="5"/>
        <v>-</v>
      </c>
      <c r="H77" s="23">
        <f t="shared" si="8"/>
        <v>0</v>
      </c>
      <c r="I77" s="24">
        <f t="shared" si="8"/>
        <v>0</v>
      </c>
      <c r="J77" s="32" t="str" cm="1">
        <f t="array" ref="J77">IFERROR(_xlfn.IFS(B77="044 - BLEND TRADICION","BLEND",B77="113 - CAFÉ GOURMET","GOURMET",B77="114 - CAFÉ CONSUMO","CONSUMO",B77="112 - CAFÉ ORGANICO","GOURMET",B77="172 - CAFÉ COSECHA","ESPECIALES",B77="176 - CAFE DESCAFEINADO","GOURMET",B77="147 - CAPSULAS","CAPSULAS",B77="130 - GALLETAS CAFECITAS","DERIVADOS",B77="140 - MERENGUES","DERIVADOS",B77="100 - CAFÉ ESPECIAL","ESPECIALES",B77="141 - AREQUIPE","DERIVADOS",B77="142 - MERMELADA","DERIVADOS",B77="131 - GALLETAS AVENA","DERIVADOS",B77="160 - SOUVENIR","OTROS",B77="148 - CARAMELOS","DERIVADOS",B77="143 - CHOCOFFES","DERIVADOS",B77="162 - CONVENIOS Y DSC POS ","OTROS"),"OTROS")</f>
        <v>OTROS</v>
      </c>
      <c r="L77" s="27">
        <f t="shared" si="9"/>
        <v>0</v>
      </c>
      <c r="M77" s="27">
        <f t="shared" si="10"/>
        <v>0</v>
      </c>
    </row>
    <row r="78" spans="1:13" ht="16.5" hidden="1" outlineLevel="1">
      <c r="A78" s="38"/>
      <c r="B78" s="39" t="s">
        <v>29</v>
      </c>
      <c r="C78" s="36">
        <v>341319</v>
      </c>
      <c r="D78" s="36">
        <v>0</v>
      </c>
      <c r="E78" s="48"/>
      <c r="F78" s="48">
        <v>10016848.720000001</v>
      </c>
      <c r="G78" s="49">
        <f t="shared" si="5"/>
        <v>3.4074488847825983E-2</v>
      </c>
      <c r="H78" s="23">
        <f t="shared" si="8"/>
        <v>0</v>
      </c>
      <c r="I78" s="24">
        <f t="shared" si="8"/>
        <v>0</v>
      </c>
      <c r="J78" s="32" t="str" cm="1">
        <f t="array" ref="J78">IFERROR(_xlfn.IFS(B78="044 - BLEND TRADICION","BLEND",B78="113 - CAFÉ GOURMET","GOURMET",B78="114 - CAFÉ CONSUMO","CONSUMO",B78="112 - CAFÉ ORGANICO","GOURMET",B78="172 - CAFÉ COSECHA","ESPECIALES",B78="176 - CAFE DESCAFEINADO","GOURMET",B78="147 - CAPSULAS","CAPSULAS",B78="130 - GALLETAS CAFECITAS","DERIVADOS",B78="140 - MERENGUES","DERIVADOS",B78="100 - CAFÉ ESPECIAL","ESPECIALES",B78="141 - AREQUIPE","DERIVADOS",B78="142 - MERMELADA","DERIVADOS",B78="131 - GALLETAS AVENA","DERIVADOS",B78="160 - SOUVENIR","OTROS",B78="148 - CARAMELOS","DERIVADOS",B78="143 - CHOCOFFES","DERIVADOS",B78="162 - CONVENIOS Y DSC POS ","OTROS"),"OTROS")</f>
        <v>ESPECIALES</v>
      </c>
      <c r="L78" s="27">
        <f t="shared" si="9"/>
        <v>341319</v>
      </c>
      <c r="M78" s="27">
        <f t="shared" si="10"/>
        <v>341319</v>
      </c>
    </row>
    <row r="79" spans="1:13" ht="16.5" hidden="1" outlineLevel="1">
      <c r="A79" s="38"/>
      <c r="B79" s="39" t="s">
        <v>30</v>
      </c>
      <c r="C79" s="36">
        <v>194214</v>
      </c>
      <c r="D79" s="36">
        <v>0</v>
      </c>
      <c r="E79" s="48">
        <v>0</v>
      </c>
      <c r="F79" s="48">
        <v>1809439.28</v>
      </c>
      <c r="G79" s="49">
        <f t="shared" si="5"/>
        <v>0.1073338034310828</v>
      </c>
      <c r="H79" s="23">
        <f t="shared" si="8"/>
        <v>0</v>
      </c>
      <c r="I79" s="24">
        <f t="shared" si="8"/>
        <v>0</v>
      </c>
      <c r="J79" s="32" t="str" cm="1">
        <f t="array" ref="J79">IFERROR(_xlfn.IFS(B79="044 - BLEND TRADICION","BLEND",B79="113 - CAFÉ GOURMET","GOURMET",B79="114 - CAFÉ CONSUMO","CONSUMO",B79="112 - CAFÉ ORGANICO","GOURMET",B79="172 - CAFÉ COSECHA","ESPECIALES",B79="176 - CAFE DESCAFEINADO","GOURMET",B79="147 - CAPSULAS","CAPSULAS",B79="130 - GALLETAS CAFECITAS","DERIVADOS",B79="140 - MERENGUES","DERIVADOS",B79="100 - CAFÉ ESPECIAL","ESPECIALES",B79="141 - AREQUIPE","DERIVADOS",B79="142 - MERMELADA","DERIVADOS",B79="131 - GALLETAS AVENA","DERIVADOS",B79="160 - SOUVENIR","OTROS",B79="148 - CARAMELOS","DERIVADOS",B79="143 - CHOCOFFES","DERIVADOS",B79="162 - CONVENIOS Y DSC POS ","OTROS"),"OTROS")</f>
        <v>GOURMET</v>
      </c>
      <c r="L79" s="27">
        <f t="shared" si="9"/>
        <v>194214</v>
      </c>
      <c r="M79" s="27">
        <f t="shared" si="10"/>
        <v>194214</v>
      </c>
    </row>
    <row r="80" spans="1:13" ht="16.5" hidden="1" outlineLevel="1">
      <c r="A80" s="38"/>
      <c r="B80" s="39" t="s">
        <v>31</v>
      </c>
      <c r="C80" s="36">
        <v>36000</v>
      </c>
      <c r="D80" s="36">
        <v>0</v>
      </c>
      <c r="E80" s="48">
        <v>0</v>
      </c>
      <c r="F80" s="48">
        <v>0</v>
      </c>
      <c r="G80" s="49" t="str">
        <f t="shared" si="5"/>
        <v>-</v>
      </c>
      <c r="H80" s="23">
        <f t="shared" si="8"/>
        <v>0</v>
      </c>
      <c r="I80" s="24">
        <f t="shared" si="8"/>
        <v>0</v>
      </c>
      <c r="J80" s="32" t="str" cm="1">
        <f t="array" ref="J80">IFERROR(_xlfn.IFS(B80="044 - BLEND TRADICION","BLEND",B80="113 - CAFÉ GOURMET","GOURMET",B80="114 - CAFÉ CONSUMO","CONSUMO",B80="112 - CAFÉ ORGANICO","GOURMET",B80="172 - CAFÉ COSECHA","ESPECIALES",B80="176 - CAFE DESCAFEINADO","GOURMET",B80="147 - CAPSULAS","CAPSULAS",B80="130 - GALLETAS CAFECITAS","DERIVADOS",B80="140 - MERENGUES","DERIVADOS",B80="100 - CAFÉ ESPECIAL","ESPECIALES",B80="141 - AREQUIPE","DERIVADOS",B80="142 - MERMELADA","DERIVADOS",B80="131 - GALLETAS AVENA","DERIVADOS",B80="160 - SOUVENIR","OTROS",B80="148 - CARAMELOS","DERIVADOS",B80="143 - CHOCOFFES","DERIVADOS",B80="162 - CONVENIOS Y DSC POS ","OTROS"),"OTROS")</f>
        <v>OTROS</v>
      </c>
      <c r="L80" s="27">
        <f t="shared" si="9"/>
        <v>36000</v>
      </c>
      <c r="M80" s="27">
        <f t="shared" si="10"/>
        <v>36000</v>
      </c>
    </row>
    <row r="81" spans="1:13" ht="16.5" hidden="1" outlineLevel="1">
      <c r="A81" s="19" t="s">
        <v>44</v>
      </c>
      <c r="B81" s="56" t="s">
        <v>32</v>
      </c>
      <c r="C81" s="54">
        <f>SUM(C65:C80)</f>
        <v>67695906</v>
      </c>
      <c r="D81" s="54">
        <f>SUM(D65:D80)</f>
        <v>0</v>
      </c>
      <c r="E81" s="58">
        <f>SUM(E65:E80)</f>
        <v>-2347272</v>
      </c>
      <c r="F81" s="58">
        <f>SUM(F65:F80)</f>
        <v>147679227.71999997</v>
      </c>
      <c r="G81" s="55">
        <f t="shared" si="5"/>
        <v>0.45839829368793517</v>
      </c>
      <c r="H81" s="23">
        <f t="shared" si="8"/>
        <v>0</v>
      </c>
      <c r="I81" s="24">
        <f t="shared" si="8"/>
        <v>-3.3511786115701374E-2</v>
      </c>
      <c r="J81" s="32" t="str" cm="1">
        <f t="array" ref="J81">IFERROR(_xlfn.IFS(B81="044 - BLEND TRADICION","BLEND",B81="113 - CAFÉ GOURMET","GOURMET",B81="114 - CAFÉ CONSUMO","CONSUMO",B81="112 - CAFÉ ORGANICO","GOURMET",B81="172 - CAFÉ COSECHA","ESPECIALES",B81="176 - CAFE DESCAFEINADO","GOURMET",B81="147 - CAPSULAS","CAPSULAS",B81="130 - GALLETAS CAFECITAS","DERIVADOS",B81="140 - MERENGUES","DERIVADOS",B81="100 - CAFÉ ESPECIAL","ESPECIALES",B81="141 - AREQUIPE","DERIVADOS",B81="142 - MERMELADA","DERIVADOS",B81="131 - GALLETAS AVENA","DERIVADOS",B81="160 - SOUVENIR","OTROS",B81="148 - CARAMELOS","DERIVADOS",B81="143 - CHOCOFFES","DERIVADOS",B81="162 - CONVENIOS Y DSC POS ","OTROS"),"OTROS")</f>
        <v>OTROS</v>
      </c>
      <c r="L81" s="27">
        <f t="shared" si="9"/>
        <v>70043178</v>
      </c>
      <c r="M81" s="27">
        <f t="shared" si="10"/>
        <v>70043178</v>
      </c>
    </row>
    <row r="82" spans="1:13" ht="16.5" hidden="1" outlineLevel="1">
      <c r="A82" s="59"/>
      <c r="B82" s="39" t="s">
        <v>19</v>
      </c>
      <c r="C82" s="36">
        <v>2030068</v>
      </c>
      <c r="D82" s="36">
        <v>0</v>
      </c>
      <c r="E82" s="36">
        <v>0</v>
      </c>
      <c r="F82" s="48">
        <v>2429943.91</v>
      </c>
      <c r="G82" s="49">
        <f t="shared" si="5"/>
        <v>0.83543821388041828</v>
      </c>
      <c r="H82" s="23">
        <f t="shared" si="8"/>
        <v>0</v>
      </c>
      <c r="I82" s="24">
        <f t="shared" si="8"/>
        <v>0</v>
      </c>
      <c r="J82" s="32" t="str" cm="1">
        <f t="array" ref="J82">IFERROR(_xlfn.IFS(B82="044 - BLEND TRADICION","BLEND",B82="113 - CAFÉ GOURMET","GOURMET",B82="114 - CAFÉ CONSUMO","CONSUMO",B82="112 - CAFÉ ORGANICO","GOURMET",B82="172 - CAFÉ COSECHA","ESPECIALES",B82="176 - CAFE DESCAFEINADO","GOURMET",B82="147 - CAPSULAS","CAPSULAS",B82="130 - GALLETAS CAFECITAS","DERIVADOS",B82="140 - MERENGUES","DERIVADOS",B82="100 - CAFÉ ESPECIAL","ESPECIALES",B82="141 - AREQUIPE","DERIVADOS",B82="142 - MERMELADA","DERIVADOS",B82="131 - GALLETAS AVENA","DERIVADOS",B82="160 - SOUVENIR","OTROS",B82="148 - CARAMELOS","DERIVADOS",B82="143 - CHOCOFFES","DERIVADOS",B82="162 - CONVENIOS Y DSC POS ","OTROS"),"OTROS")</f>
        <v>ESPECIALES</v>
      </c>
      <c r="L82" s="27">
        <f t="shared" si="9"/>
        <v>2030068</v>
      </c>
      <c r="M82" s="27">
        <f t="shared" si="10"/>
        <v>2030068</v>
      </c>
    </row>
    <row r="83" spans="1:13" ht="16.5" hidden="1" outlineLevel="1">
      <c r="A83" s="59"/>
      <c r="B83" s="39" t="s">
        <v>20</v>
      </c>
      <c r="C83" s="36">
        <v>308385</v>
      </c>
      <c r="D83" s="36">
        <v>0</v>
      </c>
      <c r="E83" s="36">
        <v>0</v>
      </c>
      <c r="F83" s="48">
        <v>2531872.7599999998</v>
      </c>
      <c r="G83" s="49">
        <f t="shared" si="5"/>
        <v>0.12180114454092868</v>
      </c>
      <c r="H83" s="23">
        <f t="shared" si="8"/>
        <v>0</v>
      </c>
      <c r="I83" s="24">
        <f t="shared" si="8"/>
        <v>0</v>
      </c>
      <c r="J83" s="32" t="str" cm="1">
        <f t="array" ref="J83">IFERROR(_xlfn.IFS(B83="044 - BLEND TRADICION","BLEND",B83="113 - CAFÉ GOURMET","GOURMET",B83="114 - CAFÉ CONSUMO","CONSUMO",B83="112 - CAFÉ ORGANICO","GOURMET",B83="172 - CAFÉ COSECHA","ESPECIALES",B83="176 - CAFE DESCAFEINADO","GOURMET",B83="147 - CAPSULAS","CAPSULAS",B83="130 - GALLETAS CAFECITAS","DERIVADOS",B83="140 - MERENGUES","DERIVADOS",B83="100 - CAFÉ ESPECIAL","ESPECIALES",B83="141 - AREQUIPE","DERIVADOS",B83="142 - MERMELADA","DERIVADOS",B83="131 - GALLETAS AVENA","DERIVADOS",B83="160 - SOUVENIR","OTROS",B83="148 - CARAMELOS","DERIVADOS",B83="143 - CHOCOFFES","DERIVADOS",B83="162 - CONVENIOS Y DSC POS ","OTROS"),"OTROS")</f>
        <v>GOURMET</v>
      </c>
      <c r="L83" s="27">
        <f t="shared" si="9"/>
        <v>308385</v>
      </c>
      <c r="M83" s="27">
        <f t="shared" si="10"/>
        <v>308385</v>
      </c>
    </row>
    <row r="84" spans="1:13" ht="16.5" hidden="1" outlineLevel="1">
      <c r="A84" s="59"/>
      <c r="B84" s="39" t="s">
        <v>21</v>
      </c>
      <c r="C84" s="36">
        <v>30829146</v>
      </c>
      <c r="D84" s="36">
        <v>-3107055</v>
      </c>
      <c r="E84" s="36">
        <v>0</v>
      </c>
      <c r="F84" s="48">
        <v>112116243.56</v>
      </c>
      <c r="G84" s="49">
        <f t="shared" si="5"/>
        <v>0.27497483880202878</v>
      </c>
      <c r="H84" s="23">
        <f t="shared" si="8"/>
        <v>-9.1555769604264189E-2</v>
      </c>
      <c r="I84" s="24">
        <f t="shared" si="8"/>
        <v>0</v>
      </c>
      <c r="J84" s="32" t="str" cm="1">
        <f t="array" ref="J84">IFERROR(_xlfn.IFS(B84="044 - BLEND TRADICION","BLEND",B84="113 - CAFÉ GOURMET","GOURMET",B84="114 - CAFÉ CONSUMO","CONSUMO",B84="112 - CAFÉ ORGANICO","GOURMET",B84="172 - CAFÉ COSECHA","ESPECIALES",B84="176 - CAFE DESCAFEINADO","GOURMET",B84="147 - CAPSULAS","CAPSULAS",B84="130 - GALLETAS CAFECITAS","DERIVADOS",B84="140 - MERENGUES","DERIVADOS",B84="100 - CAFÉ ESPECIAL","ESPECIALES",B84="141 - AREQUIPE","DERIVADOS",B84="142 - MERMELADA","DERIVADOS",B84="131 - GALLETAS AVENA","DERIVADOS",B84="160 - SOUVENIR","OTROS",B84="148 - CARAMELOS","DERIVADOS",B84="143 - CHOCOFFES","DERIVADOS",B84="162 - CONVENIOS Y DSC POS ","OTROS"),"OTROS")</f>
        <v>GOURMET</v>
      </c>
      <c r="L84" s="27">
        <f t="shared" si="9"/>
        <v>33936201</v>
      </c>
      <c r="M84" s="27">
        <f t="shared" si="10"/>
        <v>33936201</v>
      </c>
    </row>
    <row r="85" spans="1:13" ht="16.5" hidden="1" outlineLevel="1">
      <c r="A85" s="59"/>
      <c r="B85" s="39" t="s">
        <v>22</v>
      </c>
      <c r="C85" s="36">
        <v>1214571</v>
      </c>
      <c r="D85" s="36">
        <v>0</v>
      </c>
      <c r="E85" s="36">
        <v>0</v>
      </c>
      <c r="F85" s="48">
        <v>3725758.66</v>
      </c>
      <c r="G85" s="49">
        <f t="shared" si="5"/>
        <v>0.32599293481881081</v>
      </c>
      <c r="H85" s="23">
        <f t="shared" si="8"/>
        <v>0</v>
      </c>
      <c r="I85" s="24">
        <f t="shared" si="8"/>
        <v>0</v>
      </c>
      <c r="J85" s="32" t="str" cm="1">
        <f t="array" ref="J85">IFERROR(_xlfn.IFS(B85="044 - BLEND TRADICION","BLEND",B85="113 - CAFÉ GOURMET","GOURMET",B85="114 - CAFÉ CONSUMO","CONSUMO",B85="112 - CAFÉ ORGANICO","GOURMET",B85="172 - CAFÉ COSECHA","ESPECIALES",B85="176 - CAFE DESCAFEINADO","GOURMET",B85="147 - CAPSULAS","CAPSULAS",B85="130 - GALLETAS CAFECITAS","DERIVADOS",B85="140 - MERENGUES","DERIVADOS",B85="100 - CAFÉ ESPECIAL","ESPECIALES",B85="141 - AREQUIPE","DERIVADOS",B85="142 - MERMELADA","DERIVADOS",B85="131 - GALLETAS AVENA","DERIVADOS",B85="160 - SOUVENIR","OTROS",B85="148 - CARAMELOS","DERIVADOS",B85="143 - CHOCOFFES","DERIVADOS",B85="162 - CONVENIOS Y DSC POS ","OTROS"),"OTROS")</f>
        <v>DERIVADOS</v>
      </c>
      <c r="L85" s="27">
        <f t="shared" si="9"/>
        <v>1214571</v>
      </c>
      <c r="M85" s="27">
        <f t="shared" si="10"/>
        <v>1214571</v>
      </c>
    </row>
    <row r="86" spans="1:13" ht="16.5" hidden="1" outlineLevel="1">
      <c r="A86" s="59"/>
      <c r="B86" s="39" t="s">
        <v>23</v>
      </c>
      <c r="C86" s="36">
        <v>-104428</v>
      </c>
      <c r="D86" s="36">
        <v>-343068</v>
      </c>
      <c r="E86" s="36"/>
      <c r="F86" s="48">
        <v>530387.72</v>
      </c>
      <c r="G86" s="49">
        <f t="shared" si="5"/>
        <v>-0.19688992799456217</v>
      </c>
      <c r="H86" s="23">
        <f t="shared" si="8"/>
        <v>-1.4375963794837412</v>
      </c>
      <c r="I86" s="24">
        <f t="shared" si="8"/>
        <v>0</v>
      </c>
      <c r="J86" s="32" t="str" cm="1">
        <f t="array" ref="J86">IFERROR(_xlfn.IFS(B86="044 - BLEND TRADICION","BLEND",B86="113 - CAFÉ GOURMET","GOURMET",B86="114 - CAFÉ CONSUMO","CONSUMO",B86="112 - CAFÉ ORGANICO","GOURMET",B86="172 - CAFÉ COSECHA","ESPECIALES",B86="176 - CAFE DESCAFEINADO","GOURMET",B86="147 - CAPSULAS","CAPSULAS",B86="130 - GALLETAS CAFECITAS","DERIVADOS",B86="140 - MERENGUES","DERIVADOS",B86="100 - CAFÉ ESPECIAL","ESPECIALES",B86="141 - AREQUIPE","DERIVADOS",B86="142 - MERMELADA","DERIVADOS",B86="131 - GALLETAS AVENA","DERIVADOS",B86="160 - SOUVENIR","OTROS",B86="148 - CARAMELOS","DERIVADOS",B86="143 - CHOCOFFES","DERIVADOS",B86="162 - CONVENIOS Y DSC POS ","OTROS"),"OTROS")</f>
        <v>DERIVADOS</v>
      </c>
      <c r="L86" s="27">
        <f t="shared" si="9"/>
        <v>238640</v>
      </c>
      <c r="M86" s="27">
        <f t="shared" si="10"/>
        <v>238640</v>
      </c>
    </row>
    <row r="87" spans="1:13" ht="16.5" hidden="1" outlineLevel="1">
      <c r="A87" s="59"/>
      <c r="B87" s="39" t="s">
        <v>24</v>
      </c>
      <c r="C87" s="36">
        <v>637730</v>
      </c>
      <c r="D87" s="36">
        <v>0</v>
      </c>
      <c r="E87" s="36"/>
      <c r="F87" s="48">
        <v>1022579.12</v>
      </c>
      <c r="G87" s="49">
        <f t="shared" si="5"/>
        <v>0.62364856423041382</v>
      </c>
      <c r="H87" s="23">
        <f t="shared" si="8"/>
        <v>0</v>
      </c>
      <c r="I87" s="24">
        <f t="shared" si="8"/>
        <v>0</v>
      </c>
      <c r="J87" s="32" t="str" cm="1">
        <f t="array" ref="J87">IFERROR(_xlfn.IFS(B87="044 - BLEND TRADICION","BLEND",B87="113 - CAFÉ GOURMET","GOURMET",B87="114 - CAFÉ CONSUMO","CONSUMO",B87="112 - CAFÉ ORGANICO","GOURMET",B87="172 - CAFÉ COSECHA","ESPECIALES",B87="176 - CAFE DESCAFEINADO","GOURMET",B87="147 - CAPSULAS","CAPSULAS",B87="130 - GALLETAS CAFECITAS","DERIVADOS",B87="140 - MERENGUES","DERIVADOS",B87="100 - CAFÉ ESPECIAL","ESPECIALES",B87="141 - AREQUIPE","DERIVADOS",B87="142 - MERMELADA","DERIVADOS",B87="131 - GALLETAS AVENA","DERIVADOS",B87="160 - SOUVENIR","OTROS",B87="148 - CARAMELOS","DERIVADOS",B87="143 - CHOCOFFES","DERIVADOS",B87="162 - CONVENIOS Y DSC POS ","OTROS"),"OTROS")</f>
        <v>DERIVADOS</v>
      </c>
      <c r="L87" s="27">
        <f t="shared" si="9"/>
        <v>637730</v>
      </c>
      <c r="M87" s="27">
        <f t="shared" si="10"/>
        <v>637730</v>
      </c>
    </row>
    <row r="88" spans="1:13" ht="16.5" hidden="1" outlineLevel="1">
      <c r="A88" s="59"/>
      <c r="B88" s="39" t="s">
        <v>25</v>
      </c>
      <c r="C88" s="36">
        <v>196710</v>
      </c>
      <c r="D88" s="36">
        <v>0</v>
      </c>
      <c r="E88" s="36"/>
      <c r="F88" s="48">
        <v>1766197.25</v>
      </c>
      <c r="G88" s="49">
        <f t="shared" si="5"/>
        <v>0.11137487616402982</v>
      </c>
      <c r="H88" s="23">
        <f t="shared" si="8"/>
        <v>0</v>
      </c>
      <c r="I88" s="24">
        <f t="shared" si="8"/>
        <v>0</v>
      </c>
      <c r="J88" s="32" t="str" cm="1">
        <f t="array" ref="J88">IFERROR(_xlfn.IFS(B88="044 - BLEND TRADICION","BLEND",B88="113 - CAFÉ GOURMET","GOURMET",B88="114 - CAFÉ CONSUMO","CONSUMO",B88="112 - CAFÉ ORGANICO","GOURMET",B88="172 - CAFÉ COSECHA","ESPECIALES",B88="176 - CAFE DESCAFEINADO","GOURMET",B88="147 - CAPSULAS","CAPSULAS",B88="130 - GALLETAS CAFECITAS","DERIVADOS",B88="140 - MERENGUES","DERIVADOS",B88="100 - CAFÉ ESPECIAL","ESPECIALES",B88="141 - AREQUIPE","DERIVADOS",B88="142 - MERMELADA","DERIVADOS",B88="131 - GALLETAS AVENA","DERIVADOS",B88="160 - SOUVENIR","OTROS",B88="148 - CARAMELOS","DERIVADOS",B88="143 - CHOCOFFES","DERIVADOS",B88="162 - CONVENIOS Y DSC POS ","OTROS"),"OTROS")</f>
        <v>DERIVADOS</v>
      </c>
      <c r="L88" s="27">
        <f t="shared" si="9"/>
        <v>196710</v>
      </c>
      <c r="M88" s="27">
        <f t="shared" si="10"/>
        <v>196710</v>
      </c>
    </row>
    <row r="89" spans="1:13" ht="16.5" hidden="1" outlineLevel="1">
      <c r="A89" s="59"/>
      <c r="B89" s="39" t="s">
        <v>26</v>
      </c>
      <c r="C89" s="36">
        <v>1173705</v>
      </c>
      <c r="D89" s="36">
        <v>0</v>
      </c>
      <c r="E89" s="36"/>
      <c r="F89" s="48">
        <v>2921002.36</v>
      </c>
      <c r="G89" s="49">
        <f t="shared" si="5"/>
        <v>0.40181583420562522</v>
      </c>
      <c r="H89" s="23">
        <f t="shared" si="8"/>
        <v>0</v>
      </c>
      <c r="I89" s="24">
        <f t="shared" si="8"/>
        <v>0</v>
      </c>
      <c r="J89" s="32" t="str" cm="1">
        <f t="array" ref="J89">IFERROR(_xlfn.IFS(B89="044 - BLEND TRADICION","BLEND",B89="113 - CAFÉ GOURMET","GOURMET",B89="114 - CAFÉ CONSUMO","CONSUMO",B89="112 - CAFÉ ORGANICO","GOURMET",B89="172 - CAFÉ COSECHA","ESPECIALES",B89="176 - CAFE DESCAFEINADO","GOURMET",B89="147 - CAPSULAS","CAPSULAS",B89="130 - GALLETAS CAFECITAS","DERIVADOS",B89="140 - MERENGUES","DERIVADOS",B89="100 - CAFÉ ESPECIAL","ESPECIALES",B89="141 - AREQUIPE","DERIVADOS",B89="142 - MERMELADA","DERIVADOS",B89="131 - GALLETAS AVENA","DERIVADOS",B89="160 - SOUVENIR","OTROS",B89="148 - CARAMELOS","DERIVADOS",B89="143 - CHOCOFFES","DERIVADOS",B89="162 - CONVENIOS Y DSC POS ","OTROS"),"OTROS")</f>
        <v>CAPSULAS</v>
      </c>
      <c r="L89" s="27">
        <f t="shared" si="9"/>
        <v>1173705</v>
      </c>
      <c r="M89" s="27">
        <f t="shared" si="10"/>
        <v>1173705</v>
      </c>
    </row>
    <row r="90" spans="1:13" ht="16.5" hidden="1" outlineLevel="1">
      <c r="A90" s="59"/>
      <c r="B90" s="39" t="s">
        <v>27</v>
      </c>
      <c r="C90" s="36">
        <v>595312</v>
      </c>
      <c r="D90" s="36">
        <v>0</v>
      </c>
      <c r="E90" s="36"/>
      <c r="F90" s="48">
        <v>1719908.5</v>
      </c>
      <c r="G90" s="49">
        <f t="shared" ref="G90:G133" si="11">IFERROR(C90/F90*100%,"-")</f>
        <v>0.34613004122021607</v>
      </c>
      <c r="H90" s="23">
        <f t="shared" si="8"/>
        <v>0</v>
      </c>
      <c r="I90" s="24">
        <f t="shared" si="8"/>
        <v>0</v>
      </c>
      <c r="J90" s="32" t="str" cm="1">
        <f t="array" ref="J90">IFERROR(_xlfn.IFS(B90="044 - BLEND TRADICION","BLEND",B90="113 - CAFÉ GOURMET","GOURMET",B90="114 - CAFÉ CONSUMO","CONSUMO",B90="112 - CAFÉ ORGANICO","GOURMET",B90="172 - CAFÉ COSECHA","ESPECIALES",B90="176 - CAFE DESCAFEINADO","GOURMET",B90="147 - CAPSULAS","CAPSULAS",B90="130 - GALLETAS CAFECITAS","DERIVADOS",B90="140 - MERENGUES","DERIVADOS",B90="100 - CAFÉ ESPECIAL","ESPECIALES",B90="141 - AREQUIPE","DERIVADOS",B90="142 - MERMELADA","DERIVADOS",B90="131 - GALLETAS AVENA","DERIVADOS",B90="160 - SOUVENIR","OTROS",B90="148 - CARAMELOS","DERIVADOS",B90="143 - CHOCOFFES","DERIVADOS",B90="162 - CONVENIOS Y DSC POS ","OTROS"),"OTROS")</f>
        <v>DERIVADOS</v>
      </c>
      <c r="L90" s="27">
        <f t="shared" si="9"/>
        <v>595312</v>
      </c>
      <c r="M90" s="27">
        <f t="shared" si="10"/>
        <v>595312</v>
      </c>
    </row>
    <row r="91" spans="1:13" ht="16.5" hidden="1" outlineLevel="1">
      <c r="A91" s="59"/>
      <c r="B91" s="39" t="s">
        <v>28</v>
      </c>
      <c r="C91" s="36">
        <v>55124</v>
      </c>
      <c r="D91" s="36">
        <v>0</v>
      </c>
      <c r="E91" s="36"/>
      <c r="F91" s="48">
        <v>6824547.4699999997</v>
      </c>
      <c r="G91" s="49">
        <f t="shared" si="11"/>
        <v>8.0773121210335735E-3</v>
      </c>
      <c r="H91" s="23">
        <f t="shared" ref="H91:I107" si="12">IFERROR(+D91/L91*100%,0)</f>
        <v>0</v>
      </c>
      <c r="I91" s="24">
        <f t="shared" si="12"/>
        <v>0</v>
      </c>
      <c r="J91" s="32" t="str" cm="1">
        <f t="array" ref="J91">IFERROR(_xlfn.IFS(B91="044 - BLEND TRADICION","BLEND",B91="113 - CAFÉ GOURMET","GOURMET",B91="114 - CAFÉ CONSUMO","CONSUMO",B91="112 - CAFÉ ORGANICO","GOURMET",B91="172 - CAFÉ COSECHA","ESPECIALES",B91="176 - CAFE DESCAFEINADO","GOURMET",B91="147 - CAPSULAS","CAPSULAS",B91="130 - GALLETAS CAFECITAS","DERIVADOS",B91="140 - MERENGUES","DERIVADOS",B91="100 - CAFÉ ESPECIAL","ESPECIALES",B91="141 - AREQUIPE","DERIVADOS",B91="142 - MERMELADA","DERIVADOS",B91="131 - GALLETAS AVENA","DERIVADOS",B91="160 - SOUVENIR","OTROS",B91="148 - CARAMELOS","DERIVADOS",B91="143 - CHOCOFFES","DERIVADOS",B91="162 - CONVENIOS Y DSC POS ","OTROS"),"OTROS")</f>
        <v>OTROS</v>
      </c>
      <c r="L91" s="27">
        <f t="shared" si="9"/>
        <v>55124</v>
      </c>
      <c r="M91" s="27">
        <f t="shared" si="10"/>
        <v>55124</v>
      </c>
    </row>
    <row r="92" spans="1:13" ht="16.5" hidden="1" outlineLevel="1">
      <c r="A92" s="59"/>
      <c r="B92" s="39" t="s">
        <v>29</v>
      </c>
      <c r="C92" s="36">
        <v>152822</v>
      </c>
      <c r="D92" s="36">
        <v>0</v>
      </c>
      <c r="E92" s="36"/>
      <c r="F92" s="48">
        <v>1667302.64</v>
      </c>
      <c r="G92" s="49">
        <f t="shared" si="11"/>
        <v>9.1658224687990661E-2</v>
      </c>
      <c r="H92" s="23">
        <f t="shared" si="12"/>
        <v>0</v>
      </c>
      <c r="I92" s="24">
        <f t="shared" si="12"/>
        <v>0</v>
      </c>
      <c r="J92" s="32" t="str" cm="1">
        <f t="array" ref="J92">IFERROR(_xlfn.IFS(B92="044 - BLEND TRADICION","BLEND",B92="113 - CAFÉ GOURMET","GOURMET",B92="114 - CAFÉ CONSUMO","CONSUMO",B92="112 - CAFÉ ORGANICO","GOURMET",B92="172 - CAFÉ COSECHA","ESPECIALES",B92="176 - CAFE DESCAFEINADO","GOURMET",B92="147 - CAPSULAS","CAPSULAS",B92="130 - GALLETAS CAFECITAS","DERIVADOS",B92="140 - MERENGUES","DERIVADOS",B92="100 - CAFÉ ESPECIAL","ESPECIALES",B92="141 - AREQUIPE","DERIVADOS",B92="142 - MERMELADA","DERIVADOS",B92="131 - GALLETAS AVENA","DERIVADOS",B92="160 - SOUVENIR","OTROS",B92="148 - CARAMELOS","DERIVADOS",B92="143 - CHOCOFFES","DERIVADOS",B92="162 - CONVENIOS Y DSC POS ","OTROS"),"OTROS")</f>
        <v>ESPECIALES</v>
      </c>
      <c r="L92" s="27">
        <f t="shared" si="9"/>
        <v>152822</v>
      </c>
      <c r="M92" s="27">
        <f t="shared" si="10"/>
        <v>152822</v>
      </c>
    </row>
    <row r="93" spans="1:13" ht="16.5" hidden="1" outlineLevel="1">
      <c r="A93" s="59"/>
      <c r="B93" s="39" t="s">
        <v>30</v>
      </c>
      <c r="C93" s="36">
        <v>189786</v>
      </c>
      <c r="D93" s="36">
        <v>0</v>
      </c>
      <c r="E93" s="36"/>
      <c r="F93" s="48">
        <v>382592.22</v>
      </c>
      <c r="G93" s="49">
        <f t="shared" si="11"/>
        <v>0.49605295162562379</v>
      </c>
      <c r="H93" s="23">
        <f t="shared" si="12"/>
        <v>0</v>
      </c>
      <c r="I93" s="24">
        <f t="shared" si="12"/>
        <v>0</v>
      </c>
      <c r="J93" s="32" t="str" cm="1">
        <f t="array" ref="J93">IFERROR(_xlfn.IFS(B93="044 - BLEND TRADICION","BLEND",B93="113 - CAFÉ GOURMET","GOURMET",B93="114 - CAFÉ CONSUMO","CONSUMO",B93="112 - CAFÉ ORGANICO","GOURMET",B93="172 - CAFÉ COSECHA","ESPECIALES",B93="176 - CAFE DESCAFEINADO","GOURMET",B93="147 - CAPSULAS","CAPSULAS",B93="130 - GALLETAS CAFECITAS","DERIVADOS",B93="140 - MERENGUES","DERIVADOS",B93="100 - CAFÉ ESPECIAL","ESPECIALES",B93="141 - AREQUIPE","DERIVADOS",B93="142 - MERMELADA","DERIVADOS",B93="131 - GALLETAS AVENA","DERIVADOS",B93="160 - SOUVENIR","OTROS",B93="148 - CARAMELOS","DERIVADOS",B93="143 - CHOCOFFES","DERIVADOS",B93="162 - CONVENIOS Y DSC POS ","OTROS"),"OTROS")</f>
        <v>GOURMET</v>
      </c>
      <c r="L93" s="27">
        <f t="shared" si="9"/>
        <v>189786</v>
      </c>
      <c r="M93" s="27">
        <f t="shared" si="10"/>
        <v>189786</v>
      </c>
    </row>
    <row r="94" spans="1:13" ht="16.5" hidden="1" outlineLevel="1">
      <c r="A94" s="59"/>
      <c r="B94" s="39" t="s">
        <v>31</v>
      </c>
      <c r="C94" s="36">
        <v>24000</v>
      </c>
      <c r="D94" s="36">
        <v>0</v>
      </c>
      <c r="E94" s="36"/>
      <c r="F94" s="48">
        <v>0</v>
      </c>
      <c r="G94" s="49" t="str">
        <f t="shared" si="11"/>
        <v>-</v>
      </c>
      <c r="H94" s="23">
        <f t="shared" si="12"/>
        <v>0</v>
      </c>
      <c r="I94" s="24">
        <f t="shared" si="12"/>
        <v>0</v>
      </c>
      <c r="J94" s="32" t="str" cm="1">
        <f t="array" ref="J94">IFERROR(_xlfn.IFS(B94="044 - BLEND TRADICION","BLEND",B94="113 - CAFÉ GOURMET","GOURMET",B94="114 - CAFÉ CONSUMO","CONSUMO",B94="112 - CAFÉ ORGANICO","GOURMET",B94="172 - CAFÉ COSECHA","ESPECIALES",B94="176 - CAFE DESCAFEINADO","GOURMET",B94="147 - CAPSULAS","CAPSULAS",B94="130 - GALLETAS CAFECITAS","DERIVADOS",B94="140 - MERENGUES","DERIVADOS",B94="100 - CAFÉ ESPECIAL","ESPECIALES",B94="141 - AREQUIPE","DERIVADOS",B94="142 - MERMELADA","DERIVADOS",B94="131 - GALLETAS AVENA","DERIVADOS",B94="160 - SOUVENIR","OTROS",B94="148 - CARAMELOS","DERIVADOS",B94="143 - CHOCOFFES","DERIVADOS",B94="162 - CONVENIOS Y DSC POS ","OTROS"),"OTROS")</f>
        <v>OTROS</v>
      </c>
      <c r="L94" s="27">
        <f t="shared" si="9"/>
        <v>24000</v>
      </c>
      <c r="M94" s="27">
        <f t="shared" si="10"/>
        <v>24000</v>
      </c>
    </row>
    <row r="95" spans="1:13" ht="16.5" hidden="1" outlineLevel="1">
      <c r="A95" s="19" t="s">
        <v>45</v>
      </c>
      <c r="B95" s="56" t="s">
        <v>32</v>
      </c>
      <c r="C95" s="54">
        <f>SUM(C82:C94)</f>
        <v>37302931</v>
      </c>
      <c r="D95" s="54">
        <f>SUM(D82:D94)</f>
        <v>-3450123</v>
      </c>
      <c r="E95" s="57">
        <v>0</v>
      </c>
      <c r="F95" s="58">
        <f>SUM(F82:F94)</f>
        <v>137638336.16999999</v>
      </c>
      <c r="G95" s="55">
        <f t="shared" si="11"/>
        <v>0.27102137411721083</v>
      </c>
      <c r="H95" s="23">
        <f t="shared" si="12"/>
        <v>-8.4659250322687479E-2</v>
      </c>
      <c r="I95" s="24">
        <f t="shared" si="12"/>
        <v>0</v>
      </c>
      <c r="J95" s="32" t="str" cm="1">
        <f t="array" ref="J95">IFERROR(_xlfn.IFS(B95="044 - BLEND TRADICION","BLEND",B95="113 - CAFÉ GOURMET","GOURMET",B95="114 - CAFÉ CONSUMO","CONSUMO",B95="112 - CAFÉ ORGANICO","GOURMET",B95="172 - CAFÉ COSECHA","ESPECIALES",B95="176 - CAFE DESCAFEINADO","GOURMET",B95="147 - CAPSULAS","CAPSULAS",B95="130 - GALLETAS CAFECITAS","DERIVADOS",B95="140 - MERENGUES","DERIVADOS",B95="100 - CAFÉ ESPECIAL","ESPECIALES",B95="141 - AREQUIPE","DERIVADOS",B95="142 - MERMELADA","DERIVADOS",B95="131 - GALLETAS AVENA","DERIVADOS",B95="160 - SOUVENIR","OTROS",B95="148 - CARAMELOS","DERIVADOS",B95="143 - CHOCOFFES","DERIVADOS",B95="162 - CONVENIOS Y DSC POS ","OTROS"),"OTROS")</f>
        <v>OTROS</v>
      </c>
      <c r="L95" s="27">
        <f t="shared" si="9"/>
        <v>40753054</v>
      </c>
      <c r="M95" s="27">
        <f t="shared" si="10"/>
        <v>40753054</v>
      </c>
    </row>
    <row r="96" spans="1:13" ht="16.5" hidden="1" outlineLevel="1">
      <c r="A96" s="59"/>
      <c r="B96" s="39" t="s">
        <v>18</v>
      </c>
      <c r="C96" s="60">
        <v>1304000</v>
      </c>
      <c r="D96" s="60">
        <v>0</v>
      </c>
      <c r="E96" s="36">
        <v>0</v>
      </c>
      <c r="F96" s="48">
        <v>4980625.03</v>
      </c>
      <c r="G96" s="49">
        <f t="shared" si="11"/>
        <v>0.26181452973182362</v>
      </c>
      <c r="H96" s="23">
        <f t="shared" si="12"/>
        <v>0</v>
      </c>
      <c r="I96" s="24">
        <f t="shared" si="12"/>
        <v>0</v>
      </c>
      <c r="J96" s="32" t="str" cm="1">
        <f t="array" ref="J96">IFERROR(_xlfn.IFS(B96="044 - BLEND TRADICION","BLEND",B96="113 - CAFÉ GOURMET","GOURMET",B96="114 - CAFÉ CONSUMO","CONSUMO",B96="112 - CAFÉ ORGANICO","GOURMET",B96="172 - CAFÉ COSECHA","ESPECIALES",B96="176 - CAFE DESCAFEINADO","GOURMET",B96="147 - CAPSULAS","CAPSULAS",B96="130 - GALLETAS CAFECITAS","DERIVADOS",B96="140 - MERENGUES","DERIVADOS",B96="100 - CAFÉ ESPECIAL","ESPECIALES",B96="141 - AREQUIPE","DERIVADOS",B96="142 - MERMELADA","DERIVADOS",B96="131 - GALLETAS AVENA","DERIVADOS",B96="160 - SOUVENIR","OTROS",B96="148 - CARAMELOS","DERIVADOS",B96="143 - CHOCOFFES","DERIVADOS",B96="162 - CONVENIOS Y DSC POS ","OTROS"),"OTROS")</f>
        <v>BLEND</v>
      </c>
      <c r="L96" s="27">
        <f t="shared" si="9"/>
        <v>1304000</v>
      </c>
      <c r="M96" s="27">
        <f t="shared" si="10"/>
        <v>1304000</v>
      </c>
    </row>
    <row r="97" spans="1:13" ht="16.5" hidden="1" outlineLevel="1">
      <c r="A97" s="59"/>
      <c r="B97" s="39" t="s">
        <v>19</v>
      </c>
      <c r="C97" s="60">
        <v>1984720</v>
      </c>
      <c r="D97" s="60">
        <v>0</v>
      </c>
      <c r="E97" s="36">
        <v>0</v>
      </c>
      <c r="F97" s="48">
        <v>4364104.07</v>
      </c>
      <c r="G97" s="49">
        <f t="shared" si="11"/>
        <v>0.45478292180140423</v>
      </c>
      <c r="H97" s="23">
        <f t="shared" si="12"/>
        <v>0</v>
      </c>
      <c r="I97" s="24">
        <f t="shared" si="12"/>
        <v>0</v>
      </c>
      <c r="J97" s="32" t="str" cm="1">
        <f t="array" ref="J97">IFERROR(_xlfn.IFS(B97="044 - BLEND TRADICION","BLEND",B97="113 - CAFÉ GOURMET","GOURMET",B97="114 - CAFÉ CONSUMO","CONSUMO",B97="112 - CAFÉ ORGANICO","GOURMET",B97="172 - CAFÉ COSECHA","ESPECIALES",B97="176 - CAFE DESCAFEINADO","GOURMET",B97="147 - CAPSULAS","CAPSULAS",B97="130 - GALLETAS CAFECITAS","DERIVADOS",B97="140 - MERENGUES","DERIVADOS",B97="100 - CAFÉ ESPECIAL","ESPECIALES",B97="141 - AREQUIPE","DERIVADOS",B97="142 - MERMELADA","DERIVADOS",B97="131 - GALLETAS AVENA","DERIVADOS",B97="160 - SOUVENIR","OTROS",B97="148 - CARAMELOS","DERIVADOS",B97="143 - CHOCOFFES","DERIVADOS",B97="162 - CONVENIOS Y DSC POS ","OTROS"),"OTROS")</f>
        <v>ESPECIALES</v>
      </c>
      <c r="L97" s="27">
        <f t="shared" si="9"/>
        <v>1984720</v>
      </c>
      <c r="M97" s="27">
        <f t="shared" si="10"/>
        <v>1984720</v>
      </c>
    </row>
    <row r="98" spans="1:13" ht="16.5" hidden="1" outlineLevel="1">
      <c r="A98" s="59"/>
      <c r="B98" s="39" t="s">
        <v>20</v>
      </c>
      <c r="C98" s="60">
        <v>2216564</v>
      </c>
      <c r="D98" s="60">
        <v>0</v>
      </c>
      <c r="E98" s="36">
        <v>0</v>
      </c>
      <c r="F98" s="48">
        <v>6833481.9699999997</v>
      </c>
      <c r="G98" s="49">
        <f t="shared" si="11"/>
        <v>0.3243681639508299</v>
      </c>
      <c r="H98" s="23">
        <f t="shared" si="12"/>
        <v>0</v>
      </c>
      <c r="I98" s="24">
        <f t="shared" si="12"/>
        <v>0</v>
      </c>
      <c r="J98" s="32" t="str" cm="1">
        <f t="array" ref="J98">IFERROR(_xlfn.IFS(B98="044 - BLEND TRADICION","BLEND",B98="113 - CAFÉ GOURMET","GOURMET",B98="114 - CAFÉ CONSUMO","CONSUMO",B98="112 - CAFÉ ORGANICO","GOURMET",B98="172 - CAFÉ COSECHA","ESPECIALES",B98="176 - CAFE DESCAFEINADO","GOURMET",B98="147 - CAPSULAS","CAPSULAS",B98="130 - GALLETAS CAFECITAS","DERIVADOS",B98="140 - MERENGUES","DERIVADOS",B98="100 - CAFÉ ESPECIAL","ESPECIALES",B98="141 - AREQUIPE","DERIVADOS",B98="142 - MERMELADA","DERIVADOS",B98="131 - GALLETAS AVENA","DERIVADOS",B98="160 - SOUVENIR","OTROS",B98="148 - CARAMELOS","DERIVADOS",B98="143 - CHOCOFFES","DERIVADOS",B98="162 - CONVENIOS Y DSC POS ","OTROS"),"OTROS")</f>
        <v>GOURMET</v>
      </c>
      <c r="L98" s="27">
        <f t="shared" si="9"/>
        <v>2216564</v>
      </c>
      <c r="M98" s="27">
        <f t="shared" si="10"/>
        <v>2216564</v>
      </c>
    </row>
    <row r="99" spans="1:13" ht="16.5" hidden="1" outlineLevel="1">
      <c r="A99" s="59"/>
      <c r="B99" s="39" t="s">
        <v>21</v>
      </c>
      <c r="C99" s="60">
        <v>41457939</v>
      </c>
      <c r="D99" s="60">
        <v>0</v>
      </c>
      <c r="E99" s="36"/>
      <c r="F99" s="48">
        <v>128071723.90000001</v>
      </c>
      <c r="G99" s="49">
        <f t="shared" si="11"/>
        <v>0.32370876050962566</v>
      </c>
      <c r="H99" s="23">
        <f t="shared" si="12"/>
        <v>0</v>
      </c>
      <c r="I99" s="24">
        <f t="shared" si="12"/>
        <v>0</v>
      </c>
      <c r="J99" s="32" t="str" cm="1">
        <f t="array" ref="J99">IFERROR(_xlfn.IFS(B99="044 - BLEND TRADICION","BLEND",B99="113 - CAFÉ GOURMET","GOURMET",B99="114 - CAFÉ CONSUMO","CONSUMO",B99="112 - CAFÉ ORGANICO","GOURMET",B99="172 - CAFÉ COSECHA","ESPECIALES",B99="176 - CAFE DESCAFEINADO","GOURMET",B99="147 - CAPSULAS","CAPSULAS",B99="130 - GALLETAS CAFECITAS","DERIVADOS",B99="140 - MERENGUES","DERIVADOS",B99="100 - CAFÉ ESPECIAL","ESPECIALES",B99="141 - AREQUIPE","DERIVADOS",B99="142 - MERMELADA","DERIVADOS",B99="131 - GALLETAS AVENA","DERIVADOS",B99="160 - SOUVENIR","OTROS",B99="148 - CARAMELOS","DERIVADOS",B99="143 - CHOCOFFES","DERIVADOS",B99="162 - CONVENIOS Y DSC POS ","OTROS"),"OTROS")</f>
        <v>GOURMET</v>
      </c>
      <c r="L99" s="27">
        <f t="shared" si="9"/>
        <v>41457939</v>
      </c>
      <c r="M99" s="27">
        <f t="shared" si="10"/>
        <v>41457939</v>
      </c>
    </row>
    <row r="100" spans="1:13" ht="16.5" hidden="1" outlineLevel="1">
      <c r="A100" s="59"/>
      <c r="B100" s="39" t="s">
        <v>22</v>
      </c>
      <c r="C100" s="60">
        <v>1639447</v>
      </c>
      <c r="D100" s="60">
        <v>0</v>
      </c>
      <c r="E100" s="36">
        <v>0</v>
      </c>
      <c r="F100" s="48">
        <v>5287340.72</v>
      </c>
      <c r="G100" s="49">
        <f t="shared" si="11"/>
        <v>0.3100702388629118</v>
      </c>
      <c r="H100" s="23">
        <f t="shared" si="12"/>
        <v>0</v>
      </c>
      <c r="I100" s="24">
        <f t="shared" si="12"/>
        <v>0</v>
      </c>
      <c r="J100" s="32" t="str" cm="1">
        <f t="array" ref="J100">IFERROR(_xlfn.IFS(B100="044 - BLEND TRADICION","BLEND",B100="113 - CAFÉ GOURMET","GOURMET",B100="114 - CAFÉ CONSUMO","CONSUMO",B100="112 - CAFÉ ORGANICO","GOURMET",B100="172 - CAFÉ COSECHA","ESPECIALES",B100="176 - CAFE DESCAFEINADO","GOURMET",B100="147 - CAPSULAS","CAPSULAS",B100="130 - GALLETAS CAFECITAS","DERIVADOS",B100="140 - MERENGUES","DERIVADOS",B100="100 - CAFÉ ESPECIAL","ESPECIALES",B100="141 - AREQUIPE","DERIVADOS",B100="142 - MERMELADA","DERIVADOS",B100="131 - GALLETAS AVENA","DERIVADOS",B100="160 - SOUVENIR","OTROS",B100="148 - CARAMELOS","DERIVADOS",B100="143 - CHOCOFFES","DERIVADOS",B100="162 - CONVENIOS Y DSC POS ","OTROS"),"OTROS")</f>
        <v>DERIVADOS</v>
      </c>
      <c r="L100" s="27">
        <f t="shared" si="9"/>
        <v>1639447</v>
      </c>
      <c r="M100" s="27">
        <f t="shared" si="10"/>
        <v>1639447</v>
      </c>
    </row>
    <row r="101" spans="1:13" ht="16.5" hidden="1" outlineLevel="1">
      <c r="A101" s="59"/>
      <c r="B101" s="39" t="s">
        <v>23</v>
      </c>
      <c r="C101" s="60">
        <v>59660</v>
      </c>
      <c r="D101" s="60">
        <v>0</v>
      </c>
      <c r="E101" s="36">
        <v>0</v>
      </c>
      <c r="F101" s="48">
        <v>0</v>
      </c>
      <c r="G101" s="49" t="str">
        <f t="shared" si="11"/>
        <v>-</v>
      </c>
      <c r="H101" s="23">
        <f t="shared" si="12"/>
        <v>0</v>
      </c>
      <c r="I101" s="24">
        <f t="shared" si="12"/>
        <v>0</v>
      </c>
      <c r="J101" s="32" t="str" cm="1">
        <f t="array" ref="J101">IFERROR(_xlfn.IFS(B101="044 - BLEND TRADICION","BLEND",B101="113 - CAFÉ GOURMET","GOURMET",B101="114 - CAFÉ CONSUMO","CONSUMO",B101="112 - CAFÉ ORGANICO","GOURMET",B101="172 - CAFÉ COSECHA","ESPECIALES",B101="176 - CAFE DESCAFEINADO","GOURMET",B101="147 - CAPSULAS","CAPSULAS",B101="130 - GALLETAS CAFECITAS","DERIVADOS",B101="140 - MERENGUES","DERIVADOS",B101="100 - CAFÉ ESPECIAL","ESPECIALES",B101="141 - AREQUIPE","DERIVADOS",B101="142 - MERMELADA","DERIVADOS",B101="131 - GALLETAS AVENA","DERIVADOS",B101="160 - SOUVENIR","OTROS",B101="148 - CARAMELOS","DERIVADOS",B101="143 - CHOCOFFES","DERIVADOS",B101="162 - CONVENIOS Y DSC POS ","OTROS"),"OTROS")</f>
        <v>DERIVADOS</v>
      </c>
      <c r="L101" s="27">
        <f t="shared" si="9"/>
        <v>59660</v>
      </c>
      <c r="M101" s="27">
        <f t="shared" si="10"/>
        <v>59660</v>
      </c>
    </row>
    <row r="102" spans="1:13" ht="16.5" hidden="1" outlineLevel="1">
      <c r="A102" s="59"/>
      <c r="B102" s="39" t="s">
        <v>24</v>
      </c>
      <c r="C102" s="60">
        <v>989937</v>
      </c>
      <c r="D102" s="60">
        <v>0</v>
      </c>
      <c r="E102" s="36"/>
      <c r="F102" s="48">
        <v>843982.64</v>
      </c>
      <c r="G102" s="49">
        <f t="shared" si="11"/>
        <v>1.1729352632182102</v>
      </c>
      <c r="H102" s="23">
        <f t="shared" si="12"/>
        <v>0</v>
      </c>
      <c r="I102" s="24">
        <f t="shared" si="12"/>
        <v>0</v>
      </c>
      <c r="J102" s="32" t="str" cm="1">
        <f t="array" ref="J102">IFERROR(_xlfn.IFS(B102="044 - BLEND TRADICION","BLEND",B102="113 - CAFÉ GOURMET","GOURMET",B102="114 - CAFÉ CONSUMO","CONSUMO",B102="112 - CAFÉ ORGANICO","GOURMET",B102="172 - CAFÉ COSECHA","ESPECIALES",B102="176 - CAFE DESCAFEINADO","GOURMET",B102="147 - CAPSULAS","CAPSULAS",B102="130 - GALLETAS CAFECITAS","DERIVADOS",B102="140 - MERENGUES","DERIVADOS",B102="100 - CAFÉ ESPECIAL","ESPECIALES",B102="141 - AREQUIPE","DERIVADOS",B102="142 - MERMELADA","DERIVADOS",B102="131 - GALLETAS AVENA","DERIVADOS",B102="160 - SOUVENIR","OTROS",B102="148 - CARAMELOS","DERIVADOS",B102="143 - CHOCOFFES","DERIVADOS",B102="162 - CONVENIOS Y DSC POS ","OTROS"),"OTROS")</f>
        <v>DERIVADOS</v>
      </c>
      <c r="L102" s="27">
        <f t="shared" si="9"/>
        <v>989937</v>
      </c>
      <c r="M102" s="27">
        <f t="shared" si="10"/>
        <v>989937</v>
      </c>
    </row>
    <row r="103" spans="1:13" ht="16.5" hidden="1" outlineLevel="1">
      <c r="A103" s="59"/>
      <c r="B103" s="39" t="s">
        <v>25</v>
      </c>
      <c r="C103" s="60">
        <v>960800</v>
      </c>
      <c r="D103" s="60">
        <v>0</v>
      </c>
      <c r="E103" s="36"/>
      <c r="F103" s="48">
        <v>5547744.04</v>
      </c>
      <c r="G103" s="49">
        <f t="shared" si="11"/>
        <v>0.17318751425309087</v>
      </c>
      <c r="H103" s="23">
        <f t="shared" si="12"/>
        <v>0</v>
      </c>
      <c r="I103" s="24">
        <f t="shared" si="12"/>
        <v>0</v>
      </c>
      <c r="J103" s="32" t="str" cm="1">
        <f t="array" ref="J103">IFERROR(_xlfn.IFS(B103="044 - BLEND TRADICION","BLEND",B103="113 - CAFÉ GOURMET","GOURMET",B103="114 - CAFÉ CONSUMO","CONSUMO",B103="112 - CAFÉ ORGANICO","GOURMET",B103="172 - CAFÉ COSECHA","ESPECIALES",B103="176 - CAFE DESCAFEINADO","GOURMET",B103="147 - CAPSULAS","CAPSULAS",B103="130 - GALLETAS CAFECITAS","DERIVADOS",B103="140 - MERENGUES","DERIVADOS",B103="100 - CAFÉ ESPECIAL","ESPECIALES",B103="141 - AREQUIPE","DERIVADOS",B103="142 - MERMELADA","DERIVADOS",B103="131 - GALLETAS AVENA","DERIVADOS",B103="160 - SOUVENIR","OTROS",B103="148 - CARAMELOS","DERIVADOS",B103="143 - CHOCOFFES","DERIVADOS",B103="162 - CONVENIOS Y DSC POS ","OTROS"),"OTROS")</f>
        <v>DERIVADOS</v>
      </c>
      <c r="L103" s="27">
        <f t="shared" si="9"/>
        <v>960800</v>
      </c>
      <c r="M103" s="27">
        <f t="shared" si="10"/>
        <v>960800</v>
      </c>
    </row>
    <row r="104" spans="1:13" ht="16.5" hidden="1" outlineLevel="1">
      <c r="A104" s="59"/>
      <c r="B104" s="39" t="s">
        <v>26</v>
      </c>
      <c r="C104" s="60">
        <v>398666</v>
      </c>
      <c r="D104" s="60">
        <v>0</v>
      </c>
      <c r="E104" s="36"/>
      <c r="F104" s="48">
        <v>1612858.44</v>
      </c>
      <c r="G104" s="49">
        <f t="shared" si="11"/>
        <v>0.24717978349048414</v>
      </c>
      <c r="H104" s="23">
        <f t="shared" si="12"/>
        <v>0</v>
      </c>
      <c r="I104" s="24">
        <f t="shared" si="12"/>
        <v>0</v>
      </c>
      <c r="J104" s="32" t="str" cm="1">
        <f t="array" ref="J104">IFERROR(_xlfn.IFS(B104="044 - BLEND TRADICION","BLEND",B104="113 - CAFÉ GOURMET","GOURMET",B104="114 - CAFÉ CONSUMO","CONSUMO",B104="112 - CAFÉ ORGANICO","GOURMET",B104="172 - CAFÉ COSECHA","ESPECIALES",B104="176 - CAFE DESCAFEINADO","GOURMET",B104="147 - CAPSULAS","CAPSULAS",B104="130 - GALLETAS CAFECITAS","DERIVADOS",B104="140 - MERENGUES","DERIVADOS",B104="100 - CAFÉ ESPECIAL","ESPECIALES",B104="141 - AREQUIPE","DERIVADOS",B104="142 - MERMELADA","DERIVADOS",B104="131 - GALLETAS AVENA","DERIVADOS",B104="160 - SOUVENIR","OTROS",B104="148 - CARAMELOS","DERIVADOS",B104="143 - CHOCOFFES","DERIVADOS",B104="162 - CONVENIOS Y DSC POS ","OTROS"),"OTROS")</f>
        <v>CAPSULAS</v>
      </c>
      <c r="L104" s="27">
        <f t="shared" si="9"/>
        <v>398666</v>
      </c>
      <c r="M104" s="27">
        <f t="shared" si="10"/>
        <v>398666</v>
      </c>
    </row>
    <row r="105" spans="1:13" ht="16.5" hidden="1" outlineLevel="1">
      <c r="A105" s="59"/>
      <c r="B105" s="39" t="s">
        <v>27</v>
      </c>
      <c r="C105" s="60">
        <v>1544704</v>
      </c>
      <c r="D105" s="60">
        <v>0</v>
      </c>
      <c r="E105" s="36"/>
      <c r="F105" s="48">
        <v>6748851.9699999997</v>
      </c>
      <c r="G105" s="49">
        <f t="shared" si="11"/>
        <v>0.22888396528276497</v>
      </c>
      <c r="H105" s="23">
        <f t="shared" si="12"/>
        <v>0</v>
      </c>
      <c r="I105" s="24">
        <f t="shared" si="12"/>
        <v>0</v>
      </c>
      <c r="J105" s="32" t="str" cm="1">
        <f t="array" ref="J105">IFERROR(_xlfn.IFS(B105="044 - BLEND TRADICION","BLEND",B105="113 - CAFÉ GOURMET","GOURMET",B105="114 - CAFÉ CONSUMO","CONSUMO",B105="112 - CAFÉ ORGANICO","GOURMET",B105="172 - CAFÉ COSECHA","ESPECIALES",B105="176 - CAFE DESCAFEINADO","GOURMET",B105="147 - CAPSULAS","CAPSULAS",B105="130 - GALLETAS CAFECITAS","DERIVADOS",B105="140 - MERENGUES","DERIVADOS",B105="100 - CAFÉ ESPECIAL","ESPECIALES",B105="141 - AREQUIPE","DERIVADOS",B105="142 - MERMELADA","DERIVADOS",B105="131 - GALLETAS AVENA","DERIVADOS",B105="160 - SOUVENIR","OTROS",B105="148 - CARAMELOS","DERIVADOS",B105="143 - CHOCOFFES","DERIVADOS",B105="162 - CONVENIOS Y DSC POS ","OTROS"),"OTROS")</f>
        <v>DERIVADOS</v>
      </c>
      <c r="L105" s="27">
        <f t="shared" si="9"/>
        <v>1544704</v>
      </c>
      <c r="M105" s="27">
        <f t="shared" si="10"/>
        <v>1544704</v>
      </c>
    </row>
    <row r="106" spans="1:13" ht="16.5" hidden="1" outlineLevel="1">
      <c r="A106" s="59"/>
      <c r="B106" s="39" t="s">
        <v>28</v>
      </c>
      <c r="C106" s="60">
        <v>2767403</v>
      </c>
      <c r="D106" s="60">
        <v>0</v>
      </c>
      <c r="E106" s="36"/>
      <c r="F106" s="48">
        <v>13175768.16</v>
      </c>
      <c r="G106" s="49">
        <f t="shared" si="11"/>
        <v>0.21003731747508222</v>
      </c>
      <c r="H106" s="23">
        <f t="shared" si="12"/>
        <v>0</v>
      </c>
      <c r="I106" s="24">
        <f t="shared" si="12"/>
        <v>0</v>
      </c>
      <c r="J106" s="32" t="str" cm="1">
        <f t="array" ref="J106">IFERROR(_xlfn.IFS(B106="044 - BLEND TRADICION","BLEND",B106="113 - CAFÉ GOURMET","GOURMET",B106="114 - CAFÉ CONSUMO","CONSUMO",B106="112 - CAFÉ ORGANICO","GOURMET",B106="172 - CAFÉ COSECHA","ESPECIALES",B106="176 - CAFE DESCAFEINADO","GOURMET",B106="147 - CAPSULAS","CAPSULAS",B106="130 - GALLETAS CAFECITAS","DERIVADOS",B106="140 - MERENGUES","DERIVADOS",B106="100 - CAFÉ ESPECIAL","ESPECIALES",B106="141 - AREQUIPE","DERIVADOS",B106="142 - MERMELADA","DERIVADOS",B106="131 - GALLETAS AVENA","DERIVADOS",B106="160 - SOUVENIR","OTROS",B106="148 - CARAMELOS","DERIVADOS",B106="143 - CHOCOFFES","DERIVADOS",B106="162 - CONVENIOS Y DSC POS ","OTROS"),"OTROS")</f>
        <v>OTROS</v>
      </c>
      <c r="L106" s="27">
        <f t="shared" si="9"/>
        <v>2767403</v>
      </c>
      <c r="M106" s="27">
        <f t="shared" si="10"/>
        <v>2767403</v>
      </c>
    </row>
    <row r="107" spans="1:13" ht="16.5" hidden="1" outlineLevel="1">
      <c r="A107" s="59"/>
      <c r="B107" s="39" t="s">
        <v>29</v>
      </c>
      <c r="C107" s="60">
        <v>3591393</v>
      </c>
      <c r="D107" s="60">
        <v>0</v>
      </c>
      <c r="E107" s="36"/>
      <c r="F107" s="48">
        <v>23863639.710000001</v>
      </c>
      <c r="G107" s="49">
        <f t="shared" si="11"/>
        <v>0.15049644746752674</v>
      </c>
      <c r="H107" s="23">
        <f t="shared" si="12"/>
        <v>0</v>
      </c>
      <c r="I107" s="24">
        <f t="shared" si="12"/>
        <v>0</v>
      </c>
      <c r="J107" s="32" t="str" cm="1">
        <f t="array" ref="J107">IFERROR(_xlfn.IFS(B107="044 - BLEND TRADICION","BLEND",B107="113 - CAFÉ GOURMET","GOURMET",B107="114 - CAFÉ CONSUMO","CONSUMO",B107="112 - CAFÉ ORGANICO","GOURMET",B107="172 - CAFÉ COSECHA","ESPECIALES",B107="176 - CAFE DESCAFEINADO","GOURMET",B107="147 - CAPSULAS","CAPSULAS",B107="130 - GALLETAS CAFECITAS","DERIVADOS",B107="140 - MERENGUES","DERIVADOS",B107="100 - CAFÉ ESPECIAL","ESPECIALES",B107="141 - AREQUIPE","DERIVADOS",B107="142 - MERMELADA","DERIVADOS",B107="131 - GALLETAS AVENA","DERIVADOS",B107="160 - SOUVENIR","OTROS",B107="148 - CARAMELOS","DERIVADOS",B107="143 - CHOCOFFES","DERIVADOS",B107="162 - CONVENIOS Y DSC POS ","OTROS"),"OTROS")</f>
        <v>ESPECIALES</v>
      </c>
      <c r="L107" s="27">
        <f t="shared" si="9"/>
        <v>3591393</v>
      </c>
      <c r="M107" s="27">
        <f t="shared" si="10"/>
        <v>3591393</v>
      </c>
    </row>
    <row r="108" spans="1:13" ht="16.5" hidden="1" outlineLevel="1">
      <c r="A108" s="59"/>
      <c r="B108" s="39" t="s">
        <v>30</v>
      </c>
      <c r="C108" s="60">
        <v>1518291</v>
      </c>
      <c r="D108" s="60">
        <v>0</v>
      </c>
      <c r="E108" s="36">
        <v>0</v>
      </c>
      <c r="F108" s="48">
        <v>1665594.24</v>
      </c>
      <c r="G108" s="49">
        <f t="shared" si="11"/>
        <v>0.91156114949100686</v>
      </c>
      <c r="H108" s="23">
        <f t="shared" ref="H108:I126" si="13">IFERROR(+D108/L108*100%,0)</f>
        <v>0</v>
      </c>
      <c r="I108" s="24">
        <f t="shared" si="13"/>
        <v>0</v>
      </c>
      <c r="J108" s="32" t="str" cm="1">
        <f t="array" ref="J108">IFERROR(_xlfn.IFS(B108="044 - BLEND TRADICION","BLEND",B108="113 - CAFÉ GOURMET","GOURMET",B108="114 - CAFÉ CONSUMO","CONSUMO",B108="112 - CAFÉ ORGANICO","GOURMET",B108="172 - CAFÉ COSECHA","ESPECIALES",B108="176 - CAFE DESCAFEINADO","GOURMET",B108="147 - CAPSULAS","CAPSULAS",B108="130 - GALLETAS CAFECITAS","DERIVADOS",B108="140 - MERENGUES","DERIVADOS",B108="100 - CAFÉ ESPECIAL","ESPECIALES",B108="141 - AREQUIPE","DERIVADOS",B108="142 - MERMELADA","DERIVADOS",B108="131 - GALLETAS AVENA","DERIVADOS",B108="160 - SOUVENIR","OTROS",B108="148 - CARAMELOS","DERIVADOS",B108="143 - CHOCOFFES","DERIVADOS",B108="162 - CONVENIOS Y DSC POS ","OTROS"),"OTROS")</f>
        <v>GOURMET</v>
      </c>
      <c r="L108" s="27">
        <f t="shared" si="9"/>
        <v>1518291</v>
      </c>
      <c r="M108" s="27">
        <f t="shared" si="10"/>
        <v>1518291</v>
      </c>
    </row>
    <row r="109" spans="1:13" ht="16.5" hidden="1" outlineLevel="1">
      <c r="A109" s="19" t="s">
        <v>46</v>
      </c>
      <c r="B109" s="56" t="s">
        <v>32</v>
      </c>
      <c r="C109" s="54">
        <f>SUM(C96:C108)</f>
        <v>60433524</v>
      </c>
      <c r="D109" s="54">
        <f>SUM(D96:D108)</f>
        <v>0</v>
      </c>
      <c r="E109" s="54">
        <f>SUM(E96:E108)</f>
        <v>0</v>
      </c>
      <c r="F109" s="54">
        <f>SUM(F96:F108)</f>
        <v>202995714.88999999</v>
      </c>
      <c r="G109" s="55">
        <f t="shared" si="11"/>
        <v>0.29770837297106456</v>
      </c>
      <c r="H109" s="23">
        <f t="shared" si="13"/>
        <v>0</v>
      </c>
      <c r="I109" s="24">
        <f t="shared" si="13"/>
        <v>0</v>
      </c>
      <c r="J109" s="32" t="str" cm="1">
        <f t="array" ref="J109">IFERROR(_xlfn.IFS(B109="044 - BLEND TRADICION","BLEND",B109="113 - CAFÉ GOURMET","GOURMET",B109="114 - CAFÉ CONSUMO","CONSUMO",B109="112 - CAFÉ ORGANICO","GOURMET",B109="172 - CAFÉ COSECHA","ESPECIALES",B109="176 - CAFE DESCAFEINADO","GOURMET",B109="147 - CAPSULAS","CAPSULAS",B109="130 - GALLETAS CAFECITAS","DERIVADOS",B109="140 - MERENGUES","DERIVADOS",B109="100 - CAFÉ ESPECIAL","ESPECIALES",B109="141 - AREQUIPE","DERIVADOS",B109="142 - MERMELADA","DERIVADOS",B109="131 - GALLETAS AVENA","DERIVADOS",B109="160 - SOUVENIR","OTROS",B109="148 - CARAMELOS","DERIVADOS",B109="143 - CHOCOFFES","DERIVADOS",B109="162 - CONVENIOS Y DSC POS ","OTROS"),"OTROS")</f>
        <v>OTROS</v>
      </c>
      <c r="L109" s="27">
        <f t="shared" si="9"/>
        <v>60433524</v>
      </c>
      <c r="M109" s="27">
        <f t="shared" si="10"/>
        <v>60433524</v>
      </c>
    </row>
    <row r="110" spans="1:13" ht="16.5" collapsed="1">
      <c r="A110" s="28" t="s">
        <v>47</v>
      </c>
      <c r="B110" s="29" t="s">
        <v>17</v>
      </c>
      <c r="C110" s="30">
        <f>+C131+C145+C162+C178+C193+C117</f>
        <v>173854965</v>
      </c>
      <c r="D110" s="30">
        <f>+D131+D145+D162+D178+D193+D117</f>
        <v>0</v>
      </c>
      <c r="E110" s="30">
        <f>+E131+E145+E162+E178+E193+E117</f>
        <v>-52019</v>
      </c>
      <c r="F110" s="30">
        <f>+F131+F145+F162+F178+F193+F117</f>
        <v>664228042.13999987</v>
      </c>
      <c r="G110" s="31">
        <f t="shared" si="11"/>
        <v>0.26173987541970783</v>
      </c>
      <c r="H110" s="23">
        <f t="shared" si="13"/>
        <v>0</v>
      </c>
      <c r="I110" s="24">
        <f t="shared" si="13"/>
        <v>-2.9911967192760929E-4</v>
      </c>
      <c r="J110" s="32" t="str" cm="1">
        <f t="array" ref="J110">IFERROR(_xlfn.IFS(B110="044 - BLEND TRADICION","BLEND",B110="113 - CAFÉ GOURMET","GOURMET",B110="114 - CAFÉ CONSUMO","CONSUMO",B110="112 - CAFÉ ORGANICO","GOURMET",B110="172 - CAFÉ COSECHA","ESPECIALES",B110="176 - CAFE DESCAFEINADO","GOURMET",B110="147 - CAPSULAS","CAPSULAS",B110="130 - GALLETAS CAFECITAS","DERIVADOS",B110="140 - MERENGUES","DERIVADOS",B110="100 - CAFÉ ESPECIAL","ESPECIALES",B110="141 - AREQUIPE","DERIVADOS",B110="142 - MERMELADA","DERIVADOS",B110="131 - GALLETAS AVENA","DERIVADOS",B110="160 - SOUVENIR","OTROS",B110="148 - CARAMELOS","DERIVADOS",B110="143 - CHOCOFFES","DERIVADOS",B110="162 - CONVENIOS Y DSC POS ","OTROS"),"OTROS")</f>
        <v>OTROS</v>
      </c>
      <c r="L110" s="27">
        <f t="shared" si="9"/>
        <v>173906984</v>
      </c>
      <c r="M110" s="27">
        <f t="shared" si="10"/>
        <v>173906984</v>
      </c>
    </row>
    <row r="111" spans="1:13" ht="16.5" hidden="1" outlineLevel="1">
      <c r="A111" s="38"/>
      <c r="B111" s="39" t="s">
        <v>19</v>
      </c>
      <c r="C111" s="36">
        <v>0</v>
      </c>
      <c r="D111" s="36">
        <v>0</v>
      </c>
      <c r="E111" s="36">
        <v>0</v>
      </c>
      <c r="F111" s="36">
        <v>397872.45</v>
      </c>
      <c r="G111" s="37">
        <f t="shared" si="11"/>
        <v>0</v>
      </c>
      <c r="H111" s="23">
        <f t="shared" si="13"/>
        <v>0</v>
      </c>
      <c r="I111" s="24">
        <f t="shared" si="13"/>
        <v>0</v>
      </c>
      <c r="J111" s="32" t="str" cm="1">
        <f t="array" ref="J111">IFERROR(_xlfn.IFS(B111="044 - BLEND TRADICION","BLEND",B111="113 - CAFÉ GOURMET","GOURMET",B111="114 - CAFÉ CONSUMO","CONSUMO",B111="112 - CAFÉ ORGANICO","GOURMET",B111="172 - CAFÉ COSECHA","ESPECIALES",B111="176 - CAFE DESCAFEINADO","GOURMET",B111="147 - CAPSULAS","CAPSULAS",B111="130 - GALLETAS CAFECITAS","DERIVADOS",B111="140 - MERENGUES","DERIVADOS",B111="100 - CAFÉ ESPECIAL","ESPECIALES",B111="141 - AREQUIPE","DERIVADOS",B111="142 - MERMELADA","DERIVADOS",B111="131 - GALLETAS AVENA","DERIVADOS",B111="160 - SOUVENIR","OTROS",B111="148 - CARAMELOS","DERIVADOS",B111="143 - CHOCOFFES","DERIVADOS",B111="162 - CONVENIOS Y DSC POS ","OTROS"),"OTROS")</f>
        <v>ESPECIALES</v>
      </c>
      <c r="L111" s="27">
        <f t="shared" si="9"/>
        <v>0</v>
      </c>
      <c r="M111" s="27">
        <f t="shared" si="10"/>
        <v>0</v>
      </c>
    </row>
    <row r="112" spans="1:13" ht="16.5" hidden="1" outlineLevel="1">
      <c r="A112" s="38"/>
      <c r="B112" s="39" t="s">
        <v>20</v>
      </c>
      <c r="C112" s="36">
        <v>0</v>
      </c>
      <c r="D112" s="36">
        <v>0</v>
      </c>
      <c r="E112" s="36"/>
      <c r="F112" s="36">
        <v>550199.43000000005</v>
      </c>
      <c r="G112" s="37">
        <f t="shared" si="11"/>
        <v>0</v>
      </c>
      <c r="H112" s="23">
        <f t="shared" si="13"/>
        <v>0</v>
      </c>
      <c r="I112" s="24">
        <f t="shared" si="13"/>
        <v>0</v>
      </c>
      <c r="J112" s="32" t="str" cm="1">
        <f t="array" ref="J112">IFERROR(_xlfn.IFS(B112="044 - BLEND TRADICION","BLEND",B112="113 - CAFÉ GOURMET","GOURMET",B112="114 - CAFÉ CONSUMO","CONSUMO",B112="112 - CAFÉ ORGANICO","GOURMET",B112="172 - CAFÉ COSECHA","ESPECIALES",B112="176 - CAFE DESCAFEINADO","GOURMET",B112="147 - CAPSULAS","CAPSULAS",B112="130 - GALLETAS CAFECITAS","DERIVADOS",B112="140 - MERENGUES","DERIVADOS",B112="100 - CAFÉ ESPECIAL","ESPECIALES",B112="141 - AREQUIPE","DERIVADOS",B112="142 - MERMELADA","DERIVADOS",B112="131 - GALLETAS AVENA","DERIVADOS",B112="160 - SOUVENIR","OTROS",B112="148 - CARAMELOS","DERIVADOS",B112="143 - CHOCOFFES","DERIVADOS",B112="162 - CONVENIOS Y DSC POS ","OTROS"),"OTROS")</f>
        <v>GOURMET</v>
      </c>
      <c r="L112" s="27">
        <f t="shared" si="9"/>
        <v>0</v>
      </c>
      <c r="M112" s="27">
        <f t="shared" si="10"/>
        <v>0</v>
      </c>
    </row>
    <row r="113" spans="1:13" ht="16.5" hidden="1" outlineLevel="1">
      <c r="A113" s="38"/>
      <c r="B113" s="39" t="s">
        <v>21</v>
      </c>
      <c r="C113" s="36">
        <v>0</v>
      </c>
      <c r="D113" s="36">
        <v>0</v>
      </c>
      <c r="E113" s="36"/>
      <c r="F113" s="36">
        <v>1226924.78</v>
      </c>
      <c r="G113" s="37">
        <f t="shared" si="11"/>
        <v>0</v>
      </c>
      <c r="H113" s="23">
        <f t="shared" si="13"/>
        <v>0</v>
      </c>
      <c r="I113" s="24">
        <f t="shared" si="13"/>
        <v>0</v>
      </c>
      <c r="J113" s="32" t="str" cm="1">
        <f t="array" ref="J113">IFERROR(_xlfn.IFS(B113="044 - BLEND TRADICION","BLEND",B113="113 - CAFÉ GOURMET","GOURMET",B113="114 - CAFÉ CONSUMO","CONSUMO",B113="112 - CAFÉ ORGANICO","GOURMET",B113="172 - CAFÉ COSECHA","ESPECIALES",B113="176 - CAFE DESCAFEINADO","GOURMET",B113="147 - CAPSULAS","CAPSULAS",B113="130 - GALLETAS CAFECITAS","DERIVADOS",B113="140 - MERENGUES","DERIVADOS",B113="100 - CAFÉ ESPECIAL","ESPECIALES",B113="141 - AREQUIPE","DERIVADOS",B113="142 - MERMELADA","DERIVADOS",B113="131 - GALLETAS AVENA","DERIVADOS",B113="160 - SOUVENIR","OTROS",B113="148 - CARAMELOS","DERIVADOS",B113="143 - CHOCOFFES","DERIVADOS",B113="162 - CONVENIOS Y DSC POS ","OTROS"),"OTROS")</f>
        <v>GOURMET</v>
      </c>
      <c r="L113" s="27">
        <f t="shared" si="9"/>
        <v>0</v>
      </c>
      <c r="M113" s="27">
        <f t="shared" si="10"/>
        <v>0</v>
      </c>
    </row>
    <row r="114" spans="1:13" ht="16.5" hidden="1" outlineLevel="1">
      <c r="A114" s="38"/>
      <c r="B114" s="39" t="s">
        <v>22</v>
      </c>
      <c r="C114" s="36">
        <v>0</v>
      </c>
      <c r="D114" s="36">
        <v>0</v>
      </c>
      <c r="E114" s="36"/>
      <c r="F114" s="36">
        <v>231859.77</v>
      </c>
      <c r="G114" s="37">
        <f t="shared" si="11"/>
        <v>0</v>
      </c>
      <c r="H114" s="23">
        <f t="shared" si="13"/>
        <v>0</v>
      </c>
      <c r="I114" s="24">
        <f t="shared" si="13"/>
        <v>0</v>
      </c>
      <c r="J114" s="32" t="str" cm="1">
        <f t="array" ref="J114">IFERROR(_xlfn.IFS(B114="044 - BLEND TRADICION","BLEND",B114="113 - CAFÉ GOURMET","GOURMET",B114="114 - CAFÉ CONSUMO","CONSUMO",B114="112 - CAFÉ ORGANICO","GOURMET",B114="172 - CAFÉ COSECHA","ESPECIALES",B114="176 - CAFE DESCAFEINADO","GOURMET",B114="147 - CAPSULAS","CAPSULAS",B114="130 - GALLETAS CAFECITAS","DERIVADOS",B114="140 - MERENGUES","DERIVADOS",B114="100 - CAFÉ ESPECIAL","ESPECIALES",B114="141 - AREQUIPE","DERIVADOS",B114="142 - MERMELADA","DERIVADOS",B114="131 - GALLETAS AVENA","DERIVADOS",B114="160 - SOUVENIR","OTROS",B114="148 - CARAMELOS","DERIVADOS",B114="143 - CHOCOFFES","DERIVADOS",B114="162 - CONVENIOS Y DSC POS ","OTROS"),"OTROS")</f>
        <v>DERIVADOS</v>
      </c>
      <c r="L114" s="27">
        <f t="shared" si="9"/>
        <v>0</v>
      </c>
      <c r="M114" s="27">
        <f t="shared" si="10"/>
        <v>0</v>
      </c>
    </row>
    <row r="115" spans="1:13" ht="16.5" hidden="1" outlineLevel="1">
      <c r="A115" s="38"/>
      <c r="B115" s="39" t="s">
        <v>28</v>
      </c>
      <c r="C115" s="36">
        <v>0</v>
      </c>
      <c r="D115" s="36">
        <v>0</v>
      </c>
      <c r="E115" s="36"/>
      <c r="F115" s="36">
        <v>197515.99</v>
      </c>
      <c r="G115" s="37">
        <f t="shared" si="11"/>
        <v>0</v>
      </c>
      <c r="H115" s="23">
        <f t="shared" si="13"/>
        <v>0</v>
      </c>
      <c r="I115" s="24">
        <f t="shared" si="13"/>
        <v>0</v>
      </c>
      <c r="J115" s="32" t="str" cm="1">
        <f t="array" ref="J115">IFERROR(_xlfn.IFS(B115="044 - BLEND TRADICION","BLEND",B115="113 - CAFÉ GOURMET","GOURMET",B115="114 - CAFÉ CONSUMO","CONSUMO",B115="112 - CAFÉ ORGANICO","GOURMET",B115="172 - CAFÉ COSECHA","ESPECIALES",B115="176 - CAFE DESCAFEINADO","GOURMET",B115="147 - CAPSULAS","CAPSULAS",B115="130 - GALLETAS CAFECITAS","DERIVADOS",B115="140 - MERENGUES","DERIVADOS",B115="100 - CAFÉ ESPECIAL","ESPECIALES",B115="141 - AREQUIPE","DERIVADOS",B115="142 - MERMELADA","DERIVADOS",B115="131 - GALLETAS AVENA","DERIVADOS",B115="160 - SOUVENIR","OTROS",B115="148 - CARAMELOS","DERIVADOS",B115="143 - CHOCOFFES","DERIVADOS",B115="162 - CONVENIOS Y DSC POS ","OTROS"),"OTROS")</f>
        <v>OTROS</v>
      </c>
      <c r="L115" s="27">
        <f t="shared" si="9"/>
        <v>0</v>
      </c>
      <c r="M115" s="27">
        <f t="shared" si="10"/>
        <v>0</v>
      </c>
    </row>
    <row r="116" spans="1:13" ht="16.5" hidden="1" outlineLevel="1">
      <c r="A116" s="38"/>
      <c r="B116" s="39" t="s">
        <v>29</v>
      </c>
      <c r="C116" s="36">
        <v>0</v>
      </c>
      <c r="D116" s="36">
        <v>0</v>
      </c>
      <c r="E116" s="36"/>
      <c r="F116" s="36">
        <v>934062.72</v>
      </c>
      <c r="G116" s="37">
        <f t="shared" si="11"/>
        <v>0</v>
      </c>
      <c r="H116" s="23">
        <f t="shared" si="13"/>
        <v>0</v>
      </c>
      <c r="I116" s="24">
        <f t="shared" si="13"/>
        <v>0</v>
      </c>
      <c r="J116" s="32" t="str" cm="1">
        <f t="array" ref="J116">IFERROR(_xlfn.IFS(B116="044 - BLEND TRADICION","BLEND",B116="113 - CAFÉ GOURMET","GOURMET",B116="114 - CAFÉ CONSUMO","CONSUMO",B116="112 - CAFÉ ORGANICO","GOURMET",B116="172 - CAFÉ COSECHA","ESPECIALES",B116="176 - CAFE DESCAFEINADO","GOURMET",B116="147 - CAPSULAS","CAPSULAS",B116="130 - GALLETAS CAFECITAS","DERIVADOS",B116="140 - MERENGUES","DERIVADOS",B116="100 - CAFÉ ESPECIAL","ESPECIALES",B116="141 - AREQUIPE","DERIVADOS",B116="142 - MERMELADA","DERIVADOS",B116="131 - GALLETAS AVENA","DERIVADOS",B116="160 - SOUVENIR","OTROS",B116="148 - CARAMELOS","DERIVADOS",B116="143 - CHOCOFFES","DERIVADOS",B116="162 - CONVENIOS Y DSC POS ","OTROS"),"OTROS")</f>
        <v>ESPECIALES</v>
      </c>
      <c r="L116" s="27">
        <f t="shared" si="9"/>
        <v>0</v>
      </c>
      <c r="M116" s="27">
        <f t="shared" si="10"/>
        <v>0</v>
      </c>
    </row>
    <row r="117" spans="1:13" ht="16.5" hidden="1" outlineLevel="1">
      <c r="A117" s="19" t="s">
        <v>48</v>
      </c>
      <c r="B117" s="56" t="s">
        <v>32</v>
      </c>
      <c r="C117" s="54">
        <f>SUM(C111:C116)</f>
        <v>0</v>
      </c>
      <c r="D117" s="54">
        <f>SUM(D111:D116)</f>
        <v>0</v>
      </c>
      <c r="E117" s="54">
        <f>SUM(E111:E116)</f>
        <v>0</v>
      </c>
      <c r="F117" s="54">
        <f>SUM(F111:F116)</f>
        <v>3538435.1399999997</v>
      </c>
      <c r="G117" s="55">
        <f t="shared" si="11"/>
        <v>0</v>
      </c>
      <c r="H117" s="23">
        <f t="shared" si="13"/>
        <v>0</v>
      </c>
      <c r="I117" s="24">
        <f t="shared" si="13"/>
        <v>0</v>
      </c>
      <c r="J117" s="32" t="str" cm="1">
        <f t="array" ref="J117">IFERROR(_xlfn.IFS(B117="044 - BLEND TRADICION","BLEND",B117="113 - CAFÉ GOURMET","GOURMET",B117="114 - CAFÉ CONSUMO","CONSUMO",B117="112 - CAFÉ ORGANICO","GOURMET",B117="172 - CAFÉ COSECHA","ESPECIALES",B117="176 - CAFE DESCAFEINADO","GOURMET",B117="147 - CAPSULAS","CAPSULAS",B117="130 - GALLETAS CAFECITAS","DERIVADOS",B117="140 - MERENGUES","DERIVADOS",B117="100 - CAFÉ ESPECIAL","ESPECIALES",B117="141 - AREQUIPE","DERIVADOS",B117="142 - MERMELADA","DERIVADOS",B117="131 - GALLETAS AVENA","DERIVADOS",B117="160 - SOUVENIR","OTROS",B117="148 - CARAMELOS","DERIVADOS",B117="143 - CHOCOFFES","DERIVADOS",B117="162 - CONVENIOS Y DSC POS ","OTROS"),"OTROS")</f>
        <v>OTROS</v>
      </c>
      <c r="L117" s="27">
        <f t="shared" si="9"/>
        <v>0</v>
      </c>
      <c r="M117" s="27">
        <f t="shared" si="10"/>
        <v>0</v>
      </c>
    </row>
    <row r="118" spans="1:13" ht="16.5" hidden="1" outlineLevel="1">
      <c r="A118" s="33"/>
      <c r="B118" s="39" t="s">
        <v>18</v>
      </c>
      <c r="C118" s="36">
        <v>1065368</v>
      </c>
      <c r="D118" s="36">
        <v>0</v>
      </c>
      <c r="E118" s="36">
        <v>0</v>
      </c>
      <c r="F118" s="36">
        <v>4604527.18</v>
      </c>
      <c r="G118" s="37">
        <f t="shared" si="11"/>
        <v>0.2313740278540391</v>
      </c>
      <c r="H118" s="23">
        <f t="shared" si="13"/>
        <v>0</v>
      </c>
      <c r="I118" s="24">
        <f t="shared" si="13"/>
        <v>0</v>
      </c>
      <c r="J118" s="32" t="str" cm="1">
        <f t="array" ref="J118">IFERROR(_xlfn.IFS(B118="044 - BLEND TRADICION","BLEND",B118="113 - CAFÉ GOURMET","GOURMET",B118="114 - CAFÉ CONSUMO","CONSUMO",B118="112 - CAFÉ ORGANICO","GOURMET",B118="172 - CAFÉ COSECHA","ESPECIALES",B118="176 - CAFE DESCAFEINADO","GOURMET",B118="147 - CAPSULAS","CAPSULAS",B118="130 - GALLETAS CAFECITAS","DERIVADOS",B118="140 - MERENGUES","DERIVADOS",B118="100 - CAFÉ ESPECIAL","ESPECIALES",B118="141 - AREQUIPE","DERIVADOS",B118="142 - MERMELADA","DERIVADOS",B118="131 - GALLETAS AVENA","DERIVADOS",B118="160 - SOUVENIR","OTROS",B118="148 - CARAMELOS","DERIVADOS",B118="143 - CHOCOFFES","DERIVADOS",B118="162 - CONVENIOS Y DSC POS ","OTROS"),"OTROS")</f>
        <v>BLEND</v>
      </c>
      <c r="L118" s="27">
        <f t="shared" si="9"/>
        <v>1065368</v>
      </c>
      <c r="M118" s="27">
        <f t="shared" si="10"/>
        <v>1065368</v>
      </c>
    </row>
    <row r="119" spans="1:13" ht="16.5" hidden="1" outlineLevel="1">
      <c r="A119" s="38"/>
      <c r="B119" s="39" t="s">
        <v>19</v>
      </c>
      <c r="C119" s="36">
        <v>198983</v>
      </c>
      <c r="D119" s="36">
        <v>0</v>
      </c>
      <c r="E119" s="36">
        <v>0</v>
      </c>
      <c r="F119" s="36">
        <v>904271.48</v>
      </c>
      <c r="G119" s="37">
        <f t="shared" si="11"/>
        <v>0.2200478555400199</v>
      </c>
      <c r="H119" s="23">
        <f t="shared" si="13"/>
        <v>0</v>
      </c>
      <c r="I119" s="24">
        <f t="shared" si="13"/>
        <v>0</v>
      </c>
      <c r="J119" s="32" t="str" cm="1">
        <f t="array" ref="J119">IFERROR(_xlfn.IFS(B119="044 - BLEND TRADICION","BLEND",B119="113 - CAFÉ GOURMET","GOURMET",B119="114 - CAFÉ CONSUMO","CONSUMO",B119="112 - CAFÉ ORGANICO","GOURMET",B119="172 - CAFÉ COSECHA","ESPECIALES",B119="176 - CAFE DESCAFEINADO","GOURMET",B119="147 - CAPSULAS","CAPSULAS",B119="130 - GALLETAS CAFECITAS","DERIVADOS",B119="140 - MERENGUES","DERIVADOS",B119="100 - CAFÉ ESPECIAL","ESPECIALES",B119="141 - AREQUIPE","DERIVADOS",B119="142 - MERMELADA","DERIVADOS",B119="131 - GALLETAS AVENA","DERIVADOS",B119="160 - SOUVENIR","OTROS",B119="148 - CARAMELOS","DERIVADOS",B119="143 - CHOCOFFES","DERIVADOS",B119="162 - CONVENIOS Y DSC POS ","OTROS"),"OTROS")</f>
        <v>ESPECIALES</v>
      </c>
      <c r="L119" s="27">
        <f t="shared" si="9"/>
        <v>198983</v>
      </c>
      <c r="M119" s="27">
        <f t="shared" si="10"/>
        <v>198983</v>
      </c>
    </row>
    <row r="120" spans="1:13" ht="16.5" hidden="1" outlineLevel="1">
      <c r="A120" s="38"/>
      <c r="B120" s="39" t="s">
        <v>20</v>
      </c>
      <c r="C120" s="36">
        <v>319902</v>
      </c>
      <c r="D120" s="36">
        <v>0</v>
      </c>
      <c r="E120" s="36">
        <v>0</v>
      </c>
      <c r="F120" s="36">
        <v>1000950.28</v>
      </c>
      <c r="G120" s="37">
        <f t="shared" si="11"/>
        <v>0.31959829213495</v>
      </c>
      <c r="H120" s="23">
        <f t="shared" si="13"/>
        <v>0</v>
      </c>
      <c r="I120" s="24">
        <f t="shared" si="13"/>
        <v>0</v>
      </c>
      <c r="J120" s="32" t="str" cm="1">
        <f t="array" ref="J120">IFERROR(_xlfn.IFS(B120="044 - BLEND TRADICION","BLEND",B120="113 - CAFÉ GOURMET","GOURMET",B120="114 - CAFÉ CONSUMO","CONSUMO",B120="112 - CAFÉ ORGANICO","GOURMET",B120="172 - CAFÉ COSECHA","ESPECIALES",B120="176 - CAFE DESCAFEINADO","GOURMET",B120="147 - CAPSULAS","CAPSULAS",B120="130 - GALLETAS CAFECITAS","DERIVADOS",B120="140 - MERENGUES","DERIVADOS",B120="100 - CAFÉ ESPECIAL","ESPECIALES",B120="141 - AREQUIPE","DERIVADOS",B120="142 - MERMELADA","DERIVADOS",B120="131 - GALLETAS AVENA","DERIVADOS",B120="160 - SOUVENIR","OTROS",B120="148 - CARAMELOS","DERIVADOS",B120="143 - CHOCOFFES","DERIVADOS",B120="162 - CONVENIOS Y DSC POS ","OTROS"),"OTROS")</f>
        <v>GOURMET</v>
      </c>
      <c r="L120" s="27">
        <f t="shared" si="9"/>
        <v>319902</v>
      </c>
      <c r="M120" s="27">
        <f t="shared" si="10"/>
        <v>319902</v>
      </c>
    </row>
    <row r="121" spans="1:13" ht="16.5" hidden="1" outlineLevel="1">
      <c r="A121" s="38"/>
      <c r="B121" s="39" t="s">
        <v>21</v>
      </c>
      <c r="C121" s="36">
        <v>5557884</v>
      </c>
      <c r="D121" s="36">
        <v>0</v>
      </c>
      <c r="E121" s="36">
        <v>0</v>
      </c>
      <c r="F121" s="36">
        <v>29634733.52</v>
      </c>
      <c r="G121" s="37">
        <f t="shared" si="11"/>
        <v>0.18754627897190554</v>
      </c>
      <c r="H121" s="23">
        <f t="shared" si="13"/>
        <v>0</v>
      </c>
      <c r="I121" s="24">
        <f t="shared" si="13"/>
        <v>0</v>
      </c>
      <c r="J121" s="32" t="str" cm="1">
        <f t="array" ref="J121">IFERROR(_xlfn.IFS(B121="044 - BLEND TRADICION","BLEND",B121="113 - CAFÉ GOURMET","GOURMET",B121="114 - CAFÉ CONSUMO","CONSUMO",B121="112 - CAFÉ ORGANICO","GOURMET",B121="172 - CAFÉ COSECHA","ESPECIALES",B121="176 - CAFE DESCAFEINADO","GOURMET",B121="147 - CAPSULAS","CAPSULAS",B121="130 - GALLETAS CAFECITAS","DERIVADOS",B121="140 - MERENGUES","DERIVADOS",B121="100 - CAFÉ ESPECIAL","ESPECIALES",B121="141 - AREQUIPE","DERIVADOS",B121="142 - MERMELADA","DERIVADOS",B121="131 - GALLETAS AVENA","DERIVADOS",B121="160 - SOUVENIR","OTROS",B121="148 - CARAMELOS","DERIVADOS",B121="143 - CHOCOFFES","DERIVADOS",B121="162 - CONVENIOS Y DSC POS ","OTROS"),"OTROS")</f>
        <v>GOURMET</v>
      </c>
      <c r="L121" s="27">
        <f t="shared" si="9"/>
        <v>5557884</v>
      </c>
      <c r="M121" s="27">
        <f t="shared" si="10"/>
        <v>5557884</v>
      </c>
    </row>
    <row r="122" spans="1:13" ht="16.5" hidden="1" outlineLevel="1">
      <c r="A122" s="38"/>
      <c r="B122" s="39" t="s">
        <v>22</v>
      </c>
      <c r="C122" s="36">
        <v>1993425</v>
      </c>
      <c r="D122" s="36">
        <v>0</v>
      </c>
      <c r="E122" s="36"/>
      <c r="F122" s="36">
        <v>7797334.1100000003</v>
      </c>
      <c r="G122" s="37">
        <f t="shared" si="11"/>
        <v>0.25565468554739151</v>
      </c>
      <c r="H122" s="23">
        <f t="shared" si="13"/>
        <v>0</v>
      </c>
      <c r="I122" s="24">
        <f t="shared" si="13"/>
        <v>0</v>
      </c>
      <c r="J122" s="32" t="str" cm="1">
        <f t="array" ref="J122">IFERROR(_xlfn.IFS(B122="044 - BLEND TRADICION","BLEND",B122="113 - CAFÉ GOURMET","GOURMET",B122="114 - CAFÉ CONSUMO","CONSUMO",B122="112 - CAFÉ ORGANICO","GOURMET",B122="172 - CAFÉ COSECHA","ESPECIALES",B122="176 - CAFE DESCAFEINADO","GOURMET",B122="147 - CAPSULAS","CAPSULAS",B122="130 - GALLETAS CAFECITAS","DERIVADOS",B122="140 - MERENGUES","DERIVADOS",B122="100 - CAFÉ ESPECIAL","ESPECIALES",B122="141 - AREQUIPE","DERIVADOS",B122="142 - MERMELADA","DERIVADOS",B122="131 - GALLETAS AVENA","DERIVADOS",B122="160 - SOUVENIR","OTROS",B122="148 - CARAMELOS","DERIVADOS",B122="143 - CHOCOFFES","DERIVADOS",B122="162 - CONVENIOS Y DSC POS ","OTROS"),"OTROS")</f>
        <v>DERIVADOS</v>
      </c>
      <c r="L122" s="27">
        <f t="shared" si="9"/>
        <v>1993425</v>
      </c>
      <c r="M122" s="27">
        <f t="shared" si="10"/>
        <v>1993425</v>
      </c>
    </row>
    <row r="123" spans="1:13" ht="16.5" hidden="1" outlineLevel="1">
      <c r="A123" s="38"/>
      <c r="B123" s="39" t="s">
        <v>23</v>
      </c>
      <c r="C123" s="36">
        <v>0</v>
      </c>
      <c r="D123" s="36">
        <v>0</v>
      </c>
      <c r="E123" s="36">
        <v>0</v>
      </c>
      <c r="F123" s="36">
        <v>251654.35</v>
      </c>
      <c r="G123" s="37">
        <f t="shared" si="11"/>
        <v>0</v>
      </c>
      <c r="H123" s="23">
        <f t="shared" si="13"/>
        <v>0</v>
      </c>
      <c r="I123" s="24">
        <f t="shared" si="13"/>
        <v>0</v>
      </c>
      <c r="J123" s="32" t="str" cm="1">
        <f t="array" ref="J123">IFERROR(_xlfn.IFS(B123="044 - BLEND TRADICION","BLEND",B123="113 - CAFÉ GOURMET","GOURMET",B123="114 - CAFÉ CONSUMO","CONSUMO",B123="112 - CAFÉ ORGANICO","GOURMET",B123="172 - CAFÉ COSECHA","ESPECIALES",B123="176 - CAFE DESCAFEINADO","GOURMET",B123="147 - CAPSULAS","CAPSULAS",B123="130 - GALLETAS CAFECITAS","DERIVADOS",B123="140 - MERENGUES","DERIVADOS",B123="100 - CAFÉ ESPECIAL","ESPECIALES",B123="141 - AREQUIPE","DERIVADOS",B123="142 - MERMELADA","DERIVADOS",B123="131 - GALLETAS AVENA","DERIVADOS",B123="160 - SOUVENIR","OTROS",B123="148 - CARAMELOS","DERIVADOS",B123="143 - CHOCOFFES","DERIVADOS",B123="162 - CONVENIOS Y DSC POS ","OTROS"),"OTROS")</f>
        <v>DERIVADOS</v>
      </c>
      <c r="L123" s="27">
        <f t="shared" si="9"/>
        <v>0</v>
      </c>
      <c r="M123" s="27">
        <f t="shared" si="10"/>
        <v>0</v>
      </c>
    </row>
    <row r="124" spans="1:13" ht="16.5" hidden="1" outlineLevel="1">
      <c r="A124" s="38"/>
      <c r="B124" s="39" t="s">
        <v>24</v>
      </c>
      <c r="C124" s="36">
        <v>177812</v>
      </c>
      <c r="D124" s="36">
        <v>0</v>
      </c>
      <c r="E124" s="36">
        <v>0</v>
      </c>
      <c r="F124" s="36">
        <v>965398.25</v>
      </c>
      <c r="G124" s="37">
        <f t="shared" si="11"/>
        <v>0.18418512774391294</v>
      </c>
      <c r="H124" s="23">
        <f t="shared" si="13"/>
        <v>0</v>
      </c>
      <c r="I124" s="24">
        <f t="shared" si="13"/>
        <v>0</v>
      </c>
      <c r="J124" s="32" t="str" cm="1">
        <f t="array" ref="J124">IFERROR(_xlfn.IFS(B124="044 - BLEND TRADICION","BLEND",B124="113 - CAFÉ GOURMET","GOURMET",B124="114 - CAFÉ CONSUMO","CONSUMO",B124="112 - CAFÉ ORGANICO","GOURMET",B124="172 - CAFÉ COSECHA","ESPECIALES",B124="176 - CAFE DESCAFEINADO","GOURMET",B124="147 - CAPSULAS","CAPSULAS",B124="130 - GALLETAS CAFECITAS","DERIVADOS",B124="140 - MERENGUES","DERIVADOS",B124="100 - CAFÉ ESPECIAL","ESPECIALES",B124="141 - AREQUIPE","DERIVADOS",B124="142 - MERMELADA","DERIVADOS",B124="131 - GALLETAS AVENA","DERIVADOS",B124="160 - SOUVENIR","OTROS",B124="148 - CARAMELOS","DERIVADOS",B124="143 - CHOCOFFES","DERIVADOS",B124="162 - CONVENIOS Y DSC POS ","OTROS"),"OTROS")</f>
        <v>DERIVADOS</v>
      </c>
      <c r="L124" s="27">
        <f t="shared" si="9"/>
        <v>177812</v>
      </c>
      <c r="M124" s="27">
        <f t="shared" si="10"/>
        <v>177812</v>
      </c>
    </row>
    <row r="125" spans="1:13" ht="16.5" hidden="1" outlineLevel="1">
      <c r="A125" s="38"/>
      <c r="B125" s="39" t="s">
        <v>25</v>
      </c>
      <c r="C125" s="36">
        <v>1018995</v>
      </c>
      <c r="D125" s="36">
        <v>0</v>
      </c>
      <c r="E125" s="36"/>
      <c r="F125" s="36">
        <v>4939039.0999999996</v>
      </c>
      <c r="G125" s="37">
        <f t="shared" si="11"/>
        <v>0.20631442257665061</v>
      </c>
      <c r="H125" s="23">
        <f t="shared" si="13"/>
        <v>0</v>
      </c>
      <c r="I125" s="24">
        <f t="shared" si="13"/>
        <v>0</v>
      </c>
      <c r="J125" s="32" t="str" cm="1">
        <f t="array" ref="J125">IFERROR(_xlfn.IFS(B125="044 - BLEND TRADICION","BLEND",B125="113 - CAFÉ GOURMET","GOURMET",B125="114 - CAFÉ CONSUMO","CONSUMO",B125="112 - CAFÉ ORGANICO","GOURMET",B125="172 - CAFÉ COSECHA","ESPECIALES",B125="176 - CAFE DESCAFEINADO","GOURMET",B125="147 - CAPSULAS","CAPSULAS",B125="130 - GALLETAS CAFECITAS","DERIVADOS",B125="140 - MERENGUES","DERIVADOS",B125="100 - CAFÉ ESPECIAL","ESPECIALES",B125="141 - AREQUIPE","DERIVADOS",B125="142 - MERMELADA","DERIVADOS",B125="131 - GALLETAS AVENA","DERIVADOS",B125="160 - SOUVENIR","OTROS",B125="148 - CARAMELOS","DERIVADOS",B125="143 - CHOCOFFES","DERIVADOS",B125="162 - CONVENIOS Y DSC POS ","OTROS"),"OTROS")</f>
        <v>DERIVADOS</v>
      </c>
      <c r="L125" s="27">
        <f t="shared" si="9"/>
        <v>1018995</v>
      </c>
      <c r="M125" s="27">
        <f t="shared" si="10"/>
        <v>1018995</v>
      </c>
    </row>
    <row r="126" spans="1:13" ht="16.5" hidden="1" outlineLevel="1">
      <c r="A126" s="38"/>
      <c r="B126" s="39" t="s">
        <v>26</v>
      </c>
      <c r="C126" s="36">
        <v>228552</v>
      </c>
      <c r="D126" s="36">
        <v>0</v>
      </c>
      <c r="E126" s="36"/>
      <c r="F126" s="36">
        <v>1642173.15</v>
      </c>
      <c r="G126" s="37">
        <f t="shared" si="11"/>
        <v>0.1391765539462145</v>
      </c>
      <c r="H126" s="23">
        <f t="shared" si="13"/>
        <v>0</v>
      </c>
      <c r="I126" s="24">
        <f t="shared" si="13"/>
        <v>0</v>
      </c>
      <c r="J126" s="32" t="str" cm="1">
        <f t="array" ref="J126">IFERROR(_xlfn.IFS(B126="044 - BLEND TRADICION","BLEND",B126="113 - CAFÉ GOURMET","GOURMET",B126="114 - CAFÉ CONSUMO","CONSUMO",B126="112 - CAFÉ ORGANICO","GOURMET",B126="172 - CAFÉ COSECHA","ESPECIALES",B126="176 - CAFE DESCAFEINADO","GOURMET",B126="147 - CAPSULAS","CAPSULAS",B126="130 - GALLETAS CAFECITAS","DERIVADOS",B126="140 - MERENGUES","DERIVADOS",B126="100 - CAFÉ ESPECIAL","ESPECIALES",B126="141 - AREQUIPE","DERIVADOS",B126="142 - MERMELADA","DERIVADOS",B126="131 - GALLETAS AVENA","DERIVADOS",B126="160 - SOUVENIR","OTROS",B126="148 - CARAMELOS","DERIVADOS",B126="143 - CHOCOFFES","DERIVADOS",B126="162 - CONVENIOS Y DSC POS ","OTROS"),"OTROS")</f>
        <v>CAPSULAS</v>
      </c>
      <c r="L126" s="27">
        <f t="shared" si="9"/>
        <v>228552</v>
      </c>
      <c r="M126" s="27">
        <f t="shared" si="10"/>
        <v>228552</v>
      </c>
    </row>
    <row r="127" spans="1:13" ht="16.5" hidden="1" outlineLevel="1">
      <c r="A127" s="38"/>
      <c r="B127" s="39" t="s">
        <v>27</v>
      </c>
      <c r="C127" s="36">
        <v>1561955</v>
      </c>
      <c r="D127" s="36">
        <v>0</v>
      </c>
      <c r="E127" s="36"/>
      <c r="F127" s="36">
        <v>3108561.46</v>
      </c>
      <c r="G127" s="37">
        <f t="shared" si="11"/>
        <v>0.50246875286165327</v>
      </c>
      <c r="H127" s="23">
        <f t="shared" ref="H127:I142" si="14">IFERROR(+D127/L127*100%,0)</f>
        <v>0</v>
      </c>
      <c r="I127" s="24">
        <f t="shared" si="14"/>
        <v>0</v>
      </c>
      <c r="J127" s="32" t="str" cm="1">
        <f t="array" ref="J127">IFERROR(_xlfn.IFS(B127="044 - BLEND TRADICION","BLEND",B127="113 - CAFÉ GOURMET","GOURMET",B127="114 - CAFÉ CONSUMO","CONSUMO",B127="112 - CAFÉ ORGANICO","GOURMET",B127="172 - CAFÉ COSECHA","ESPECIALES",B127="176 - CAFE DESCAFEINADO","GOURMET",B127="147 - CAPSULAS","CAPSULAS",B127="130 - GALLETAS CAFECITAS","DERIVADOS",B127="140 - MERENGUES","DERIVADOS",B127="100 - CAFÉ ESPECIAL","ESPECIALES",B127="141 - AREQUIPE","DERIVADOS",B127="142 - MERMELADA","DERIVADOS",B127="131 - GALLETAS AVENA","DERIVADOS",B127="160 - SOUVENIR","OTROS",B127="148 - CARAMELOS","DERIVADOS",B127="143 - CHOCOFFES","DERIVADOS",B127="162 - CONVENIOS Y DSC POS ","OTROS"),"OTROS")</f>
        <v>DERIVADOS</v>
      </c>
      <c r="L127" s="27">
        <f t="shared" si="9"/>
        <v>1561955</v>
      </c>
      <c r="M127" s="27">
        <f t="shared" si="10"/>
        <v>1561955</v>
      </c>
    </row>
    <row r="128" spans="1:13" ht="16.5" hidden="1" outlineLevel="1">
      <c r="A128" s="38"/>
      <c r="B128" s="39" t="s">
        <v>28</v>
      </c>
      <c r="C128" s="36">
        <v>79379</v>
      </c>
      <c r="D128" s="36">
        <v>0</v>
      </c>
      <c r="E128" s="36">
        <v>0</v>
      </c>
      <c r="F128" s="36">
        <v>1929397.03</v>
      </c>
      <c r="G128" s="37">
        <f t="shared" si="11"/>
        <v>4.1141869073987328E-2</v>
      </c>
      <c r="H128" s="23">
        <f t="shared" si="14"/>
        <v>0</v>
      </c>
      <c r="I128" s="24">
        <f t="shared" si="14"/>
        <v>0</v>
      </c>
      <c r="J128" s="32" t="str" cm="1">
        <f t="array" ref="J128">IFERROR(_xlfn.IFS(B128="044 - BLEND TRADICION","BLEND",B128="113 - CAFÉ GOURMET","GOURMET",B128="114 - CAFÉ CONSUMO","CONSUMO",B128="112 - CAFÉ ORGANICO","GOURMET",B128="172 - CAFÉ COSECHA","ESPECIALES",B128="176 - CAFE DESCAFEINADO","GOURMET",B128="147 - CAPSULAS","CAPSULAS",B128="130 - GALLETAS CAFECITAS","DERIVADOS",B128="140 - MERENGUES","DERIVADOS",B128="100 - CAFÉ ESPECIAL","ESPECIALES",B128="141 - AREQUIPE","DERIVADOS",B128="142 - MERMELADA","DERIVADOS",B128="131 - GALLETAS AVENA","DERIVADOS",B128="160 - SOUVENIR","OTROS",B128="148 - CARAMELOS","DERIVADOS",B128="143 - CHOCOFFES","DERIVADOS",B128="162 - CONVENIOS Y DSC POS ","OTROS"),"OTROS")</f>
        <v>OTROS</v>
      </c>
      <c r="L128" s="27">
        <f t="shared" si="9"/>
        <v>79379</v>
      </c>
      <c r="M128" s="27">
        <f t="shared" si="10"/>
        <v>79379</v>
      </c>
    </row>
    <row r="129" spans="1:13" ht="16.5" hidden="1" outlineLevel="1">
      <c r="A129" s="38"/>
      <c r="B129" s="39" t="s">
        <v>29</v>
      </c>
      <c r="C129" s="36">
        <v>127352</v>
      </c>
      <c r="D129" s="36">
        <v>0</v>
      </c>
      <c r="E129" s="36"/>
      <c r="F129" s="36">
        <v>2019776.56</v>
      </c>
      <c r="G129" s="37">
        <f t="shared" si="11"/>
        <v>6.3052519037056262E-2</v>
      </c>
      <c r="H129" s="23">
        <f t="shared" si="14"/>
        <v>0</v>
      </c>
      <c r="I129" s="24">
        <f t="shared" si="14"/>
        <v>0</v>
      </c>
      <c r="J129" s="32" t="str" cm="1">
        <f t="array" ref="J129">IFERROR(_xlfn.IFS(B129="044 - BLEND TRADICION","BLEND",B129="113 - CAFÉ GOURMET","GOURMET",B129="114 - CAFÉ CONSUMO","CONSUMO",B129="112 - CAFÉ ORGANICO","GOURMET",B129="172 - CAFÉ COSECHA","ESPECIALES",B129="176 - CAFE DESCAFEINADO","GOURMET",B129="147 - CAPSULAS","CAPSULAS",B129="130 - GALLETAS CAFECITAS","DERIVADOS",B129="140 - MERENGUES","DERIVADOS",B129="100 - CAFÉ ESPECIAL","ESPECIALES",B129="141 - AREQUIPE","DERIVADOS",B129="142 - MERMELADA","DERIVADOS",B129="131 - GALLETAS AVENA","DERIVADOS",B129="160 - SOUVENIR","OTROS",B129="148 - CARAMELOS","DERIVADOS",B129="143 - CHOCOFFES","DERIVADOS",B129="162 - CONVENIOS Y DSC POS ","OTROS"),"OTROS")</f>
        <v>ESPECIALES</v>
      </c>
      <c r="L129" s="27">
        <f t="shared" si="9"/>
        <v>127352</v>
      </c>
      <c r="M129" s="27">
        <f t="shared" si="10"/>
        <v>127352</v>
      </c>
    </row>
    <row r="130" spans="1:13" ht="16.5" hidden="1" outlineLevel="1">
      <c r="A130" s="38"/>
      <c r="B130" s="39" t="s">
        <v>30</v>
      </c>
      <c r="C130" s="36">
        <v>0</v>
      </c>
      <c r="D130" s="36">
        <v>0</v>
      </c>
      <c r="E130" s="36">
        <v>0</v>
      </c>
      <c r="F130" s="36">
        <v>75457.58</v>
      </c>
      <c r="G130" s="37">
        <f t="shared" si="11"/>
        <v>0</v>
      </c>
      <c r="H130" s="23">
        <f t="shared" si="14"/>
        <v>0</v>
      </c>
      <c r="I130" s="24">
        <f t="shared" si="14"/>
        <v>0</v>
      </c>
      <c r="J130" s="32" t="str" cm="1">
        <f t="array" ref="J130">IFERROR(_xlfn.IFS(B130="044 - BLEND TRADICION","BLEND",B130="113 - CAFÉ GOURMET","GOURMET",B130="114 - CAFÉ CONSUMO","CONSUMO",B130="112 - CAFÉ ORGANICO","GOURMET",B130="172 - CAFÉ COSECHA","ESPECIALES",B130="176 - CAFE DESCAFEINADO","GOURMET",B130="147 - CAPSULAS","CAPSULAS",B130="130 - GALLETAS CAFECITAS","DERIVADOS",B130="140 - MERENGUES","DERIVADOS",B130="100 - CAFÉ ESPECIAL","ESPECIALES",B130="141 - AREQUIPE","DERIVADOS",B130="142 - MERMELADA","DERIVADOS",B130="131 - GALLETAS AVENA","DERIVADOS",B130="160 - SOUVENIR","OTROS",B130="148 - CARAMELOS","DERIVADOS",B130="143 - CHOCOFFES","DERIVADOS",B130="162 - CONVENIOS Y DSC POS ","OTROS"),"OTROS")</f>
        <v>GOURMET</v>
      </c>
      <c r="L130" s="27">
        <f t="shared" si="9"/>
        <v>0</v>
      </c>
      <c r="M130" s="27">
        <f t="shared" si="10"/>
        <v>0</v>
      </c>
    </row>
    <row r="131" spans="1:13" ht="16.5" hidden="1" outlineLevel="1">
      <c r="A131" s="19" t="s">
        <v>49</v>
      </c>
      <c r="B131" s="56" t="s">
        <v>32</v>
      </c>
      <c r="C131" s="54">
        <f>SUM(C118:C130)</f>
        <v>12329607</v>
      </c>
      <c r="D131" s="54">
        <f>SUM(D118:D130)</f>
        <v>0</v>
      </c>
      <c r="E131" s="54">
        <f>SUM(E118:E130)</f>
        <v>0</v>
      </c>
      <c r="F131" s="58">
        <f>SUM(F118:F130)</f>
        <v>58873274.050000004</v>
      </c>
      <c r="G131" s="55">
        <f t="shared" si="11"/>
        <v>0.20942621586712992</v>
      </c>
      <c r="H131" s="23">
        <f t="shared" si="14"/>
        <v>0</v>
      </c>
      <c r="I131" s="24">
        <f t="shared" si="14"/>
        <v>0</v>
      </c>
      <c r="J131" s="32" t="str" cm="1">
        <f t="array" ref="J131">IFERROR(_xlfn.IFS(B131="044 - BLEND TRADICION","BLEND",B131="113 - CAFÉ GOURMET","GOURMET",B131="114 - CAFÉ CONSUMO","CONSUMO",B131="112 - CAFÉ ORGANICO","GOURMET",B131="172 - CAFÉ COSECHA","ESPECIALES",B131="176 - CAFE DESCAFEINADO","GOURMET",B131="147 - CAPSULAS","CAPSULAS",B131="130 - GALLETAS CAFECITAS","DERIVADOS",B131="140 - MERENGUES","DERIVADOS",B131="100 - CAFÉ ESPECIAL","ESPECIALES",B131="141 - AREQUIPE","DERIVADOS",B131="142 - MERMELADA","DERIVADOS",B131="131 - GALLETAS AVENA","DERIVADOS",B131="160 - SOUVENIR","OTROS",B131="148 - CARAMELOS","DERIVADOS",B131="143 - CHOCOFFES","DERIVADOS",B131="162 - CONVENIOS Y DSC POS ","OTROS"),"OTROS")</f>
        <v>OTROS</v>
      </c>
      <c r="L131" s="27">
        <f t="shared" si="9"/>
        <v>12329607</v>
      </c>
      <c r="M131" s="27">
        <f t="shared" si="10"/>
        <v>12329607</v>
      </c>
    </row>
    <row r="132" spans="1:13" ht="16.5" hidden="1" outlineLevel="1">
      <c r="A132" s="33"/>
      <c r="B132" s="39" t="s">
        <v>18</v>
      </c>
      <c r="C132" s="36">
        <v>844992</v>
      </c>
      <c r="D132" s="36">
        <v>0</v>
      </c>
      <c r="E132" s="36"/>
      <c r="F132" s="36">
        <v>5334403.3099999996</v>
      </c>
      <c r="G132" s="37">
        <f t="shared" si="11"/>
        <v>0.1584042208462112</v>
      </c>
      <c r="H132" s="23">
        <f t="shared" si="14"/>
        <v>0</v>
      </c>
      <c r="I132" s="24">
        <f t="shared" si="14"/>
        <v>0</v>
      </c>
      <c r="J132" s="32" t="str" cm="1">
        <f t="array" ref="J132">IFERROR(_xlfn.IFS(B132="044 - BLEND TRADICION","BLEND",B132="113 - CAFÉ GOURMET","GOURMET",B132="114 - CAFÉ CONSUMO","CONSUMO",B132="112 - CAFÉ ORGANICO","GOURMET",B132="172 - CAFÉ COSECHA","ESPECIALES",B132="176 - CAFE DESCAFEINADO","GOURMET",B132="147 - CAPSULAS","CAPSULAS",B132="130 - GALLETAS CAFECITAS","DERIVADOS",B132="140 - MERENGUES","DERIVADOS",B132="100 - CAFÉ ESPECIAL","ESPECIALES",B132="141 - AREQUIPE","DERIVADOS",B132="142 - MERMELADA","DERIVADOS",B132="131 - GALLETAS AVENA","DERIVADOS",B132="160 - SOUVENIR","OTROS",B132="148 - CARAMELOS","DERIVADOS",B132="143 - CHOCOFFES","DERIVADOS",B132="162 - CONVENIOS Y DSC POS ","OTROS"),"OTROS")</f>
        <v>BLEND</v>
      </c>
      <c r="L132" s="27">
        <f t="shared" si="9"/>
        <v>844992</v>
      </c>
      <c r="M132" s="27">
        <f t="shared" si="10"/>
        <v>844992</v>
      </c>
    </row>
    <row r="133" spans="1:13" ht="16.5" hidden="1" outlineLevel="1">
      <c r="A133" s="38"/>
      <c r="B133" s="39" t="s">
        <v>19</v>
      </c>
      <c r="C133" s="36">
        <v>0</v>
      </c>
      <c r="D133" s="36">
        <v>0</v>
      </c>
      <c r="E133" s="36"/>
      <c r="F133" s="36">
        <v>1332928.3500000001</v>
      </c>
      <c r="G133" s="37">
        <f t="shared" si="11"/>
        <v>0</v>
      </c>
      <c r="H133" s="23">
        <f t="shared" si="14"/>
        <v>0</v>
      </c>
      <c r="I133" s="24">
        <f t="shared" si="14"/>
        <v>0</v>
      </c>
      <c r="J133" s="32" t="str" cm="1">
        <f t="array" ref="J133">IFERROR(_xlfn.IFS(B133="044 - BLEND TRADICION","BLEND",B133="113 - CAFÉ GOURMET","GOURMET",B133="114 - CAFÉ CONSUMO","CONSUMO",B133="112 - CAFÉ ORGANICO","GOURMET",B133="172 - CAFÉ COSECHA","ESPECIALES",B133="176 - CAFE DESCAFEINADO","GOURMET",B133="147 - CAPSULAS","CAPSULAS",B133="130 - GALLETAS CAFECITAS","DERIVADOS",B133="140 - MERENGUES","DERIVADOS",B133="100 - CAFÉ ESPECIAL","ESPECIALES",B133="141 - AREQUIPE","DERIVADOS",B133="142 - MERMELADA","DERIVADOS",B133="131 - GALLETAS AVENA","DERIVADOS",B133="160 - SOUVENIR","OTROS",B133="148 - CARAMELOS","DERIVADOS",B133="143 - CHOCOFFES","DERIVADOS",B133="162 - CONVENIOS Y DSC POS ","OTROS"),"OTROS")</f>
        <v>ESPECIALES</v>
      </c>
      <c r="L133" s="27">
        <f t="shared" si="9"/>
        <v>0</v>
      </c>
      <c r="M133" s="27">
        <f t="shared" si="10"/>
        <v>0</v>
      </c>
    </row>
    <row r="134" spans="1:13" ht="16.5" hidden="1" outlineLevel="1">
      <c r="A134" s="38"/>
      <c r="B134" s="39" t="s">
        <v>20</v>
      </c>
      <c r="C134" s="36">
        <v>767760</v>
      </c>
      <c r="D134" s="36">
        <v>0</v>
      </c>
      <c r="E134" s="36"/>
      <c r="F134" s="36">
        <v>1484611.46</v>
      </c>
      <c r="G134" s="37">
        <f>IFERROR(C134/F134*100%,"-")</f>
        <v>0.51714540853672253</v>
      </c>
      <c r="H134" s="23">
        <f t="shared" si="14"/>
        <v>0</v>
      </c>
      <c r="I134" s="24">
        <f t="shared" si="14"/>
        <v>0</v>
      </c>
      <c r="J134" s="32" t="str" cm="1">
        <f t="array" ref="J134">IFERROR(_xlfn.IFS(B134="044 - BLEND TRADICION","BLEND",B134="113 - CAFÉ GOURMET","GOURMET",B134="114 - CAFÉ CONSUMO","CONSUMO",B134="112 - CAFÉ ORGANICO","GOURMET",B134="172 - CAFÉ COSECHA","ESPECIALES",B134="176 - CAFE DESCAFEINADO","GOURMET",B134="147 - CAPSULAS","CAPSULAS",B134="130 - GALLETAS CAFECITAS","DERIVADOS",B134="140 - MERENGUES","DERIVADOS",B134="100 - CAFÉ ESPECIAL","ESPECIALES",B134="141 - AREQUIPE","DERIVADOS",B134="142 - MERMELADA","DERIVADOS",B134="131 - GALLETAS AVENA","DERIVADOS",B134="160 - SOUVENIR","OTROS",B134="148 - CARAMELOS","DERIVADOS",B134="143 - CHOCOFFES","DERIVADOS",B134="162 - CONVENIOS Y DSC POS ","OTROS"),"OTROS")</f>
        <v>GOURMET</v>
      </c>
      <c r="L134" s="27">
        <f t="shared" si="9"/>
        <v>767760</v>
      </c>
      <c r="M134" s="27">
        <f t="shared" si="10"/>
        <v>767760</v>
      </c>
    </row>
    <row r="135" spans="1:13" ht="16.5" hidden="1" outlineLevel="1">
      <c r="A135" s="38"/>
      <c r="B135" s="39" t="s">
        <v>21</v>
      </c>
      <c r="C135" s="36">
        <v>18618488</v>
      </c>
      <c r="D135" s="36">
        <v>0</v>
      </c>
      <c r="E135" s="36"/>
      <c r="F135" s="36">
        <v>49968995.509999998</v>
      </c>
      <c r="G135" s="37">
        <f t="shared" ref="G135:G144" si="15">IFERROR(C135/F135*100%,"-")</f>
        <v>0.37260080595924711</v>
      </c>
      <c r="H135" s="23">
        <f t="shared" si="14"/>
        <v>0</v>
      </c>
      <c r="I135" s="24">
        <f t="shared" si="14"/>
        <v>0</v>
      </c>
      <c r="J135" s="32" t="str" cm="1">
        <f t="array" ref="J135">IFERROR(_xlfn.IFS(B135="044 - BLEND TRADICION","BLEND",B135="113 - CAFÉ GOURMET","GOURMET",B135="114 - CAFÉ CONSUMO","CONSUMO",B135="112 - CAFÉ ORGANICO","GOURMET",B135="172 - CAFÉ COSECHA","ESPECIALES",B135="176 - CAFE DESCAFEINADO","GOURMET",B135="147 - CAPSULAS","CAPSULAS",B135="130 - GALLETAS CAFECITAS","DERIVADOS",B135="140 - MERENGUES","DERIVADOS",B135="100 - CAFÉ ESPECIAL","ESPECIALES",B135="141 - AREQUIPE","DERIVADOS",B135="142 - MERMELADA","DERIVADOS",B135="131 - GALLETAS AVENA","DERIVADOS",B135="160 - SOUVENIR","OTROS",B135="148 - CARAMELOS","DERIVADOS",B135="143 - CHOCOFFES","DERIVADOS",B135="162 - CONVENIOS Y DSC POS ","OTROS"),"OTROS")</f>
        <v>GOURMET</v>
      </c>
      <c r="L135" s="27">
        <f t="shared" ref="L135:L198" si="16">C135-(D135+E135)</f>
        <v>18618488</v>
      </c>
      <c r="M135" s="27">
        <f t="shared" ref="M135:M198" si="17">L135</f>
        <v>18618488</v>
      </c>
    </row>
    <row r="136" spans="1:13" ht="16.5" hidden="1" outlineLevel="1">
      <c r="A136" s="38"/>
      <c r="B136" s="39" t="s">
        <v>22</v>
      </c>
      <c r="C136" s="36">
        <v>1894708</v>
      </c>
      <c r="D136" s="36">
        <v>0</v>
      </c>
      <c r="E136" s="36"/>
      <c r="F136" s="36">
        <v>9961569.3200000003</v>
      </c>
      <c r="G136" s="37">
        <f t="shared" si="15"/>
        <v>0.19020175829083122</v>
      </c>
      <c r="H136" s="23">
        <f t="shared" si="14"/>
        <v>0</v>
      </c>
      <c r="I136" s="24">
        <f t="shared" si="14"/>
        <v>0</v>
      </c>
      <c r="J136" s="32" t="str" cm="1">
        <f t="array" ref="J136">IFERROR(_xlfn.IFS(B136="044 - BLEND TRADICION","BLEND",B136="113 - CAFÉ GOURMET","GOURMET",B136="114 - CAFÉ CONSUMO","CONSUMO",B136="112 - CAFÉ ORGANICO","GOURMET",B136="172 - CAFÉ COSECHA","ESPECIALES",B136="176 - CAFE DESCAFEINADO","GOURMET",B136="147 - CAPSULAS","CAPSULAS",B136="130 - GALLETAS CAFECITAS","DERIVADOS",B136="140 - MERENGUES","DERIVADOS",B136="100 - CAFÉ ESPECIAL","ESPECIALES",B136="141 - AREQUIPE","DERIVADOS",B136="142 - MERMELADA","DERIVADOS",B136="131 - GALLETAS AVENA","DERIVADOS",B136="160 - SOUVENIR","OTROS",B136="148 - CARAMELOS","DERIVADOS",B136="143 - CHOCOFFES","DERIVADOS",B136="162 - CONVENIOS Y DSC POS ","OTROS"),"OTROS")</f>
        <v>DERIVADOS</v>
      </c>
      <c r="L136" s="27">
        <f t="shared" si="16"/>
        <v>1894708</v>
      </c>
      <c r="M136" s="27">
        <f t="shared" si="17"/>
        <v>1894708</v>
      </c>
    </row>
    <row r="137" spans="1:13" ht="16.5" hidden="1" outlineLevel="1">
      <c r="A137" s="38"/>
      <c r="B137" s="39" t="s">
        <v>23</v>
      </c>
      <c r="C137" s="36">
        <v>0</v>
      </c>
      <c r="D137" s="36">
        <v>0</v>
      </c>
      <c r="E137" s="36"/>
      <c r="F137" s="36">
        <v>11794.96</v>
      </c>
      <c r="G137" s="37">
        <f t="shared" si="15"/>
        <v>0</v>
      </c>
      <c r="H137" s="23">
        <f t="shared" si="14"/>
        <v>0</v>
      </c>
      <c r="I137" s="24">
        <f t="shared" si="14"/>
        <v>0</v>
      </c>
      <c r="J137" s="32" t="str" cm="1">
        <f t="array" ref="J137">IFERROR(_xlfn.IFS(B137="044 - BLEND TRADICION","BLEND",B137="113 - CAFÉ GOURMET","GOURMET",B137="114 - CAFÉ CONSUMO","CONSUMO",B137="112 - CAFÉ ORGANICO","GOURMET",B137="172 - CAFÉ COSECHA","ESPECIALES",B137="176 - CAFE DESCAFEINADO","GOURMET",B137="147 - CAPSULAS","CAPSULAS",B137="130 - GALLETAS CAFECITAS","DERIVADOS",B137="140 - MERENGUES","DERIVADOS",B137="100 - CAFÉ ESPECIAL","ESPECIALES",B137="141 - AREQUIPE","DERIVADOS",B137="142 - MERMELADA","DERIVADOS",B137="131 - GALLETAS AVENA","DERIVADOS",B137="160 - SOUVENIR","OTROS",B137="148 - CARAMELOS","DERIVADOS",B137="143 - CHOCOFFES","DERIVADOS",B137="162 - CONVENIOS Y DSC POS ","OTROS"),"OTROS")</f>
        <v>DERIVADOS</v>
      </c>
      <c r="L137" s="27">
        <f t="shared" si="16"/>
        <v>0</v>
      </c>
      <c r="M137" s="27">
        <f t="shared" si="17"/>
        <v>0</v>
      </c>
    </row>
    <row r="138" spans="1:13" ht="16.5" hidden="1" outlineLevel="1">
      <c r="A138" s="38"/>
      <c r="B138" s="39" t="s">
        <v>24</v>
      </c>
      <c r="C138" s="36">
        <v>172459</v>
      </c>
      <c r="D138" s="36">
        <v>0</v>
      </c>
      <c r="E138" s="36"/>
      <c r="F138" s="36">
        <v>854376.78</v>
      </c>
      <c r="G138" s="37">
        <f t="shared" si="15"/>
        <v>0.20185356629191162</v>
      </c>
      <c r="H138" s="23">
        <f t="shared" si="14"/>
        <v>0</v>
      </c>
      <c r="I138" s="24">
        <f t="shared" si="14"/>
        <v>0</v>
      </c>
      <c r="J138" s="32" t="str" cm="1">
        <f t="array" ref="J138">IFERROR(_xlfn.IFS(B138="044 - BLEND TRADICION","BLEND",B138="113 - CAFÉ GOURMET","GOURMET",B138="114 - CAFÉ CONSUMO","CONSUMO",B138="112 - CAFÉ ORGANICO","GOURMET",B138="172 - CAFÉ COSECHA","ESPECIALES",B138="176 - CAFE DESCAFEINADO","GOURMET",B138="147 - CAPSULAS","CAPSULAS",B138="130 - GALLETAS CAFECITAS","DERIVADOS",B138="140 - MERENGUES","DERIVADOS",B138="100 - CAFÉ ESPECIAL","ESPECIALES",B138="141 - AREQUIPE","DERIVADOS",B138="142 - MERMELADA","DERIVADOS",B138="131 - GALLETAS AVENA","DERIVADOS",B138="160 - SOUVENIR","OTROS",B138="148 - CARAMELOS","DERIVADOS",B138="143 - CHOCOFFES","DERIVADOS",B138="162 - CONVENIOS Y DSC POS ","OTROS"),"OTROS")</f>
        <v>DERIVADOS</v>
      </c>
      <c r="L138" s="27">
        <f t="shared" si="16"/>
        <v>172459</v>
      </c>
      <c r="M138" s="27">
        <f t="shared" si="17"/>
        <v>172459</v>
      </c>
    </row>
    <row r="139" spans="1:13" ht="16.5" hidden="1" outlineLevel="1">
      <c r="A139" s="38"/>
      <c r="B139" s="39" t="s">
        <v>25</v>
      </c>
      <c r="C139" s="36">
        <v>919914</v>
      </c>
      <c r="D139" s="36">
        <v>0</v>
      </c>
      <c r="E139" s="36"/>
      <c r="F139" s="36">
        <v>3865702.13</v>
      </c>
      <c r="G139" s="37">
        <f t="shared" si="15"/>
        <v>0.23796815405433216</v>
      </c>
      <c r="H139" s="23">
        <f t="shared" si="14"/>
        <v>0</v>
      </c>
      <c r="I139" s="24">
        <f t="shared" si="14"/>
        <v>0</v>
      </c>
      <c r="J139" s="32" t="str" cm="1">
        <f t="array" ref="J139">IFERROR(_xlfn.IFS(B139="044 - BLEND TRADICION","BLEND",B139="113 - CAFÉ GOURMET","GOURMET",B139="114 - CAFÉ CONSUMO","CONSUMO",B139="112 - CAFÉ ORGANICO","GOURMET",B139="172 - CAFÉ COSECHA","ESPECIALES",B139="176 - CAFE DESCAFEINADO","GOURMET",B139="147 - CAPSULAS","CAPSULAS",B139="130 - GALLETAS CAFECITAS","DERIVADOS",B139="140 - MERENGUES","DERIVADOS",B139="100 - CAFÉ ESPECIAL","ESPECIALES",B139="141 - AREQUIPE","DERIVADOS",B139="142 - MERMELADA","DERIVADOS",B139="131 - GALLETAS AVENA","DERIVADOS",B139="160 - SOUVENIR","OTROS",B139="148 - CARAMELOS","DERIVADOS",B139="143 - CHOCOFFES","DERIVADOS",B139="162 - CONVENIOS Y DSC POS ","OTROS"),"OTROS")</f>
        <v>DERIVADOS</v>
      </c>
      <c r="L139" s="27">
        <f t="shared" si="16"/>
        <v>919914</v>
      </c>
      <c r="M139" s="27">
        <f t="shared" si="17"/>
        <v>919914</v>
      </c>
    </row>
    <row r="140" spans="1:13" ht="16.5" hidden="1" outlineLevel="1">
      <c r="A140" s="38"/>
      <c r="B140" s="39" t="s">
        <v>26</v>
      </c>
      <c r="C140" s="36">
        <v>238116</v>
      </c>
      <c r="D140" s="36">
        <v>0</v>
      </c>
      <c r="E140" s="36"/>
      <c r="F140" s="36">
        <v>866649.1</v>
      </c>
      <c r="G140" s="37">
        <f t="shared" si="15"/>
        <v>0.27475479983767365</v>
      </c>
      <c r="H140" s="23">
        <f t="shared" si="14"/>
        <v>0</v>
      </c>
      <c r="I140" s="24">
        <f t="shared" si="14"/>
        <v>0</v>
      </c>
      <c r="J140" s="32" t="str" cm="1">
        <f t="array" ref="J140">IFERROR(_xlfn.IFS(B140="044 - BLEND TRADICION","BLEND",B140="113 - CAFÉ GOURMET","GOURMET",B140="114 - CAFÉ CONSUMO","CONSUMO",B140="112 - CAFÉ ORGANICO","GOURMET",B140="172 - CAFÉ COSECHA","ESPECIALES",B140="176 - CAFE DESCAFEINADO","GOURMET",B140="147 - CAPSULAS","CAPSULAS",B140="130 - GALLETAS CAFECITAS","DERIVADOS",B140="140 - MERENGUES","DERIVADOS",B140="100 - CAFÉ ESPECIAL","ESPECIALES",B140="141 - AREQUIPE","DERIVADOS",B140="142 - MERMELADA","DERIVADOS",B140="131 - GALLETAS AVENA","DERIVADOS",B140="160 - SOUVENIR","OTROS",B140="148 - CARAMELOS","DERIVADOS",B140="143 - CHOCOFFES","DERIVADOS",B140="162 - CONVENIOS Y DSC POS ","OTROS"),"OTROS")</f>
        <v>CAPSULAS</v>
      </c>
      <c r="L140" s="27">
        <f t="shared" si="16"/>
        <v>238116</v>
      </c>
      <c r="M140" s="27">
        <f t="shared" si="17"/>
        <v>238116</v>
      </c>
    </row>
    <row r="141" spans="1:13" ht="16.5" hidden="1" outlineLevel="1">
      <c r="A141" s="38"/>
      <c r="B141" s="39" t="s">
        <v>27</v>
      </c>
      <c r="C141" s="36">
        <v>2894883</v>
      </c>
      <c r="D141" s="36">
        <v>0</v>
      </c>
      <c r="E141" s="36"/>
      <c r="F141" s="36">
        <v>6049716.3799999999</v>
      </c>
      <c r="G141" s="37">
        <f t="shared" si="15"/>
        <v>0.47851549034105301</v>
      </c>
      <c r="H141" s="23">
        <f t="shared" si="14"/>
        <v>0</v>
      </c>
      <c r="I141" s="24">
        <f t="shared" si="14"/>
        <v>0</v>
      </c>
      <c r="J141" s="32" t="str" cm="1">
        <f t="array" ref="J141">IFERROR(_xlfn.IFS(B141="044 - BLEND TRADICION","BLEND",B141="113 - CAFÉ GOURMET","GOURMET",B141="114 - CAFÉ CONSUMO","CONSUMO",B141="112 - CAFÉ ORGANICO","GOURMET",B141="172 - CAFÉ COSECHA","ESPECIALES",B141="176 - CAFE DESCAFEINADO","GOURMET",B141="147 - CAPSULAS","CAPSULAS",B141="130 - GALLETAS CAFECITAS","DERIVADOS",B141="140 - MERENGUES","DERIVADOS",B141="100 - CAFÉ ESPECIAL","ESPECIALES",B141="141 - AREQUIPE","DERIVADOS",B141="142 - MERMELADA","DERIVADOS",B141="131 - GALLETAS AVENA","DERIVADOS",B141="160 - SOUVENIR","OTROS",B141="148 - CARAMELOS","DERIVADOS",B141="143 - CHOCOFFES","DERIVADOS",B141="162 - CONVENIOS Y DSC POS ","OTROS"),"OTROS")</f>
        <v>DERIVADOS</v>
      </c>
      <c r="L141" s="27">
        <f t="shared" si="16"/>
        <v>2894883</v>
      </c>
      <c r="M141" s="27">
        <f t="shared" si="17"/>
        <v>2894883</v>
      </c>
    </row>
    <row r="142" spans="1:13" ht="16.5" hidden="1" outlineLevel="1">
      <c r="A142" s="38"/>
      <c r="B142" s="39" t="s">
        <v>28</v>
      </c>
      <c r="C142" s="36">
        <v>152142</v>
      </c>
      <c r="D142" s="36">
        <v>0</v>
      </c>
      <c r="E142" s="36"/>
      <c r="F142" s="36">
        <v>2122980.0499999998</v>
      </c>
      <c r="G142" s="37">
        <f t="shared" si="15"/>
        <v>7.1664356902458884E-2</v>
      </c>
      <c r="H142" s="23">
        <f t="shared" si="14"/>
        <v>0</v>
      </c>
      <c r="I142" s="24">
        <f t="shared" si="14"/>
        <v>0</v>
      </c>
      <c r="J142" s="32" t="str" cm="1">
        <f t="array" ref="J142">IFERROR(_xlfn.IFS(B142="044 - BLEND TRADICION","BLEND",B142="113 - CAFÉ GOURMET","GOURMET",B142="114 - CAFÉ CONSUMO","CONSUMO",B142="112 - CAFÉ ORGANICO","GOURMET",B142="172 - CAFÉ COSECHA","ESPECIALES",B142="176 - CAFE DESCAFEINADO","GOURMET",B142="147 - CAPSULAS","CAPSULAS",B142="130 - GALLETAS CAFECITAS","DERIVADOS",B142="140 - MERENGUES","DERIVADOS",B142="100 - CAFÉ ESPECIAL","ESPECIALES",B142="141 - AREQUIPE","DERIVADOS",B142="142 - MERMELADA","DERIVADOS",B142="131 - GALLETAS AVENA","DERIVADOS",B142="160 - SOUVENIR","OTROS",B142="148 - CARAMELOS","DERIVADOS",B142="143 - CHOCOFFES","DERIVADOS",B142="162 - CONVENIOS Y DSC POS ","OTROS"),"OTROS")</f>
        <v>OTROS</v>
      </c>
      <c r="L142" s="27">
        <f t="shared" si="16"/>
        <v>152142</v>
      </c>
      <c r="M142" s="27">
        <f t="shared" si="17"/>
        <v>152142</v>
      </c>
    </row>
    <row r="143" spans="1:13" ht="16.5" hidden="1" outlineLevel="1">
      <c r="A143" s="38"/>
      <c r="B143" s="39" t="s">
        <v>29</v>
      </c>
      <c r="C143" s="36">
        <v>467578</v>
      </c>
      <c r="D143" s="36">
        <v>0</v>
      </c>
      <c r="E143" s="36"/>
      <c r="F143" s="36">
        <v>6357550.9400000004</v>
      </c>
      <c r="G143" s="37">
        <f t="shared" si="15"/>
        <v>7.3546874325162701E-2</v>
      </c>
      <c r="H143" s="23">
        <f t="shared" ref="H143:I175" si="18">IFERROR(+D143/L143*100%,0)</f>
        <v>0</v>
      </c>
      <c r="I143" s="24">
        <f t="shared" si="18"/>
        <v>0</v>
      </c>
      <c r="J143" s="32" t="str" cm="1">
        <f t="array" ref="J143">IFERROR(_xlfn.IFS(B143="044 - BLEND TRADICION","BLEND",B143="113 - CAFÉ GOURMET","GOURMET",B143="114 - CAFÉ CONSUMO","CONSUMO",B143="112 - CAFÉ ORGANICO","GOURMET",B143="172 - CAFÉ COSECHA","ESPECIALES",B143="176 - CAFE DESCAFEINADO","GOURMET",B143="147 - CAPSULAS","CAPSULAS",B143="130 - GALLETAS CAFECITAS","DERIVADOS",B143="140 - MERENGUES","DERIVADOS",B143="100 - CAFÉ ESPECIAL","ESPECIALES",B143="141 - AREQUIPE","DERIVADOS",B143="142 - MERMELADA","DERIVADOS",B143="131 - GALLETAS AVENA","DERIVADOS",B143="160 - SOUVENIR","OTROS",B143="148 - CARAMELOS","DERIVADOS",B143="143 - CHOCOFFES","DERIVADOS",B143="162 - CONVENIOS Y DSC POS ","OTROS"),"OTROS")</f>
        <v>ESPECIALES</v>
      </c>
      <c r="L143" s="27">
        <f t="shared" si="16"/>
        <v>467578</v>
      </c>
      <c r="M143" s="27">
        <f t="shared" si="17"/>
        <v>467578</v>
      </c>
    </row>
    <row r="144" spans="1:13" ht="16.5" hidden="1" outlineLevel="1">
      <c r="A144" s="38"/>
      <c r="B144" s="61" t="s">
        <v>30</v>
      </c>
      <c r="C144" s="100">
        <v>0</v>
      </c>
      <c r="D144" s="36">
        <v>0</v>
      </c>
      <c r="E144" s="36"/>
      <c r="F144" s="36">
        <v>974571.04</v>
      </c>
      <c r="G144" s="37">
        <f t="shared" si="15"/>
        <v>0</v>
      </c>
      <c r="H144" s="23">
        <f t="shared" si="18"/>
        <v>0</v>
      </c>
      <c r="I144" s="24">
        <f t="shared" si="18"/>
        <v>0</v>
      </c>
      <c r="J144" s="32" t="str" cm="1">
        <f t="array" ref="J144">IFERROR(_xlfn.IFS(B144="044 - BLEND TRADICION","BLEND",B144="113 - CAFÉ GOURMET","GOURMET",B144="114 - CAFÉ CONSUMO","CONSUMO",B144="112 - CAFÉ ORGANICO","GOURMET",B144="172 - CAFÉ COSECHA","ESPECIALES",B144="176 - CAFE DESCAFEINADO","GOURMET",B144="147 - CAPSULAS","CAPSULAS",B144="130 - GALLETAS CAFECITAS","DERIVADOS",B144="140 - MERENGUES","DERIVADOS",B144="100 - CAFÉ ESPECIAL","ESPECIALES",B144="141 - AREQUIPE","DERIVADOS",B144="142 - MERMELADA","DERIVADOS",B144="131 - GALLETAS AVENA","DERIVADOS",B144="160 - SOUVENIR","OTROS",B144="148 - CARAMELOS","DERIVADOS",B144="143 - CHOCOFFES","DERIVADOS",B144="162 - CONVENIOS Y DSC POS ","OTROS"),"OTROS")</f>
        <v>GOURMET</v>
      </c>
      <c r="L144" s="27">
        <f t="shared" si="16"/>
        <v>0</v>
      </c>
      <c r="M144" s="27">
        <f t="shared" si="17"/>
        <v>0</v>
      </c>
    </row>
    <row r="145" spans="1:13" ht="16.5" hidden="1" outlineLevel="1">
      <c r="A145" s="52" t="s">
        <v>51</v>
      </c>
      <c r="B145" s="20" t="s">
        <v>32</v>
      </c>
      <c r="C145" s="21">
        <f>SUM(C132:C144)</f>
        <v>26971040</v>
      </c>
      <c r="D145" s="53">
        <f>SUM(D132:D144)</f>
        <v>0</v>
      </c>
      <c r="E145" s="54">
        <f>SUM(E132:E144)</f>
        <v>0</v>
      </c>
      <c r="F145" s="58">
        <f>SUM(F132:F144)</f>
        <v>89185849.329999968</v>
      </c>
      <c r="G145" s="55">
        <f>IFERROR(C145/F145*100%,"-")</f>
        <v>0.30241389416165587</v>
      </c>
      <c r="H145" s="23">
        <f t="shared" si="18"/>
        <v>0</v>
      </c>
      <c r="I145" s="24">
        <f t="shared" si="18"/>
        <v>0</v>
      </c>
      <c r="J145" s="32" t="str" cm="1">
        <f t="array" ref="J145">IFERROR(_xlfn.IFS(B145="044 - BLEND TRADICION","BLEND",B145="113 - CAFÉ GOURMET","GOURMET",B145="114 - CAFÉ CONSUMO","CONSUMO",B145="112 - CAFÉ ORGANICO","GOURMET",B145="172 - CAFÉ COSECHA","ESPECIALES",B145="176 - CAFE DESCAFEINADO","GOURMET",B145="147 - CAPSULAS","CAPSULAS",B145="130 - GALLETAS CAFECITAS","DERIVADOS",B145="140 - MERENGUES","DERIVADOS",B145="100 - CAFÉ ESPECIAL","ESPECIALES",B145="141 - AREQUIPE","DERIVADOS",B145="142 - MERMELADA","DERIVADOS",B145="131 - GALLETAS AVENA","DERIVADOS",B145="160 - SOUVENIR","OTROS",B145="148 - CARAMELOS","DERIVADOS",B145="143 - CHOCOFFES","DERIVADOS",B145="162 - CONVENIOS Y DSC POS ","OTROS"),"OTROS")</f>
        <v>OTROS</v>
      </c>
      <c r="L145" s="27">
        <f t="shared" si="16"/>
        <v>26971040</v>
      </c>
      <c r="M145" s="27">
        <f t="shared" si="17"/>
        <v>26971040</v>
      </c>
    </row>
    <row r="146" spans="1:13" ht="16.5" hidden="1" outlineLevel="1">
      <c r="A146" s="33"/>
      <c r="B146" s="45" t="s">
        <v>42</v>
      </c>
      <c r="C146" s="46">
        <v>40584</v>
      </c>
      <c r="D146" s="47">
        <v>0</v>
      </c>
      <c r="E146" s="36">
        <v>0</v>
      </c>
      <c r="F146" s="36">
        <v>0</v>
      </c>
      <c r="G146" s="37" t="str">
        <f t="shared" ref="G146:G214" si="19">IFERROR(C146/F146*100%,"-")</f>
        <v>-</v>
      </c>
      <c r="H146" s="23">
        <f t="shared" si="18"/>
        <v>0</v>
      </c>
      <c r="I146" s="24">
        <f t="shared" si="18"/>
        <v>0</v>
      </c>
      <c r="J146" s="32" t="str" cm="1">
        <f t="array" ref="J146">IFERROR(_xlfn.IFS(B146="044 - BLEND TRADICION","BLEND",B146="113 - CAFÉ GOURMET","GOURMET",B146="114 - CAFÉ CONSUMO","CONSUMO",B146="112 - CAFÉ ORGANICO","GOURMET",B146="172 - CAFÉ COSECHA","ESPECIALES",B146="176 - CAFE DESCAFEINADO","GOURMET",B146="147 - CAPSULAS","CAPSULAS",B146="130 - GALLETAS CAFECITAS","DERIVADOS",B146="140 - MERENGUES","DERIVADOS",B146="100 - CAFÉ ESPECIAL","ESPECIALES",B146="141 - AREQUIPE","DERIVADOS",B146="142 - MERMELADA","DERIVADOS",B146="131 - GALLETAS AVENA","DERIVADOS",B146="160 - SOUVENIR","OTROS",B146="148 - CARAMELOS","DERIVADOS",B146="143 - CHOCOFFES","DERIVADOS",B146="162 - CONVENIOS Y DSC POS ","OTROS"),"OTROS")</f>
        <v>OTROS</v>
      </c>
      <c r="L146" s="27">
        <f t="shared" si="16"/>
        <v>40584</v>
      </c>
      <c r="M146" s="27">
        <f t="shared" si="17"/>
        <v>40584</v>
      </c>
    </row>
    <row r="147" spans="1:13" ht="16.5" hidden="1" outlineLevel="1">
      <c r="A147" s="44"/>
      <c r="B147" s="45" t="s">
        <v>18</v>
      </c>
      <c r="C147" s="46">
        <v>3108736</v>
      </c>
      <c r="D147" s="47">
        <v>0</v>
      </c>
      <c r="E147" s="36">
        <v>0</v>
      </c>
      <c r="F147" s="36">
        <v>14379067.41</v>
      </c>
      <c r="G147" s="37">
        <f t="shared" si="19"/>
        <v>0.21619872216733699</v>
      </c>
      <c r="H147" s="23">
        <f t="shared" si="18"/>
        <v>0</v>
      </c>
      <c r="I147" s="24">
        <f t="shared" si="18"/>
        <v>0</v>
      </c>
      <c r="J147" s="32" t="str" cm="1">
        <f t="array" ref="J147">IFERROR(_xlfn.IFS(B147="044 - BLEND TRADICION","BLEND",B147="113 - CAFÉ GOURMET","GOURMET",B147="114 - CAFÉ CONSUMO","CONSUMO",B147="112 - CAFÉ ORGANICO","GOURMET",B147="172 - CAFÉ COSECHA","ESPECIALES",B147="176 - CAFE DESCAFEINADO","GOURMET",B147="147 - CAPSULAS","CAPSULAS",B147="130 - GALLETAS CAFECITAS","DERIVADOS",B147="140 - MERENGUES","DERIVADOS",B147="100 - CAFÉ ESPECIAL","ESPECIALES",B147="141 - AREQUIPE","DERIVADOS",B147="142 - MERMELADA","DERIVADOS",B147="131 - GALLETAS AVENA","DERIVADOS",B147="160 - SOUVENIR","OTROS",B147="148 - CARAMELOS","DERIVADOS",B147="143 - CHOCOFFES","DERIVADOS",B147="162 - CONVENIOS Y DSC POS ","OTROS"),"OTROS")</f>
        <v>BLEND</v>
      </c>
      <c r="L147" s="27">
        <f t="shared" si="16"/>
        <v>3108736</v>
      </c>
      <c r="M147" s="27">
        <f t="shared" si="17"/>
        <v>3108736</v>
      </c>
    </row>
    <row r="148" spans="1:13" ht="16.5" hidden="1" outlineLevel="1">
      <c r="A148" s="44"/>
      <c r="B148" s="45" t="s">
        <v>19</v>
      </c>
      <c r="C148" s="46">
        <v>1055388</v>
      </c>
      <c r="D148" s="47">
        <v>0</v>
      </c>
      <c r="E148" s="36">
        <v>0</v>
      </c>
      <c r="F148" s="36">
        <v>3909295.37</v>
      </c>
      <c r="G148" s="37">
        <f t="shared" si="19"/>
        <v>0.26996885630568251</v>
      </c>
      <c r="H148" s="23">
        <f t="shared" si="18"/>
        <v>0</v>
      </c>
      <c r="I148" s="24">
        <f t="shared" si="18"/>
        <v>0</v>
      </c>
      <c r="J148" s="32" t="str" cm="1">
        <f t="array" ref="J148">IFERROR(_xlfn.IFS(B148="044 - BLEND TRADICION","BLEND",B148="113 - CAFÉ GOURMET","GOURMET",B148="114 - CAFÉ CONSUMO","CONSUMO",B148="112 - CAFÉ ORGANICO","GOURMET",B148="172 - CAFÉ COSECHA","ESPECIALES",B148="176 - CAFE DESCAFEINADO","GOURMET",B148="147 - CAPSULAS","CAPSULAS",B148="130 - GALLETAS CAFECITAS","DERIVADOS",B148="140 - MERENGUES","DERIVADOS",B148="100 - CAFÉ ESPECIAL","ESPECIALES",B148="141 - AREQUIPE","DERIVADOS",B148="142 - MERMELADA","DERIVADOS",B148="131 - GALLETAS AVENA","DERIVADOS",B148="160 - SOUVENIR","OTROS",B148="148 - CARAMELOS","DERIVADOS",B148="143 - CHOCOFFES","DERIVADOS",B148="162 - CONVENIOS Y DSC POS ","OTROS"),"OTROS")</f>
        <v>ESPECIALES</v>
      </c>
      <c r="L148" s="27">
        <f t="shared" si="16"/>
        <v>1055388</v>
      </c>
      <c r="M148" s="27">
        <f t="shared" si="17"/>
        <v>1055388</v>
      </c>
    </row>
    <row r="149" spans="1:13" ht="16.5" hidden="1" outlineLevel="1">
      <c r="A149" s="44"/>
      <c r="B149" s="45" t="s">
        <v>20</v>
      </c>
      <c r="C149" s="46">
        <v>1535520</v>
      </c>
      <c r="D149" s="47">
        <v>0</v>
      </c>
      <c r="E149" s="36">
        <v>0</v>
      </c>
      <c r="F149" s="36">
        <v>4626025.21</v>
      </c>
      <c r="G149" s="37">
        <f t="shared" si="19"/>
        <v>0.3319307462226303</v>
      </c>
      <c r="H149" s="23">
        <f t="shared" si="18"/>
        <v>0</v>
      </c>
      <c r="I149" s="24">
        <f t="shared" si="18"/>
        <v>0</v>
      </c>
      <c r="J149" s="32" t="str" cm="1">
        <f t="array" ref="J149">IFERROR(_xlfn.IFS(B149="044 - BLEND TRADICION","BLEND",B149="113 - CAFÉ GOURMET","GOURMET",B149="114 - CAFÉ CONSUMO","CONSUMO",B149="112 - CAFÉ ORGANICO","GOURMET",B149="172 - CAFÉ COSECHA","ESPECIALES",B149="176 - CAFE DESCAFEINADO","GOURMET",B149="147 - CAPSULAS","CAPSULAS",B149="130 - GALLETAS CAFECITAS","DERIVADOS",B149="140 - MERENGUES","DERIVADOS",B149="100 - CAFÉ ESPECIAL","ESPECIALES",B149="141 - AREQUIPE","DERIVADOS",B149="142 - MERMELADA","DERIVADOS",B149="131 - GALLETAS AVENA","DERIVADOS",B149="160 - SOUVENIR","OTROS",B149="148 - CARAMELOS","DERIVADOS",B149="143 - CHOCOFFES","DERIVADOS",B149="162 - CONVENIOS Y DSC POS ","OTROS"),"OTROS")</f>
        <v>GOURMET</v>
      </c>
      <c r="L149" s="27">
        <f t="shared" si="16"/>
        <v>1535520</v>
      </c>
      <c r="M149" s="27">
        <f t="shared" si="17"/>
        <v>1535520</v>
      </c>
    </row>
    <row r="150" spans="1:13" ht="16.5" hidden="1" outlineLevel="1">
      <c r="A150" s="44"/>
      <c r="B150" s="45" t="s">
        <v>21</v>
      </c>
      <c r="C150" s="46">
        <v>24787902</v>
      </c>
      <c r="D150" s="47">
        <v>0</v>
      </c>
      <c r="E150" s="36"/>
      <c r="F150" s="36">
        <v>114747780.18000001</v>
      </c>
      <c r="G150" s="37">
        <f t="shared" si="19"/>
        <v>0.21602075404958826</v>
      </c>
      <c r="H150" s="23">
        <f t="shared" si="18"/>
        <v>0</v>
      </c>
      <c r="I150" s="24">
        <f t="shared" si="18"/>
        <v>0</v>
      </c>
      <c r="J150" s="32" t="str" cm="1">
        <f t="array" ref="J150">IFERROR(_xlfn.IFS(B150="044 - BLEND TRADICION","BLEND",B150="113 - CAFÉ GOURMET","GOURMET",B150="114 - CAFÉ CONSUMO","CONSUMO",B150="112 - CAFÉ ORGANICO","GOURMET",B150="172 - CAFÉ COSECHA","ESPECIALES",B150="176 - CAFE DESCAFEINADO","GOURMET",B150="147 - CAPSULAS","CAPSULAS",B150="130 - GALLETAS CAFECITAS","DERIVADOS",B150="140 - MERENGUES","DERIVADOS",B150="100 - CAFÉ ESPECIAL","ESPECIALES",B150="141 - AREQUIPE","DERIVADOS",B150="142 - MERMELADA","DERIVADOS",B150="131 - GALLETAS AVENA","DERIVADOS",B150="160 - SOUVENIR","OTROS",B150="148 - CARAMELOS","DERIVADOS",B150="143 - CHOCOFFES","DERIVADOS",B150="162 - CONVENIOS Y DSC POS ","OTROS"),"OTROS")</f>
        <v>GOURMET</v>
      </c>
      <c r="L150" s="27">
        <f t="shared" si="16"/>
        <v>24787902</v>
      </c>
      <c r="M150" s="27">
        <f t="shared" si="17"/>
        <v>24787902</v>
      </c>
    </row>
    <row r="151" spans="1:13" ht="16.5" hidden="1" outlineLevel="1">
      <c r="A151" s="38"/>
      <c r="B151" s="34" t="s">
        <v>38</v>
      </c>
      <c r="C151" s="35">
        <v>0</v>
      </c>
      <c r="D151" s="36">
        <v>0</v>
      </c>
      <c r="E151" s="36"/>
      <c r="F151" s="36">
        <v>353869.81</v>
      </c>
      <c r="G151" s="37">
        <f t="shared" si="19"/>
        <v>0</v>
      </c>
      <c r="H151" s="23">
        <f t="shared" si="18"/>
        <v>0</v>
      </c>
      <c r="I151" s="24">
        <f t="shared" si="18"/>
        <v>0</v>
      </c>
      <c r="J151" s="32" t="str" cm="1">
        <f t="array" ref="J151">IFERROR(_xlfn.IFS(B151="044 - BLEND TRADICION","BLEND",B151="113 - CAFÉ GOURMET","GOURMET",B151="114 - CAFÉ CONSUMO","CONSUMO",B151="112 - CAFÉ ORGANICO","GOURMET",B151="172 - CAFÉ COSECHA","ESPECIALES",B151="176 - CAFE DESCAFEINADO","GOURMET",B151="147 - CAPSULAS","CAPSULAS",B151="130 - GALLETAS CAFECITAS","DERIVADOS",B151="140 - MERENGUES","DERIVADOS",B151="100 - CAFÉ ESPECIAL","ESPECIALES",B151="141 - AREQUIPE","DERIVADOS",B151="142 - MERMELADA","DERIVADOS",B151="131 - GALLETAS AVENA","DERIVADOS",B151="160 - SOUVENIR","OTROS",B151="148 - CARAMELOS","DERIVADOS",B151="143 - CHOCOFFES","DERIVADOS",B151="162 - CONVENIOS Y DSC POS ","OTROS"),"OTROS")</f>
        <v>CONSUMO</v>
      </c>
      <c r="L151" s="27">
        <f t="shared" si="16"/>
        <v>0</v>
      </c>
      <c r="M151" s="27">
        <f t="shared" si="17"/>
        <v>0</v>
      </c>
    </row>
    <row r="152" spans="1:13" ht="16.5" hidden="1" outlineLevel="1">
      <c r="A152" s="38"/>
      <c r="B152" s="39" t="s">
        <v>22</v>
      </c>
      <c r="C152" s="36">
        <v>4319182</v>
      </c>
      <c r="D152" s="36">
        <v>0</v>
      </c>
      <c r="E152" s="36"/>
      <c r="F152" s="36">
        <v>21366443.850000001</v>
      </c>
      <c r="G152" s="37">
        <f t="shared" si="19"/>
        <v>0.2021479114784934</v>
      </c>
      <c r="H152" s="23">
        <f t="shared" si="18"/>
        <v>0</v>
      </c>
      <c r="I152" s="24">
        <f t="shared" si="18"/>
        <v>0</v>
      </c>
      <c r="J152" s="32" t="str" cm="1">
        <f t="array" ref="J152">IFERROR(_xlfn.IFS(B152="044 - BLEND TRADICION","BLEND",B152="113 - CAFÉ GOURMET","GOURMET",B152="114 - CAFÉ CONSUMO","CONSUMO",B152="112 - CAFÉ ORGANICO","GOURMET",B152="172 - CAFÉ COSECHA","ESPECIALES",B152="176 - CAFE DESCAFEINADO","GOURMET",B152="147 - CAPSULAS","CAPSULAS",B152="130 - GALLETAS CAFECITAS","DERIVADOS",B152="140 - MERENGUES","DERIVADOS",B152="100 - CAFÉ ESPECIAL","ESPECIALES",B152="141 - AREQUIPE","DERIVADOS",B152="142 - MERMELADA","DERIVADOS",B152="131 - GALLETAS AVENA","DERIVADOS",B152="160 - SOUVENIR","OTROS",B152="148 - CARAMELOS","DERIVADOS",B152="143 - CHOCOFFES","DERIVADOS",B152="162 - CONVENIOS Y DSC POS ","OTROS"),"OTROS")</f>
        <v>DERIVADOS</v>
      </c>
      <c r="L152" s="27">
        <f t="shared" si="16"/>
        <v>4319182</v>
      </c>
      <c r="M152" s="27">
        <f t="shared" si="17"/>
        <v>4319182</v>
      </c>
    </row>
    <row r="153" spans="1:13" ht="16.5" hidden="1" outlineLevel="1">
      <c r="A153" s="38"/>
      <c r="B153" s="39" t="s">
        <v>23</v>
      </c>
      <c r="C153" s="36">
        <v>59664</v>
      </c>
      <c r="D153" s="36">
        <v>0</v>
      </c>
      <c r="E153" s="36"/>
      <c r="F153" s="36">
        <v>227657.98</v>
      </c>
      <c r="G153" s="37">
        <f t="shared" si="19"/>
        <v>0.26207734953986678</v>
      </c>
      <c r="H153" s="23">
        <f t="shared" si="18"/>
        <v>0</v>
      </c>
      <c r="I153" s="24">
        <f t="shared" si="18"/>
        <v>0</v>
      </c>
      <c r="J153" s="32" t="str" cm="1">
        <f t="array" ref="J153">IFERROR(_xlfn.IFS(B153="044 - BLEND TRADICION","BLEND",B153="113 - CAFÉ GOURMET","GOURMET",B153="114 - CAFÉ CONSUMO","CONSUMO",B153="112 - CAFÉ ORGANICO","GOURMET",B153="172 - CAFÉ COSECHA","ESPECIALES",B153="176 - CAFE DESCAFEINADO","GOURMET",B153="147 - CAPSULAS","CAPSULAS",B153="130 - GALLETAS CAFECITAS","DERIVADOS",B153="140 - MERENGUES","DERIVADOS",B153="100 - CAFÉ ESPECIAL","ESPECIALES",B153="141 - AREQUIPE","DERIVADOS",B153="142 - MERMELADA","DERIVADOS",B153="131 - GALLETAS AVENA","DERIVADOS",B153="160 - SOUVENIR","OTROS",B153="148 - CARAMELOS","DERIVADOS",B153="143 - CHOCOFFES","DERIVADOS",B153="162 - CONVENIOS Y DSC POS ","OTROS"),"OTROS")</f>
        <v>DERIVADOS</v>
      </c>
      <c r="L153" s="27">
        <f t="shared" si="16"/>
        <v>59664</v>
      </c>
      <c r="M153" s="27">
        <f t="shared" si="17"/>
        <v>59664</v>
      </c>
    </row>
    <row r="154" spans="1:13" ht="16.5" hidden="1" outlineLevel="1">
      <c r="A154" s="38"/>
      <c r="B154" s="39" t="s">
        <v>24</v>
      </c>
      <c r="C154" s="36">
        <v>870588</v>
      </c>
      <c r="D154" s="36">
        <v>0</v>
      </c>
      <c r="E154" s="36"/>
      <c r="F154" s="36">
        <v>2117327.71</v>
      </c>
      <c r="G154" s="37">
        <f t="shared" si="19"/>
        <v>0.41117300637415266</v>
      </c>
      <c r="H154" s="23">
        <f t="shared" si="18"/>
        <v>0</v>
      </c>
      <c r="I154" s="24">
        <f t="shared" si="18"/>
        <v>0</v>
      </c>
      <c r="J154" s="32" t="str" cm="1">
        <f t="array" ref="J154">IFERROR(_xlfn.IFS(B154="044 - BLEND TRADICION","BLEND",B154="113 - CAFÉ GOURMET","GOURMET",B154="114 - CAFÉ CONSUMO","CONSUMO",B154="112 - CAFÉ ORGANICO","GOURMET",B154="172 - CAFÉ COSECHA","ESPECIALES",B154="176 - CAFE DESCAFEINADO","GOURMET",B154="147 - CAPSULAS","CAPSULAS",B154="130 - GALLETAS CAFECITAS","DERIVADOS",B154="140 - MERENGUES","DERIVADOS",B154="100 - CAFÉ ESPECIAL","ESPECIALES",B154="141 - AREQUIPE","DERIVADOS",B154="142 - MERMELADA","DERIVADOS",B154="131 - GALLETAS AVENA","DERIVADOS",B154="160 - SOUVENIR","OTROS",B154="148 - CARAMELOS","DERIVADOS",B154="143 - CHOCOFFES","DERIVADOS",B154="162 - CONVENIOS Y DSC POS ","OTROS"),"OTROS")</f>
        <v>DERIVADOS</v>
      </c>
      <c r="L154" s="27">
        <f t="shared" si="16"/>
        <v>870588</v>
      </c>
      <c r="M154" s="27">
        <f t="shared" si="17"/>
        <v>870588</v>
      </c>
    </row>
    <row r="155" spans="1:13" ht="16.5" hidden="1" outlineLevel="1">
      <c r="A155" s="38"/>
      <c r="B155" s="39" t="s">
        <v>25</v>
      </c>
      <c r="C155" s="36">
        <v>2797659</v>
      </c>
      <c r="D155" s="36">
        <v>0</v>
      </c>
      <c r="E155" s="36"/>
      <c r="F155" s="36">
        <v>5087944.59</v>
      </c>
      <c r="G155" s="37">
        <f t="shared" si="19"/>
        <v>0.54986035136833122</v>
      </c>
      <c r="H155" s="23">
        <f t="shared" si="18"/>
        <v>0</v>
      </c>
      <c r="I155" s="24">
        <f t="shared" si="18"/>
        <v>0</v>
      </c>
      <c r="J155" s="32" t="str" cm="1">
        <f t="array" ref="J155">IFERROR(_xlfn.IFS(B155="044 - BLEND TRADICION","BLEND",B155="113 - CAFÉ GOURMET","GOURMET",B155="114 - CAFÉ CONSUMO","CONSUMO",B155="112 - CAFÉ ORGANICO","GOURMET",B155="172 - CAFÉ COSECHA","ESPECIALES",B155="176 - CAFE DESCAFEINADO","GOURMET",B155="147 - CAPSULAS","CAPSULAS",B155="130 - GALLETAS CAFECITAS","DERIVADOS",B155="140 - MERENGUES","DERIVADOS",B155="100 - CAFÉ ESPECIAL","ESPECIALES",B155="141 - AREQUIPE","DERIVADOS",B155="142 - MERMELADA","DERIVADOS",B155="131 - GALLETAS AVENA","DERIVADOS",B155="160 - SOUVENIR","OTROS",B155="148 - CARAMELOS","DERIVADOS",B155="143 - CHOCOFFES","DERIVADOS",B155="162 - CONVENIOS Y DSC POS ","OTROS"),"OTROS")</f>
        <v>DERIVADOS</v>
      </c>
      <c r="L155" s="27">
        <f t="shared" si="16"/>
        <v>2797659</v>
      </c>
      <c r="M155" s="27">
        <f t="shared" si="17"/>
        <v>2797659</v>
      </c>
    </row>
    <row r="156" spans="1:13" ht="16.5" hidden="1" outlineLevel="1">
      <c r="A156" s="38"/>
      <c r="B156" s="39" t="s">
        <v>26</v>
      </c>
      <c r="C156" s="36">
        <v>1596590</v>
      </c>
      <c r="D156" s="36">
        <v>0</v>
      </c>
      <c r="E156" s="36"/>
      <c r="F156" s="36">
        <v>4929036.9800000004</v>
      </c>
      <c r="G156" s="37">
        <f t="shared" si="19"/>
        <v>0.32391520016553005</v>
      </c>
      <c r="H156" s="23">
        <f t="shared" si="18"/>
        <v>0</v>
      </c>
      <c r="I156" s="24">
        <f t="shared" si="18"/>
        <v>0</v>
      </c>
      <c r="J156" s="32" t="str" cm="1">
        <f t="array" ref="J156">IFERROR(_xlfn.IFS(B156="044 - BLEND TRADICION","BLEND",B156="113 - CAFÉ GOURMET","GOURMET",B156="114 - CAFÉ CONSUMO","CONSUMO",B156="112 - CAFÉ ORGANICO","GOURMET",B156="172 - CAFÉ COSECHA","ESPECIALES",B156="176 - CAFE DESCAFEINADO","GOURMET",B156="147 - CAPSULAS","CAPSULAS",B156="130 - GALLETAS CAFECITAS","DERIVADOS",B156="140 - MERENGUES","DERIVADOS",B156="100 - CAFÉ ESPECIAL","ESPECIALES",B156="141 - AREQUIPE","DERIVADOS",B156="142 - MERMELADA","DERIVADOS",B156="131 - GALLETAS AVENA","DERIVADOS",B156="160 - SOUVENIR","OTROS",B156="148 - CARAMELOS","DERIVADOS",B156="143 - CHOCOFFES","DERIVADOS",B156="162 - CONVENIOS Y DSC POS ","OTROS"),"OTROS")</f>
        <v>CAPSULAS</v>
      </c>
      <c r="L156" s="27">
        <f t="shared" si="16"/>
        <v>1596590</v>
      </c>
      <c r="M156" s="27">
        <f t="shared" si="17"/>
        <v>1596590</v>
      </c>
    </row>
    <row r="157" spans="1:13" ht="16.5" hidden="1" outlineLevel="1">
      <c r="A157" s="38"/>
      <c r="B157" s="39" t="s">
        <v>27</v>
      </c>
      <c r="C157" s="36">
        <v>1241242</v>
      </c>
      <c r="D157" s="36">
        <v>0</v>
      </c>
      <c r="E157" s="36"/>
      <c r="F157" s="36">
        <v>3748792.41</v>
      </c>
      <c r="G157" s="37">
        <f t="shared" si="19"/>
        <v>0.33110449025903782</v>
      </c>
      <c r="H157" s="23">
        <f t="shared" si="18"/>
        <v>0</v>
      </c>
      <c r="I157" s="24">
        <f t="shared" si="18"/>
        <v>0</v>
      </c>
      <c r="J157" s="32" t="str" cm="1">
        <f t="array" ref="J157">IFERROR(_xlfn.IFS(B157="044 - BLEND TRADICION","BLEND",B157="113 - CAFÉ GOURMET","GOURMET",B157="114 - CAFÉ CONSUMO","CONSUMO",B157="112 - CAFÉ ORGANICO","GOURMET",B157="172 - CAFÉ COSECHA","ESPECIALES",B157="176 - CAFE DESCAFEINADO","GOURMET",B157="147 - CAPSULAS","CAPSULAS",B157="130 - GALLETAS CAFECITAS","DERIVADOS",B157="140 - MERENGUES","DERIVADOS",B157="100 - CAFÉ ESPECIAL","ESPECIALES",B157="141 - AREQUIPE","DERIVADOS",B157="142 - MERMELADA","DERIVADOS",B157="131 - GALLETAS AVENA","DERIVADOS",B157="160 - SOUVENIR","OTROS",B157="148 - CARAMELOS","DERIVADOS",B157="143 - CHOCOFFES","DERIVADOS",B157="162 - CONVENIOS Y DSC POS ","OTROS"),"OTROS")</f>
        <v>DERIVADOS</v>
      </c>
      <c r="L157" s="27">
        <f t="shared" si="16"/>
        <v>1241242</v>
      </c>
      <c r="M157" s="27">
        <f t="shared" si="17"/>
        <v>1241242</v>
      </c>
    </row>
    <row r="158" spans="1:13" ht="16.5" hidden="1" outlineLevel="1">
      <c r="A158" s="38"/>
      <c r="B158" s="39" t="s">
        <v>28</v>
      </c>
      <c r="C158" s="36">
        <v>551240</v>
      </c>
      <c r="D158" s="36">
        <v>0</v>
      </c>
      <c r="E158" s="36">
        <v>0</v>
      </c>
      <c r="F158" s="36">
        <v>3497038.66</v>
      </c>
      <c r="G158" s="37">
        <f t="shared" si="19"/>
        <v>0.15763051358431365</v>
      </c>
      <c r="H158" s="23">
        <f t="shared" si="18"/>
        <v>0</v>
      </c>
      <c r="I158" s="24">
        <f t="shared" si="18"/>
        <v>0</v>
      </c>
      <c r="J158" s="32" t="str" cm="1">
        <f t="array" ref="J158">IFERROR(_xlfn.IFS(B158="044 - BLEND TRADICION","BLEND",B158="113 - CAFÉ GOURMET","GOURMET",B158="114 - CAFÉ CONSUMO","CONSUMO",B158="112 - CAFÉ ORGANICO","GOURMET",B158="172 - CAFÉ COSECHA","ESPECIALES",B158="176 - CAFE DESCAFEINADO","GOURMET",B158="147 - CAPSULAS","CAPSULAS",B158="130 - GALLETAS CAFECITAS","DERIVADOS",B158="140 - MERENGUES","DERIVADOS",B158="100 - CAFÉ ESPECIAL","ESPECIALES",B158="141 - AREQUIPE","DERIVADOS",B158="142 - MERMELADA","DERIVADOS",B158="131 - GALLETAS AVENA","DERIVADOS",B158="160 - SOUVENIR","OTROS",B158="148 - CARAMELOS","DERIVADOS",B158="143 - CHOCOFFES","DERIVADOS",B158="162 - CONVENIOS Y DSC POS ","OTROS"),"OTROS")</f>
        <v>OTROS</v>
      </c>
      <c r="L158" s="27">
        <f t="shared" si="16"/>
        <v>551240</v>
      </c>
      <c r="M158" s="27">
        <f t="shared" si="17"/>
        <v>551240</v>
      </c>
    </row>
    <row r="159" spans="1:13" ht="16.5" hidden="1" outlineLevel="1">
      <c r="A159" s="38"/>
      <c r="B159" s="39" t="s">
        <v>50</v>
      </c>
      <c r="C159" s="36">
        <v>-52019</v>
      </c>
      <c r="D159" s="36">
        <v>0</v>
      </c>
      <c r="E159" s="36">
        <v>-52019</v>
      </c>
      <c r="F159" s="36">
        <v>0</v>
      </c>
      <c r="G159" s="37" t="str">
        <f t="shared" si="19"/>
        <v>-</v>
      </c>
      <c r="H159" s="23">
        <f t="shared" si="18"/>
        <v>0</v>
      </c>
      <c r="I159" s="24">
        <f t="shared" si="18"/>
        <v>0</v>
      </c>
      <c r="J159" s="32" t="str" cm="1">
        <f t="array" ref="J159">IFERROR(_xlfn.IFS(B159="044 - BLEND TRADICION","BLEND",B159="113 - CAFÉ GOURMET","GOURMET",B159="114 - CAFÉ CONSUMO","CONSUMO",B159="112 - CAFÉ ORGANICO","GOURMET",B159="172 - CAFÉ COSECHA","ESPECIALES",B159="176 - CAFE DESCAFEINADO","GOURMET",B159="147 - CAPSULAS","CAPSULAS",B159="130 - GALLETAS CAFECITAS","DERIVADOS",B159="140 - MERENGUES","DERIVADOS",B159="100 - CAFÉ ESPECIAL","ESPECIALES",B159="141 - AREQUIPE","DERIVADOS",B159="142 - MERMELADA","DERIVADOS",B159="131 - GALLETAS AVENA","DERIVADOS",B159="160 - SOUVENIR","OTROS",B159="148 - CARAMELOS","DERIVADOS",B159="143 - CHOCOFFES","DERIVADOS",B159="162 - CONVENIOS Y DSC POS ","OTROS"),"OTROS")</f>
        <v>OTROS</v>
      </c>
      <c r="L159" s="27">
        <f t="shared" si="16"/>
        <v>0</v>
      </c>
      <c r="M159" s="27">
        <f t="shared" si="17"/>
        <v>0</v>
      </c>
    </row>
    <row r="160" spans="1:13" ht="16.5" hidden="1" outlineLevel="1">
      <c r="A160" s="38"/>
      <c r="B160" s="39" t="s">
        <v>29</v>
      </c>
      <c r="C160" s="36">
        <v>1298184</v>
      </c>
      <c r="D160" s="36">
        <v>0</v>
      </c>
      <c r="E160" s="36">
        <v>0</v>
      </c>
      <c r="F160" s="36">
        <v>7182790.8499999996</v>
      </c>
      <c r="G160" s="37">
        <f t="shared" si="19"/>
        <v>0.18073531961465927</v>
      </c>
      <c r="H160" s="23">
        <f t="shared" si="18"/>
        <v>0</v>
      </c>
      <c r="I160" s="24">
        <f t="shared" si="18"/>
        <v>0</v>
      </c>
      <c r="J160" s="32" t="str" cm="1">
        <f t="array" ref="J160">IFERROR(_xlfn.IFS(B160="044 - BLEND TRADICION","BLEND",B160="113 - CAFÉ GOURMET","GOURMET",B160="114 - CAFÉ CONSUMO","CONSUMO",B160="112 - CAFÉ ORGANICO","GOURMET",B160="172 - CAFÉ COSECHA","ESPECIALES",B160="176 - CAFE DESCAFEINADO","GOURMET",B160="147 - CAPSULAS","CAPSULAS",B160="130 - GALLETAS CAFECITAS","DERIVADOS",B160="140 - MERENGUES","DERIVADOS",B160="100 - CAFÉ ESPECIAL","ESPECIALES",B160="141 - AREQUIPE","DERIVADOS",B160="142 - MERMELADA","DERIVADOS",B160="131 - GALLETAS AVENA","DERIVADOS",B160="160 - SOUVENIR","OTROS",B160="148 - CARAMELOS","DERIVADOS",B160="143 - CHOCOFFES","DERIVADOS",B160="162 - CONVENIOS Y DSC POS ","OTROS"),"OTROS")</f>
        <v>ESPECIALES</v>
      </c>
      <c r="L160" s="27">
        <f t="shared" si="16"/>
        <v>1298184</v>
      </c>
      <c r="M160" s="27">
        <f t="shared" si="17"/>
        <v>1298184</v>
      </c>
    </row>
    <row r="161" spans="1:13" ht="16.5" hidden="1" outlineLevel="1">
      <c r="A161" s="38"/>
      <c r="B161" s="39" t="s">
        <v>30</v>
      </c>
      <c r="C161" s="36">
        <v>379572</v>
      </c>
      <c r="D161" s="36">
        <v>0</v>
      </c>
      <c r="E161" s="36"/>
      <c r="F161" s="36">
        <v>1596976.67</v>
      </c>
      <c r="G161" s="37">
        <f t="shared" si="19"/>
        <v>0.23768161873022228</v>
      </c>
      <c r="H161" s="23">
        <f t="shared" si="18"/>
        <v>0</v>
      </c>
      <c r="I161" s="24">
        <f t="shared" si="18"/>
        <v>0</v>
      </c>
      <c r="J161" s="32" t="str" cm="1">
        <f t="array" ref="J161">IFERROR(_xlfn.IFS(B161="044 - BLEND TRADICION","BLEND",B161="113 - CAFÉ GOURMET","GOURMET",B161="114 - CAFÉ CONSUMO","CONSUMO",B161="112 - CAFÉ ORGANICO","GOURMET",B161="172 - CAFÉ COSECHA","ESPECIALES",B161="176 - CAFE DESCAFEINADO","GOURMET",B161="147 - CAPSULAS","CAPSULAS",B161="130 - GALLETAS CAFECITAS","DERIVADOS",B161="140 - MERENGUES","DERIVADOS",B161="100 - CAFÉ ESPECIAL","ESPECIALES",B161="141 - AREQUIPE","DERIVADOS",B161="142 - MERMELADA","DERIVADOS",B161="131 - GALLETAS AVENA","DERIVADOS",B161="160 - SOUVENIR","OTROS",B161="148 - CARAMELOS","DERIVADOS",B161="143 - CHOCOFFES","DERIVADOS",B161="162 - CONVENIOS Y DSC POS ","OTROS"),"OTROS")</f>
        <v>GOURMET</v>
      </c>
      <c r="L161" s="27">
        <f t="shared" si="16"/>
        <v>379572</v>
      </c>
      <c r="M161" s="27">
        <f t="shared" si="17"/>
        <v>379572</v>
      </c>
    </row>
    <row r="162" spans="1:13" ht="16.5" hidden="1" outlineLevel="1">
      <c r="A162" s="19" t="s">
        <v>52</v>
      </c>
      <c r="B162" s="56" t="s">
        <v>32</v>
      </c>
      <c r="C162" s="54">
        <f>SUM(C146:C161)</f>
        <v>43590032</v>
      </c>
      <c r="D162" s="54">
        <f>SUM(D146:D161)</f>
        <v>0</v>
      </c>
      <c r="E162" s="54">
        <f>SUM(E146:E161)</f>
        <v>-52019</v>
      </c>
      <c r="F162" s="58">
        <f>SUM(F146:F161)</f>
        <v>187770047.67999998</v>
      </c>
      <c r="G162" s="55">
        <f t="shared" si="19"/>
        <v>0.23214582165035538</v>
      </c>
      <c r="H162" s="23">
        <f t="shared" si="18"/>
        <v>0</v>
      </c>
      <c r="I162" s="24">
        <f t="shared" si="18"/>
        <v>-1.1919467304595745E-3</v>
      </c>
      <c r="J162" s="32" t="str" cm="1">
        <f t="array" ref="J162">IFERROR(_xlfn.IFS(B162="044 - BLEND TRADICION","BLEND",B162="113 - CAFÉ GOURMET","GOURMET",B162="114 - CAFÉ CONSUMO","CONSUMO",B162="112 - CAFÉ ORGANICO","GOURMET",B162="172 - CAFÉ COSECHA","ESPECIALES",B162="176 - CAFE DESCAFEINADO","GOURMET",B162="147 - CAPSULAS","CAPSULAS",B162="130 - GALLETAS CAFECITAS","DERIVADOS",B162="140 - MERENGUES","DERIVADOS",B162="100 - CAFÉ ESPECIAL","ESPECIALES",B162="141 - AREQUIPE","DERIVADOS",B162="142 - MERMELADA","DERIVADOS",B162="131 - GALLETAS AVENA","DERIVADOS",B162="160 - SOUVENIR","OTROS",B162="148 - CARAMELOS","DERIVADOS",B162="143 - CHOCOFFES","DERIVADOS",B162="162 - CONVENIOS Y DSC POS ","OTROS"),"OTROS")</f>
        <v>OTROS</v>
      </c>
      <c r="L162" s="27">
        <f t="shared" si="16"/>
        <v>43642051</v>
      </c>
      <c r="M162" s="27">
        <f t="shared" si="17"/>
        <v>43642051</v>
      </c>
    </row>
    <row r="163" spans="1:13" ht="16.5" hidden="1" outlineLevel="1">
      <c r="A163" s="33"/>
      <c r="B163" s="39" t="s">
        <v>42</v>
      </c>
      <c r="C163" s="36">
        <v>6900</v>
      </c>
      <c r="D163" s="36">
        <v>0</v>
      </c>
      <c r="E163" s="36">
        <v>0</v>
      </c>
      <c r="F163" s="36">
        <v>0</v>
      </c>
      <c r="G163" s="37" t="str">
        <f t="shared" si="19"/>
        <v>-</v>
      </c>
      <c r="H163" s="23">
        <f t="shared" si="18"/>
        <v>0</v>
      </c>
      <c r="I163" s="24">
        <f t="shared" si="18"/>
        <v>0</v>
      </c>
      <c r="J163" s="32" t="str" cm="1">
        <f t="array" ref="J163">IFERROR(_xlfn.IFS(B163="044 - BLEND TRADICION","BLEND",B163="113 - CAFÉ GOURMET","GOURMET",B163="114 - CAFÉ CONSUMO","CONSUMO",B163="112 - CAFÉ ORGANICO","GOURMET",B163="172 - CAFÉ COSECHA","ESPECIALES",B163="176 - CAFE DESCAFEINADO","GOURMET",B163="147 - CAPSULAS","CAPSULAS",B163="130 - GALLETAS CAFECITAS","DERIVADOS",B163="140 - MERENGUES","DERIVADOS",B163="100 - CAFÉ ESPECIAL","ESPECIALES",B163="141 - AREQUIPE","DERIVADOS",B163="142 - MERMELADA","DERIVADOS",B163="131 - GALLETAS AVENA","DERIVADOS",B163="160 - SOUVENIR","OTROS",B163="148 - CARAMELOS","DERIVADOS",B163="143 - CHOCOFFES","DERIVADOS",B163="162 - CONVENIOS Y DSC POS ","OTROS"),"OTROS")</f>
        <v>OTROS</v>
      </c>
      <c r="L163" s="27">
        <f t="shared" si="16"/>
        <v>6900</v>
      </c>
      <c r="M163" s="27">
        <f t="shared" si="17"/>
        <v>6900</v>
      </c>
    </row>
    <row r="164" spans="1:13" ht="16.5" hidden="1" outlineLevel="1">
      <c r="A164" s="38"/>
      <c r="B164" s="39" t="s">
        <v>18</v>
      </c>
      <c r="C164" s="36">
        <v>2143124</v>
      </c>
      <c r="D164" s="36">
        <v>0</v>
      </c>
      <c r="E164" s="36">
        <v>0</v>
      </c>
      <c r="F164" s="36">
        <v>9645193.6699999999</v>
      </c>
      <c r="G164" s="37">
        <f t="shared" si="19"/>
        <v>0.22219605674335827</v>
      </c>
      <c r="H164" s="23">
        <f t="shared" si="18"/>
        <v>0</v>
      </c>
      <c r="I164" s="24">
        <f t="shared" si="18"/>
        <v>0</v>
      </c>
      <c r="J164" s="32" t="str" cm="1">
        <f t="array" ref="J164">IFERROR(_xlfn.IFS(B164="044 - BLEND TRADICION","BLEND",B164="113 - CAFÉ GOURMET","GOURMET",B164="114 - CAFÉ CONSUMO","CONSUMO",B164="112 - CAFÉ ORGANICO","GOURMET",B164="172 - CAFÉ COSECHA","ESPECIALES",B164="176 - CAFE DESCAFEINADO","GOURMET",B164="147 - CAPSULAS","CAPSULAS",B164="130 - GALLETAS CAFECITAS","DERIVADOS",B164="140 - MERENGUES","DERIVADOS",B164="100 - CAFÉ ESPECIAL","ESPECIALES",B164="141 - AREQUIPE","DERIVADOS",B164="142 - MERMELADA","DERIVADOS",B164="131 - GALLETAS AVENA","DERIVADOS",B164="160 - SOUVENIR","OTROS",B164="148 - CARAMELOS","DERIVADOS",B164="143 - CHOCOFFES","DERIVADOS",B164="162 - CONVENIOS Y DSC POS ","OTROS"),"OTROS")</f>
        <v>BLEND</v>
      </c>
      <c r="L164" s="27">
        <f t="shared" si="16"/>
        <v>2143124</v>
      </c>
      <c r="M164" s="27">
        <f t="shared" si="17"/>
        <v>2143124</v>
      </c>
    </row>
    <row r="165" spans="1:13" ht="16.5" hidden="1" outlineLevel="1">
      <c r="A165" s="38"/>
      <c r="B165" s="39" t="s">
        <v>19</v>
      </c>
      <c r="C165" s="36">
        <v>384438</v>
      </c>
      <c r="D165" s="36">
        <v>0</v>
      </c>
      <c r="E165" s="36"/>
      <c r="F165" s="36">
        <v>2739705.11</v>
      </c>
      <c r="G165" s="37">
        <f t="shared" si="19"/>
        <v>0.14032094132933892</v>
      </c>
      <c r="H165" s="23">
        <f t="shared" si="18"/>
        <v>0</v>
      </c>
      <c r="I165" s="24">
        <f t="shared" si="18"/>
        <v>0</v>
      </c>
      <c r="J165" s="32" t="str" cm="1">
        <f t="array" ref="J165">IFERROR(_xlfn.IFS(B165="044 - BLEND TRADICION","BLEND",B165="113 - CAFÉ GOURMET","GOURMET",B165="114 - CAFÉ CONSUMO","CONSUMO",B165="112 - CAFÉ ORGANICO","GOURMET",B165="172 - CAFÉ COSECHA","ESPECIALES",B165="176 - CAFE DESCAFEINADO","GOURMET",B165="147 - CAPSULAS","CAPSULAS",B165="130 - GALLETAS CAFECITAS","DERIVADOS",B165="140 - MERENGUES","DERIVADOS",B165="100 - CAFÉ ESPECIAL","ESPECIALES",B165="141 - AREQUIPE","DERIVADOS",B165="142 - MERMELADA","DERIVADOS",B165="131 - GALLETAS AVENA","DERIVADOS",B165="160 - SOUVENIR","OTROS",B165="148 - CARAMELOS","DERIVADOS",B165="143 - CHOCOFFES","DERIVADOS",B165="162 - CONVENIOS Y DSC POS ","OTROS"),"OTROS")</f>
        <v>ESPECIALES</v>
      </c>
      <c r="L165" s="27">
        <f t="shared" si="16"/>
        <v>384438</v>
      </c>
      <c r="M165" s="27">
        <f t="shared" si="17"/>
        <v>384438</v>
      </c>
    </row>
    <row r="166" spans="1:13" ht="16.5" hidden="1" outlineLevel="1">
      <c r="A166" s="38"/>
      <c r="B166" s="39" t="s">
        <v>20</v>
      </c>
      <c r="C166" s="36">
        <v>30710</v>
      </c>
      <c r="D166" s="36">
        <v>0</v>
      </c>
      <c r="E166" s="36">
        <v>0</v>
      </c>
      <c r="F166" s="36">
        <v>825254.9</v>
      </c>
      <c r="G166" s="37">
        <f t="shared" si="19"/>
        <v>3.7212744813753904E-2</v>
      </c>
      <c r="H166" s="23">
        <f t="shared" si="18"/>
        <v>0</v>
      </c>
      <c r="I166" s="24">
        <f t="shared" si="18"/>
        <v>0</v>
      </c>
      <c r="J166" s="32" t="str" cm="1">
        <f t="array" ref="J166">IFERROR(_xlfn.IFS(B166="044 - BLEND TRADICION","BLEND",B166="113 - CAFÉ GOURMET","GOURMET",B166="114 - CAFÉ CONSUMO","CONSUMO",B166="112 - CAFÉ ORGANICO","GOURMET",B166="172 - CAFÉ COSECHA","ESPECIALES",B166="176 - CAFE DESCAFEINADO","GOURMET",B166="147 - CAPSULAS","CAPSULAS",B166="130 - GALLETAS CAFECITAS","DERIVADOS",B166="140 - MERENGUES","DERIVADOS",B166="100 - CAFÉ ESPECIAL","ESPECIALES",B166="141 - AREQUIPE","DERIVADOS",B166="142 - MERMELADA","DERIVADOS",B166="131 - GALLETAS AVENA","DERIVADOS",B166="160 - SOUVENIR","OTROS",B166="148 - CARAMELOS","DERIVADOS",B166="143 - CHOCOFFES","DERIVADOS",B166="162 - CONVENIOS Y DSC POS ","OTROS"),"OTROS")</f>
        <v>GOURMET</v>
      </c>
      <c r="L166" s="27">
        <f t="shared" si="16"/>
        <v>30710</v>
      </c>
      <c r="M166" s="27">
        <f t="shared" si="17"/>
        <v>30710</v>
      </c>
    </row>
    <row r="167" spans="1:13" ht="16.5" hidden="1" outlineLevel="1">
      <c r="A167" s="38"/>
      <c r="B167" s="39" t="s">
        <v>21</v>
      </c>
      <c r="C167" s="36">
        <v>12808109</v>
      </c>
      <c r="D167" s="36">
        <v>0</v>
      </c>
      <c r="E167" s="36">
        <v>0</v>
      </c>
      <c r="F167" s="36">
        <v>43096072.049999997</v>
      </c>
      <c r="G167" s="37">
        <f t="shared" si="19"/>
        <v>0.29719898799918593</v>
      </c>
      <c r="H167" s="23">
        <f t="shared" si="18"/>
        <v>0</v>
      </c>
      <c r="I167" s="24">
        <f t="shared" si="18"/>
        <v>0</v>
      </c>
      <c r="J167" s="32" t="str" cm="1">
        <f t="array" ref="J167">IFERROR(_xlfn.IFS(B167="044 - BLEND TRADICION","BLEND",B167="113 - CAFÉ GOURMET","GOURMET",B167="114 - CAFÉ CONSUMO","CONSUMO",B167="112 - CAFÉ ORGANICO","GOURMET",B167="172 - CAFÉ COSECHA","ESPECIALES",B167="176 - CAFE DESCAFEINADO","GOURMET",B167="147 - CAPSULAS","CAPSULAS",B167="130 - GALLETAS CAFECITAS","DERIVADOS",B167="140 - MERENGUES","DERIVADOS",B167="100 - CAFÉ ESPECIAL","ESPECIALES",B167="141 - AREQUIPE","DERIVADOS",B167="142 - MERMELADA","DERIVADOS",B167="131 - GALLETAS AVENA","DERIVADOS",B167="160 - SOUVENIR","OTROS",B167="148 - CARAMELOS","DERIVADOS",B167="143 - CHOCOFFES","DERIVADOS",B167="162 - CONVENIOS Y DSC POS ","OTROS"),"OTROS")</f>
        <v>GOURMET</v>
      </c>
      <c r="L167" s="27">
        <f t="shared" si="16"/>
        <v>12808109</v>
      </c>
      <c r="M167" s="27">
        <f t="shared" si="17"/>
        <v>12808109</v>
      </c>
    </row>
    <row r="168" spans="1:13" ht="16.5" hidden="1" outlineLevel="1">
      <c r="A168" s="38"/>
      <c r="B168" s="39" t="s">
        <v>38</v>
      </c>
      <c r="C168" s="36">
        <v>5731312</v>
      </c>
      <c r="D168" s="36">
        <v>0</v>
      </c>
      <c r="E168" s="36">
        <v>0</v>
      </c>
      <c r="F168" s="36">
        <v>16145456.630000001</v>
      </c>
      <c r="G168" s="37">
        <f t="shared" si="19"/>
        <v>0.35497986407833171</v>
      </c>
      <c r="H168" s="23">
        <f t="shared" si="18"/>
        <v>0</v>
      </c>
      <c r="I168" s="24">
        <f t="shared" si="18"/>
        <v>0</v>
      </c>
      <c r="J168" s="32" t="str" cm="1">
        <f t="array" ref="J168">IFERROR(_xlfn.IFS(B168="044 - BLEND TRADICION","BLEND",B168="113 - CAFÉ GOURMET","GOURMET",B168="114 - CAFÉ CONSUMO","CONSUMO",B168="112 - CAFÉ ORGANICO","GOURMET",B168="172 - CAFÉ COSECHA","ESPECIALES",B168="176 - CAFE DESCAFEINADO","GOURMET",B168="147 - CAPSULAS","CAPSULAS",B168="130 - GALLETAS CAFECITAS","DERIVADOS",B168="140 - MERENGUES","DERIVADOS",B168="100 - CAFÉ ESPECIAL","ESPECIALES",B168="141 - AREQUIPE","DERIVADOS",B168="142 - MERMELADA","DERIVADOS",B168="131 - GALLETAS AVENA","DERIVADOS",B168="160 - SOUVENIR","OTROS",B168="148 - CARAMELOS","DERIVADOS",B168="143 - CHOCOFFES","DERIVADOS",B168="162 - CONVENIOS Y DSC POS ","OTROS"),"OTROS")</f>
        <v>CONSUMO</v>
      </c>
      <c r="L168" s="27">
        <f t="shared" si="16"/>
        <v>5731312</v>
      </c>
      <c r="M168" s="27">
        <f t="shared" si="17"/>
        <v>5731312</v>
      </c>
    </row>
    <row r="169" spans="1:13" ht="16.5" hidden="1" outlineLevel="1">
      <c r="A169" s="38"/>
      <c r="B169" s="39" t="s">
        <v>22</v>
      </c>
      <c r="C169" s="36">
        <v>7033288</v>
      </c>
      <c r="D169" s="36">
        <v>0</v>
      </c>
      <c r="E169" s="36"/>
      <c r="F169" s="36">
        <v>33513805.359999999</v>
      </c>
      <c r="G169" s="37">
        <f t="shared" si="19"/>
        <v>0.20986241116010348</v>
      </c>
      <c r="H169" s="23">
        <f t="shared" si="18"/>
        <v>0</v>
      </c>
      <c r="I169" s="24">
        <f t="shared" si="18"/>
        <v>0</v>
      </c>
      <c r="J169" s="32" t="str" cm="1">
        <f t="array" ref="J169">IFERROR(_xlfn.IFS(B169="044 - BLEND TRADICION","BLEND",B169="113 - CAFÉ GOURMET","GOURMET",B169="114 - CAFÉ CONSUMO","CONSUMO",B169="112 - CAFÉ ORGANICO","GOURMET",B169="172 - CAFÉ COSECHA","ESPECIALES",B169="176 - CAFE DESCAFEINADO","GOURMET",B169="147 - CAPSULAS","CAPSULAS",B169="130 - GALLETAS CAFECITAS","DERIVADOS",B169="140 - MERENGUES","DERIVADOS",B169="100 - CAFÉ ESPECIAL","ESPECIALES",B169="141 - AREQUIPE","DERIVADOS",B169="142 - MERMELADA","DERIVADOS",B169="131 - GALLETAS AVENA","DERIVADOS",B169="160 - SOUVENIR","OTROS",B169="148 - CARAMELOS","DERIVADOS",B169="143 - CHOCOFFES","DERIVADOS",B169="162 - CONVENIOS Y DSC POS ","OTROS"),"OTROS")</f>
        <v>DERIVADOS</v>
      </c>
      <c r="L169" s="27">
        <f t="shared" si="16"/>
        <v>7033288</v>
      </c>
      <c r="M169" s="27">
        <f t="shared" si="17"/>
        <v>7033288</v>
      </c>
    </row>
    <row r="170" spans="1:13" ht="16.5" hidden="1" outlineLevel="1">
      <c r="A170" s="38"/>
      <c r="B170" s="39" t="s">
        <v>23</v>
      </c>
      <c r="C170" s="36">
        <v>0</v>
      </c>
      <c r="D170" s="36">
        <v>0</v>
      </c>
      <c r="E170" s="36"/>
      <c r="F170" s="36">
        <v>174887.86</v>
      </c>
      <c r="G170" s="37">
        <f t="shared" si="19"/>
        <v>0</v>
      </c>
      <c r="H170" s="23">
        <f t="shared" si="18"/>
        <v>0</v>
      </c>
      <c r="I170" s="24">
        <f t="shared" si="18"/>
        <v>0</v>
      </c>
      <c r="J170" s="32" t="str" cm="1">
        <f t="array" ref="J170">IFERROR(_xlfn.IFS(B170="044 - BLEND TRADICION","BLEND",B170="113 - CAFÉ GOURMET","GOURMET",B170="114 - CAFÉ CONSUMO","CONSUMO",B170="112 - CAFÉ ORGANICO","GOURMET",B170="172 - CAFÉ COSECHA","ESPECIALES",B170="176 - CAFE DESCAFEINADO","GOURMET",B170="147 - CAPSULAS","CAPSULAS",B170="130 - GALLETAS CAFECITAS","DERIVADOS",B170="140 - MERENGUES","DERIVADOS",B170="100 - CAFÉ ESPECIAL","ESPECIALES",B170="141 - AREQUIPE","DERIVADOS",B170="142 - MERMELADA","DERIVADOS",B170="131 - GALLETAS AVENA","DERIVADOS",B170="160 - SOUVENIR","OTROS",B170="148 - CARAMELOS","DERIVADOS",B170="143 - CHOCOFFES","DERIVADOS",B170="162 - CONVENIOS Y DSC POS ","OTROS"),"OTROS")</f>
        <v>DERIVADOS</v>
      </c>
      <c r="L170" s="27">
        <f t="shared" si="16"/>
        <v>0</v>
      </c>
      <c r="M170" s="27">
        <f t="shared" si="17"/>
        <v>0</v>
      </c>
    </row>
    <row r="171" spans="1:13" ht="16.5" hidden="1" outlineLevel="1">
      <c r="A171" s="38"/>
      <c r="B171" s="39" t="s">
        <v>24</v>
      </c>
      <c r="C171" s="36">
        <v>370597</v>
      </c>
      <c r="D171" s="36">
        <v>0</v>
      </c>
      <c r="E171" s="36">
        <v>0</v>
      </c>
      <c r="F171" s="36">
        <v>2405932.35</v>
      </c>
      <c r="G171" s="37">
        <f t="shared" si="19"/>
        <v>0.15403467183938069</v>
      </c>
      <c r="H171" s="23">
        <f t="shared" si="18"/>
        <v>0</v>
      </c>
      <c r="I171" s="24">
        <f t="shared" si="18"/>
        <v>0</v>
      </c>
      <c r="J171" s="32" t="str" cm="1">
        <f t="array" ref="J171">IFERROR(_xlfn.IFS(B171="044 - BLEND TRADICION","BLEND",B171="113 - CAFÉ GOURMET","GOURMET",B171="114 - CAFÉ CONSUMO","CONSUMO",B171="112 - CAFÉ ORGANICO","GOURMET",B171="172 - CAFÉ COSECHA","ESPECIALES",B171="176 - CAFE DESCAFEINADO","GOURMET",B171="147 - CAPSULAS","CAPSULAS",B171="130 - GALLETAS CAFECITAS","DERIVADOS",B171="140 - MERENGUES","DERIVADOS",B171="100 - CAFÉ ESPECIAL","ESPECIALES",B171="141 - AREQUIPE","DERIVADOS",B171="142 - MERMELADA","DERIVADOS",B171="131 - GALLETAS AVENA","DERIVADOS",B171="160 - SOUVENIR","OTROS",B171="148 - CARAMELOS","DERIVADOS",B171="143 - CHOCOFFES","DERIVADOS",B171="162 - CONVENIOS Y DSC POS ","OTROS"),"OTROS")</f>
        <v>DERIVADOS</v>
      </c>
      <c r="L171" s="27">
        <f t="shared" si="16"/>
        <v>370597</v>
      </c>
      <c r="M171" s="27">
        <f t="shared" si="17"/>
        <v>370597</v>
      </c>
    </row>
    <row r="172" spans="1:13" ht="16.5" hidden="1" outlineLevel="1">
      <c r="A172" s="38"/>
      <c r="B172" s="39" t="s">
        <v>25</v>
      </c>
      <c r="C172" s="36">
        <v>2965361</v>
      </c>
      <c r="D172" s="36">
        <v>0</v>
      </c>
      <c r="E172" s="36"/>
      <c r="F172" s="36">
        <v>9395897.5299999993</v>
      </c>
      <c r="G172" s="37">
        <f t="shared" si="19"/>
        <v>0.31560167514938831</v>
      </c>
      <c r="H172" s="23">
        <f t="shared" si="18"/>
        <v>0</v>
      </c>
      <c r="I172" s="24">
        <f t="shared" si="18"/>
        <v>0</v>
      </c>
      <c r="J172" s="32" t="str" cm="1">
        <f t="array" ref="J172">IFERROR(_xlfn.IFS(B172="044 - BLEND TRADICION","BLEND",B172="113 - CAFÉ GOURMET","GOURMET",B172="114 - CAFÉ CONSUMO","CONSUMO",B172="112 - CAFÉ ORGANICO","GOURMET",B172="172 - CAFÉ COSECHA","ESPECIALES",B172="176 - CAFE DESCAFEINADO","GOURMET",B172="147 - CAPSULAS","CAPSULAS",B172="130 - GALLETAS CAFECITAS","DERIVADOS",B172="140 - MERENGUES","DERIVADOS",B172="100 - CAFÉ ESPECIAL","ESPECIALES",B172="141 - AREQUIPE","DERIVADOS",B172="142 - MERMELADA","DERIVADOS",B172="131 - GALLETAS AVENA","DERIVADOS",B172="160 - SOUVENIR","OTROS",B172="148 - CARAMELOS","DERIVADOS",B172="143 - CHOCOFFES","DERIVADOS",B172="162 - CONVENIOS Y DSC POS ","OTROS"),"OTROS")</f>
        <v>DERIVADOS</v>
      </c>
      <c r="L172" s="27">
        <f t="shared" si="16"/>
        <v>2965361</v>
      </c>
      <c r="M172" s="27">
        <f t="shared" si="17"/>
        <v>2965361</v>
      </c>
    </row>
    <row r="173" spans="1:13" ht="16.5" hidden="1" outlineLevel="1">
      <c r="A173" s="38"/>
      <c r="B173" s="39" t="s">
        <v>26</v>
      </c>
      <c r="C173" s="36">
        <v>227476</v>
      </c>
      <c r="D173" s="36">
        <v>0</v>
      </c>
      <c r="E173" s="36"/>
      <c r="F173" s="36">
        <v>297105.94</v>
      </c>
      <c r="G173" s="37">
        <f t="shared" si="19"/>
        <v>0.76563935409706041</v>
      </c>
      <c r="H173" s="23">
        <f t="shared" si="18"/>
        <v>0</v>
      </c>
      <c r="I173" s="24">
        <f t="shared" si="18"/>
        <v>0</v>
      </c>
      <c r="J173" s="32" t="str" cm="1">
        <f t="array" ref="J173">IFERROR(_xlfn.IFS(B173="044 - BLEND TRADICION","BLEND",B173="113 - CAFÉ GOURMET","GOURMET",B173="114 - CAFÉ CONSUMO","CONSUMO",B173="112 - CAFÉ ORGANICO","GOURMET",B173="172 - CAFÉ COSECHA","ESPECIALES",B173="176 - CAFE DESCAFEINADO","GOURMET",B173="147 - CAPSULAS","CAPSULAS",B173="130 - GALLETAS CAFECITAS","DERIVADOS",B173="140 - MERENGUES","DERIVADOS",B173="100 - CAFÉ ESPECIAL","ESPECIALES",B173="141 - AREQUIPE","DERIVADOS",B173="142 - MERMELADA","DERIVADOS",B173="131 - GALLETAS AVENA","DERIVADOS",B173="160 - SOUVENIR","OTROS",B173="148 - CARAMELOS","DERIVADOS",B173="143 - CHOCOFFES","DERIVADOS",B173="162 - CONVENIOS Y DSC POS ","OTROS"),"OTROS")</f>
        <v>CAPSULAS</v>
      </c>
      <c r="L173" s="27">
        <f t="shared" si="16"/>
        <v>227476</v>
      </c>
      <c r="M173" s="27">
        <f t="shared" si="17"/>
        <v>227476</v>
      </c>
    </row>
    <row r="174" spans="1:13" ht="16.5" hidden="1" outlineLevel="1">
      <c r="A174" s="38"/>
      <c r="B174" s="39" t="s">
        <v>27</v>
      </c>
      <c r="C174" s="36">
        <v>2727793</v>
      </c>
      <c r="D174" s="36">
        <v>0</v>
      </c>
      <c r="E174" s="36">
        <v>0</v>
      </c>
      <c r="F174" s="36">
        <v>18205206.140000001</v>
      </c>
      <c r="G174" s="37">
        <f t="shared" si="19"/>
        <v>0.14983587546457741</v>
      </c>
      <c r="H174" s="23">
        <f t="shared" si="18"/>
        <v>0</v>
      </c>
      <c r="I174" s="24">
        <f t="shared" si="18"/>
        <v>0</v>
      </c>
      <c r="J174" s="32" t="str" cm="1">
        <f t="array" ref="J174">IFERROR(_xlfn.IFS(B174="044 - BLEND TRADICION","BLEND",B174="113 - CAFÉ GOURMET","GOURMET",B174="114 - CAFÉ CONSUMO","CONSUMO",B174="112 - CAFÉ ORGANICO","GOURMET",B174="172 - CAFÉ COSECHA","ESPECIALES",B174="176 - CAFE DESCAFEINADO","GOURMET",B174="147 - CAPSULAS","CAPSULAS",B174="130 - GALLETAS CAFECITAS","DERIVADOS",B174="140 - MERENGUES","DERIVADOS",B174="100 - CAFÉ ESPECIAL","ESPECIALES",B174="141 - AREQUIPE","DERIVADOS",B174="142 - MERMELADA","DERIVADOS",B174="131 - GALLETAS AVENA","DERIVADOS",B174="160 - SOUVENIR","OTROS",B174="148 - CARAMELOS","DERIVADOS",B174="143 - CHOCOFFES","DERIVADOS",B174="162 - CONVENIOS Y DSC POS ","OTROS"),"OTROS")</f>
        <v>DERIVADOS</v>
      </c>
      <c r="L174" s="27">
        <f t="shared" si="16"/>
        <v>2727793</v>
      </c>
      <c r="M174" s="27">
        <f t="shared" si="17"/>
        <v>2727793</v>
      </c>
    </row>
    <row r="175" spans="1:13" ht="16.5" hidden="1" outlineLevel="1">
      <c r="A175" s="38"/>
      <c r="B175" s="39" t="s">
        <v>28</v>
      </c>
      <c r="C175" s="36">
        <v>764019</v>
      </c>
      <c r="D175" s="36">
        <v>0</v>
      </c>
      <c r="E175" s="36"/>
      <c r="F175" s="36">
        <v>6286220.4699999997</v>
      </c>
      <c r="G175" s="37">
        <f t="shared" si="19"/>
        <v>0.12153868984490136</v>
      </c>
      <c r="H175" s="23">
        <f t="shared" si="18"/>
        <v>0</v>
      </c>
      <c r="I175" s="24">
        <f t="shared" si="18"/>
        <v>0</v>
      </c>
      <c r="J175" s="32" t="str" cm="1">
        <f t="array" ref="J175">IFERROR(_xlfn.IFS(B175="044 - BLEND TRADICION","BLEND",B175="113 - CAFÉ GOURMET","GOURMET",B175="114 - CAFÉ CONSUMO","CONSUMO",B175="112 - CAFÉ ORGANICO","GOURMET",B175="172 - CAFÉ COSECHA","ESPECIALES",B175="176 - CAFE DESCAFEINADO","GOURMET",B175="147 - CAPSULAS","CAPSULAS",B175="130 - GALLETAS CAFECITAS","DERIVADOS",B175="140 - MERENGUES","DERIVADOS",B175="100 - CAFÉ ESPECIAL","ESPECIALES",B175="141 - AREQUIPE","DERIVADOS",B175="142 - MERMELADA","DERIVADOS",B175="131 - GALLETAS AVENA","DERIVADOS",B175="160 - SOUVENIR","OTROS",B175="148 - CARAMELOS","DERIVADOS",B175="143 - CHOCOFFES","DERIVADOS",B175="162 - CONVENIOS Y DSC POS ","OTROS"),"OTROS")</f>
        <v>OTROS</v>
      </c>
      <c r="L175" s="27">
        <f t="shared" si="16"/>
        <v>764019</v>
      </c>
      <c r="M175" s="27">
        <f t="shared" si="17"/>
        <v>764019</v>
      </c>
    </row>
    <row r="176" spans="1:13" ht="16.5" hidden="1" outlineLevel="1">
      <c r="A176" s="38"/>
      <c r="B176" s="39" t="s">
        <v>29</v>
      </c>
      <c r="C176" s="36">
        <v>358812</v>
      </c>
      <c r="D176" s="36">
        <v>0</v>
      </c>
      <c r="E176" s="36"/>
      <c r="F176" s="36">
        <v>2023867.68</v>
      </c>
      <c r="G176" s="37">
        <f t="shared" si="19"/>
        <v>0.17729024656394532</v>
      </c>
      <c r="H176" s="23">
        <f t="shared" ref="H176:I191" si="20">IFERROR(+D176/L176*100%,0)</f>
        <v>0</v>
      </c>
      <c r="I176" s="24">
        <f t="shared" si="20"/>
        <v>0</v>
      </c>
      <c r="J176" s="32" t="str" cm="1">
        <f t="array" ref="J176">IFERROR(_xlfn.IFS(B176="044 - BLEND TRADICION","BLEND",B176="113 - CAFÉ GOURMET","GOURMET",B176="114 - CAFÉ CONSUMO","CONSUMO",B176="112 - CAFÉ ORGANICO","GOURMET",B176="172 - CAFÉ COSECHA","ESPECIALES",B176="176 - CAFE DESCAFEINADO","GOURMET",B176="147 - CAPSULAS","CAPSULAS",B176="130 - GALLETAS CAFECITAS","DERIVADOS",B176="140 - MERENGUES","DERIVADOS",B176="100 - CAFÉ ESPECIAL","ESPECIALES",B176="141 - AREQUIPE","DERIVADOS",B176="142 - MERMELADA","DERIVADOS",B176="131 - GALLETAS AVENA","DERIVADOS",B176="160 - SOUVENIR","OTROS",B176="148 - CARAMELOS","DERIVADOS",B176="143 - CHOCOFFES","DERIVADOS",B176="162 - CONVENIOS Y DSC POS ","OTROS"),"OTROS")</f>
        <v>ESPECIALES</v>
      </c>
      <c r="L176" s="27">
        <f t="shared" si="16"/>
        <v>358812</v>
      </c>
      <c r="M176" s="27">
        <f t="shared" si="17"/>
        <v>358812</v>
      </c>
    </row>
    <row r="177" spans="1:13" ht="16.5" hidden="1" outlineLevel="1">
      <c r="A177" s="38"/>
      <c r="B177" s="39" t="s">
        <v>30</v>
      </c>
      <c r="C177" s="36">
        <v>126524</v>
      </c>
      <c r="D177" s="36">
        <v>0</v>
      </c>
      <c r="E177" s="36"/>
      <c r="F177" s="36">
        <v>160123.85</v>
      </c>
      <c r="G177" s="37">
        <f t="shared" si="19"/>
        <v>0.79016336417092137</v>
      </c>
      <c r="H177" s="23">
        <f t="shared" si="20"/>
        <v>0</v>
      </c>
      <c r="I177" s="24">
        <f t="shared" si="20"/>
        <v>0</v>
      </c>
      <c r="J177" s="32" t="str" cm="1">
        <f t="array" ref="J177">IFERROR(_xlfn.IFS(B177="044 - BLEND TRADICION","BLEND",B177="113 - CAFÉ GOURMET","GOURMET",B177="114 - CAFÉ CONSUMO","CONSUMO",B177="112 - CAFÉ ORGANICO","GOURMET",B177="172 - CAFÉ COSECHA","ESPECIALES",B177="176 - CAFE DESCAFEINADO","GOURMET",B177="147 - CAPSULAS","CAPSULAS",B177="130 - GALLETAS CAFECITAS","DERIVADOS",B177="140 - MERENGUES","DERIVADOS",B177="100 - CAFÉ ESPECIAL","ESPECIALES",B177="141 - AREQUIPE","DERIVADOS",B177="142 - MERMELADA","DERIVADOS",B177="131 - GALLETAS AVENA","DERIVADOS",B177="160 - SOUVENIR","OTROS",B177="148 - CARAMELOS","DERIVADOS",B177="143 - CHOCOFFES","DERIVADOS",B177="162 - CONVENIOS Y DSC POS ","OTROS"),"OTROS")</f>
        <v>GOURMET</v>
      </c>
      <c r="L177" s="27">
        <f t="shared" si="16"/>
        <v>126524</v>
      </c>
      <c r="M177" s="27">
        <f t="shared" si="17"/>
        <v>126524</v>
      </c>
    </row>
    <row r="178" spans="1:13" ht="16.5" hidden="1" outlineLevel="1">
      <c r="A178" s="19" t="s">
        <v>53</v>
      </c>
      <c r="B178" s="56" t="s">
        <v>32</v>
      </c>
      <c r="C178" s="54">
        <f>SUM(C163:C177)</f>
        <v>35678463</v>
      </c>
      <c r="D178" s="54">
        <f>SUM(D163:D177)</f>
        <v>0</v>
      </c>
      <c r="E178" s="54">
        <f>SUM(E163:E177)</f>
        <v>0</v>
      </c>
      <c r="F178" s="54">
        <f>SUM(F163:F177)</f>
        <v>144914729.53999999</v>
      </c>
      <c r="G178" s="55">
        <f t="shared" si="19"/>
        <v>0.24620315073045682</v>
      </c>
      <c r="H178" s="23">
        <f t="shared" si="20"/>
        <v>0</v>
      </c>
      <c r="I178" s="24">
        <f t="shared" si="20"/>
        <v>0</v>
      </c>
      <c r="J178" s="32" t="str" cm="1">
        <f t="array" ref="J178">IFERROR(_xlfn.IFS(B178="044 - BLEND TRADICION","BLEND",B178="113 - CAFÉ GOURMET","GOURMET",B178="114 - CAFÉ CONSUMO","CONSUMO",B178="112 - CAFÉ ORGANICO","GOURMET",B178="172 - CAFÉ COSECHA","ESPECIALES",B178="176 - CAFE DESCAFEINADO","GOURMET",B178="147 - CAPSULAS","CAPSULAS",B178="130 - GALLETAS CAFECITAS","DERIVADOS",B178="140 - MERENGUES","DERIVADOS",B178="100 - CAFÉ ESPECIAL","ESPECIALES",B178="141 - AREQUIPE","DERIVADOS",B178="142 - MERMELADA","DERIVADOS",B178="131 - GALLETAS AVENA","DERIVADOS",B178="160 - SOUVENIR","OTROS",B178="148 - CARAMELOS","DERIVADOS",B178="143 - CHOCOFFES","DERIVADOS",B178="162 - CONVENIOS Y DSC POS ","OTROS"),"OTROS")</f>
        <v>OTROS</v>
      </c>
      <c r="L178" s="27">
        <f t="shared" si="16"/>
        <v>35678463</v>
      </c>
      <c r="M178" s="27">
        <f t="shared" si="17"/>
        <v>35678463</v>
      </c>
    </row>
    <row r="179" spans="1:13" ht="16.5" hidden="1" outlineLevel="1">
      <c r="A179" s="33"/>
      <c r="B179" s="39" t="s">
        <v>42</v>
      </c>
      <c r="C179" s="36">
        <v>40584</v>
      </c>
      <c r="D179" s="36">
        <v>0</v>
      </c>
      <c r="E179" s="36">
        <v>0</v>
      </c>
      <c r="F179" s="36">
        <v>0</v>
      </c>
      <c r="G179" s="37" t="str">
        <f t="shared" si="19"/>
        <v>-</v>
      </c>
      <c r="H179" s="23">
        <f t="shared" si="20"/>
        <v>0</v>
      </c>
      <c r="I179" s="24">
        <f t="shared" si="20"/>
        <v>0</v>
      </c>
      <c r="J179" s="32" t="str" cm="1">
        <f t="array" ref="J179">IFERROR(_xlfn.IFS(B179="044 - BLEND TRADICION","BLEND",B179="113 - CAFÉ GOURMET","GOURMET",B179="114 - CAFÉ CONSUMO","CONSUMO",B179="112 - CAFÉ ORGANICO","GOURMET",B179="172 - CAFÉ COSECHA","ESPECIALES",B179="176 - CAFE DESCAFEINADO","GOURMET",B179="147 - CAPSULAS","CAPSULAS",B179="130 - GALLETAS CAFECITAS","DERIVADOS",B179="140 - MERENGUES","DERIVADOS",B179="100 - CAFÉ ESPECIAL","ESPECIALES",B179="141 - AREQUIPE","DERIVADOS",B179="142 - MERMELADA","DERIVADOS",B179="131 - GALLETAS AVENA","DERIVADOS",B179="160 - SOUVENIR","OTROS",B179="148 - CARAMELOS","DERIVADOS",B179="143 - CHOCOFFES","DERIVADOS",B179="162 - CONVENIOS Y DSC POS ","OTROS"),"OTROS")</f>
        <v>OTROS</v>
      </c>
      <c r="L179" s="27">
        <f t="shared" si="16"/>
        <v>40584</v>
      </c>
      <c r="M179" s="27">
        <f t="shared" si="17"/>
        <v>40584</v>
      </c>
    </row>
    <row r="180" spans="1:13" ht="16.5" hidden="1" outlineLevel="1">
      <c r="A180" s="33"/>
      <c r="B180" s="39" t="s">
        <v>18</v>
      </c>
      <c r="C180" s="36">
        <v>3587304</v>
      </c>
      <c r="D180" s="36">
        <v>0</v>
      </c>
      <c r="E180" s="36"/>
      <c r="F180" s="36">
        <v>10236889.550000001</v>
      </c>
      <c r="G180" s="37">
        <f t="shared" si="19"/>
        <v>0.3504291008004477</v>
      </c>
      <c r="H180" s="23">
        <f t="shared" si="20"/>
        <v>0</v>
      </c>
      <c r="I180" s="24">
        <f t="shared" si="20"/>
        <v>0</v>
      </c>
      <c r="J180" s="32" t="str" cm="1">
        <f t="array" ref="J180">IFERROR(_xlfn.IFS(B180="044 - BLEND TRADICION","BLEND",B180="113 - CAFÉ GOURMET","GOURMET",B180="114 - CAFÉ CONSUMO","CONSUMO",B180="112 - CAFÉ ORGANICO","GOURMET",B180="172 - CAFÉ COSECHA","ESPECIALES",B180="176 - CAFE DESCAFEINADO","GOURMET",B180="147 - CAPSULAS","CAPSULAS",B180="130 - GALLETAS CAFECITAS","DERIVADOS",B180="140 - MERENGUES","DERIVADOS",B180="100 - CAFÉ ESPECIAL","ESPECIALES",B180="141 - AREQUIPE","DERIVADOS",B180="142 - MERMELADA","DERIVADOS",B180="131 - GALLETAS AVENA","DERIVADOS",B180="160 - SOUVENIR","OTROS",B180="148 - CARAMELOS","DERIVADOS",B180="143 - CHOCOFFES","DERIVADOS",B180="162 - CONVENIOS Y DSC POS ","OTROS"),"OTROS")</f>
        <v>BLEND</v>
      </c>
      <c r="L180" s="27">
        <f t="shared" si="16"/>
        <v>3587304</v>
      </c>
      <c r="M180" s="27">
        <f t="shared" si="17"/>
        <v>3587304</v>
      </c>
    </row>
    <row r="181" spans="1:13" ht="16.5" hidden="1" outlineLevel="1">
      <c r="A181" s="38"/>
      <c r="B181" s="39" t="s">
        <v>19</v>
      </c>
      <c r="C181" s="36">
        <v>2261227</v>
      </c>
      <c r="D181" s="36">
        <v>0</v>
      </c>
      <c r="E181" s="36">
        <v>0</v>
      </c>
      <c r="F181" s="36">
        <v>6016526.7400000002</v>
      </c>
      <c r="G181" s="37">
        <f t="shared" si="19"/>
        <v>0.37583594284831517</v>
      </c>
      <c r="H181" s="23">
        <f t="shared" si="20"/>
        <v>0</v>
      </c>
      <c r="I181" s="24">
        <f t="shared" si="20"/>
        <v>0</v>
      </c>
      <c r="J181" s="32" t="str" cm="1">
        <f t="array" ref="J181">IFERROR(_xlfn.IFS(B181="044 - BLEND TRADICION","BLEND",B181="113 - CAFÉ GOURMET","GOURMET",B181="114 - CAFÉ CONSUMO","CONSUMO",B181="112 - CAFÉ ORGANICO","GOURMET",B181="172 - CAFÉ COSECHA","ESPECIALES",B181="176 - CAFE DESCAFEINADO","GOURMET",B181="147 - CAPSULAS","CAPSULAS",B181="130 - GALLETAS CAFECITAS","DERIVADOS",B181="140 - MERENGUES","DERIVADOS",B181="100 - CAFÉ ESPECIAL","ESPECIALES",B181="141 - AREQUIPE","DERIVADOS",B181="142 - MERMELADA","DERIVADOS",B181="131 - GALLETAS AVENA","DERIVADOS",B181="160 - SOUVENIR","OTROS",B181="148 - CARAMELOS","DERIVADOS",B181="143 - CHOCOFFES","DERIVADOS",B181="162 - CONVENIOS Y DSC POS ","OTROS"),"OTROS")</f>
        <v>ESPECIALES</v>
      </c>
      <c r="L181" s="27">
        <f t="shared" si="16"/>
        <v>2261227</v>
      </c>
      <c r="M181" s="27">
        <f t="shared" si="17"/>
        <v>2261227</v>
      </c>
    </row>
    <row r="182" spans="1:13" ht="16.5" hidden="1" outlineLevel="1">
      <c r="A182" s="38"/>
      <c r="B182" s="39" t="s">
        <v>20</v>
      </c>
      <c r="C182" s="36">
        <v>629565</v>
      </c>
      <c r="D182" s="36">
        <v>0</v>
      </c>
      <c r="E182" s="36">
        <v>0</v>
      </c>
      <c r="F182" s="36">
        <v>1636189.73</v>
      </c>
      <c r="G182" s="37">
        <f t="shared" si="19"/>
        <v>0.38477505906359649</v>
      </c>
      <c r="H182" s="23">
        <f t="shared" si="20"/>
        <v>0</v>
      </c>
      <c r="I182" s="24">
        <f t="shared" si="20"/>
        <v>0</v>
      </c>
      <c r="J182" s="32" t="str" cm="1">
        <f t="array" ref="J182">IFERROR(_xlfn.IFS(B182="044 - BLEND TRADICION","BLEND",B182="113 - CAFÉ GOURMET","GOURMET",B182="114 - CAFÉ CONSUMO","CONSUMO",B182="112 - CAFÉ ORGANICO","GOURMET",B182="172 - CAFÉ COSECHA","ESPECIALES",B182="176 - CAFE DESCAFEINADO","GOURMET",B182="147 - CAPSULAS","CAPSULAS",B182="130 - GALLETAS CAFECITAS","DERIVADOS",B182="140 - MERENGUES","DERIVADOS",B182="100 - CAFÉ ESPECIAL","ESPECIALES",B182="141 - AREQUIPE","DERIVADOS",B182="142 - MERMELADA","DERIVADOS",B182="131 - GALLETAS AVENA","DERIVADOS",B182="160 - SOUVENIR","OTROS",B182="148 - CARAMELOS","DERIVADOS",B182="143 - CHOCOFFES","DERIVADOS",B182="162 - CONVENIOS Y DSC POS ","OTROS"),"OTROS")</f>
        <v>GOURMET</v>
      </c>
      <c r="L182" s="27">
        <f t="shared" si="16"/>
        <v>629565</v>
      </c>
      <c r="M182" s="27">
        <f t="shared" si="17"/>
        <v>629565</v>
      </c>
    </row>
    <row r="183" spans="1:13" ht="16.5" hidden="1" outlineLevel="1">
      <c r="A183" s="38"/>
      <c r="B183" s="39" t="s">
        <v>21</v>
      </c>
      <c r="C183" s="36">
        <v>21285434</v>
      </c>
      <c r="D183" s="36">
        <v>0</v>
      </c>
      <c r="E183" s="36"/>
      <c r="F183" s="36">
        <v>64517931.119999997</v>
      </c>
      <c r="G183" s="37">
        <f t="shared" si="19"/>
        <v>0.32991501169512394</v>
      </c>
      <c r="H183" s="23">
        <f t="shared" si="20"/>
        <v>0</v>
      </c>
      <c r="I183" s="24">
        <f t="shared" si="20"/>
        <v>0</v>
      </c>
      <c r="J183" s="32" t="str" cm="1">
        <f t="array" ref="J183">IFERROR(_xlfn.IFS(B183="044 - BLEND TRADICION","BLEND",B183="113 - CAFÉ GOURMET","GOURMET",B183="114 - CAFÉ CONSUMO","CONSUMO",B183="112 - CAFÉ ORGANICO","GOURMET",B183="172 - CAFÉ COSECHA","ESPECIALES",B183="176 - CAFE DESCAFEINADO","GOURMET",B183="147 - CAPSULAS","CAPSULAS",B183="130 - GALLETAS CAFECITAS","DERIVADOS",B183="140 - MERENGUES","DERIVADOS",B183="100 - CAFÉ ESPECIAL","ESPECIALES",B183="141 - AREQUIPE","DERIVADOS",B183="142 - MERMELADA","DERIVADOS",B183="131 - GALLETAS AVENA","DERIVADOS",B183="160 - SOUVENIR","OTROS",B183="148 - CARAMELOS","DERIVADOS",B183="143 - CHOCOFFES","DERIVADOS",B183="162 - CONVENIOS Y DSC POS ","OTROS"),"OTROS")</f>
        <v>GOURMET</v>
      </c>
      <c r="L183" s="27">
        <f t="shared" si="16"/>
        <v>21285434</v>
      </c>
      <c r="M183" s="27">
        <f t="shared" si="17"/>
        <v>21285434</v>
      </c>
    </row>
    <row r="184" spans="1:13" ht="16.5" hidden="1" outlineLevel="1">
      <c r="A184" s="38"/>
      <c r="B184" s="39" t="s">
        <v>38</v>
      </c>
      <c r="C184" s="36">
        <v>4738823</v>
      </c>
      <c r="D184" s="36">
        <v>0</v>
      </c>
      <c r="E184" s="36"/>
      <c r="F184" s="36">
        <v>9597044.6699999999</v>
      </c>
      <c r="G184" s="37">
        <f t="shared" si="19"/>
        <v>0.49377940427988026</v>
      </c>
      <c r="H184" s="23">
        <f t="shared" si="20"/>
        <v>0</v>
      </c>
      <c r="I184" s="24">
        <f t="shared" si="20"/>
        <v>0</v>
      </c>
      <c r="J184" s="32" t="str" cm="1">
        <f t="array" ref="J184">IFERROR(_xlfn.IFS(B184="044 - BLEND TRADICION","BLEND",B184="113 - CAFÉ GOURMET","GOURMET",B184="114 - CAFÉ CONSUMO","CONSUMO",B184="112 - CAFÉ ORGANICO","GOURMET",B184="172 - CAFÉ COSECHA","ESPECIALES",B184="176 - CAFE DESCAFEINADO","GOURMET",B184="147 - CAPSULAS","CAPSULAS",B184="130 - GALLETAS CAFECITAS","DERIVADOS",B184="140 - MERENGUES","DERIVADOS",B184="100 - CAFÉ ESPECIAL","ESPECIALES",B184="141 - AREQUIPE","DERIVADOS",B184="142 - MERMELADA","DERIVADOS",B184="131 - GALLETAS AVENA","DERIVADOS",B184="160 - SOUVENIR","OTROS",B184="148 - CARAMELOS","DERIVADOS",B184="143 - CHOCOFFES","DERIVADOS",B184="162 - CONVENIOS Y DSC POS ","OTROS"),"OTROS")</f>
        <v>CONSUMO</v>
      </c>
      <c r="L184" s="27">
        <f t="shared" si="16"/>
        <v>4738823</v>
      </c>
      <c r="M184" s="27">
        <f t="shared" si="17"/>
        <v>4738823</v>
      </c>
    </row>
    <row r="185" spans="1:13" ht="16.5" hidden="1" outlineLevel="1">
      <c r="A185" s="38"/>
      <c r="B185" s="39" t="s">
        <v>22</v>
      </c>
      <c r="C185" s="36">
        <v>6440456</v>
      </c>
      <c r="D185" s="36">
        <v>0</v>
      </c>
      <c r="E185" s="36"/>
      <c r="F185" s="36">
        <v>25972256.75</v>
      </c>
      <c r="G185" s="37">
        <f t="shared" si="19"/>
        <v>0.24797444681044131</v>
      </c>
      <c r="H185" s="23">
        <f t="shared" si="20"/>
        <v>0</v>
      </c>
      <c r="I185" s="24">
        <f t="shared" si="20"/>
        <v>0</v>
      </c>
      <c r="J185" s="32" t="str" cm="1">
        <f t="array" ref="J185">IFERROR(_xlfn.IFS(B185="044 - BLEND TRADICION","BLEND",B185="113 - CAFÉ GOURMET","GOURMET",B185="114 - CAFÉ CONSUMO","CONSUMO",B185="112 - CAFÉ ORGANICO","GOURMET",B185="172 - CAFÉ COSECHA","ESPECIALES",B185="176 - CAFE DESCAFEINADO","GOURMET",B185="147 - CAPSULAS","CAPSULAS",B185="130 - GALLETAS CAFECITAS","DERIVADOS",B185="140 - MERENGUES","DERIVADOS",B185="100 - CAFÉ ESPECIAL","ESPECIALES",B185="141 - AREQUIPE","DERIVADOS",B185="142 - MERMELADA","DERIVADOS",B185="131 - GALLETAS AVENA","DERIVADOS",B185="160 - SOUVENIR","OTROS",B185="148 - CARAMELOS","DERIVADOS",B185="143 - CHOCOFFES","DERIVADOS",B185="162 - CONVENIOS Y DSC POS ","OTROS"),"OTROS")</f>
        <v>DERIVADOS</v>
      </c>
      <c r="L185" s="27">
        <f t="shared" si="16"/>
        <v>6440456</v>
      </c>
      <c r="M185" s="27">
        <f t="shared" si="17"/>
        <v>6440456</v>
      </c>
    </row>
    <row r="186" spans="1:13" ht="16.5" hidden="1" outlineLevel="1">
      <c r="A186" s="38"/>
      <c r="B186" s="39" t="s">
        <v>24</v>
      </c>
      <c r="C186" s="36">
        <v>668012</v>
      </c>
      <c r="D186" s="36">
        <v>0</v>
      </c>
      <c r="E186" s="36"/>
      <c r="F186" s="36">
        <v>2464599.98</v>
      </c>
      <c r="G186" s="37">
        <f t="shared" si="19"/>
        <v>0.27104276775982122</v>
      </c>
      <c r="H186" s="23">
        <f t="shared" si="20"/>
        <v>0</v>
      </c>
      <c r="I186" s="24">
        <f t="shared" si="20"/>
        <v>0</v>
      </c>
      <c r="J186" s="32" t="str" cm="1">
        <f t="array" ref="J186">IFERROR(_xlfn.IFS(B186="044 - BLEND TRADICION","BLEND",B186="113 - CAFÉ GOURMET","GOURMET",B186="114 - CAFÉ CONSUMO","CONSUMO",B186="112 - CAFÉ ORGANICO","GOURMET",B186="172 - CAFÉ COSECHA","ESPECIALES",B186="176 - CAFE DESCAFEINADO","GOURMET",B186="147 - CAPSULAS","CAPSULAS",B186="130 - GALLETAS CAFECITAS","DERIVADOS",B186="140 - MERENGUES","DERIVADOS",B186="100 - CAFÉ ESPECIAL","ESPECIALES",B186="141 - AREQUIPE","DERIVADOS",B186="142 - MERMELADA","DERIVADOS",B186="131 - GALLETAS AVENA","DERIVADOS",B186="160 - SOUVENIR","OTROS",B186="148 - CARAMELOS","DERIVADOS",B186="143 - CHOCOFFES","DERIVADOS",B186="162 - CONVENIOS Y DSC POS ","OTROS"),"OTROS")</f>
        <v>DERIVADOS</v>
      </c>
      <c r="L186" s="27">
        <f t="shared" si="16"/>
        <v>668012</v>
      </c>
      <c r="M186" s="27">
        <f t="shared" si="17"/>
        <v>668012</v>
      </c>
    </row>
    <row r="187" spans="1:13" ht="16.5" hidden="1" outlineLevel="1">
      <c r="A187" s="38"/>
      <c r="B187" s="39" t="s">
        <v>25</v>
      </c>
      <c r="C187" s="36">
        <v>3052744</v>
      </c>
      <c r="D187" s="36">
        <v>0</v>
      </c>
      <c r="E187" s="36"/>
      <c r="F187" s="36">
        <v>12421685.26</v>
      </c>
      <c r="G187" s="37">
        <f t="shared" si="19"/>
        <v>0.24575924571445792</v>
      </c>
      <c r="H187" s="23">
        <f t="shared" si="20"/>
        <v>0</v>
      </c>
      <c r="I187" s="24">
        <f t="shared" si="20"/>
        <v>0</v>
      </c>
      <c r="J187" s="32" t="str" cm="1">
        <f t="array" ref="J187">IFERROR(_xlfn.IFS(B187="044 - BLEND TRADICION","BLEND",B187="113 - CAFÉ GOURMET","GOURMET",B187="114 - CAFÉ CONSUMO","CONSUMO",B187="112 - CAFÉ ORGANICO","GOURMET",B187="172 - CAFÉ COSECHA","ESPECIALES",B187="176 - CAFE DESCAFEINADO","GOURMET",B187="147 - CAPSULAS","CAPSULAS",B187="130 - GALLETAS CAFECITAS","DERIVADOS",B187="140 - MERENGUES","DERIVADOS",B187="100 - CAFÉ ESPECIAL","ESPECIALES",B187="141 - AREQUIPE","DERIVADOS",B187="142 - MERMELADA","DERIVADOS",B187="131 - GALLETAS AVENA","DERIVADOS",B187="160 - SOUVENIR","OTROS",B187="148 - CARAMELOS","DERIVADOS",B187="143 - CHOCOFFES","DERIVADOS",B187="162 - CONVENIOS Y DSC POS ","OTROS"),"OTROS")</f>
        <v>DERIVADOS</v>
      </c>
      <c r="L187" s="27">
        <f t="shared" si="16"/>
        <v>3052744</v>
      </c>
      <c r="M187" s="27">
        <f t="shared" si="17"/>
        <v>3052744</v>
      </c>
    </row>
    <row r="188" spans="1:13" ht="16.5" hidden="1" outlineLevel="1">
      <c r="A188" s="38"/>
      <c r="B188" s="39" t="s">
        <v>26</v>
      </c>
      <c r="C188" s="36">
        <v>504901</v>
      </c>
      <c r="D188" s="36">
        <v>0</v>
      </c>
      <c r="E188" s="36"/>
      <c r="F188" s="36">
        <v>2257638.58</v>
      </c>
      <c r="G188" s="37">
        <f t="shared" si="19"/>
        <v>0.22364119946958028</v>
      </c>
      <c r="H188" s="23">
        <f t="shared" si="20"/>
        <v>0</v>
      </c>
      <c r="I188" s="24">
        <f t="shared" si="20"/>
        <v>0</v>
      </c>
      <c r="J188" s="32" t="str" cm="1">
        <f t="array" ref="J188">IFERROR(_xlfn.IFS(B188="044 - BLEND TRADICION","BLEND",B188="113 - CAFÉ GOURMET","GOURMET",B188="114 - CAFÉ CONSUMO","CONSUMO",B188="112 - CAFÉ ORGANICO","GOURMET",B188="172 - CAFÉ COSECHA","ESPECIALES",B188="176 - CAFE DESCAFEINADO","GOURMET",B188="147 - CAPSULAS","CAPSULAS",B188="130 - GALLETAS CAFECITAS","DERIVADOS",B188="140 - MERENGUES","DERIVADOS",B188="100 - CAFÉ ESPECIAL","ESPECIALES",B188="141 - AREQUIPE","DERIVADOS",B188="142 - MERMELADA","DERIVADOS",B188="131 - GALLETAS AVENA","DERIVADOS",B188="160 - SOUVENIR","OTROS",B188="148 - CARAMELOS","DERIVADOS",B188="143 - CHOCOFFES","DERIVADOS",B188="162 - CONVENIOS Y DSC POS ","OTROS"),"OTROS")</f>
        <v>CAPSULAS</v>
      </c>
      <c r="L188" s="27">
        <f t="shared" si="16"/>
        <v>504901</v>
      </c>
      <c r="M188" s="27">
        <f t="shared" si="17"/>
        <v>504901</v>
      </c>
    </row>
    <row r="189" spans="1:13" ht="16.5" hidden="1" outlineLevel="1">
      <c r="A189" s="38"/>
      <c r="B189" s="39" t="s">
        <v>27</v>
      </c>
      <c r="C189" s="36">
        <v>6374115</v>
      </c>
      <c r="D189" s="36">
        <v>0</v>
      </c>
      <c r="E189" s="36"/>
      <c r="F189" s="36">
        <v>20712565.039999999</v>
      </c>
      <c r="G189" s="37">
        <f t="shared" si="19"/>
        <v>0.30774145972217065</v>
      </c>
      <c r="H189" s="23">
        <f t="shared" si="20"/>
        <v>0</v>
      </c>
      <c r="I189" s="24">
        <f t="shared" si="20"/>
        <v>0</v>
      </c>
      <c r="J189" s="32" t="str" cm="1">
        <f t="array" ref="J189">IFERROR(_xlfn.IFS(B189="044 - BLEND TRADICION","BLEND",B189="113 - CAFÉ GOURMET","GOURMET",B189="114 - CAFÉ CONSUMO","CONSUMO",B189="112 - CAFÉ ORGANICO","GOURMET",B189="172 - CAFÉ COSECHA","ESPECIALES",B189="176 - CAFE DESCAFEINADO","GOURMET",B189="147 - CAPSULAS","CAPSULAS",B189="130 - GALLETAS CAFECITAS","DERIVADOS",B189="140 - MERENGUES","DERIVADOS",B189="100 - CAFÉ ESPECIAL","ESPECIALES",B189="141 - AREQUIPE","DERIVADOS",B189="142 - MERMELADA","DERIVADOS",B189="131 - GALLETAS AVENA","DERIVADOS",B189="160 - SOUVENIR","OTROS",B189="148 - CARAMELOS","DERIVADOS",B189="143 - CHOCOFFES","DERIVADOS",B189="162 - CONVENIOS Y DSC POS ","OTROS"),"OTROS")</f>
        <v>DERIVADOS</v>
      </c>
      <c r="L189" s="27">
        <f t="shared" si="16"/>
        <v>6374115</v>
      </c>
      <c r="M189" s="27">
        <f t="shared" si="17"/>
        <v>6374115</v>
      </c>
    </row>
    <row r="190" spans="1:13" ht="16.5" hidden="1" outlineLevel="1">
      <c r="A190" s="38"/>
      <c r="B190" s="39" t="s">
        <v>28</v>
      </c>
      <c r="C190" s="36">
        <v>2816424</v>
      </c>
      <c r="D190" s="36">
        <v>0</v>
      </c>
      <c r="E190" s="36"/>
      <c r="F190" s="36">
        <v>14886549.630000001</v>
      </c>
      <c r="G190" s="37">
        <f t="shared" si="19"/>
        <v>0.18919253084168167</v>
      </c>
      <c r="H190" s="23">
        <f t="shared" si="20"/>
        <v>0</v>
      </c>
      <c r="I190" s="24">
        <f t="shared" si="20"/>
        <v>0</v>
      </c>
      <c r="J190" s="32" t="str" cm="1">
        <f t="array" ref="J190">IFERROR(_xlfn.IFS(B190="044 - BLEND TRADICION","BLEND",B190="113 - CAFÉ GOURMET","GOURMET",B190="114 - CAFÉ CONSUMO","CONSUMO",B190="112 - CAFÉ ORGANICO","GOURMET",B190="172 - CAFÉ COSECHA","ESPECIALES",B190="176 - CAFE DESCAFEINADO","GOURMET",B190="147 - CAPSULAS","CAPSULAS",B190="130 - GALLETAS CAFECITAS","DERIVADOS",B190="140 - MERENGUES","DERIVADOS",B190="100 - CAFÉ ESPECIAL","ESPECIALES",B190="141 - AREQUIPE","DERIVADOS",B190="142 - MERMELADA","DERIVADOS",B190="131 - GALLETAS AVENA","DERIVADOS",B190="160 - SOUVENIR","OTROS",B190="148 - CARAMELOS","DERIVADOS",B190="143 - CHOCOFFES","DERIVADOS",B190="162 - CONVENIOS Y DSC POS ","OTROS"),"OTROS")</f>
        <v>OTROS</v>
      </c>
      <c r="L190" s="27">
        <f t="shared" si="16"/>
        <v>2816424</v>
      </c>
      <c r="M190" s="27">
        <f t="shared" si="17"/>
        <v>2816424</v>
      </c>
    </row>
    <row r="191" spans="1:13" ht="16.5" hidden="1" outlineLevel="1">
      <c r="A191" s="38"/>
      <c r="B191" s="39" t="s">
        <v>29</v>
      </c>
      <c r="C191" s="36">
        <v>2614207</v>
      </c>
      <c r="D191" s="36">
        <v>0</v>
      </c>
      <c r="E191" s="36"/>
      <c r="F191" s="36">
        <v>8209679.5599999996</v>
      </c>
      <c r="G191" s="37">
        <f t="shared" si="19"/>
        <v>0.31842984624359688</v>
      </c>
      <c r="H191" s="23">
        <f t="shared" si="20"/>
        <v>0</v>
      </c>
      <c r="I191" s="24">
        <f t="shared" si="20"/>
        <v>0</v>
      </c>
      <c r="J191" s="32" t="str" cm="1">
        <f t="array" ref="J191">IFERROR(_xlfn.IFS(B191="044 - BLEND TRADICION","BLEND",B191="113 - CAFÉ GOURMET","GOURMET",B191="114 - CAFÉ CONSUMO","CONSUMO",B191="112 - CAFÉ ORGANICO","GOURMET",B191="172 - CAFÉ COSECHA","ESPECIALES",B191="176 - CAFE DESCAFEINADO","GOURMET",B191="147 - CAPSULAS","CAPSULAS",B191="130 - GALLETAS CAFECITAS","DERIVADOS",B191="140 - MERENGUES","DERIVADOS",B191="100 - CAFÉ ESPECIAL","ESPECIALES",B191="141 - AREQUIPE","DERIVADOS",B191="142 - MERMELADA","DERIVADOS",B191="131 - GALLETAS AVENA","DERIVADOS",B191="160 - SOUVENIR","OTROS",B191="148 - CARAMELOS","DERIVADOS",B191="143 - CHOCOFFES","DERIVADOS",B191="162 - CONVENIOS Y DSC POS ","OTROS"),"OTROS")</f>
        <v>ESPECIALES</v>
      </c>
      <c r="L191" s="27">
        <f t="shared" si="16"/>
        <v>2614207</v>
      </c>
      <c r="M191" s="27">
        <f t="shared" si="17"/>
        <v>2614207</v>
      </c>
    </row>
    <row r="192" spans="1:13" ht="16.5" hidden="1" outlineLevel="1">
      <c r="A192" s="38"/>
      <c r="B192" s="39" t="s">
        <v>30</v>
      </c>
      <c r="C192" s="36">
        <v>272027</v>
      </c>
      <c r="D192" s="36">
        <v>0</v>
      </c>
      <c r="E192" s="36"/>
      <c r="F192" s="36">
        <v>1016149.79</v>
      </c>
      <c r="G192" s="37">
        <f t="shared" si="19"/>
        <v>0.26770364239311606</v>
      </c>
      <c r="H192" s="23">
        <f t="shared" ref="H192:I248" si="21">IFERROR(+D192/L192*100%,0)</f>
        <v>0</v>
      </c>
      <c r="I192" s="24">
        <f t="shared" si="21"/>
        <v>0</v>
      </c>
      <c r="J192" s="32" t="str" cm="1">
        <f t="array" ref="J192">IFERROR(_xlfn.IFS(B192="044 - BLEND TRADICION","BLEND",B192="113 - CAFÉ GOURMET","GOURMET",B192="114 - CAFÉ CONSUMO","CONSUMO",B192="112 - CAFÉ ORGANICO","GOURMET",B192="172 - CAFÉ COSECHA","ESPECIALES",B192="176 - CAFE DESCAFEINADO","GOURMET",B192="147 - CAPSULAS","CAPSULAS",B192="130 - GALLETAS CAFECITAS","DERIVADOS",B192="140 - MERENGUES","DERIVADOS",B192="100 - CAFÉ ESPECIAL","ESPECIALES",B192="141 - AREQUIPE","DERIVADOS",B192="142 - MERMELADA","DERIVADOS",B192="131 - GALLETAS AVENA","DERIVADOS",B192="160 - SOUVENIR","OTROS",B192="148 - CARAMELOS","DERIVADOS",B192="143 - CHOCOFFES","DERIVADOS",B192="162 - CONVENIOS Y DSC POS ","OTROS"),"OTROS")</f>
        <v>GOURMET</v>
      </c>
      <c r="L192" s="27">
        <f t="shared" si="16"/>
        <v>272027</v>
      </c>
      <c r="M192" s="27">
        <f t="shared" si="17"/>
        <v>272027</v>
      </c>
    </row>
    <row r="193" spans="1:13" ht="16.5" hidden="1" outlineLevel="1">
      <c r="A193" s="19" t="s">
        <v>54</v>
      </c>
      <c r="B193" s="56" t="s">
        <v>32</v>
      </c>
      <c r="C193" s="54">
        <f>SUM(C179:C192)</f>
        <v>55285823</v>
      </c>
      <c r="D193" s="54">
        <f>SUM(D179:D192)</f>
        <v>0</v>
      </c>
      <c r="E193" s="54">
        <f>SUM(E179:E192)</f>
        <v>0</v>
      </c>
      <c r="F193" s="58">
        <f>SUM(F179:F192)</f>
        <v>179945706.40000001</v>
      </c>
      <c r="G193" s="55">
        <f t="shared" si="19"/>
        <v>0.30723613308730768</v>
      </c>
      <c r="H193" s="23">
        <f t="shared" si="21"/>
        <v>0</v>
      </c>
      <c r="I193" s="24">
        <f t="shared" si="21"/>
        <v>0</v>
      </c>
      <c r="J193" s="32" t="str" cm="1">
        <f t="array" ref="J193">IFERROR(_xlfn.IFS(B193="044 - BLEND TRADICION","BLEND",B193="113 - CAFÉ GOURMET","GOURMET",B193="114 - CAFÉ CONSUMO","CONSUMO",B193="112 - CAFÉ ORGANICO","GOURMET",B193="172 - CAFÉ COSECHA","ESPECIALES",B193="176 - CAFE DESCAFEINADO","GOURMET",B193="147 - CAPSULAS","CAPSULAS",B193="130 - GALLETAS CAFECITAS","DERIVADOS",B193="140 - MERENGUES","DERIVADOS",B193="100 - CAFÉ ESPECIAL","ESPECIALES",B193="141 - AREQUIPE","DERIVADOS",B193="142 - MERMELADA","DERIVADOS",B193="131 - GALLETAS AVENA","DERIVADOS",B193="160 - SOUVENIR","OTROS",B193="148 - CARAMELOS","DERIVADOS",B193="143 - CHOCOFFES","DERIVADOS",B193="162 - CONVENIOS Y DSC POS ","OTROS"),"OTROS")</f>
        <v>OTROS</v>
      </c>
      <c r="L193" s="27">
        <f t="shared" si="16"/>
        <v>55285823</v>
      </c>
      <c r="M193" s="27">
        <f t="shared" si="17"/>
        <v>55285823</v>
      </c>
    </row>
    <row r="194" spans="1:13" ht="16.5" collapsed="1">
      <c r="A194" s="28" t="s">
        <v>55</v>
      </c>
      <c r="B194" s="29" t="s">
        <v>17</v>
      </c>
      <c r="C194" s="30">
        <f>+C209</f>
        <v>71246101</v>
      </c>
      <c r="D194" s="30">
        <f t="shared" ref="D194:E194" si="22">+D209</f>
        <v>0</v>
      </c>
      <c r="E194" s="30">
        <f t="shared" si="22"/>
        <v>0</v>
      </c>
      <c r="F194" s="30">
        <f>+F209</f>
        <v>251466278.25</v>
      </c>
      <c r="G194" s="31">
        <f t="shared" si="19"/>
        <v>0.28332268444029435</v>
      </c>
      <c r="H194" s="23">
        <f t="shared" si="21"/>
        <v>0</v>
      </c>
      <c r="I194" s="24">
        <f t="shared" si="21"/>
        <v>0</v>
      </c>
      <c r="J194" s="32" t="str" cm="1">
        <f t="array" ref="J194">IFERROR(_xlfn.IFS(B194="044 - BLEND TRADICION","BLEND",B194="113 - CAFÉ GOURMET","GOURMET",B194="114 - CAFÉ CONSUMO","CONSUMO",B194="112 - CAFÉ ORGANICO","GOURMET",B194="172 - CAFÉ COSECHA","ESPECIALES",B194="176 - CAFE DESCAFEINADO","GOURMET",B194="147 - CAPSULAS","CAPSULAS",B194="130 - GALLETAS CAFECITAS","DERIVADOS",B194="140 - MERENGUES","DERIVADOS",B194="100 - CAFÉ ESPECIAL","ESPECIALES",B194="141 - AREQUIPE","DERIVADOS",B194="142 - MERMELADA","DERIVADOS",B194="131 - GALLETAS AVENA","DERIVADOS",B194="160 - SOUVENIR","OTROS",B194="148 - CARAMELOS","DERIVADOS",B194="143 - CHOCOFFES","DERIVADOS",B194="162 - CONVENIOS Y DSC POS ","OTROS"),"OTROS")</f>
        <v>OTROS</v>
      </c>
      <c r="L194" s="27">
        <f t="shared" si="16"/>
        <v>71246101</v>
      </c>
      <c r="M194" s="27">
        <f t="shared" si="17"/>
        <v>71246101</v>
      </c>
    </row>
    <row r="195" spans="1:13" ht="16.5" hidden="1" outlineLevel="1">
      <c r="A195" s="38"/>
      <c r="B195" s="39" t="s">
        <v>34</v>
      </c>
      <c r="C195" s="36">
        <v>2116004</v>
      </c>
      <c r="D195" s="36">
        <v>0</v>
      </c>
      <c r="E195" s="36">
        <v>0</v>
      </c>
      <c r="F195" s="36">
        <v>4405498.4400000004</v>
      </c>
      <c r="G195" s="37">
        <f t="shared" si="19"/>
        <v>0.48030978306282179</v>
      </c>
      <c r="H195" s="23">
        <f t="shared" si="21"/>
        <v>0</v>
      </c>
      <c r="I195" s="24">
        <f t="shared" si="21"/>
        <v>0</v>
      </c>
      <c r="J195" s="32" t="str" cm="1">
        <f t="array" ref="J195">IFERROR(_xlfn.IFS(B195="044 - BLEND TRADICION","BLEND",B195="113 - CAFÉ GOURMET","GOURMET",B195="114 - CAFÉ CONSUMO","CONSUMO",B195="112 - CAFÉ ORGANICO","GOURMET",B195="172 - CAFÉ COSECHA","ESPECIALES",B195="176 - CAFE DESCAFEINADO","GOURMET",B195="147 - CAPSULAS","CAPSULAS",B195="130 - GALLETAS CAFECITAS","DERIVADOS",B195="140 - MERENGUES","DERIVADOS",B195="100 - CAFÉ ESPECIAL","ESPECIALES",B195="141 - AREQUIPE","DERIVADOS",B195="142 - MERMELADA","DERIVADOS",B195="131 - GALLETAS AVENA","DERIVADOS",B195="160 - SOUVENIR","OTROS",B195="148 - CARAMELOS","DERIVADOS",B195="143 - CHOCOFFES","DERIVADOS",B195="162 - CONVENIOS Y DSC POS ","OTROS"),"OTROS")</f>
        <v>OTROS</v>
      </c>
      <c r="K195" s="62"/>
      <c r="L195" s="27">
        <f t="shared" si="16"/>
        <v>2116004</v>
      </c>
      <c r="M195" s="27">
        <f t="shared" si="17"/>
        <v>2116004</v>
      </c>
    </row>
    <row r="196" spans="1:13" ht="16.5" hidden="1" outlineLevel="1">
      <c r="A196" s="38"/>
      <c r="B196" s="39" t="s">
        <v>18</v>
      </c>
      <c r="C196" s="36">
        <v>523500</v>
      </c>
      <c r="D196" s="36">
        <v>0</v>
      </c>
      <c r="E196" s="36"/>
      <c r="F196" s="36">
        <v>1752263.11</v>
      </c>
      <c r="G196" s="37">
        <f t="shared" si="19"/>
        <v>0.29875650352531818</v>
      </c>
      <c r="H196" s="23">
        <f t="shared" si="21"/>
        <v>0</v>
      </c>
      <c r="I196" s="24">
        <f t="shared" si="21"/>
        <v>0</v>
      </c>
      <c r="J196" s="32" t="str" cm="1">
        <f t="array" ref="J196">IFERROR(_xlfn.IFS(B196="044 - BLEND TRADICION","BLEND",B196="113 - CAFÉ GOURMET","GOURMET",B196="114 - CAFÉ CONSUMO","CONSUMO",B196="112 - CAFÉ ORGANICO","GOURMET",B196="172 - CAFÉ COSECHA","ESPECIALES",B196="176 - CAFE DESCAFEINADO","GOURMET",B196="147 - CAPSULAS","CAPSULAS",B196="130 - GALLETAS CAFECITAS","DERIVADOS",B196="140 - MERENGUES","DERIVADOS",B196="100 - CAFÉ ESPECIAL","ESPECIALES",B196="141 - AREQUIPE","DERIVADOS",B196="142 - MERMELADA","DERIVADOS",B196="131 - GALLETAS AVENA","DERIVADOS",B196="160 - SOUVENIR","OTROS",B196="148 - CARAMELOS","DERIVADOS",B196="143 - CHOCOFFES","DERIVADOS",B196="162 - CONVENIOS Y DSC POS ","OTROS"),"OTROS")</f>
        <v>BLEND</v>
      </c>
      <c r="K196" s="62"/>
      <c r="L196" s="27">
        <f t="shared" si="16"/>
        <v>523500</v>
      </c>
      <c r="M196" s="27">
        <f t="shared" si="17"/>
        <v>523500</v>
      </c>
    </row>
    <row r="197" spans="1:13" ht="16.5" hidden="1" outlineLevel="1">
      <c r="A197" s="38"/>
      <c r="B197" s="39" t="s">
        <v>19</v>
      </c>
      <c r="C197" s="36">
        <v>1432109</v>
      </c>
      <c r="D197" s="36">
        <v>0</v>
      </c>
      <c r="E197" s="36"/>
      <c r="F197" s="36">
        <v>5187386.37</v>
      </c>
      <c r="G197" s="37">
        <f t="shared" si="19"/>
        <v>0.27607525213125778</v>
      </c>
      <c r="H197" s="23">
        <f t="shared" si="21"/>
        <v>0</v>
      </c>
      <c r="I197" s="24">
        <f t="shared" si="21"/>
        <v>0</v>
      </c>
      <c r="J197" s="32" t="str" cm="1">
        <f t="array" ref="J197">IFERROR(_xlfn.IFS(B197="044 - BLEND TRADICION","BLEND",B197="113 - CAFÉ GOURMET","GOURMET",B197="114 - CAFÉ CONSUMO","CONSUMO",B197="112 - CAFÉ ORGANICO","GOURMET",B197="172 - CAFÉ COSECHA","ESPECIALES",B197="176 - CAFE DESCAFEINADO","GOURMET",B197="147 - CAPSULAS","CAPSULAS",B197="130 - GALLETAS CAFECITAS","DERIVADOS",B197="140 - MERENGUES","DERIVADOS",B197="100 - CAFÉ ESPECIAL","ESPECIALES",B197="141 - AREQUIPE","DERIVADOS",B197="142 - MERMELADA","DERIVADOS",B197="131 - GALLETAS AVENA","DERIVADOS",B197="160 - SOUVENIR","OTROS",B197="148 - CARAMELOS","DERIVADOS",B197="143 - CHOCOFFES","DERIVADOS",B197="162 - CONVENIOS Y DSC POS ","OTROS"),"OTROS")</f>
        <v>ESPECIALES</v>
      </c>
      <c r="K197" s="62"/>
      <c r="L197" s="27">
        <f t="shared" si="16"/>
        <v>1432109</v>
      </c>
      <c r="M197" s="27">
        <f t="shared" si="17"/>
        <v>1432109</v>
      </c>
    </row>
    <row r="198" spans="1:13" ht="16.5" hidden="1" outlineLevel="1">
      <c r="A198" s="38"/>
      <c r="B198" s="39" t="s">
        <v>20</v>
      </c>
      <c r="C198" s="36">
        <v>924209</v>
      </c>
      <c r="D198" s="36">
        <v>0</v>
      </c>
      <c r="E198" s="36"/>
      <c r="F198" s="36">
        <v>7440163.29</v>
      </c>
      <c r="G198" s="37">
        <f t="shared" si="19"/>
        <v>0.12421891348032497</v>
      </c>
      <c r="H198" s="23">
        <f t="shared" si="21"/>
        <v>0</v>
      </c>
      <c r="I198" s="24">
        <f t="shared" si="21"/>
        <v>0</v>
      </c>
      <c r="J198" s="32" t="str" cm="1">
        <f t="array" ref="J198">IFERROR(_xlfn.IFS(B198="044 - BLEND TRADICION","BLEND",B198="113 - CAFÉ GOURMET","GOURMET",B198="114 - CAFÉ CONSUMO","CONSUMO",B198="112 - CAFÉ ORGANICO","GOURMET",B198="172 - CAFÉ COSECHA","ESPECIALES",B198="176 - CAFE DESCAFEINADO","GOURMET",B198="147 - CAPSULAS","CAPSULAS",B198="130 - GALLETAS CAFECITAS","DERIVADOS",B198="140 - MERENGUES","DERIVADOS",B198="100 - CAFÉ ESPECIAL","ESPECIALES",B198="141 - AREQUIPE","DERIVADOS",B198="142 - MERMELADA","DERIVADOS",B198="131 - GALLETAS AVENA","DERIVADOS",B198="160 - SOUVENIR","OTROS",B198="148 - CARAMELOS","DERIVADOS",B198="143 - CHOCOFFES","DERIVADOS",B198="162 - CONVENIOS Y DSC POS ","OTROS"),"OTROS")</f>
        <v>GOURMET</v>
      </c>
      <c r="K198" s="62"/>
      <c r="L198" s="27">
        <f t="shared" si="16"/>
        <v>924209</v>
      </c>
      <c r="M198" s="27">
        <f t="shared" si="17"/>
        <v>924209</v>
      </c>
    </row>
    <row r="199" spans="1:13" ht="16.5" hidden="1" outlineLevel="1">
      <c r="A199" s="38"/>
      <c r="B199" s="39" t="s">
        <v>21</v>
      </c>
      <c r="C199" s="36">
        <v>38066026</v>
      </c>
      <c r="D199" s="36">
        <v>0</v>
      </c>
      <c r="E199" s="36"/>
      <c r="F199" s="36">
        <v>142013899.65000001</v>
      </c>
      <c r="G199" s="37">
        <f t="shared" si="19"/>
        <v>0.26804436814857929</v>
      </c>
      <c r="H199" s="23">
        <f t="shared" si="21"/>
        <v>0</v>
      </c>
      <c r="I199" s="24">
        <f t="shared" si="21"/>
        <v>0</v>
      </c>
      <c r="J199" s="32" t="str" cm="1">
        <f t="array" ref="J199">IFERROR(_xlfn.IFS(B199="044 - BLEND TRADICION","BLEND",B199="113 - CAFÉ GOURMET","GOURMET",B199="114 - CAFÉ CONSUMO","CONSUMO",B199="112 - CAFÉ ORGANICO","GOURMET",B199="172 - CAFÉ COSECHA","ESPECIALES",B199="176 - CAFE DESCAFEINADO","GOURMET",B199="147 - CAPSULAS","CAPSULAS",B199="130 - GALLETAS CAFECITAS","DERIVADOS",B199="140 - MERENGUES","DERIVADOS",B199="100 - CAFÉ ESPECIAL","ESPECIALES",B199="141 - AREQUIPE","DERIVADOS",B199="142 - MERMELADA","DERIVADOS",B199="131 - GALLETAS AVENA","DERIVADOS",B199="160 - SOUVENIR","OTROS",B199="148 - CARAMELOS","DERIVADOS",B199="143 - CHOCOFFES","DERIVADOS",B199="162 - CONVENIOS Y DSC POS ","OTROS"),"OTROS")</f>
        <v>GOURMET</v>
      </c>
      <c r="K199" s="62"/>
      <c r="L199" s="27">
        <f t="shared" ref="L199:L238" si="23">C199-(D199+E199)</f>
        <v>38066026</v>
      </c>
      <c r="M199" s="27">
        <f t="shared" ref="M199:M248" si="24">L199</f>
        <v>38066026</v>
      </c>
    </row>
    <row r="200" spans="1:13" ht="16.5" hidden="1" outlineLevel="1">
      <c r="A200" s="38"/>
      <c r="B200" s="39" t="s">
        <v>22</v>
      </c>
      <c r="C200" s="36">
        <v>405773</v>
      </c>
      <c r="D200" s="36">
        <v>0</v>
      </c>
      <c r="E200" s="36"/>
      <c r="F200" s="36">
        <v>2033308.06</v>
      </c>
      <c r="G200" s="37">
        <f t="shared" si="19"/>
        <v>0.19956297227287831</v>
      </c>
      <c r="H200" s="23">
        <f t="shared" si="21"/>
        <v>0</v>
      </c>
      <c r="I200" s="24">
        <f t="shared" si="21"/>
        <v>0</v>
      </c>
      <c r="J200" s="32" t="str" cm="1">
        <f t="array" ref="J200">IFERROR(_xlfn.IFS(B200="044 - BLEND TRADICION","BLEND",B200="113 - CAFÉ GOURMET","GOURMET",B200="114 - CAFÉ CONSUMO","CONSUMO",B200="112 - CAFÉ ORGANICO","GOURMET",B200="172 - CAFÉ COSECHA","ESPECIALES",B200="176 - CAFE DESCAFEINADO","GOURMET",B200="147 - CAPSULAS","CAPSULAS",B200="130 - GALLETAS CAFECITAS","DERIVADOS",B200="140 - MERENGUES","DERIVADOS",B200="100 - CAFÉ ESPECIAL","ESPECIALES",B200="141 - AREQUIPE","DERIVADOS",B200="142 - MERMELADA","DERIVADOS",B200="131 - GALLETAS AVENA","DERIVADOS",B200="160 - SOUVENIR","OTROS",B200="148 - CARAMELOS","DERIVADOS",B200="143 - CHOCOFFES","DERIVADOS",B200="162 - CONVENIOS Y DSC POS ","OTROS"),"OTROS")</f>
        <v>DERIVADOS</v>
      </c>
      <c r="K200" s="62"/>
      <c r="L200" s="27">
        <f t="shared" si="23"/>
        <v>405773</v>
      </c>
      <c r="M200" s="27">
        <f t="shared" si="24"/>
        <v>405773</v>
      </c>
    </row>
    <row r="201" spans="1:13" ht="16.5" hidden="1" outlineLevel="1">
      <c r="A201" s="38"/>
      <c r="B201" s="39" t="s">
        <v>24</v>
      </c>
      <c r="C201" s="36">
        <v>0</v>
      </c>
      <c r="D201" s="36">
        <v>0</v>
      </c>
      <c r="E201" s="36"/>
      <c r="F201" s="36">
        <v>5794.52</v>
      </c>
      <c r="G201" s="37">
        <f t="shared" si="19"/>
        <v>0</v>
      </c>
      <c r="H201" s="23">
        <f t="shared" si="21"/>
        <v>0</v>
      </c>
      <c r="I201" s="24">
        <f t="shared" si="21"/>
        <v>0</v>
      </c>
      <c r="J201" s="32" t="str" cm="1">
        <f t="array" ref="J201">IFERROR(_xlfn.IFS(B201="044 - BLEND TRADICION","BLEND",B201="113 - CAFÉ GOURMET","GOURMET",B201="114 - CAFÉ CONSUMO","CONSUMO",B201="112 - CAFÉ ORGANICO","GOURMET",B201="172 - CAFÉ COSECHA","ESPECIALES",B201="176 - CAFE DESCAFEINADO","GOURMET",B201="147 - CAPSULAS","CAPSULAS",B201="130 - GALLETAS CAFECITAS","DERIVADOS",B201="140 - MERENGUES","DERIVADOS",B201="100 - CAFÉ ESPECIAL","ESPECIALES",B201="141 - AREQUIPE","DERIVADOS",B201="142 - MERMELADA","DERIVADOS",B201="131 - GALLETAS AVENA","DERIVADOS",B201="160 - SOUVENIR","OTROS",B201="148 - CARAMELOS","DERIVADOS",B201="143 - CHOCOFFES","DERIVADOS",B201="162 - CONVENIOS Y DSC POS ","OTROS"),"OTROS")</f>
        <v>DERIVADOS</v>
      </c>
      <c r="K201" s="62"/>
      <c r="L201" s="27">
        <f t="shared" si="23"/>
        <v>0</v>
      </c>
      <c r="M201" s="27">
        <f t="shared" si="24"/>
        <v>0</v>
      </c>
    </row>
    <row r="202" spans="1:13" ht="16.5" hidden="1" outlineLevel="1">
      <c r="A202" s="38"/>
      <c r="B202" s="39" t="s">
        <v>25</v>
      </c>
      <c r="C202" s="36">
        <v>870428</v>
      </c>
      <c r="D202" s="36">
        <v>0</v>
      </c>
      <c r="E202" s="36"/>
      <c r="F202" s="36">
        <v>3644356.83</v>
      </c>
      <c r="G202" s="37">
        <f t="shared" si="19"/>
        <v>0.23884269312892722</v>
      </c>
      <c r="H202" s="23">
        <f t="shared" si="21"/>
        <v>0</v>
      </c>
      <c r="I202" s="24">
        <f t="shared" si="21"/>
        <v>0</v>
      </c>
      <c r="J202" s="32" t="str" cm="1">
        <f t="array" ref="J202">IFERROR(_xlfn.IFS(B202="044 - BLEND TRADICION","BLEND",B202="113 - CAFÉ GOURMET","GOURMET",B202="114 - CAFÉ CONSUMO","CONSUMO",B202="112 - CAFÉ ORGANICO","GOURMET",B202="172 - CAFÉ COSECHA","ESPECIALES",B202="176 - CAFE DESCAFEINADO","GOURMET",B202="147 - CAPSULAS","CAPSULAS",B202="130 - GALLETAS CAFECITAS","DERIVADOS",B202="140 - MERENGUES","DERIVADOS",B202="100 - CAFÉ ESPECIAL","ESPECIALES",B202="141 - AREQUIPE","DERIVADOS",B202="142 - MERMELADA","DERIVADOS",B202="131 - GALLETAS AVENA","DERIVADOS",B202="160 - SOUVENIR","OTROS",B202="148 - CARAMELOS","DERIVADOS",B202="143 - CHOCOFFES","DERIVADOS",B202="162 - CONVENIOS Y DSC POS ","OTROS"),"OTROS")</f>
        <v>DERIVADOS</v>
      </c>
      <c r="K202" s="62"/>
      <c r="L202" s="27">
        <f t="shared" si="23"/>
        <v>870428</v>
      </c>
      <c r="M202" s="27">
        <f t="shared" si="24"/>
        <v>870428</v>
      </c>
    </row>
    <row r="203" spans="1:13" ht="16.5" hidden="1" outlineLevel="1">
      <c r="A203" s="38"/>
      <c r="B203" s="39" t="s">
        <v>26</v>
      </c>
      <c r="C203" s="36">
        <v>22090437</v>
      </c>
      <c r="D203" s="36">
        <v>0</v>
      </c>
      <c r="E203" s="36"/>
      <c r="F203" s="36">
        <v>59490908.259999998</v>
      </c>
      <c r="G203" s="37">
        <f t="shared" si="19"/>
        <v>0.3713245880102487</v>
      </c>
      <c r="H203" s="23">
        <f t="shared" si="21"/>
        <v>0</v>
      </c>
      <c r="I203" s="24">
        <f t="shared" si="21"/>
        <v>0</v>
      </c>
      <c r="J203" s="32" t="str" cm="1">
        <f t="array" ref="J203">IFERROR(_xlfn.IFS(B203="044 - BLEND TRADICION","BLEND",B203="113 - CAFÉ GOURMET","GOURMET",B203="114 - CAFÉ CONSUMO","CONSUMO",B203="112 - CAFÉ ORGANICO","GOURMET",B203="172 - CAFÉ COSECHA","ESPECIALES",B203="176 - CAFE DESCAFEINADO","GOURMET",B203="147 - CAPSULAS","CAPSULAS",B203="130 - GALLETAS CAFECITAS","DERIVADOS",B203="140 - MERENGUES","DERIVADOS",B203="100 - CAFÉ ESPECIAL","ESPECIALES",B203="141 - AREQUIPE","DERIVADOS",B203="142 - MERMELADA","DERIVADOS",B203="131 - GALLETAS AVENA","DERIVADOS",B203="160 - SOUVENIR","OTROS",B203="148 - CARAMELOS","DERIVADOS",B203="143 - CHOCOFFES","DERIVADOS",B203="162 - CONVENIOS Y DSC POS ","OTROS"),"OTROS")</f>
        <v>CAPSULAS</v>
      </c>
      <c r="K203" s="62"/>
      <c r="L203" s="27">
        <f t="shared" si="23"/>
        <v>22090437</v>
      </c>
      <c r="M203" s="27">
        <f t="shared" si="24"/>
        <v>22090437</v>
      </c>
    </row>
    <row r="204" spans="1:13" ht="16.5" hidden="1" outlineLevel="1">
      <c r="A204" s="38"/>
      <c r="B204" s="39" t="s">
        <v>27</v>
      </c>
      <c r="C204" s="36">
        <v>95547</v>
      </c>
      <c r="D204" s="36">
        <v>0</v>
      </c>
      <c r="E204" s="36"/>
      <c r="F204" s="36">
        <v>3108564.42</v>
      </c>
      <c r="G204" s="37">
        <f t="shared" si="19"/>
        <v>3.0736696137054802E-2</v>
      </c>
      <c r="H204" s="23">
        <f t="shared" si="21"/>
        <v>0</v>
      </c>
      <c r="I204" s="24">
        <f t="shared" si="21"/>
        <v>0</v>
      </c>
      <c r="J204" s="32" t="str" cm="1">
        <f t="array" ref="J204">IFERROR(_xlfn.IFS(B204="044 - BLEND TRADICION","BLEND",B204="113 - CAFÉ GOURMET","GOURMET",B204="114 - CAFÉ CONSUMO","CONSUMO",B204="112 - CAFÉ ORGANICO","GOURMET",B204="172 - CAFÉ COSECHA","ESPECIALES",B204="176 - CAFE DESCAFEINADO","GOURMET",B204="147 - CAPSULAS","CAPSULAS",B204="130 - GALLETAS CAFECITAS","DERIVADOS",B204="140 - MERENGUES","DERIVADOS",B204="100 - CAFÉ ESPECIAL","ESPECIALES",B204="141 - AREQUIPE","DERIVADOS",B204="142 - MERMELADA","DERIVADOS",B204="131 - GALLETAS AVENA","DERIVADOS",B204="160 - SOUVENIR","OTROS",B204="148 - CARAMELOS","DERIVADOS",B204="143 - CHOCOFFES","DERIVADOS",B204="162 - CONVENIOS Y DSC POS ","OTROS"),"OTROS")</f>
        <v>DERIVADOS</v>
      </c>
      <c r="K204" s="62"/>
      <c r="L204" s="27">
        <f t="shared" si="23"/>
        <v>95547</v>
      </c>
      <c r="M204" s="27">
        <f t="shared" si="24"/>
        <v>95547</v>
      </c>
    </row>
    <row r="205" spans="1:13" ht="16.5" hidden="1" outlineLevel="1">
      <c r="A205" s="38"/>
      <c r="B205" s="39" t="s">
        <v>28</v>
      </c>
      <c r="C205" s="36">
        <v>1063757</v>
      </c>
      <c r="D205" s="36">
        <v>0</v>
      </c>
      <c r="E205" s="36"/>
      <c r="F205" s="36">
        <v>7821246.9800000004</v>
      </c>
      <c r="G205" s="37">
        <f t="shared" si="19"/>
        <v>0.13600861892229874</v>
      </c>
      <c r="H205" s="23">
        <f t="shared" si="21"/>
        <v>0</v>
      </c>
      <c r="I205" s="24">
        <f t="shared" si="21"/>
        <v>0</v>
      </c>
      <c r="J205" s="32" t="str" cm="1">
        <f t="array" ref="J205">IFERROR(_xlfn.IFS(B205="044 - BLEND TRADICION","BLEND",B205="113 - CAFÉ GOURMET","GOURMET",B205="114 - CAFÉ CONSUMO","CONSUMO",B205="112 - CAFÉ ORGANICO","GOURMET",B205="172 - CAFÉ COSECHA","ESPECIALES",B205="176 - CAFE DESCAFEINADO","GOURMET",B205="147 - CAPSULAS","CAPSULAS",B205="130 - GALLETAS CAFECITAS","DERIVADOS",B205="140 - MERENGUES","DERIVADOS",B205="100 - CAFÉ ESPECIAL","ESPECIALES",B205="141 - AREQUIPE","DERIVADOS",B205="142 - MERMELADA","DERIVADOS",B205="131 - GALLETAS AVENA","DERIVADOS",B205="160 - SOUVENIR","OTROS",B205="148 - CARAMELOS","DERIVADOS",B205="143 - CHOCOFFES","DERIVADOS",B205="162 - CONVENIOS Y DSC POS ","OTROS"),"OTROS")</f>
        <v>OTROS</v>
      </c>
      <c r="K205" s="62"/>
      <c r="L205" s="27">
        <f t="shared" si="23"/>
        <v>1063757</v>
      </c>
      <c r="M205" s="27">
        <f t="shared" si="24"/>
        <v>1063757</v>
      </c>
    </row>
    <row r="206" spans="1:13" ht="16.5" hidden="1" outlineLevel="1">
      <c r="A206" s="38"/>
      <c r="B206" s="39" t="s">
        <v>29</v>
      </c>
      <c r="C206" s="36">
        <v>1798709</v>
      </c>
      <c r="D206" s="36">
        <v>0</v>
      </c>
      <c r="E206" s="36"/>
      <c r="F206" s="36">
        <v>12404965.970000001</v>
      </c>
      <c r="G206" s="37">
        <f t="shared" si="19"/>
        <v>0.14499910796611398</v>
      </c>
      <c r="H206" s="23">
        <f t="shared" si="21"/>
        <v>0</v>
      </c>
      <c r="I206" s="24">
        <f t="shared" si="21"/>
        <v>0</v>
      </c>
      <c r="J206" s="32" t="str" cm="1">
        <f t="array" ref="J206">IFERROR(_xlfn.IFS(B206="044 - BLEND TRADICION","BLEND",B206="113 - CAFÉ GOURMET","GOURMET",B206="114 - CAFÉ CONSUMO","CONSUMO",B206="112 - CAFÉ ORGANICO","GOURMET",B206="172 - CAFÉ COSECHA","ESPECIALES",B206="176 - CAFE DESCAFEINADO","GOURMET",B206="147 - CAPSULAS","CAPSULAS",B206="130 - GALLETAS CAFECITAS","DERIVADOS",B206="140 - MERENGUES","DERIVADOS",B206="100 - CAFÉ ESPECIAL","ESPECIALES",B206="141 - AREQUIPE","DERIVADOS",B206="142 - MERMELADA","DERIVADOS",B206="131 - GALLETAS AVENA","DERIVADOS",B206="160 - SOUVENIR","OTROS",B206="148 - CARAMELOS","DERIVADOS",B206="143 - CHOCOFFES","DERIVADOS",B206="162 - CONVENIOS Y DSC POS ","OTROS"),"OTROS")</f>
        <v>ESPECIALES</v>
      </c>
      <c r="K206" s="62"/>
      <c r="L206" s="27">
        <f t="shared" si="23"/>
        <v>1798709</v>
      </c>
      <c r="M206" s="27">
        <f t="shared" si="24"/>
        <v>1798709</v>
      </c>
    </row>
    <row r="207" spans="1:13" ht="16.5" hidden="1" outlineLevel="1">
      <c r="A207" s="38"/>
      <c r="B207" s="39" t="s">
        <v>30</v>
      </c>
      <c r="C207" s="36">
        <v>1834602</v>
      </c>
      <c r="D207" s="36">
        <v>0</v>
      </c>
      <c r="E207" s="36"/>
      <c r="F207" s="36">
        <v>2157922.35</v>
      </c>
      <c r="G207" s="37">
        <f t="shared" si="19"/>
        <v>0.8501705355616711</v>
      </c>
      <c r="H207" s="23">
        <f t="shared" si="21"/>
        <v>0</v>
      </c>
      <c r="I207" s="24">
        <f t="shared" si="21"/>
        <v>0</v>
      </c>
      <c r="J207" s="32" t="str" cm="1">
        <f t="array" ref="J207">IFERROR(_xlfn.IFS(B207="044 - BLEND TRADICION","BLEND",B207="113 - CAFÉ GOURMET","GOURMET",B207="114 - CAFÉ CONSUMO","CONSUMO",B207="112 - CAFÉ ORGANICO","GOURMET",B207="172 - CAFÉ COSECHA","ESPECIALES",B207="176 - CAFE DESCAFEINADO","GOURMET",B207="147 - CAPSULAS","CAPSULAS",B207="130 - GALLETAS CAFECITAS","DERIVADOS",B207="140 - MERENGUES","DERIVADOS",B207="100 - CAFÉ ESPECIAL","ESPECIALES",B207="141 - AREQUIPE","DERIVADOS",B207="142 - MERMELADA","DERIVADOS",B207="131 - GALLETAS AVENA","DERIVADOS",B207="160 - SOUVENIR","OTROS",B207="148 - CARAMELOS","DERIVADOS",B207="143 - CHOCOFFES","DERIVADOS",B207="162 - CONVENIOS Y DSC POS ","OTROS"),"OTROS")</f>
        <v>GOURMET</v>
      </c>
      <c r="K207" s="62"/>
      <c r="L207" s="27">
        <f t="shared" si="23"/>
        <v>1834602</v>
      </c>
      <c r="M207" s="27">
        <f t="shared" si="24"/>
        <v>1834602</v>
      </c>
    </row>
    <row r="208" spans="1:13" ht="16.5" hidden="1" outlineLevel="1">
      <c r="A208" s="38"/>
      <c r="B208" s="39" t="s">
        <v>31</v>
      </c>
      <c r="C208" s="36">
        <v>25000</v>
      </c>
      <c r="D208" s="36">
        <v>0</v>
      </c>
      <c r="E208" s="36"/>
      <c r="F208" s="36">
        <v>0</v>
      </c>
      <c r="G208" s="37" t="str">
        <f t="shared" si="19"/>
        <v>-</v>
      </c>
      <c r="H208" s="23">
        <f t="shared" si="21"/>
        <v>0</v>
      </c>
      <c r="I208" s="24">
        <f t="shared" si="21"/>
        <v>0</v>
      </c>
      <c r="J208" s="32" t="str" cm="1">
        <f t="array" ref="J208">IFERROR(_xlfn.IFS(B208="044 - BLEND TRADICION","BLEND",B208="113 - CAFÉ GOURMET","GOURMET",B208="114 - CAFÉ CONSUMO","CONSUMO",B208="112 - CAFÉ ORGANICO","GOURMET",B208="172 - CAFÉ COSECHA","ESPECIALES",B208="176 - CAFE DESCAFEINADO","GOURMET",B208="147 - CAPSULAS","CAPSULAS",B208="130 - GALLETAS CAFECITAS","DERIVADOS",B208="140 - MERENGUES","DERIVADOS",B208="100 - CAFÉ ESPECIAL","ESPECIALES",B208="141 - AREQUIPE","DERIVADOS",B208="142 - MERMELADA","DERIVADOS",B208="131 - GALLETAS AVENA","DERIVADOS",B208="160 - SOUVENIR","OTROS",B208="148 - CARAMELOS","DERIVADOS",B208="143 - CHOCOFFES","DERIVADOS",B208="162 - CONVENIOS Y DSC POS ","OTROS"),"OTROS")</f>
        <v>OTROS</v>
      </c>
      <c r="K208" s="62"/>
      <c r="L208" s="27">
        <f t="shared" si="23"/>
        <v>25000</v>
      </c>
      <c r="M208" s="27">
        <f t="shared" si="24"/>
        <v>25000</v>
      </c>
    </row>
    <row r="209" spans="1:13" ht="16.5" hidden="1" outlineLevel="1">
      <c r="A209" s="19" t="s">
        <v>56</v>
      </c>
      <c r="B209" s="56" t="s">
        <v>32</v>
      </c>
      <c r="C209" s="54">
        <f>SUM(C195:C208)</f>
        <v>71246101</v>
      </c>
      <c r="D209" s="54">
        <f>SUM(D195:D208)</f>
        <v>0</v>
      </c>
      <c r="E209" s="54">
        <f>SUM(E195:E208)</f>
        <v>0</v>
      </c>
      <c r="F209" s="58">
        <f>SUM(F195:F208)</f>
        <v>251466278.25</v>
      </c>
      <c r="G209" s="55">
        <f t="shared" si="19"/>
        <v>0.28332268444029435</v>
      </c>
      <c r="H209" s="23">
        <f t="shared" si="21"/>
        <v>0</v>
      </c>
      <c r="I209" s="24">
        <f t="shared" si="21"/>
        <v>0</v>
      </c>
      <c r="J209" s="32" t="str" cm="1">
        <f t="array" ref="J209">IFERROR(_xlfn.IFS(B209="044 - BLEND TRADICION","BLEND",B209="113 - CAFÉ GOURMET","GOURMET",B209="114 - CAFÉ CONSUMO","CONSUMO",B209="112 - CAFÉ ORGANICO","GOURMET",B209="172 - CAFÉ COSECHA","ESPECIALES",B209="176 - CAFE DESCAFEINADO","GOURMET",B209="147 - CAPSULAS","CAPSULAS",B209="130 - GALLETAS CAFECITAS","DERIVADOS",B209="140 - MERENGUES","DERIVADOS",B209="100 - CAFÉ ESPECIAL","ESPECIALES",B209="141 - AREQUIPE","DERIVADOS",B209="142 - MERMELADA","DERIVADOS",B209="131 - GALLETAS AVENA","DERIVADOS",B209="160 - SOUVENIR","OTROS",B209="148 - CARAMELOS","DERIVADOS",B209="143 - CHOCOFFES","DERIVADOS",B209="162 - CONVENIOS Y DSC POS ","OTROS"),"OTROS")</f>
        <v>OTROS</v>
      </c>
      <c r="K209" s="62">
        <f>C209-E209</f>
        <v>71246101</v>
      </c>
      <c r="L209" s="27">
        <f t="shared" si="23"/>
        <v>71246101</v>
      </c>
      <c r="M209" s="27">
        <f t="shared" si="24"/>
        <v>71246101</v>
      </c>
    </row>
    <row r="210" spans="1:13" ht="16.5" collapsed="1">
      <c r="A210" s="28" t="s">
        <v>57</v>
      </c>
      <c r="B210" s="29" t="s">
        <v>17</v>
      </c>
      <c r="C210" s="30">
        <f>+C225</f>
        <v>73541540</v>
      </c>
      <c r="D210" s="30">
        <f>+D225</f>
        <v>0</v>
      </c>
      <c r="E210" s="30">
        <f>+E225</f>
        <v>0</v>
      </c>
      <c r="F210" s="30">
        <f>+F225</f>
        <v>242185563.47000003</v>
      </c>
      <c r="G210" s="31">
        <f t="shared" si="19"/>
        <v>0.30365781901409544</v>
      </c>
      <c r="H210" s="23">
        <f t="shared" si="21"/>
        <v>0</v>
      </c>
      <c r="I210" s="24">
        <f t="shared" si="21"/>
        <v>0</v>
      </c>
      <c r="J210" s="32" t="str" cm="1">
        <f t="array" ref="J210">IFERROR(_xlfn.IFS(B210="044 - BLEND TRADICION","BLEND",B210="113 - CAFÉ GOURMET","GOURMET",B210="114 - CAFÉ CONSUMO","CONSUMO",B210="112 - CAFÉ ORGANICO","GOURMET",B210="172 - CAFÉ COSECHA","ESPECIALES",B210="176 - CAFE DESCAFEINADO","GOURMET",B210="147 - CAPSULAS","CAPSULAS",B210="130 - GALLETAS CAFECITAS","DERIVADOS",B210="140 - MERENGUES","DERIVADOS",B210="100 - CAFÉ ESPECIAL","ESPECIALES",B210="141 - AREQUIPE","DERIVADOS",B210="142 - MERMELADA","DERIVADOS",B210="131 - GALLETAS AVENA","DERIVADOS",B210="160 - SOUVENIR","OTROS",B210="148 - CARAMELOS","DERIVADOS",B210="143 - CHOCOFFES","DERIVADOS",B210="162 - CONVENIOS Y DSC POS ","OTROS"),"OTROS")</f>
        <v>OTROS</v>
      </c>
      <c r="K210" s="62">
        <f>C210-E210</f>
        <v>73541540</v>
      </c>
      <c r="L210" s="27">
        <f t="shared" si="23"/>
        <v>73541540</v>
      </c>
      <c r="M210" s="27">
        <f t="shared" si="24"/>
        <v>73541540</v>
      </c>
    </row>
    <row r="211" spans="1:13" ht="15.75" hidden="1" customHeight="1" outlineLevel="1">
      <c r="A211" s="44"/>
      <c r="B211" s="45" t="s">
        <v>34</v>
      </c>
      <c r="C211" s="46">
        <v>71575</v>
      </c>
      <c r="D211" s="46">
        <v>0</v>
      </c>
      <c r="E211" s="46"/>
      <c r="F211" s="46">
        <v>183711.31</v>
      </c>
      <c r="G211" s="37">
        <f t="shared" si="19"/>
        <v>0.38960584408221793</v>
      </c>
      <c r="H211" s="23">
        <f t="shared" si="21"/>
        <v>0</v>
      </c>
      <c r="I211" s="24">
        <f t="shared" si="21"/>
        <v>0</v>
      </c>
      <c r="J211" s="32" t="str" cm="1">
        <f t="array" ref="J211">IFERROR(_xlfn.IFS(B211="044 - BLEND TRADICION","BLEND",B211="113 - CAFÉ GOURMET","GOURMET",B211="114 - CAFÉ CONSUMO","CONSUMO",B211="112 - CAFÉ ORGANICO","GOURMET",B211="172 - CAFÉ COSECHA","ESPECIALES",B211="176 - CAFE DESCAFEINADO","GOURMET",B211="147 - CAPSULAS","CAPSULAS",B211="130 - GALLETAS CAFECITAS","DERIVADOS",B211="140 - MERENGUES","DERIVADOS",B211="100 - CAFÉ ESPECIAL","ESPECIALES",B211="141 - AREQUIPE","DERIVADOS",B211="142 - MERMELADA","DERIVADOS",B211="131 - GALLETAS AVENA","DERIVADOS",B211="160 - SOUVENIR","OTROS",B211="148 - CARAMELOS","DERIVADOS",B211="143 - CHOCOFFES","DERIVADOS",B211="162 - CONVENIOS Y DSC POS ","OTROS"),"OTROS")</f>
        <v>OTROS</v>
      </c>
      <c r="K211" s="62">
        <f>C211-E211</f>
        <v>71575</v>
      </c>
      <c r="L211" s="27">
        <f t="shared" si="23"/>
        <v>71575</v>
      </c>
      <c r="M211" s="27">
        <f t="shared" si="24"/>
        <v>71575</v>
      </c>
    </row>
    <row r="212" spans="1:13" ht="15.75" hidden="1" customHeight="1" outlineLevel="1">
      <c r="A212" s="44"/>
      <c r="B212" s="45" t="s">
        <v>18</v>
      </c>
      <c r="C212" s="46">
        <v>2736800</v>
      </c>
      <c r="D212" s="46">
        <v>0</v>
      </c>
      <c r="E212" s="46"/>
      <c r="F212" s="46">
        <v>22057449.760000002</v>
      </c>
      <c r="G212" s="37">
        <f t="shared" si="19"/>
        <v>0.1240759938151617</v>
      </c>
      <c r="H212" s="23">
        <f t="shared" si="21"/>
        <v>0</v>
      </c>
      <c r="I212" s="24">
        <f t="shared" si="21"/>
        <v>0</v>
      </c>
      <c r="J212" s="32" t="str" cm="1">
        <f t="array" ref="J212">IFERROR(_xlfn.IFS(B212="044 - BLEND TRADICION","BLEND",B212="113 - CAFÉ GOURMET","GOURMET",B212="114 - CAFÉ CONSUMO","CONSUMO",B212="112 - CAFÉ ORGANICO","GOURMET",B212="172 - CAFÉ COSECHA","ESPECIALES",B212="176 - CAFE DESCAFEINADO","GOURMET",B212="147 - CAPSULAS","CAPSULAS",B212="130 - GALLETAS CAFECITAS","DERIVADOS",B212="140 - MERENGUES","DERIVADOS",B212="100 - CAFÉ ESPECIAL","ESPECIALES",B212="141 - AREQUIPE","DERIVADOS",B212="142 - MERMELADA","DERIVADOS",B212="131 - GALLETAS AVENA","DERIVADOS",B212="160 - SOUVENIR","OTROS",B212="148 - CARAMELOS","DERIVADOS",B212="143 - CHOCOFFES","DERIVADOS",B212="162 - CONVENIOS Y DSC POS ","OTROS"),"OTROS")</f>
        <v>BLEND</v>
      </c>
      <c r="K212" s="62">
        <f>C212-E212</f>
        <v>2736800</v>
      </c>
      <c r="L212" s="27">
        <f t="shared" si="23"/>
        <v>2736800</v>
      </c>
      <c r="M212" s="27">
        <f t="shared" si="24"/>
        <v>2736800</v>
      </c>
    </row>
    <row r="213" spans="1:13" ht="15.75" hidden="1" customHeight="1" outlineLevel="1">
      <c r="A213" s="44"/>
      <c r="B213" s="45" t="s">
        <v>19</v>
      </c>
      <c r="C213" s="46">
        <v>2292547</v>
      </c>
      <c r="D213" s="46">
        <v>0</v>
      </c>
      <c r="E213" s="46"/>
      <c r="F213" s="46">
        <v>4724786.33</v>
      </c>
      <c r="G213" s="37">
        <f t="shared" si="19"/>
        <v>0.48521707435603761</v>
      </c>
      <c r="H213" s="23">
        <f t="shared" si="21"/>
        <v>0</v>
      </c>
      <c r="I213" s="24">
        <f t="shared" si="21"/>
        <v>0</v>
      </c>
      <c r="J213" s="32" t="str" cm="1">
        <f t="array" ref="J213">IFERROR(_xlfn.IFS(B213="044 - BLEND TRADICION","BLEND",B213="113 - CAFÉ GOURMET","GOURMET",B213="114 - CAFÉ CONSUMO","CONSUMO",B213="112 - CAFÉ ORGANICO","GOURMET",B213="172 - CAFÉ COSECHA","ESPECIALES",B213="176 - CAFE DESCAFEINADO","GOURMET",B213="147 - CAPSULAS","CAPSULAS",B213="130 - GALLETAS CAFECITAS","DERIVADOS",B213="140 - MERENGUES","DERIVADOS",B213="100 - CAFÉ ESPECIAL","ESPECIALES",B213="141 - AREQUIPE","DERIVADOS",B213="142 - MERMELADA","DERIVADOS",B213="131 - GALLETAS AVENA","DERIVADOS",B213="160 - SOUVENIR","OTROS",B213="148 - CARAMELOS","DERIVADOS",B213="143 - CHOCOFFES","DERIVADOS",B213="162 - CONVENIOS Y DSC POS ","OTROS"),"OTROS")</f>
        <v>ESPECIALES</v>
      </c>
      <c r="K213" s="62"/>
      <c r="L213" s="27">
        <f t="shared" si="23"/>
        <v>2292547</v>
      </c>
      <c r="M213" s="27">
        <f t="shared" si="24"/>
        <v>2292547</v>
      </c>
    </row>
    <row r="214" spans="1:13" ht="15.75" hidden="1" customHeight="1" outlineLevel="1">
      <c r="A214" s="44"/>
      <c r="B214" s="45" t="s">
        <v>20</v>
      </c>
      <c r="C214" s="46">
        <v>2464560</v>
      </c>
      <c r="D214" s="46">
        <v>0</v>
      </c>
      <c r="E214" s="46"/>
      <c r="F214" s="46">
        <v>4267385.9800000004</v>
      </c>
      <c r="G214" s="37">
        <f t="shared" si="19"/>
        <v>0.57753388410391693</v>
      </c>
      <c r="H214" s="23">
        <f t="shared" si="21"/>
        <v>0</v>
      </c>
      <c r="I214" s="24">
        <f t="shared" si="21"/>
        <v>0</v>
      </c>
      <c r="J214" s="32" t="str" cm="1">
        <f t="array" ref="J214">IFERROR(_xlfn.IFS(B214="044 - BLEND TRADICION","BLEND",B214="113 - CAFÉ GOURMET","GOURMET",B214="114 - CAFÉ CONSUMO","CONSUMO",B214="112 - CAFÉ ORGANICO","GOURMET",B214="172 - CAFÉ COSECHA","ESPECIALES",B214="176 - CAFE DESCAFEINADO","GOURMET",B214="147 - CAPSULAS","CAPSULAS",B214="130 - GALLETAS CAFECITAS","DERIVADOS",B214="140 - MERENGUES","DERIVADOS",B214="100 - CAFÉ ESPECIAL","ESPECIALES",B214="141 - AREQUIPE","DERIVADOS",B214="142 - MERMELADA","DERIVADOS",B214="131 - GALLETAS AVENA","DERIVADOS",B214="160 - SOUVENIR","OTROS",B214="148 - CARAMELOS","DERIVADOS",B214="143 - CHOCOFFES","DERIVADOS",B214="162 - CONVENIOS Y DSC POS ","OTROS"),"OTROS")</f>
        <v>GOURMET</v>
      </c>
      <c r="K214" s="62"/>
      <c r="L214" s="27">
        <f t="shared" si="23"/>
        <v>2464560</v>
      </c>
      <c r="M214" s="27">
        <f t="shared" si="24"/>
        <v>2464560</v>
      </c>
    </row>
    <row r="215" spans="1:13" ht="15.75" hidden="1" customHeight="1" outlineLevel="1">
      <c r="A215" s="44"/>
      <c r="B215" s="45" t="s">
        <v>21</v>
      </c>
      <c r="C215" s="46">
        <v>43442576</v>
      </c>
      <c r="D215" s="46">
        <v>0</v>
      </c>
      <c r="E215" s="46"/>
      <c r="F215" s="46">
        <v>156321504.86000001</v>
      </c>
      <c r="G215" s="37">
        <f t="shared" ref="G215:G248" si="25">IFERROR(C215/F215*100%,"-")</f>
        <v>0.27790530828696114</v>
      </c>
      <c r="H215" s="23">
        <f t="shared" si="21"/>
        <v>0</v>
      </c>
      <c r="I215" s="24">
        <f t="shared" si="21"/>
        <v>0</v>
      </c>
      <c r="J215" s="32" t="str" cm="1">
        <f t="array" ref="J215">IFERROR(_xlfn.IFS(B215="044 - BLEND TRADICION","BLEND",B215="113 - CAFÉ GOURMET","GOURMET",B215="114 - CAFÉ CONSUMO","CONSUMO",B215="112 - CAFÉ ORGANICO","GOURMET",B215="172 - CAFÉ COSECHA","ESPECIALES",B215="176 - CAFE DESCAFEINADO","GOURMET",B215="147 - CAPSULAS","CAPSULAS",B215="130 - GALLETAS CAFECITAS","DERIVADOS",B215="140 - MERENGUES","DERIVADOS",B215="100 - CAFÉ ESPECIAL","ESPECIALES",B215="141 - AREQUIPE","DERIVADOS",B215="142 - MERMELADA","DERIVADOS",B215="131 - GALLETAS AVENA","DERIVADOS",B215="160 - SOUVENIR","OTROS",B215="148 - CARAMELOS","DERIVADOS",B215="143 - CHOCOFFES","DERIVADOS",B215="162 - CONVENIOS Y DSC POS ","OTROS"),"OTROS")</f>
        <v>GOURMET</v>
      </c>
      <c r="K215" s="62">
        <f t="shared" ref="K215" si="26">C215-E215</f>
        <v>43442576</v>
      </c>
      <c r="L215" s="27">
        <f t="shared" si="23"/>
        <v>43442576</v>
      </c>
      <c r="M215" s="27">
        <f t="shared" si="24"/>
        <v>43442576</v>
      </c>
    </row>
    <row r="216" spans="1:13" ht="15.75" hidden="1" customHeight="1" outlineLevel="1">
      <c r="A216" s="44"/>
      <c r="B216" s="45" t="s">
        <v>22</v>
      </c>
      <c r="C216" s="46">
        <v>1123399</v>
      </c>
      <c r="D216" s="46">
        <v>0</v>
      </c>
      <c r="E216" s="46"/>
      <c r="F216" s="46">
        <v>7161969.0599999996</v>
      </c>
      <c r="G216" s="37">
        <f t="shared" si="25"/>
        <v>0.15685616491618856</v>
      </c>
      <c r="H216" s="23">
        <f t="shared" si="21"/>
        <v>0</v>
      </c>
      <c r="I216" s="24">
        <f t="shared" si="21"/>
        <v>0</v>
      </c>
      <c r="J216" s="32" t="str" cm="1">
        <f t="array" ref="J216">IFERROR(_xlfn.IFS(B216="044 - BLEND TRADICION","BLEND",B216="113 - CAFÉ GOURMET","GOURMET",B216="114 - CAFÉ CONSUMO","CONSUMO",B216="112 - CAFÉ ORGANICO","GOURMET",B216="172 - CAFÉ COSECHA","ESPECIALES",B216="176 - CAFE DESCAFEINADO","GOURMET",B216="147 - CAPSULAS","CAPSULAS",B216="130 - GALLETAS CAFECITAS","DERIVADOS",B216="140 - MERENGUES","DERIVADOS",B216="100 - CAFÉ ESPECIAL","ESPECIALES",B216="141 - AREQUIPE","DERIVADOS",B216="142 - MERMELADA","DERIVADOS",B216="131 - GALLETAS AVENA","DERIVADOS",B216="160 - SOUVENIR","OTROS",B216="148 - CARAMELOS","DERIVADOS",B216="143 - CHOCOFFES","DERIVADOS",B216="162 - CONVENIOS Y DSC POS ","OTROS"),"OTROS")</f>
        <v>DERIVADOS</v>
      </c>
      <c r="K216" s="62"/>
      <c r="L216" s="27">
        <f t="shared" si="23"/>
        <v>1123399</v>
      </c>
      <c r="M216" s="27">
        <f t="shared" si="24"/>
        <v>1123399</v>
      </c>
    </row>
    <row r="217" spans="1:13" ht="15.75" hidden="1" customHeight="1" outlineLevel="1">
      <c r="A217" s="44"/>
      <c r="B217" s="45" t="s">
        <v>23</v>
      </c>
      <c r="C217" s="46">
        <v>0</v>
      </c>
      <c r="D217" s="46">
        <v>0</v>
      </c>
      <c r="E217" s="46"/>
      <c r="F217" s="46">
        <v>19945.96</v>
      </c>
      <c r="G217" s="37">
        <f t="shared" si="25"/>
        <v>0</v>
      </c>
      <c r="H217" s="23">
        <f t="shared" si="21"/>
        <v>0</v>
      </c>
      <c r="I217" s="24">
        <f t="shared" si="21"/>
        <v>0</v>
      </c>
      <c r="J217" s="32" t="str" cm="1">
        <f t="array" ref="J217">IFERROR(_xlfn.IFS(B217="044 - BLEND TRADICION","BLEND",B217="113 - CAFÉ GOURMET","GOURMET",B217="114 - CAFÉ CONSUMO","CONSUMO",B217="112 - CAFÉ ORGANICO","GOURMET",B217="172 - CAFÉ COSECHA","ESPECIALES",B217="176 - CAFE DESCAFEINADO","GOURMET",B217="147 - CAPSULAS","CAPSULAS",B217="130 - GALLETAS CAFECITAS","DERIVADOS",B217="140 - MERENGUES","DERIVADOS",B217="100 - CAFÉ ESPECIAL","ESPECIALES",B217="141 - AREQUIPE","DERIVADOS",B217="142 - MERMELADA","DERIVADOS",B217="131 - GALLETAS AVENA","DERIVADOS",B217="160 - SOUVENIR","OTROS",B217="148 - CARAMELOS","DERIVADOS",B217="143 - CHOCOFFES","DERIVADOS",B217="162 - CONVENIOS Y DSC POS ","OTROS"),"OTROS")</f>
        <v>DERIVADOS</v>
      </c>
      <c r="K217" s="62"/>
      <c r="L217" s="27">
        <f t="shared" si="23"/>
        <v>0</v>
      </c>
      <c r="M217" s="27">
        <f t="shared" si="24"/>
        <v>0</v>
      </c>
    </row>
    <row r="218" spans="1:13" ht="15.75" hidden="1" customHeight="1" outlineLevel="1">
      <c r="A218" s="44"/>
      <c r="B218" s="45" t="s">
        <v>24</v>
      </c>
      <c r="C218" s="46">
        <v>334049</v>
      </c>
      <c r="D218" s="46">
        <v>0</v>
      </c>
      <c r="E218" s="46"/>
      <c r="F218" s="46">
        <v>1393477.12</v>
      </c>
      <c r="G218" s="37">
        <f t="shared" si="25"/>
        <v>0.23972334759253167</v>
      </c>
      <c r="H218" s="23">
        <f t="shared" si="21"/>
        <v>0</v>
      </c>
      <c r="I218" s="24">
        <f t="shared" si="21"/>
        <v>0</v>
      </c>
      <c r="J218" s="32" t="str" cm="1">
        <f t="array" ref="J218">IFERROR(_xlfn.IFS(B218="044 - BLEND TRADICION","BLEND",B218="113 - CAFÉ GOURMET","GOURMET",B218="114 - CAFÉ CONSUMO","CONSUMO",B218="112 - CAFÉ ORGANICO","GOURMET",B218="172 - CAFÉ COSECHA","ESPECIALES",B218="176 - CAFE DESCAFEINADO","GOURMET",B218="147 - CAPSULAS","CAPSULAS",B218="130 - GALLETAS CAFECITAS","DERIVADOS",B218="140 - MERENGUES","DERIVADOS",B218="100 - CAFÉ ESPECIAL","ESPECIALES",B218="141 - AREQUIPE","DERIVADOS",B218="142 - MERMELADA","DERIVADOS",B218="131 - GALLETAS AVENA","DERIVADOS",B218="160 - SOUVENIR","OTROS",B218="148 - CARAMELOS","DERIVADOS",B218="143 - CHOCOFFES","DERIVADOS",B218="162 - CONVENIOS Y DSC POS ","OTROS"),"OTROS")</f>
        <v>DERIVADOS</v>
      </c>
      <c r="K218" s="62">
        <f t="shared" ref="K218" si="27">C218-E218</f>
        <v>334049</v>
      </c>
      <c r="L218" s="27">
        <f t="shared" si="23"/>
        <v>334049</v>
      </c>
      <c r="M218" s="27">
        <f t="shared" si="24"/>
        <v>334049</v>
      </c>
    </row>
    <row r="219" spans="1:13" ht="15.75" hidden="1" customHeight="1" outlineLevel="1">
      <c r="A219" s="44"/>
      <c r="B219" s="45" t="s">
        <v>25</v>
      </c>
      <c r="C219" s="46">
        <v>1022308</v>
      </c>
      <c r="D219" s="46">
        <v>0</v>
      </c>
      <c r="E219" s="46"/>
      <c r="F219" s="46">
        <v>2683173.4900000002</v>
      </c>
      <c r="G219" s="37">
        <f t="shared" si="25"/>
        <v>0.38100704401339325</v>
      </c>
      <c r="H219" s="23">
        <f t="shared" si="21"/>
        <v>0</v>
      </c>
      <c r="I219" s="24">
        <f t="shared" si="21"/>
        <v>0</v>
      </c>
      <c r="J219" s="32" t="str" cm="1">
        <f t="array" ref="J219">IFERROR(_xlfn.IFS(B219="044 - BLEND TRADICION","BLEND",B219="113 - CAFÉ GOURMET","GOURMET",B219="114 - CAFÉ CONSUMO","CONSUMO",B219="112 - CAFÉ ORGANICO","GOURMET",B219="172 - CAFÉ COSECHA","ESPECIALES",B219="176 - CAFE DESCAFEINADO","GOURMET",B219="147 - CAPSULAS","CAPSULAS",B219="130 - GALLETAS CAFECITAS","DERIVADOS",B219="140 - MERENGUES","DERIVADOS",B219="100 - CAFÉ ESPECIAL","ESPECIALES",B219="141 - AREQUIPE","DERIVADOS",B219="142 - MERMELADA","DERIVADOS",B219="131 - GALLETAS AVENA","DERIVADOS",B219="160 - SOUVENIR","OTROS",B219="148 - CARAMELOS","DERIVADOS",B219="143 - CHOCOFFES","DERIVADOS",B219="162 - CONVENIOS Y DSC POS ","OTROS"),"OTROS")</f>
        <v>DERIVADOS</v>
      </c>
      <c r="K219" s="62"/>
      <c r="L219" s="27">
        <f t="shared" si="23"/>
        <v>1022308</v>
      </c>
      <c r="M219" s="27">
        <f t="shared" si="24"/>
        <v>1022308</v>
      </c>
    </row>
    <row r="220" spans="1:13" ht="15.75" hidden="1" customHeight="1" outlineLevel="1">
      <c r="A220" s="44"/>
      <c r="B220" s="45" t="s">
        <v>26</v>
      </c>
      <c r="C220" s="46">
        <v>7625161</v>
      </c>
      <c r="D220" s="46">
        <v>0</v>
      </c>
      <c r="E220" s="46"/>
      <c r="F220" s="46">
        <v>14923818.029999999</v>
      </c>
      <c r="G220" s="37">
        <f t="shared" si="25"/>
        <v>0.51093902275354941</v>
      </c>
      <c r="H220" s="23">
        <f t="shared" si="21"/>
        <v>0</v>
      </c>
      <c r="I220" s="24">
        <f t="shared" si="21"/>
        <v>0</v>
      </c>
      <c r="J220" s="32" t="str" cm="1">
        <f t="array" ref="J220">IFERROR(_xlfn.IFS(B220="044 - BLEND TRADICION","BLEND",B220="113 - CAFÉ GOURMET","GOURMET",B220="114 - CAFÉ CONSUMO","CONSUMO",B220="112 - CAFÉ ORGANICO","GOURMET",B220="172 - CAFÉ COSECHA","ESPECIALES",B220="176 - CAFE DESCAFEINADO","GOURMET",B220="147 - CAPSULAS","CAPSULAS",B220="130 - GALLETAS CAFECITAS","DERIVADOS",B220="140 - MERENGUES","DERIVADOS",B220="100 - CAFÉ ESPECIAL","ESPECIALES",B220="141 - AREQUIPE","DERIVADOS",B220="142 - MERMELADA","DERIVADOS",B220="131 - GALLETAS AVENA","DERIVADOS",B220="160 - SOUVENIR","OTROS",B220="148 - CARAMELOS","DERIVADOS",B220="143 - CHOCOFFES","DERIVADOS",B220="162 - CONVENIOS Y DSC POS ","OTROS"),"OTROS")</f>
        <v>CAPSULAS</v>
      </c>
      <c r="K220" s="62"/>
      <c r="L220" s="27">
        <f t="shared" si="23"/>
        <v>7625161</v>
      </c>
      <c r="M220" s="27">
        <f t="shared" si="24"/>
        <v>7625161</v>
      </c>
    </row>
    <row r="221" spans="1:13" ht="15.75" hidden="1" customHeight="1" outlineLevel="1">
      <c r="A221" s="44"/>
      <c r="B221" s="45" t="s">
        <v>27</v>
      </c>
      <c r="C221" s="46">
        <v>1019132</v>
      </c>
      <c r="D221" s="46">
        <v>0</v>
      </c>
      <c r="E221" s="46"/>
      <c r="F221" s="46">
        <v>3692134.82</v>
      </c>
      <c r="G221" s="37">
        <f t="shared" si="25"/>
        <v>0.2760278401751321</v>
      </c>
      <c r="H221" s="23">
        <f t="shared" si="21"/>
        <v>0</v>
      </c>
      <c r="I221" s="24">
        <f t="shared" si="21"/>
        <v>0</v>
      </c>
      <c r="J221" s="32" t="str" cm="1">
        <f t="array" ref="J221">IFERROR(_xlfn.IFS(B221="044 - BLEND TRADICION","BLEND",B221="113 - CAFÉ GOURMET","GOURMET",B221="114 - CAFÉ CONSUMO","CONSUMO",B221="112 - CAFÉ ORGANICO","GOURMET",B221="172 - CAFÉ COSECHA","ESPECIALES",B221="176 - CAFE DESCAFEINADO","GOURMET",B221="147 - CAPSULAS","CAPSULAS",B221="130 - GALLETAS CAFECITAS","DERIVADOS",B221="140 - MERENGUES","DERIVADOS",B221="100 - CAFÉ ESPECIAL","ESPECIALES",B221="141 - AREQUIPE","DERIVADOS",B221="142 - MERMELADA","DERIVADOS",B221="131 - GALLETAS AVENA","DERIVADOS",B221="160 - SOUVENIR","OTROS",B221="148 - CARAMELOS","DERIVADOS",B221="143 - CHOCOFFES","DERIVADOS",B221="162 - CONVENIOS Y DSC POS ","OTROS"),"OTROS")</f>
        <v>DERIVADOS</v>
      </c>
      <c r="K221" s="62">
        <f t="shared" ref="K221" si="28">C221-E221</f>
        <v>1019132</v>
      </c>
      <c r="L221" s="27">
        <f t="shared" si="23"/>
        <v>1019132</v>
      </c>
      <c r="M221" s="27">
        <f t="shared" si="24"/>
        <v>1019132</v>
      </c>
    </row>
    <row r="222" spans="1:13" ht="15.75" hidden="1" customHeight="1" outlineLevel="1">
      <c r="A222" s="44"/>
      <c r="B222" s="45" t="s">
        <v>28</v>
      </c>
      <c r="C222" s="46">
        <v>5272575</v>
      </c>
      <c r="D222" s="46">
        <v>0</v>
      </c>
      <c r="E222" s="46"/>
      <c r="F222" s="46">
        <v>11283255.869999999</v>
      </c>
      <c r="G222" s="37">
        <f t="shared" si="25"/>
        <v>0.46729198209700801</v>
      </c>
      <c r="H222" s="23">
        <f t="shared" si="21"/>
        <v>0</v>
      </c>
      <c r="I222" s="24">
        <f t="shared" si="21"/>
        <v>0</v>
      </c>
      <c r="J222" s="32" t="str" cm="1">
        <f t="array" ref="J222">IFERROR(_xlfn.IFS(B222="044 - BLEND TRADICION","BLEND",B222="113 - CAFÉ GOURMET","GOURMET",B222="114 - CAFÉ CONSUMO","CONSUMO",B222="112 - CAFÉ ORGANICO","GOURMET",B222="172 - CAFÉ COSECHA","ESPECIALES",B222="176 - CAFE DESCAFEINADO","GOURMET",B222="147 - CAPSULAS","CAPSULAS",B222="130 - GALLETAS CAFECITAS","DERIVADOS",B222="140 - MERENGUES","DERIVADOS",B222="100 - CAFÉ ESPECIAL","ESPECIALES",B222="141 - AREQUIPE","DERIVADOS",B222="142 - MERMELADA","DERIVADOS",B222="131 - GALLETAS AVENA","DERIVADOS",B222="160 - SOUVENIR","OTROS",B222="148 - CARAMELOS","DERIVADOS",B222="143 - CHOCOFFES","DERIVADOS",B222="162 - CONVENIOS Y DSC POS ","OTROS"),"OTROS")</f>
        <v>OTROS</v>
      </c>
      <c r="K222" s="62"/>
      <c r="L222" s="27">
        <f t="shared" si="23"/>
        <v>5272575</v>
      </c>
      <c r="M222" s="27">
        <f t="shared" si="24"/>
        <v>5272575</v>
      </c>
    </row>
    <row r="223" spans="1:13" ht="15.75" hidden="1" customHeight="1" outlineLevel="1">
      <c r="A223" s="44"/>
      <c r="B223" s="45" t="s">
        <v>29</v>
      </c>
      <c r="C223" s="46">
        <v>6136858</v>
      </c>
      <c r="D223" s="46">
        <v>0</v>
      </c>
      <c r="E223" s="46"/>
      <c r="F223" s="46">
        <v>12790414.619999999</v>
      </c>
      <c r="G223" s="37">
        <f t="shared" si="25"/>
        <v>0.47980133422758431</v>
      </c>
      <c r="H223" s="23">
        <f t="shared" si="21"/>
        <v>0</v>
      </c>
      <c r="I223" s="24">
        <f t="shared" si="21"/>
        <v>0</v>
      </c>
      <c r="J223" s="32" t="str" cm="1">
        <f t="array" ref="J223">IFERROR(_xlfn.IFS(B223="044 - BLEND TRADICION","BLEND",B223="113 - CAFÉ GOURMET","GOURMET",B223="114 - CAFÉ CONSUMO","CONSUMO",B223="112 - CAFÉ ORGANICO","GOURMET",B223="172 - CAFÉ COSECHA","ESPECIALES",B223="176 - CAFE DESCAFEINADO","GOURMET",B223="147 - CAPSULAS","CAPSULAS",B223="130 - GALLETAS CAFECITAS","DERIVADOS",B223="140 - MERENGUES","DERIVADOS",B223="100 - CAFÉ ESPECIAL","ESPECIALES",B223="141 - AREQUIPE","DERIVADOS",B223="142 - MERMELADA","DERIVADOS",B223="131 - GALLETAS AVENA","DERIVADOS",B223="160 - SOUVENIR","OTROS",B223="148 - CARAMELOS","DERIVADOS",B223="143 - CHOCOFFES","DERIVADOS",B223="162 - CONVENIOS Y DSC POS ","OTROS"),"OTROS")</f>
        <v>ESPECIALES</v>
      </c>
      <c r="K223" s="62"/>
      <c r="L223" s="27">
        <f t="shared" si="23"/>
        <v>6136858</v>
      </c>
      <c r="M223" s="27">
        <f t="shared" si="24"/>
        <v>6136858</v>
      </c>
    </row>
    <row r="224" spans="1:13" ht="15.75" hidden="1" customHeight="1" outlineLevel="1">
      <c r="A224" s="44"/>
      <c r="B224" s="45" t="s">
        <v>30</v>
      </c>
      <c r="C224" s="46">
        <v>0</v>
      </c>
      <c r="D224" s="46">
        <v>0</v>
      </c>
      <c r="E224" s="46"/>
      <c r="F224" s="46">
        <v>682536.26</v>
      </c>
      <c r="G224" s="37">
        <f t="shared" si="25"/>
        <v>0</v>
      </c>
      <c r="H224" s="23">
        <f t="shared" si="21"/>
        <v>0</v>
      </c>
      <c r="I224" s="24">
        <f t="shared" si="21"/>
        <v>0</v>
      </c>
      <c r="J224" s="32" t="str" cm="1">
        <f t="array" ref="J224">IFERROR(_xlfn.IFS(B224="044 - BLEND TRADICION","BLEND",B224="113 - CAFÉ GOURMET","GOURMET",B224="114 - CAFÉ CONSUMO","CONSUMO",B224="112 - CAFÉ ORGANICO","GOURMET",B224="172 - CAFÉ COSECHA","ESPECIALES",B224="176 - CAFE DESCAFEINADO","GOURMET",B224="147 - CAPSULAS","CAPSULAS",B224="130 - GALLETAS CAFECITAS","DERIVADOS",B224="140 - MERENGUES","DERIVADOS",B224="100 - CAFÉ ESPECIAL","ESPECIALES",B224="141 - AREQUIPE","DERIVADOS",B224="142 - MERMELADA","DERIVADOS",B224="131 - GALLETAS AVENA","DERIVADOS",B224="160 - SOUVENIR","OTROS",B224="148 - CARAMELOS","DERIVADOS",B224="143 - CHOCOFFES","DERIVADOS",B224="162 - CONVENIOS Y DSC POS ","OTROS"),"OTROS")</f>
        <v>GOURMET</v>
      </c>
      <c r="K224" s="62">
        <f t="shared" ref="K224" si="29">C224-E224</f>
        <v>0</v>
      </c>
      <c r="L224" s="27">
        <f t="shared" si="23"/>
        <v>0</v>
      </c>
      <c r="M224" s="27">
        <f t="shared" si="24"/>
        <v>0</v>
      </c>
    </row>
    <row r="225" spans="1:13" ht="15.75" hidden="1" customHeight="1" outlineLevel="1">
      <c r="A225" s="19" t="s">
        <v>58</v>
      </c>
      <c r="B225" s="40" t="s">
        <v>32</v>
      </c>
      <c r="C225" s="41">
        <f>SUM(C211:C224)</f>
        <v>73541540</v>
      </c>
      <c r="D225" s="41">
        <f>SUM(D211:D224)</f>
        <v>0</v>
      </c>
      <c r="E225" s="41">
        <f>SUM(E211:E224)</f>
        <v>0</v>
      </c>
      <c r="F225" s="41">
        <f>SUM(F211:F224)</f>
        <v>242185563.47000003</v>
      </c>
      <c r="G225" s="42">
        <f t="shared" si="25"/>
        <v>0.30365781901409544</v>
      </c>
      <c r="H225" s="43">
        <f t="shared" si="21"/>
        <v>0</v>
      </c>
      <c r="I225" s="24">
        <f t="shared" si="21"/>
        <v>0</v>
      </c>
      <c r="J225" s="32" t="str" cm="1">
        <f t="array" ref="J225">IFERROR(_xlfn.IFS(B225="044 - BLEND TRADICION","BLEND",B225="113 - CAFÉ GOURMET","GOURMET",B225="114 - CAFÉ CONSUMO","CONSUMO",B225="112 - CAFÉ ORGANICO","GOURMET",B225="172 - CAFÉ COSECHA","ESPECIALES",B225="176 - CAFE DESCAFEINADO","GOURMET",B225="147 - CAPSULAS","CAPSULAS",B225="130 - GALLETAS CAFECITAS","DERIVADOS",B225="140 - MERENGUES","DERIVADOS",B225="100 - CAFÉ ESPECIAL","ESPECIALES",B225="141 - AREQUIPE","DERIVADOS",B225="142 - MERMELADA","DERIVADOS",B225="131 - GALLETAS AVENA","DERIVADOS",B225="160 - SOUVENIR","OTROS",B225="148 - CARAMELOS","DERIVADOS",B225="143 - CHOCOFFES","DERIVADOS",B225="162 - CONVENIOS Y DSC POS ","OTROS"),"OTROS")</f>
        <v>OTROS</v>
      </c>
      <c r="L225" s="27">
        <f t="shared" si="23"/>
        <v>73541540</v>
      </c>
      <c r="M225" s="27">
        <f t="shared" si="24"/>
        <v>73541540</v>
      </c>
    </row>
    <row r="226" spans="1:13" ht="16.5" collapsed="1">
      <c r="A226" s="28" t="s">
        <v>59</v>
      </c>
      <c r="B226" s="29" t="s">
        <v>17</v>
      </c>
      <c r="C226" s="30">
        <f>+C240</f>
        <v>81561650</v>
      </c>
      <c r="D226" s="30">
        <f>+D240</f>
        <v>-181784</v>
      </c>
      <c r="E226" s="30">
        <f>+E240</f>
        <v>0</v>
      </c>
      <c r="F226" s="30">
        <f>+F240</f>
        <v>278548044.25999999</v>
      </c>
      <c r="G226" s="31">
        <f t="shared" si="25"/>
        <v>0.29280998980509593</v>
      </c>
      <c r="H226" s="23">
        <f t="shared" si="21"/>
        <v>-2.2238361065183535E-3</v>
      </c>
      <c r="I226" s="24">
        <f t="shared" si="21"/>
        <v>0</v>
      </c>
      <c r="J226" s="32" t="str" cm="1">
        <f t="array" ref="J226">IFERROR(_xlfn.IFS(B226="044 - BLEND TRADICION","BLEND",B226="113 - CAFÉ GOURMET","GOURMET",B226="114 - CAFÉ CONSUMO","CONSUMO",B226="112 - CAFÉ ORGANICO","GOURMET",B226="172 - CAFÉ COSECHA","ESPECIALES",B226="176 - CAFE DESCAFEINADO","GOURMET",B226="147 - CAPSULAS","CAPSULAS",B226="130 - GALLETAS CAFECITAS","DERIVADOS",B226="140 - MERENGUES","DERIVADOS",B226="100 - CAFÉ ESPECIAL","ESPECIALES",B226="141 - AREQUIPE","DERIVADOS",B226="142 - MERMELADA","DERIVADOS",B226="131 - GALLETAS AVENA","DERIVADOS",B226="160 - SOUVENIR","OTROS",B226="148 - CARAMELOS","DERIVADOS",B226="143 - CHOCOFFES","DERIVADOS",B226="162 - CONVENIOS Y DSC POS ","OTROS"),"OTROS")</f>
        <v>OTROS</v>
      </c>
      <c r="K226" s="6"/>
      <c r="L226" s="27">
        <f t="shared" si="23"/>
        <v>81743434</v>
      </c>
      <c r="M226" s="27">
        <f t="shared" si="24"/>
        <v>81743434</v>
      </c>
    </row>
    <row r="227" spans="1:13" ht="15.75" hidden="1" customHeight="1" outlineLevel="2">
      <c r="A227" s="33"/>
      <c r="B227" s="45" t="s">
        <v>18</v>
      </c>
      <c r="C227" s="46">
        <v>3912000</v>
      </c>
      <c r="D227" s="46">
        <v>0</v>
      </c>
      <c r="E227" s="46">
        <v>0</v>
      </c>
      <c r="F227" s="35">
        <v>12548768.83</v>
      </c>
      <c r="G227" s="37">
        <f t="shared" si="25"/>
        <v>0.3117437298428582</v>
      </c>
      <c r="H227" s="23">
        <f t="shared" si="21"/>
        <v>0</v>
      </c>
      <c r="I227" s="24">
        <f t="shared" si="21"/>
        <v>0</v>
      </c>
      <c r="J227" s="32" t="str" cm="1">
        <f t="array" ref="J227">IFERROR(_xlfn.IFS(B227="044 - BLEND TRADICION","BLEND",B227="113 - CAFÉ GOURMET","GOURMET",B227="114 - CAFÉ CONSUMO","CONSUMO",B227="112 - CAFÉ ORGANICO","GOURMET",B227="172 - CAFÉ COSECHA","ESPECIALES",B227="176 - CAFE DESCAFEINADO","GOURMET",B227="147 - CAPSULAS","CAPSULAS",B227="130 - GALLETAS CAFECITAS","DERIVADOS",B227="140 - MERENGUES","DERIVADOS",B227="100 - CAFÉ ESPECIAL","ESPECIALES",B227="141 - AREQUIPE","DERIVADOS",B227="142 - MERMELADA","DERIVADOS",B227="131 - GALLETAS AVENA","DERIVADOS",B227="160 - SOUVENIR","OTROS",B227="148 - CARAMELOS","DERIVADOS",B227="143 - CHOCOFFES","DERIVADOS",B227="162 - CONVENIOS Y DSC POS ","OTROS"),"OTROS")</f>
        <v>BLEND</v>
      </c>
      <c r="K227" s="6"/>
      <c r="L227" s="27">
        <f t="shared" si="23"/>
        <v>3912000</v>
      </c>
      <c r="M227" s="27">
        <f t="shared" si="24"/>
        <v>3912000</v>
      </c>
    </row>
    <row r="228" spans="1:13" ht="15.75" hidden="1" customHeight="1" outlineLevel="2">
      <c r="A228" s="33"/>
      <c r="B228" s="45" t="s">
        <v>19</v>
      </c>
      <c r="C228" s="46">
        <v>9329840</v>
      </c>
      <c r="D228" s="46">
        <v>-171144</v>
      </c>
      <c r="E228" s="46"/>
      <c r="F228" s="35">
        <v>15024939.119999999</v>
      </c>
      <c r="G228" s="37">
        <f t="shared" si="25"/>
        <v>0.62095692538153857</v>
      </c>
      <c r="H228" s="23">
        <f t="shared" si="21"/>
        <v>-1.8013292096902805E-2</v>
      </c>
      <c r="I228" s="24">
        <f t="shared" si="21"/>
        <v>0</v>
      </c>
      <c r="J228" s="32" t="str" cm="1">
        <f t="array" ref="J228">IFERROR(_xlfn.IFS(B228="044 - BLEND TRADICION","BLEND",B228="113 - CAFÉ GOURMET","GOURMET",B228="114 - CAFÉ CONSUMO","CONSUMO",B228="112 - CAFÉ ORGANICO","GOURMET",B228="172 - CAFÉ COSECHA","ESPECIALES",B228="176 - CAFE DESCAFEINADO","GOURMET",B228="147 - CAPSULAS","CAPSULAS",B228="130 - GALLETAS CAFECITAS","DERIVADOS",B228="140 - MERENGUES","DERIVADOS",B228="100 - CAFÉ ESPECIAL","ESPECIALES",B228="141 - AREQUIPE","DERIVADOS",B228="142 - MERMELADA","DERIVADOS",B228="131 - GALLETAS AVENA","DERIVADOS",B228="160 - SOUVENIR","OTROS",B228="148 - CARAMELOS","DERIVADOS",B228="143 - CHOCOFFES","DERIVADOS",B228="162 - CONVENIOS Y DSC POS ","OTROS"),"OTROS")</f>
        <v>ESPECIALES</v>
      </c>
      <c r="K228" s="6"/>
      <c r="L228" s="27">
        <f t="shared" si="23"/>
        <v>9500984</v>
      </c>
      <c r="M228" s="27">
        <f t="shared" si="24"/>
        <v>9500984</v>
      </c>
    </row>
    <row r="229" spans="1:13" ht="15.75" hidden="1" customHeight="1" outlineLevel="2">
      <c r="A229" s="38"/>
      <c r="B229" s="45" t="s">
        <v>20</v>
      </c>
      <c r="C229" s="46">
        <v>4244437</v>
      </c>
      <c r="D229" s="46">
        <v>0</v>
      </c>
      <c r="E229" s="46">
        <v>0</v>
      </c>
      <c r="F229" s="36">
        <v>16967408.859999999</v>
      </c>
      <c r="G229" s="37">
        <f t="shared" si="25"/>
        <v>0.2501523382280304</v>
      </c>
      <c r="H229" s="23">
        <f t="shared" si="21"/>
        <v>0</v>
      </c>
      <c r="I229" s="24">
        <f t="shared" si="21"/>
        <v>0</v>
      </c>
      <c r="J229" s="32" t="str" cm="1">
        <f t="array" ref="J229">IFERROR(_xlfn.IFS(B229="044 - BLEND TRADICION","BLEND",B229="113 - CAFÉ GOURMET","GOURMET",B229="114 - CAFÉ CONSUMO","CONSUMO",B229="112 - CAFÉ ORGANICO","GOURMET",B229="172 - CAFÉ COSECHA","ESPECIALES",B229="176 - CAFE DESCAFEINADO","GOURMET",B229="147 - CAPSULAS","CAPSULAS",B229="130 - GALLETAS CAFECITAS","DERIVADOS",B229="140 - MERENGUES","DERIVADOS",B229="100 - CAFÉ ESPECIAL","ESPECIALES",B229="141 - AREQUIPE","DERIVADOS",B229="142 - MERMELADA","DERIVADOS",B229="131 - GALLETAS AVENA","DERIVADOS",B229="160 - SOUVENIR","OTROS",B229="148 - CARAMELOS","DERIVADOS",B229="143 - CHOCOFFES","DERIVADOS",B229="162 - CONVENIOS Y DSC POS ","OTROS"),"OTROS")</f>
        <v>GOURMET</v>
      </c>
      <c r="K229" s="6"/>
      <c r="L229" s="27">
        <f t="shared" si="23"/>
        <v>4244437</v>
      </c>
      <c r="M229" s="27">
        <f t="shared" si="24"/>
        <v>4244437</v>
      </c>
    </row>
    <row r="230" spans="1:13" ht="15.75" hidden="1" customHeight="1" outlineLevel="2">
      <c r="A230" s="38"/>
      <c r="B230" s="45" t="s">
        <v>21</v>
      </c>
      <c r="C230" s="46">
        <v>47782632</v>
      </c>
      <c r="D230" s="46">
        <v>0</v>
      </c>
      <c r="E230" s="46">
        <v>0</v>
      </c>
      <c r="F230" s="36">
        <v>189138509.15000001</v>
      </c>
      <c r="G230" s="37">
        <f t="shared" si="25"/>
        <v>0.25263301595607401</v>
      </c>
      <c r="H230" s="23">
        <f t="shared" si="21"/>
        <v>0</v>
      </c>
      <c r="I230" s="24">
        <f t="shared" si="21"/>
        <v>0</v>
      </c>
      <c r="J230" s="32" t="str" cm="1">
        <f t="array" ref="J230">IFERROR(_xlfn.IFS(B230="044 - BLEND TRADICION","BLEND",B230="113 - CAFÉ GOURMET","GOURMET",B230="114 - CAFÉ CONSUMO","CONSUMO",B230="112 - CAFÉ ORGANICO","GOURMET",B230="172 - CAFÉ COSECHA","ESPECIALES",B230="176 - CAFE DESCAFEINADO","GOURMET",B230="147 - CAPSULAS","CAPSULAS",B230="130 - GALLETAS CAFECITAS","DERIVADOS",B230="140 - MERENGUES","DERIVADOS",B230="100 - CAFÉ ESPECIAL","ESPECIALES",B230="141 - AREQUIPE","DERIVADOS",B230="142 - MERMELADA","DERIVADOS",B230="131 - GALLETAS AVENA","DERIVADOS",B230="160 - SOUVENIR","OTROS",B230="148 - CARAMELOS","DERIVADOS",B230="143 - CHOCOFFES","DERIVADOS",B230="162 - CONVENIOS Y DSC POS ","OTROS"),"OTROS")</f>
        <v>GOURMET</v>
      </c>
      <c r="K230" s="6"/>
      <c r="L230" s="27">
        <f t="shared" si="23"/>
        <v>47782632</v>
      </c>
      <c r="M230" s="27">
        <f t="shared" si="24"/>
        <v>47782632</v>
      </c>
    </row>
    <row r="231" spans="1:13" ht="15.75" hidden="1" customHeight="1" outlineLevel="2">
      <c r="A231" s="38"/>
      <c r="B231" s="45" t="s">
        <v>38</v>
      </c>
      <c r="C231" s="46">
        <v>0</v>
      </c>
      <c r="D231" s="46">
        <v>0</v>
      </c>
      <c r="E231" s="46">
        <v>0</v>
      </c>
      <c r="F231" s="36">
        <v>1194829.97</v>
      </c>
      <c r="G231" s="37">
        <f t="shared" si="25"/>
        <v>0</v>
      </c>
      <c r="H231" s="23">
        <f t="shared" si="21"/>
        <v>0</v>
      </c>
      <c r="I231" s="24">
        <f t="shared" si="21"/>
        <v>0</v>
      </c>
      <c r="J231" s="32" t="str" cm="1">
        <f t="array" ref="J231">IFERROR(_xlfn.IFS(B231="044 - BLEND TRADICION","BLEND",B231="113 - CAFÉ GOURMET","GOURMET",B231="114 - CAFÉ CONSUMO","CONSUMO",B231="112 - CAFÉ ORGANICO","GOURMET",B231="172 - CAFÉ COSECHA","ESPECIALES",B231="176 - CAFE DESCAFEINADO","GOURMET",B231="147 - CAPSULAS","CAPSULAS",B231="130 - GALLETAS CAFECITAS","DERIVADOS",B231="140 - MERENGUES","DERIVADOS",B231="100 - CAFÉ ESPECIAL","ESPECIALES",B231="141 - AREQUIPE","DERIVADOS",B231="142 - MERMELADA","DERIVADOS",B231="131 - GALLETAS AVENA","DERIVADOS",B231="160 - SOUVENIR","OTROS",B231="148 - CARAMELOS","DERIVADOS",B231="143 - CHOCOFFES","DERIVADOS",B231="162 - CONVENIOS Y DSC POS ","OTROS"),"OTROS")</f>
        <v>CONSUMO</v>
      </c>
      <c r="K231" s="6"/>
      <c r="L231" s="27">
        <f t="shared" si="23"/>
        <v>0</v>
      </c>
      <c r="M231" s="27">
        <f t="shared" si="24"/>
        <v>0</v>
      </c>
    </row>
    <row r="232" spans="1:13" ht="15.75" hidden="1" customHeight="1" outlineLevel="2">
      <c r="A232" s="38"/>
      <c r="B232" s="45" t="s">
        <v>22</v>
      </c>
      <c r="C232" s="46">
        <v>1935347</v>
      </c>
      <c r="D232" s="46">
        <v>-10640</v>
      </c>
      <c r="E232" s="46"/>
      <c r="F232" s="36">
        <v>4066253.4</v>
      </c>
      <c r="G232" s="37">
        <f t="shared" si="25"/>
        <v>0.47595336778568698</v>
      </c>
      <c r="H232" s="23">
        <f t="shared" si="21"/>
        <v>-5.4676624252885551E-3</v>
      </c>
      <c r="I232" s="24">
        <f t="shared" si="21"/>
        <v>0</v>
      </c>
      <c r="J232" s="32" t="str" cm="1">
        <f t="array" ref="J232">IFERROR(_xlfn.IFS(B232="044 - BLEND TRADICION","BLEND",B232="113 - CAFÉ GOURMET","GOURMET",B232="114 - CAFÉ CONSUMO","CONSUMO",B232="112 - CAFÉ ORGANICO","GOURMET",B232="172 - CAFÉ COSECHA","ESPECIALES",B232="176 - CAFE DESCAFEINADO","GOURMET",B232="147 - CAPSULAS","CAPSULAS",B232="130 - GALLETAS CAFECITAS","DERIVADOS",B232="140 - MERENGUES","DERIVADOS",B232="100 - CAFÉ ESPECIAL","ESPECIALES",B232="141 - AREQUIPE","DERIVADOS",B232="142 - MERMELADA","DERIVADOS",B232="131 - GALLETAS AVENA","DERIVADOS",B232="160 - SOUVENIR","OTROS",B232="148 - CARAMELOS","DERIVADOS",B232="143 - CHOCOFFES","DERIVADOS",B232="162 - CONVENIOS Y DSC POS ","OTROS"),"OTROS")</f>
        <v>DERIVADOS</v>
      </c>
      <c r="K232" s="6"/>
      <c r="L232" s="27">
        <f t="shared" si="23"/>
        <v>1945987</v>
      </c>
      <c r="M232" s="27">
        <f t="shared" si="24"/>
        <v>1945987</v>
      </c>
    </row>
    <row r="233" spans="1:13" ht="15.75" hidden="1" customHeight="1" outlineLevel="2">
      <c r="A233" s="38"/>
      <c r="B233" s="45" t="s">
        <v>24</v>
      </c>
      <c r="C233" s="46">
        <v>51477</v>
      </c>
      <c r="D233" s="46">
        <v>0</v>
      </c>
      <c r="E233" s="46"/>
      <c r="F233" s="36">
        <v>552955.56000000006</v>
      </c>
      <c r="G233" s="37">
        <f t="shared" si="25"/>
        <v>9.3094280487929254E-2</v>
      </c>
      <c r="H233" s="23">
        <f t="shared" si="21"/>
        <v>0</v>
      </c>
      <c r="I233" s="24">
        <f t="shared" si="21"/>
        <v>0</v>
      </c>
      <c r="J233" s="32" t="str" cm="1">
        <f t="array" ref="J233">IFERROR(_xlfn.IFS(B233="044 - BLEND TRADICION","BLEND",B233="113 - CAFÉ GOURMET","GOURMET",B233="114 - CAFÉ CONSUMO","CONSUMO",B233="112 - CAFÉ ORGANICO","GOURMET",B233="172 - CAFÉ COSECHA","ESPECIALES",B233="176 - CAFE DESCAFEINADO","GOURMET",B233="147 - CAPSULAS","CAPSULAS",B233="130 - GALLETAS CAFECITAS","DERIVADOS",B233="140 - MERENGUES","DERIVADOS",B233="100 - CAFÉ ESPECIAL","ESPECIALES",B233="141 - AREQUIPE","DERIVADOS",B233="142 - MERMELADA","DERIVADOS",B233="131 - GALLETAS AVENA","DERIVADOS",B233="160 - SOUVENIR","OTROS",B233="148 - CARAMELOS","DERIVADOS",B233="143 - CHOCOFFES","DERIVADOS",B233="162 - CONVENIOS Y DSC POS ","OTROS"),"OTROS")</f>
        <v>DERIVADOS</v>
      </c>
      <c r="K233" s="6"/>
      <c r="L233" s="27">
        <f t="shared" si="23"/>
        <v>51477</v>
      </c>
      <c r="M233" s="27">
        <f t="shared" si="24"/>
        <v>51477</v>
      </c>
    </row>
    <row r="234" spans="1:13" ht="15.75" hidden="1" customHeight="1" outlineLevel="2">
      <c r="A234" s="38"/>
      <c r="B234" s="45" t="s">
        <v>25</v>
      </c>
      <c r="C234" s="46">
        <v>773360</v>
      </c>
      <c r="D234" s="46">
        <v>0</v>
      </c>
      <c r="E234" s="46"/>
      <c r="F234" s="36">
        <v>2361213.7599999998</v>
      </c>
      <c r="G234" s="37">
        <f t="shared" si="25"/>
        <v>0.3275264667270108</v>
      </c>
      <c r="H234" s="23">
        <f t="shared" si="21"/>
        <v>0</v>
      </c>
      <c r="I234" s="24">
        <f t="shared" si="21"/>
        <v>0</v>
      </c>
      <c r="J234" s="32" t="str" cm="1">
        <f t="array" ref="J234">IFERROR(_xlfn.IFS(B234="044 - BLEND TRADICION","BLEND",B234="113 - CAFÉ GOURMET","GOURMET",B234="114 - CAFÉ CONSUMO","CONSUMO",B234="112 - CAFÉ ORGANICO","GOURMET",B234="172 - CAFÉ COSECHA","ESPECIALES",B234="176 - CAFE DESCAFEINADO","GOURMET",B234="147 - CAPSULAS","CAPSULAS",B234="130 - GALLETAS CAFECITAS","DERIVADOS",B234="140 - MERENGUES","DERIVADOS",B234="100 - CAFÉ ESPECIAL","ESPECIALES",B234="141 - AREQUIPE","DERIVADOS",B234="142 - MERMELADA","DERIVADOS",B234="131 - GALLETAS AVENA","DERIVADOS",B234="160 - SOUVENIR","OTROS",B234="148 - CARAMELOS","DERIVADOS",B234="143 - CHOCOFFES","DERIVADOS",B234="162 - CONVENIOS Y DSC POS ","OTROS"),"OTROS")</f>
        <v>DERIVADOS</v>
      </c>
      <c r="K234" s="6"/>
      <c r="L234" s="27">
        <f t="shared" si="23"/>
        <v>773360</v>
      </c>
      <c r="M234" s="27">
        <f t="shared" si="24"/>
        <v>773360</v>
      </c>
    </row>
    <row r="235" spans="1:13" ht="15.75" hidden="1" customHeight="1" outlineLevel="2">
      <c r="A235" s="38"/>
      <c r="B235" s="45" t="s">
        <v>26</v>
      </c>
      <c r="C235" s="46">
        <v>1605381</v>
      </c>
      <c r="D235" s="46">
        <v>0</v>
      </c>
      <c r="E235" s="46"/>
      <c r="F235" s="36">
        <v>4996182.5999999996</v>
      </c>
      <c r="G235" s="37">
        <f t="shared" si="25"/>
        <v>0.32132152255604113</v>
      </c>
      <c r="H235" s="23">
        <f t="shared" si="21"/>
        <v>0</v>
      </c>
      <c r="I235" s="24">
        <f t="shared" si="21"/>
        <v>0</v>
      </c>
      <c r="J235" s="32" t="str" cm="1">
        <f t="array" ref="J235">IFERROR(_xlfn.IFS(B235="044 - BLEND TRADICION","BLEND",B235="113 - CAFÉ GOURMET","GOURMET",B235="114 - CAFÉ CONSUMO","CONSUMO",B235="112 - CAFÉ ORGANICO","GOURMET",B235="172 - CAFÉ COSECHA","ESPECIALES",B235="176 - CAFE DESCAFEINADO","GOURMET",B235="147 - CAPSULAS","CAPSULAS",B235="130 - GALLETAS CAFECITAS","DERIVADOS",B235="140 - MERENGUES","DERIVADOS",B235="100 - CAFÉ ESPECIAL","ESPECIALES",B235="141 - AREQUIPE","DERIVADOS",B235="142 - MERMELADA","DERIVADOS",B235="131 - GALLETAS AVENA","DERIVADOS",B235="160 - SOUVENIR","OTROS",B235="148 - CARAMELOS","DERIVADOS",B235="143 - CHOCOFFES","DERIVADOS",B235="162 - CONVENIOS Y DSC POS ","OTROS"),"OTROS")</f>
        <v>CAPSULAS</v>
      </c>
      <c r="K235" s="6"/>
      <c r="L235" s="27">
        <f t="shared" si="23"/>
        <v>1605381</v>
      </c>
      <c r="M235" s="27">
        <f t="shared" si="24"/>
        <v>1605381</v>
      </c>
    </row>
    <row r="236" spans="1:13" ht="15.75" hidden="1" customHeight="1" outlineLevel="2">
      <c r="A236" s="38"/>
      <c r="B236" s="45" t="s">
        <v>27</v>
      </c>
      <c r="C236" s="46">
        <v>89298</v>
      </c>
      <c r="D236" s="46">
        <v>0</v>
      </c>
      <c r="E236" s="46">
        <v>0</v>
      </c>
      <c r="F236" s="36">
        <v>1098154.5900000001</v>
      </c>
      <c r="G236" s="37">
        <f t="shared" si="25"/>
        <v>8.1316420122598584E-2</v>
      </c>
      <c r="H236" s="23">
        <f t="shared" si="21"/>
        <v>0</v>
      </c>
      <c r="I236" s="24">
        <f t="shared" si="21"/>
        <v>0</v>
      </c>
      <c r="J236" s="32" t="str" cm="1">
        <f t="array" ref="J236">IFERROR(_xlfn.IFS(B236="044 - BLEND TRADICION","BLEND",B236="113 - CAFÉ GOURMET","GOURMET",B236="114 - CAFÉ CONSUMO","CONSUMO",B236="112 - CAFÉ ORGANICO","GOURMET",B236="172 - CAFÉ COSECHA","ESPECIALES",B236="176 - CAFE DESCAFEINADO","GOURMET",B236="147 - CAPSULAS","CAPSULAS",B236="130 - GALLETAS CAFECITAS","DERIVADOS",B236="140 - MERENGUES","DERIVADOS",B236="100 - CAFÉ ESPECIAL","ESPECIALES",B236="141 - AREQUIPE","DERIVADOS",B236="142 - MERMELADA","DERIVADOS",B236="131 - GALLETAS AVENA","DERIVADOS",B236="160 - SOUVENIR","OTROS",B236="148 - CARAMELOS","DERIVADOS",B236="143 - CHOCOFFES","DERIVADOS",B236="162 - CONVENIOS Y DSC POS ","OTROS"),"OTROS")</f>
        <v>DERIVADOS</v>
      </c>
      <c r="K236" s="6"/>
      <c r="L236" s="27">
        <f t="shared" si="23"/>
        <v>89298</v>
      </c>
      <c r="M236" s="27">
        <f t="shared" si="24"/>
        <v>89298</v>
      </c>
    </row>
    <row r="237" spans="1:13" ht="15.75" hidden="1" customHeight="1" outlineLevel="2">
      <c r="A237" s="38"/>
      <c r="B237" s="45" t="s">
        <v>28</v>
      </c>
      <c r="C237" s="46">
        <v>3419443</v>
      </c>
      <c r="D237" s="46">
        <v>0</v>
      </c>
      <c r="E237" s="46"/>
      <c r="F237" s="36">
        <v>4332933.07</v>
      </c>
      <c r="G237" s="37">
        <f t="shared" si="25"/>
        <v>0.78917512566147252</v>
      </c>
      <c r="H237" s="23">
        <f t="shared" si="21"/>
        <v>0</v>
      </c>
      <c r="I237" s="24">
        <f t="shared" si="21"/>
        <v>0</v>
      </c>
      <c r="J237" s="32" t="str" cm="1">
        <f t="array" ref="J237">IFERROR(_xlfn.IFS(B237="044 - BLEND TRADICION","BLEND",B237="113 - CAFÉ GOURMET","GOURMET",B237="114 - CAFÉ CONSUMO","CONSUMO",B237="112 - CAFÉ ORGANICO","GOURMET",B237="172 - CAFÉ COSECHA","ESPECIALES",B237="176 - CAFE DESCAFEINADO","GOURMET",B237="147 - CAPSULAS","CAPSULAS",B237="130 - GALLETAS CAFECITAS","DERIVADOS",B237="140 - MERENGUES","DERIVADOS",B237="100 - CAFÉ ESPECIAL","ESPECIALES",B237="141 - AREQUIPE","DERIVADOS",B237="142 - MERMELADA","DERIVADOS",B237="131 - GALLETAS AVENA","DERIVADOS",B237="160 - SOUVENIR","OTROS",B237="148 - CARAMELOS","DERIVADOS",B237="143 - CHOCOFFES","DERIVADOS",B237="162 - CONVENIOS Y DSC POS ","OTROS"),"OTROS")</f>
        <v>OTROS</v>
      </c>
      <c r="K237" s="6"/>
      <c r="L237" s="27">
        <f t="shared" si="23"/>
        <v>3419443</v>
      </c>
      <c r="M237" s="27">
        <f t="shared" si="24"/>
        <v>3419443</v>
      </c>
    </row>
    <row r="238" spans="1:13" ht="15.75" hidden="1" customHeight="1" outlineLevel="2">
      <c r="A238" s="38"/>
      <c r="B238" s="45" t="s">
        <v>29</v>
      </c>
      <c r="C238" s="46">
        <v>6710361</v>
      </c>
      <c r="D238" s="46">
        <v>0</v>
      </c>
      <c r="E238" s="46"/>
      <c r="F238" s="36">
        <v>19696186.350000001</v>
      </c>
      <c r="G238" s="37">
        <f t="shared" si="25"/>
        <v>0.34069341550477356</v>
      </c>
      <c r="H238" s="23">
        <f t="shared" si="21"/>
        <v>0</v>
      </c>
      <c r="I238" s="24">
        <f t="shared" si="21"/>
        <v>0</v>
      </c>
      <c r="J238" s="32" t="str" cm="1">
        <f t="array" ref="J238">IFERROR(_xlfn.IFS(B238="044 - BLEND TRADICION","BLEND",B238="113 - CAFÉ GOURMET","GOURMET",B238="114 - CAFÉ CONSUMO","CONSUMO",B238="112 - CAFÉ ORGANICO","GOURMET",B238="172 - CAFÉ COSECHA","ESPECIALES",B238="176 - CAFE DESCAFEINADO","GOURMET",B238="147 - CAPSULAS","CAPSULAS",B238="130 - GALLETAS CAFECITAS","DERIVADOS",B238="140 - MERENGUES","DERIVADOS",B238="100 - CAFÉ ESPECIAL","ESPECIALES",B238="141 - AREQUIPE","DERIVADOS",B238="142 - MERMELADA","DERIVADOS",B238="131 - GALLETAS AVENA","DERIVADOS",B238="160 - SOUVENIR","OTROS",B238="148 - CARAMELOS","DERIVADOS",B238="143 - CHOCOFFES","DERIVADOS",B238="162 - CONVENIOS Y DSC POS ","OTROS"),"OTROS")</f>
        <v>ESPECIALES</v>
      </c>
      <c r="K238" s="6"/>
      <c r="L238" s="27">
        <f t="shared" si="23"/>
        <v>6710361</v>
      </c>
      <c r="M238" s="27">
        <f t="shared" si="24"/>
        <v>6710361</v>
      </c>
    </row>
    <row r="239" spans="1:13" ht="15.75" hidden="1" customHeight="1" outlineLevel="2">
      <c r="A239" s="38"/>
      <c r="B239" s="45" t="s">
        <v>30</v>
      </c>
      <c r="C239" s="46">
        <v>1708074</v>
      </c>
      <c r="D239" s="46">
        <v>0</v>
      </c>
      <c r="E239" s="46"/>
      <c r="F239" s="36">
        <v>6569709</v>
      </c>
      <c r="G239" s="37">
        <f t="shared" si="25"/>
        <v>0.25999233756015677</v>
      </c>
      <c r="H239" s="23">
        <f t="shared" si="21"/>
        <v>0</v>
      </c>
      <c r="I239" s="24">
        <f>IFERROR(+E239/M239*100%,0)</f>
        <v>0</v>
      </c>
      <c r="J239" s="32" t="str" cm="1">
        <f t="array" ref="J239">IFERROR(_xlfn.IFS(B239="044 - BLEND TRADICION","BLEND",B239="113 - CAFÉ GOURMET","GOURMET",B239="114 - CAFÉ CONSUMO","CONSUMO",B239="112 - CAFÉ ORGANICO","GOURMET",B239="172 - CAFÉ COSECHA","ESPECIALES",B239="176 - CAFE DESCAFEINADO","GOURMET",B239="147 - CAPSULAS","CAPSULAS",B239="130 - GALLETAS CAFECITAS","DERIVADOS",B239="140 - MERENGUES","DERIVADOS",B239="100 - CAFÉ ESPECIAL","ESPECIALES",B239="141 - AREQUIPE","DERIVADOS",B239="142 - MERMELADA","DERIVADOS",B239="131 - GALLETAS AVENA","DERIVADOS",B239="160 - SOUVENIR","OTROS",B239="148 - CARAMELOS","DERIVADOS",B239="143 - CHOCOFFES","DERIVADOS",B239="162 - CONVENIOS Y DSC POS ","OTROS"),"OTROS")</f>
        <v>GOURMET</v>
      </c>
      <c r="K239" s="6"/>
      <c r="L239" s="27">
        <f>C239-(D239+E239)</f>
        <v>1708074</v>
      </c>
      <c r="M239" s="27">
        <f t="shared" si="24"/>
        <v>1708074</v>
      </c>
    </row>
    <row r="240" spans="1:13" ht="15.75" hidden="1" customHeight="1" outlineLevel="2">
      <c r="A240" s="19" t="s">
        <v>60</v>
      </c>
      <c r="B240" s="56" t="s">
        <v>32</v>
      </c>
      <c r="C240" s="54">
        <f>SUM(C227:C239)</f>
        <v>81561650</v>
      </c>
      <c r="D240" s="54">
        <f>SUM(D227:D239)</f>
        <v>-181784</v>
      </c>
      <c r="E240" s="54">
        <f>SUM(E227:E239)</f>
        <v>0</v>
      </c>
      <c r="F240" s="58">
        <f>SUM(F227:F239)</f>
        <v>278548044.25999999</v>
      </c>
      <c r="G240" s="55">
        <f t="shared" si="25"/>
        <v>0.29280998980509593</v>
      </c>
      <c r="H240" s="23">
        <f t="shared" si="21"/>
        <v>-2.2238361065183535E-3</v>
      </c>
      <c r="I240" s="24">
        <f>IFERROR(+E240/M240*100%,0)</f>
        <v>0</v>
      </c>
      <c r="J240" s="32" t="str" cm="1">
        <f t="array" ref="J240">IFERROR(_xlfn.IFS(B240="044 - BLEND TRADICION","BLEND",B240="113 - CAFÉ GOURMET","GOURMET",B240="114 - CAFÉ CONSUMO","CONSUMO",B240="112 - CAFÉ ORGANICO","GOURMET",B240="172 - CAFÉ COSECHA","ESPECIALES",B240="176 - CAFE DESCAFEINADO","GOURMET",B240="147 - CAPSULAS","CAPSULAS",B240="130 - GALLETAS CAFECITAS","DERIVADOS",B240="140 - MERENGUES","DERIVADOS",B240="100 - CAFÉ ESPECIAL","ESPECIALES",B240="141 - AREQUIPE","DERIVADOS",B240="142 - MERMELADA","DERIVADOS",B240="131 - GALLETAS AVENA","DERIVADOS",B240="160 - SOUVENIR","OTROS",B240="148 - CARAMELOS","DERIVADOS",B240="143 - CHOCOFFES","DERIVADOS",B240="162 - CONVENIOS Y DSC POS ","OTROS"),"OTROS")</f>
        <v>OTROS</v>
      </c>
      <c r="K240" s="6"/>
      <c r="L240" s="27">
        <f>C240-(D240+E240)</f>
        <v>81743434</v>
      </c>
      <c r="M240" s="27">
        <f t="shared" si="24"/>
        <v>81743434</v>
      </c>
    </row>
    <row r="241" spans="1:13" ht="16.5" collapsed="1">
      <c r="A241" s="28" t="s">
        <v>61</v>
      </c>
      <c r="B241" s="29" t="s">
        <v>17</v>
      </c>
      <c r="C241" s="30">
        <f>+C244+C252+C256</f>
        <v>56591947</v>
      </c>
      <c r="D241" s="30"/>
      <c r="E241" s="30">
        <f>+E244+E252+E256</f>
        <v>-185271</v>
      </c>
      <c r="F241" s="30">
        <f>+F244+F252+F256</f>
        <v>468781637.60000002</v>
      </c>
      <c r="G241" s="31">
        <f t="shared" si="25"/>
        <v>0.12072133902200438</v>
      </c>
      <c r="H241" s="23">
        <f t="shared" si="21"/>
        <v>0</v>
      </c>
      <c r="I241" s="24">
        <f t="shared" si="21"/>
        <v>-3.2631221910168263E-3</v>
      </c>
      <c r="J241" s="32" t="str" cm="1">
        <f t="array" ref="J241">IFERROR(_xlfn.IFS(B241="044 - BLEND TRADICION","BLEND",B241="113 - CAFÉ GOURMET","GOURMET",B241="114 - CAFÉ CONSUMO","CONSUMO",B241="112 - CAFÉ ORGANICO","GOURMET",B241="172 - CAFÉ COSECHA","ESPECIALES",B241="176 - CAFE DESCAFEINADO","GOURMET",B241="147 - CAPSULAS","CAPSULAS",B241="130 - GALLETAS CAFECITAS","DERIVADOS",B241="140 - MERENGUES","DERIVADOS",B241="100 - CAFÉ ESPECIAL","ESPECIALES",B241="141 - AREQUIPE","DERIVADOS",B241="142 - MERMELADA","DERIVADOS",B241="131 - GALLETAS AVENA","DERIVADOS",B241="160 - SOUVENIR","OTROS",B241="148 - CARAMELOS","DERIVADOS",B241="143 - CHOCOFFES","DERIVADOS",B241="162 - CONVENIOS Y DSC POS ","OTROS"),"OTROS")</f>
        <v>OTROS</v>
      </c>
      <c r="K241" s="6"/>
      <c r="L241" s="27">
        <f t="shared" ref="L241:L248" si="30">C241-(D241+E241)</f>
        <v>56777218</v>
      </c>
      <c r="M241" s="27">
        <f t="shared" si="24"/>
        <v>56777218</v>
      </c>
    </row>
    <row r="242" spans="1:13" ht="15.75" hidden="1" customHeight="1" outlineLevel="1">
      <c r="A242" s="33"/>
      <c r="B242" s="45" t="s">
        <v>62</v>
      </c>
      <c r="C242" s="46">
        <v>39351</v>
      </c>
      <c r="D242" s="46">
        <v>0</v>
      </c>
      <c r="E242" s="46">
        <v>0</v>
      </c>
      <c r="F242" s="46">
        <v>0</v>
      </c>
      <c r="G242" s="37" t="str">
        <f t="shared" si="25"/>
        <v>-</v>
      </c>
      <c r="H242" s="23">
        <f t="shared" si="21"/>
        <v>0</v>
      </c>
      <c r="I242" s="24">
        <f t="shared" si="21"/>
        <v>0</v>
      </c>
      <c r="J242" s="32" t="str" cm="1">
        <f t="array" ref="J242">IFERROR(_xlfn.IFS(B242="044 - BLEND TRADICION","BLEND",B242="113 - CAFÉ GOURMET","GOURMET",B242="114 - CAFÉ CONSUMO","CONSUMO",B242="112 - CAFÉ ORGANICO","GOURMET",B242="172 - CAFÉ COSECHA","ESPECIALES",B242="176 - CAFE DESCAFEINADO","GOURMET",B242="147 - CAPSULAS","CAPSULAS",B242="130 - GALLETAS CAFECITAS","DERIVADOS",B242="140 - MERENGUES","DERIVADOS",B242="100 - CAFÉ ESPECIAL","ESPECIALES",B242="141 - AREQUIPE","DERIVADOS",B242="142 - MERMELADA","DERIVADOS",B242="131 - GALLETAS AVENA","DERIVADOS",B242="160 - SOUVENIR","OTROS",B242="148 - CARAMELOS","DERIVADOS",B242="143 - CHOCOFFES","DERIVADOS",B242="162 - CONVENIOS Y DSC POS ","OTROS"),"OTROS")</f>
        <v>OTROS</v>
      </c>
      <c r="K242" s="6"/>
      <c r="L242" s="27">
        <f t="shared" si="30"/>
        <v>39351</v>
      </c>
      <c r="M242" s="27">
        <f t="shared" si="24"/>
        <v>39351</v>
      </c>
    </row>
    <row r="243" spans="1:13" ht="15.75" hidden="1" customHeight="1" outlineLevel="1">
      <c r="A243" s="33"/>
      <c r="B243" s="45" t="s">
        <v>39</v>
      </c>
      <c r="C243" s="46">
        <v>10800000</v>
      </c>
      <c r="D243" s="46">
        <v>0</v>
      </c>
      <c r="E243" s="46"/>
      <c r="F243" s="46">
        <v>0</v>
      </c>
      <c r="G243" s="37" t="str">
        <f t="shared" si="25"/>
        <v>-</v>
      </c>
      <c r="H243" s="23">
        <f t="shared" si="21"/>
        <v>0</v>
      </c>
      <c r="I243" s="24">
        <f t="shared" si="21"/>
        <v>0</v>
      </c>
      <c r="J243" s="32" t="str" cm="1">
        <f t="array" ref="J243">IFERROR(_xlfn.IFS(B243="044 - BLEND TRADICION","BLEND",B243="113 - CAFÉ GOURMET","GOURMET",B243="114 - CAFÉ CONSUMO","CONSUMO",B243="112 - CAFÉ ORGANICO","GOURMET",B243="172 - CAFÉ COSECHA","ESPECIALES",B243="176 - CAFE DESCAFEINADO","GOURMET",B243="147 - CAPSULAS","CAPSULAS",B243="130 - GALLETAS CAFECITAS","DERIVADOS",B243="140 - MERENGUES","DERIVADOS",B243="100 - CAFÉ ESPECIAL","ESPECIALES",B243="141 - AREQUIPE","DERIVADOS",B243="142 - MERMELADA","DERIVADOS",B243="131 - GALLETAS AVENA","DERIVADOS",B243="160 - SOUVENIR","OTROS",B243="148 - CARAMELOS","DERIVADOS",B243="143 - CHOCOFFES","DERIVADOS",B243="162 - CONVENIOS Y DSC POS ","OTROS"),"OTROS")</f>
        <v>OTROS</v>
      </c>
      <c r="K243" s="6"/>
      <c r="L243" s="27">
        <f t="shared" si="30"/>
        <v>10800000</v>
      </c>
      <c r="M243" s="27">
        <f t="shared" si="24"/>
        <v>10800000</v>
      </c>
    </row>
    <row r="244" spans="1:13" ht="15.75" hidden="1" customHeight="1" outlineLevel="1">
      <c r="A244" s="52" t="s">
        <v>63</v>
      </c>
      <c r="B244" s="20" t="s">
        <v>32</v>
      </c>
      <c r="C244" s="21">
        <f>SUM(C242:C243)</f>
        <v>10839351</v>
      </c>
      <c r="D244" s="21"/>
      <c r="E244" s="21">
        <v>0</v>
      </c>
      <c r="F244" s="21">
        <v>0</v>
      </c>
      <c r="G244" s="55" t="str">
        <f t="shared" si="25"/>
        <v>-</v>
      </c>
      <c r="H244" s="23">
        <f t="shared" si="21"/>
        <v>0</v>
      </c>
      <c r="I244" s="24">
        <f t="shared" si="21"/>
        <v>0</v>
      </c>
      <c r="J244" s="32" t="str" cm="1">
        <f t="array" ref="J244">IFERROR(_xlfn.IFS(B244="044 - BLEND TRADICION","BLEND",B244="113 - CAFÉ GOURMET","GOURMET",B244="114 - CAFÉ CONSUMO","CONSUMO",B244="112 - CAFÉ ORGANICO","GOURMET",B244="172 - CAFÉ COSECHA","ESPECIALES",B244="176 - CAFE DESCAFEINADO","GOURMET",B244="147 - CAPSULAS","CAPSULAS",B244="130 - GALLETAS CAFECITAS","DERIVADOS",B244="140 - MERENGUES","DERIVADOS",B244="100 - CAFÉ ESPECIAL","ESPECIALES",B244="141 - AREQUIPE","DERIVADOS",B244="142 - MERMELADA","DERIVADOS",B244="131 - GALLETAS AVENA","DERIVADOS",B244="160 - SOUVENIR","OTROS",B244="148 - CARAMELOS","DERIVADOS",B244="143 - CHOCOFFES","DERIVADOS",B244="162 - CONVENIOS Y DSC POS ","OTROS"),"OTROS")</f>
        <v>OTROS</v>
      </c>
      <c r="K244" s="6"/>
      <c r="L244" s="27">
        <f t="shared" si="30"/>
        <v>10839351</v>
      </c>
      <c r="M244" s="27">
        <f t="shared" si="24"/>
        <v>10839351</v>
      </c>
    </row>
    <row r="245" spans="1:13" ht="15.75" hidden="1" customHeight="1" outlineLevel="1">
      <c r="A245" s="33"/>
      <c r="B245" s="45" t="s">
        <v>18</v>
      </c>
      <c r="C245" s="151">
        <v>28900000</v>
      </c>
      <c r="D245" s="152">
        <v>0</v>
      </c>
      <c r="E245" s="36"/>
      <c r="F245" s="36">
        <v>413971911.05000001</v>
      </c>
      <c r="G245" s="37">
        <f t="shared" si="25"/>
        <v>6.9811499835092494E-2</v>
      </c>
      <c r="H245" s="23">
        <f t="shared" si="21"/>
        <v>0</v>
      </c>
      <c r="I245" s="24">
        <f t="shared" si="21"/>
        <v>0</v>
      </c>
      <c r="J245" s="32" t="str" cm="1">
        <f t="array" ref="J245">IFERROR(_xlfn.IFS(B245="044 - BLEND TRADICION","BLEND",B245="113 - CAFÉ GOURMET","GOURMET",B245="114 - CAFÉ CONSUMO","CONSUMO",B245="112 - CAFÉ ORGANICO","GOURMET",B245="172 - CAFÉ COSECHA","ESPECIALES",B245="176 - CAFE DESCAFEINADO","GOURMET",B245="147 - CAPSULAS","CAPSULAS",B245="130 - GALLETAS CAFECITAS","DERIVADOS",B245="140 - MERENGUES","DERIVADOS",B245="100 - CAFÉ ESPECIAL","ESPECIALES",B245="141 - AREQUIPE","DERIVADOS",B245="142 - MERMELADA","DERIVADOS",B245="131 - GALLETAS AVENA","DERIVADOS",B245="160 - SOUVENIR","OTROS",B245="148 - CARAMELOS","DERIVADOS",B245="143 - CHOCOFFES","DERIVADOS",B245="162 - CONVENIOS Y DSC POS ","OTROS"),"OTROS")</f>
        <v>BLEND</v>
      </c>
      <c r="K245" s="6"/>
      <c r="L245" s="27">
        <f t="shared" si="30"/>
        <v>28900000</v>
      </c>
      <c r="M245" s="27">
        <f t="shared" si="24"/>
        <v>28900000</v>
      </c>
    </row>
    <row r="246" spans="1:13" ht="15.75" hidden="1" customHeight="1" outlineLevel="1">
      <c r="A246" s="33"/>
      <c r="B246" s="45" t="s">
        <v>20</v>
      </c>
      <c r="C246" s="151">
        <v>2053771</v>
      </c>
      <c r="D246" s="152">
        <v>0</v>
      </c>
      <c r="E246" s="36"/>
      <c r="F246" s="36">
        <v>4542701.25</v>
      </c>
      <c r="G246" s="37">
        <f t="shared" si="25"/>
        <v>0.45210347037459264</v>
      </c>
      <c r="H246" s="23">
        <f t="shared" si="21"/>
        <v>0</v>
      </c>
      <c r="I246" s="24">
        <f t="shared" si="21"/>
        <v>0</v>
      </c>
      <c r="J246" s="32" t="str" cm="1">
        <f t="array" ref="J246">IFERROR(_xlfn.IFS(B246="044 - BLEND TRADICION","BLEND",B246="113 - CAFÉ GOURMET","GOURMET",B246="114 - CAFÉ CONSUMO","CONSUMO",B246="112 - CAFÉ ORGANICO","GOURMET",B246="172 - CAFÉ COSECHA","ESPECIALES",B246="176 - CAFE DESCAFEINADO","GOURMET",B246="147 - CAPSULAS","CAPSULAS",B246="130 - GALLETAS CAFECITAS","DERIVADOS",B246="140 - MERENGUES","DERIVADOS",B246="100 - CAFÉ ESPECIAL","ESPECIALES",B246="141 - AREQUIPE","DERIVADOS",B246="142 - MERMELADA","DERIVADOS",B246="131 - GALLETAS AVENA","DERIVADOS",B246="160 - SOUVENIR","OTROS",B246="148 - CARAMELOS","DERIVADOS",B246="143 - CHOCOFFES","DERIVADOS",B246="162 - CONVENIOS Y DSC POS ","OTROS"),"OTROS")</f>
        <v>GOURMET</v>
      </c>
      <c r="K246" s="6"/>
      <c r="L246" s="27">
        <f t="shared" si="30"/>
        <v>2053771</v>
      </c>
      <c r="M246" s="27">
        <f t="shared" si="24"/>
        <v>2053771</v>
      </c>
    </row>
    <row r="247" spans="1:13" ht="15.75" hidden="1" customHeight="1" outlineLevel="1">
      <c r="A247" s="33"/>
      <c r="B247" s="45" t="s">
        <v>21</v>
      </c>
      <c r="C247" s="151">
        <v>11134326</v>
      </c>
      <c r="D247" s="152">
        <v>0</v>
      </c>
      <c r="E247" s="36"/>
      <c r="F247" s="36">
        <v>25938878.649999999</v>
      </c>
      <c r="G247" s="37">
        <f t="shared" si="25"/>
        <v>0.42925240332237724</v>
      </c>
      <c r="H247" s="23">
        <f t="shared" si="21"/>
        <v>0</v>
      </c>
      <c r="I247" s="24">
        <f t="shared" si="21"/>
        <v>0</v>
      </c>
      <c r="J247" s="32" t="str" cm="1">
        <f t="array" ref="J247">IFERROR(_xlfn.IFS(B247="044 - BLEND TRADICION","BLEND",B247="113 - CAFÉ GOURMET","GOURMET",B247="114 - CAFÉ CONSUMO","CONSUMO",B247="112 - CAFÉ ORGANICO","GOURMET",B247="172 - CAFÉ COSECHA","ESPECIALES",B247="176 - CAFE DESCAFEINADO","GOURMET",B247="147 - CAPSULAS","CAPSULAS",B247="130 - GALLETAS CAFECITAS","DERIVADOS",B247="140 - MERENGUES","DERIVADOS",B247="100 - CAFÉ ESPECIAL","ESPECIALES",B247="141 - AREQUIPE","DERIVADOS",B247="142 - MERMELADA","DERIVADOS",B247="131 - GALLETAS AVENA","DERIVADOS",B247="160 - SOUVENIR","OTROS",B247="148 - CARAMELOS","DERIVADOS",B247="143 - CHOCOFFES","DERIVADOS",B247="162 - CONVENIOS Y DSC POS ","OTROS"),"OTROS")</f>
        <v>GOURMET</v>
      </c>
      <c r="K247" s="6"/>
      <c r="L247" s="27">
        <f t="shared" si="30"/>
        <v>11134326</v>
      </c>
      <c r="M247" s="27">
        <f t="shared" si="24"/>
        <v>11134326</v>
      </c>
    </row>
    <row r="248" spans="1:13" ht="15.75" hidden="1" customHeight="1" outlineLevel="1">
      <c r="A248" s="33"/>
      <c r="B248" s="45" t="s">
        <v>22</v>
      </c>
      <c r="C248" s="151">
        <v>0</v>
      </c>
      <c r="D248" s="152">
        <v>0</v>
      </c>
      <c r="E248" s="36"/>
      <c r="F248" s="36">
        <v>21964513.23</v>
      </c>
      <c r="G248" s="37">
        <f t="shared" si="25"/>
        <v>0</v>
      </c>
      <c r="H248" s="23">
        <f t="shared" si="21"/>
        <v>0</v>
      </c>
      <c r="I248" s="24">
        <f t="shared" si="21"/>
        <v>0</v>
      </c>
      <c r="J248" s="32" t="str" cm="1">
        <f t="array" ref="J248">IFERROR(_xlfn.IFS(B248="044 - BLEND TRADICION","BLEND",B248="113 - CAFÉ GOURMET","GOURMET",B248="114 - CAFÉ CONSUMO","CONSUMO",B248="112 - CAFÉ ORGANICO","GOURMET",B248="172 - CAFÉ COSECHA","ESPECIALES",B248="176 - CAFE DESCAFEINADO","GOURMET",B248="147 - CAPSULAS","CAPSULAS",B248="130 - GALLETAS CAFECITAS","DERIVADOS",B248="140 - MERENGUES","DERIVADOS",B248="100 - CAFÉ ESPECIAL","ESPECIALES",B248="141 - AREQUIPE","DERIVADOS",B248="142 - MERMELADA","DERIVADOS",B248="131 - GALLETAS AVENA","DERIVADOS",B248="160 - SOUVENIR","OTROS",B248="148 - CARAMELOS","DERIVADOS",B248="143 - CHOCOFFES","DERIVADOS",B248="162 - CONVENIOS Y DSC POS ","OTROS"),"OTROS")</f>
        <v>DERIVADOS</v>
      </c>
      <c r="K248" s="6"/>
      <c r="L248" s="27">
        <f t="shared" si="30"/>
        <v>0</v>
      </c>
      <c r="M248" s="27">
        <f t="shared" si="24"/>
        <v>0</v>
      </c>
    </row>
    <row r="249" spans="1:13" ht="15.75" hidden="1" customHeight="1" outlineLevel="1">
      <c r="A249" s="33"/>
      <c r="B249" s="45" t="s">
        <v>50</v>
      </c>
      <c r="C249" s="151">
        <v>-185271</v>
      </c>
      <c r="D249" s="152">
        <v>0</v>
      </c>
      <c r="E249" s="152">
        <v>-185271</v>
      </c>
      <c r="F249" s="36"/>
      <c r="G249" s="37"/>
      <c r="H249" s="23"/>
      <c r="I249" s="24"/>
      <c r="J249" s="32"/>
      <c r="K249" s="6"/>
      <c r="L249" s="27"/>
      <c r="M249" s="27"/>
    </row>
    <row r="250" spans="1:13" ht="15.75" hidden="1" customHeight="1" outlineLevel="1">
      <c r="A250" s="33"/>
      <c r="B250" s="45" t="s">
        <v>29</v>
      </c>
      <c r="C250" s="151">
        <v>0</v>
      </c>
      <c r="D250" s="152">
        <v>0</v>
      </c>
      <c r="E250" s="36">
        <v>0</v>
      </c>
      <c r="F250" s="36">
        <v>2363633.42</v>
      </c>
      <c r="G250" s="37">
        <f t="shared" ref="G250:G271" si="31">IFERROR(C250/F250*100%,"-")</f>
        <v>0</v>
      </c>
      <c r="H250" s="23">
        <f t="shared" ref="H250:I272" si="32">IFERROR(+D250/L250*100%,0)</f>
        <v>0</v>
      </c>
      <c r="I250" s="24">
        <f t="shared" si="32"/>
        <v>0</v>
      </c>
      <c r="J250" s="32" t="str" cm="1">
        <f t="array" ref="J250">IFERROR(_xlfn.IFS(B250="044 - BLEND TRADICION","BLEND",B250="113 - CAFÉ GOURMET","GOURMET",B250="114 - CAFÉ CONSUMO","CONSUMO",B250="112 - CAFÉ ORGANICO","GOURMET",B250="172 - CAFÉ COSECHA","ESPECIALES",B250="176 - CAFE DESCAFEINADO","GOURMET",B250="147 - CAPSULAS","CAPSULAS",B250="130 - GALLETAS CAFECITAS","DERIVADOS",B250="140 - MERENGUES","DERIVADOS",B250="100 - CAFÉ ESPECIAL","ESPECIALES",B250="141 - AREQUIPE","DERIVADOS",B250="142 - MERMELADA","DERIVADOS",B250="131 - GALLETAS AVENA","DERIVADOS",B250="160 - SOUVENIR","OTROS",B250="148 - CARAMELOS","DERIVADOS",B250="143 - CHOCOFFES","DERIVADOS",B250="162 - CONVENIOS Y DSC POS ","OTROS"),"OTROS")</f>
        <v>ESPECIALES</v>
      </c>
      <c r="K250" s="6"/>
      <c r="L250" s="27">
        <f t="shared" ref="L250:L253" si="33">C250-(D250+E250)</f>
        <v>0</v>
      </c>
      <c r="M250" s="27">
        <f t="shared" ref="M250:M271" si="34">L250</f>
        <v>0</v>
      </c>
    </row>
    <row r="251" spans="1:13" ht="15.75" hidden="1" customHeight="1" outlineLevel="1">
      <c r="A251" s="44"/>
      <c r="B251" s="45" t="s">
        <v>92</v>
      </c>
      <c r="C251" s="151">
        <v>3845520</v>
      </c>
      <c r="D251" s="152">
        <v>0</v>
      </c>
      <c r="E251" s="36">
        <v>0</v>
      </c>
      <c r="F251" s="36">
        <v>0</v>
      </c>
      <c r="G251" s="37" t="str">
        <f t="shared" si="31"/>
        <v>-</v>
      </c>
      <c r="H251" s="23">
        <f t="shared" si="32"/>
        <v>0</v>
      </c>
      <c r="I251" s="24">
        <f t="shared" si="32"/>
        <v>0</v>
      </c>
      <c r="J251" s="32" t="str" cm="1">
        <f t="array" ref="J251">IFERROR(_xlfn.IFS(B251="044 - BLEND TRADICION","BLEND",B251="113 - CAFÉ GOURMET","GOURMET",B251="114 - CAFÉ CONSUMO","CONSUMO",B251="112 - CAFÉ ORGANICO","GOURMET",B251="172 - CAFÉ COSECHA","ESPECIALES",B251="176 - CAFE DESCAFEINADO","GOURMET",B251="147 - CAPSULAS","CAPSULAS",B251="130 - GALLETAS CAFECITAS","DERIVADOS",B251="140 - MERENGUES","DERIVADOS",B251="100 - CAFÉ ESPECIAL","ESPECIALES",B251="141 - AREQUIPE","DERIVADOS",B251="142 - MERMELADA","DERIVADOS",B251="131 - GALLETAS AVENA","DERIVADOS",B251="160 - SOUVENIR","OTROS",B251="148 - CARAMELOS","DERIVADOS",B251="143 - CHOCOFFES","DERIVADOS",B251="162 - CONVENIOS Y DSC POS ","OTROS"),"OTROS")</f>
        <v>OTROS</v>
      </c>
      <c r="K251" s="6"/>
      <c r="L251" s="27">
        <f t="shared" si="33"/>
        <v>3845520</v>
      </c>
      <c r="M251" s="27">
        <f t="shared" si="34"/>
        <v>3845520</v>
      </c>
    </row>
    <row r="252" spans="1:13" ht="15.75" hidden="1" customHeight="1" outlineLevel="1">
      <c r="A252" s="19" t="s">
        <v>64</v>
      </c>
      <c r="B252" s="40" t="s">
        <v>32</v>
      </c>
      <c r="C252" s="54">
        <f>SUM(C245:C251)</f>
        <v>45748346</v>
      </c>
      <c r="D252" s="54">
        <f>SUM(D245:D251)</f>
        <v>0</v>
      </c>
      <c r="E252" s="54">
        <f>SUM(E245:E251)</f>
        <v>-185271</v>
      </c>
      <c r="F252" s="54">
        <f>SUM(F245:F251)</f>
        <v>468781637.60000002</v>
      </c>
      <c r="G252" s="55">
        <f t="shared" si="31"/>
        <v>9.7589884779224118E-2</v>
      </c>
      <c r="H252" s="23">
        <f t="shared" si="32"/>
        <v>0</v>
      </c>
      <c r="I252" s="24">
        <f t="shared" si="32"/>
        <v>-4.03345114320085E-3</v>
      </c>
      <c r="J252" s="32" t="str" cm="1">
        <f t="array" ref="J252">IFERROR(_xlfn.IFS(B252="044 - BLEND TRADICION","BLEND",B252="113 - CAFÉ GOURMET","GOURMET",B252="114 - CAFÉ CONSUMO","CONSUMO",B252="112 - CAFÉ ORGANICO","GOURMET",B252="172 - CAFÉ COSECHA","ESPECIALES",B252="176 - CAFE DESCAFEINADO","GOURMET",B252="147 - CAPSULAS","CAPSULAS",B252="130 - GALLETAS CAFECITAS","DERIVADOS",B252="140 - MERENGUES","DERIVADOS",B252="100 - CAFÉ ESPECIAL","ESPECIALES",B252="141 - AREQUIPE","DERIVADOS",B252="142 - MERMELADA","DERIVADOS",B252="131 - GALLETAS AVENA","DERIVADOS",B252="160 - SOUVENIR","OTROS",B252="148 - CARAMELOS","DERIVADOS",B252="143 - CHOCOFFES","DERIVADOS",B252="162 - CONVENIOS Y DSC POS ","OTROS"),"OTROS")</f>
        <v>OTROS</v>
      </c>
      <c r="L252" s="27">
        <f t="shared" si="33"/>
        <v>45933617</v>
      </c>
      <c r="M252" s="27">
        <f t="shared" si="34"/>
        <v>45933617</v>
      </c>
    </row>
    <row r="253" spans="1:13" ht="15.75" hidden="1" customHeight="1" outlineLevel="1">
      <c r="A253" s="33"/>
      <c r="B253" s="39" t="s">
        <v>24</v>
      </c>
      <c r="C253" s="36">
        <v>4250</v>
      </c>
      <c r="D253" s="36"/>
      <c r="E253" s="36">
        <v>0</v>
      </c>
      <c r="F253" s="36">
        <v>0</v>
      </c>
      <c r="G253" s="37" t="str">
        <f t="shared" si="31"/>
        <v>-</v>
      </c>
      <c r="H253" s="23">
        <f t="shared" si="32"/>
        <v>0</v>
      </c>
      <c r="I253" s="24">
        <f t="shared" si="32"/>
        <v>0</v>
      </c>
      <c r="J253" s="32" t="str" cm="1">
        <f t="array" ref="J253">IFERROR(_xlfn.IFS(B253="044 - BLEND TRADICION","BLEND",B253="113 - CAFÉ GOURMET","GOURMET",B253="114 - CAFÉ CONSUMO","CONSUMO",B253="112 - CAFÉ ORGANICO","GOURMET",B253="172 - CAFÉ COSECHA","ESPECIALES",B253="176 - CAFE DESCAFEINADO","GOURMET",B253="147 - CAPSULAS","CAPSULAS",B253="130 - GALLETAS CAFECITAS","DERIVADOS",B253="140 - MERENGUES","DERIVADOS",B253="100 - CAFÉ ESPECIAL","ESPECIALES",B253="141 - AREQUIPE","DERIVADOS",B253="142 - MERMELADA","DERIVADOS",B253="131 - GALLETAS AVENA","DERIVADOS",B253="160 - SOUVENIR","OTROS",B253="148 - CARAMELOS","DERIVADOS",B253="143 - CHOCOFFES","DERIVADOS",B253="162 - CONVENIOS Y DSC POS ","OTROS"),"OTROS")</f>
        <v>DERIVADOS</v>
      </c>
      <c r="L253" s="27">
        <f t="shared" si="33"/>
        <v>4250</v>
      </c>
      <c r="M253" s="27">
        <f t="shared" si="34"/>
        <v>4250</v>
      </c>
    </row>
    <row r="254" spans="1:13" ht="15.75" hidden="1" customHeight="1" outlineLevel="1">
      <c r="A254" s="33"/>
      <c r="B254" s="39" t="s">
        <v>25</v>
      </c>
      <c r="C254" s="36">
        <v>0</v>
      </c>
      <c r="D254" s="36">
        <v>0</v>
      </c>
      <c r="E254" s="36"/>
      <c r="F254" s="36">
        <v>0</v>
      </c>
      <c r="G254" s="37" t="str">
        <f t="shared" si="31"/>
        <v>-</v>
      </c>
      <c r="H254" s="23">
        <f t="shared" si="32"/>
        <v>0</v>
      </c>
      <c r="I254" s="24">
        <f t="shared" si="32"/>
        <v>0</v>
      </c>
      <c r="J254" s="32" t="str" cm="1">
        <f t="array" ref="J254">IFERROR(_xlfn.IFS(B254="044 - BLEND TRADICION","BLEND",B254="113 - CAFÉ GOURMET","GOURMET",B254="114 - CAFÉ CONSUMO","CONSUMO",B254="112 - CAFÉ ORGANICO","GOURMET",B254="172 - CAFÉ COSECHA","ESPECIALES",B254="176 - CAFE DESCAFEINADO","GOURMET",B254="147 - CAPSULAS","CAPSULAS",B254="130 - GALLETAS CAFECITAS","DERIVADOS",B254="140 - MERENGUES","DERIVADOS",B254="100 - CAFÉ ESPECIAL","ESPECIALES",B254="141 - AREQUIPE","DERIVADOS",B254="142 - MERMELADA","DERIVADOS",B254="131 - GALLETAS AVENA","DERIVADOS",B254="160 - SOUVENIR","OTROS",B254="148 - CARAMELOS","DERIVADOS",B254="143 - CHOCOFFES","DERIVADOS",B254="162 - CONVENIOS Y DSC POS ","OTROS"),"OTROS")</f>
        <v>DERIVADOS</v>
      </c>
      <c r="K254" s="6"/>
      <c r="L254" s="27">
        <f>C254-(D254+E254)</f>
        <v>0</v>
      </c>
      <c r="M254" s="27">
        <f t="shared" si="34"/>
        <v>0</v>
      </c>
    </row>
    <row r="255" spans="1:13" ht="15.75" hidden="1" customHeight="1" outlineLevel="1">
      <c r="A255" s="38"/>
      <c r="B255" s="39" t="s">
        <v>29</v>
      </c>
      <c r="C255" s="36">
        <v>0</v>
      </c>
      <c r="D255" s="36">
        <v>0</v>
      </c>
      <c r="E255" s="36">
        <v>0</v>
      </c>
      <c r="F255" s="36">
        <v>0</v>
      </c>
      <c r="G255" s="37" t="str">
        <f t="shared" si="31"/>
        <v>-</v>
      </c>
      <c r="H255" s="23">
        <f t="shared" si="32"/>
        <v>0</v>
      </c>
      <c r="I255" s="24">
        <f t="shared" si="32"/>
        <v>0</v>
      </c>
      <c r="J255" s="32" t="str" cm="1">
        <f t="array" ref="J255">IFERROR(_xlfn.IFS(B255="044 - BLEND TRADICION","BLEND",B255="113 - CAFÉ GOURMET","GOURMET",B255="114 - CAFÉ CONSUMO","CONSUMO",B255="112 - CAFÉ ORGANICO","GOURMET",B255="172 - CAFÉ COSECHA","ESPECIALES",B255="176 - CAFE DESCAFEINADO","GOURMET",B255="147 - CAPSULAS","CAPSULAS",B255="130 - GALLETAS CAFECITAS","DERIVADOS",B255="140 - MERENGUES","DERIVADOS",B255="100 - CAFÉ ESPECIAL","ESPECIALES",B255="141 - AREQUIPE","DERIVADOS",B255="142 - MERMELADA","DERIVADOS",B255="131 - GALLETAS AVENA","DERIVADOS",B255="160 - SOUVENIR","OTROS",B255="148 - CARAMELOS","DERIVADOS",B255="143 - CHOCOFFES","DERIVADOS",B255="162 - CONVENIOS Y DSC POS ","OTROS"),"OTROS")</f>
        <v>ESPECIALES</v>
      </c>
      <c r="K255" s="6"/>
      <c r="L255" s="27">
        <f t="shared" ref="L255:L272" si="35">C255-(D255+E255)</f>
        <v>0</v>
      </c>
      <c r="M255" s="27">
        <f t="shared" si="34"/>
        <v>0</v>
      </c>
    </row>
    <row r="256" spans="1:13" ht="15.75" hidden="1" customHeight="1" outlineLevel="1">
      <c r="A256" s="19" t="s">
        <v>65</v>
      </c>
      <c r="B256" s="56" t="s">
        <v>32</v>
      </c>
      <c r="C256" s="54">
        <f>SUM(C253:C255)</f>
        <v>4250</v>
      </c>
      <c r="D256" s="54">
        <f>SUM(D253:D255)</f>
        <v>0</v>
      </c>
      <c r="E256" s="57">
        <v>0</v>
      </c>
      <c r="F256" s="58">
        <v>0</v>
      </c>
      <c r="G256" s="55" t="str">
        <f t="shared" si="31"/>
        <v>-</v>
      </c>
      <c r="H256" s="23">
        <f t="shared" si="32"/>
        <v>0</v>
      </c>
      <c r="I256" s="24">
        <f t="shared" si="32"/>
        <v>0</v>
      </c>
      <c r="J256" s="32" t="str" cm="1">
        <f t="array" ref="J256">IFERROR(_xlfn.IFS(B256="044 - BLEND TRADICION","BLEND",B256="113 - CAFÉ GOURMET","GOURMET",B256="114 - CAFÉ CONSUMO","CONSUMO",B256="112 - CAFÉ ORGANICO","GOURMET",B256="172 - CAFÉ COSECHA","ESPECIALES",B256="176 - CAFE DESCAFEINADO","GOURMET",B256="147 - CAPSULAS","CAPSULAS",B256="130 - GALLETAS CAFECITAS","DERIVADOS",B256="140 - MERENGUES","DERIVADOS",B256="100 - CAFÉ ESPECIAL","ESPECIALES",B256="141 - AREQUIPE","DERIVADOS",B256="142 - MERMELADA","DERIVADOS",B256="131 - GALLETAS AVENA","DERIVADOS",B256="160 - SOUVENIR","OTROS",B256="148 - CARAMELOS","DERIVADOS",B256="143 - CHOCOFFES","DERIVADOS",B256="162 - CONVENIOS Y DSC POS ","OTROS"),"OTROS")</f>
        <v>OTROS</v>
      </c>
      <c r="K256" s="6"/>
      <c r="L256" s="27">
        <f t="shared" si="35"/>
        <v>4250</v>
      </c>
      <c r="M256" s="27">
        <f t="shared" si="34"/>
        <v>4250</v>
      </c>
    </row>
    <row r="257" spans="1:13" ht="17" collapsed="1" thickBot="1">
      <c r="A257" s="63" t="s">
        <v>66</v>
      </c>
      <c r="B257" s="64" t="s">
        <v>17</v>
      </c>
      <c r="C257" s="65">
        <f>+C271</f>
        <v>322834391</v>
      </c>
      <c r="D257" s="65">
        <f>+D271</f>
        <v>-61908290</v>
      </c>
      <c r="E257" s="65">
        <f>+E271</f>
        <v>0</v>
      </c>
      <c r="F257" s="65">
        <f>+F271</f>
        <v>3060120402.4200006</v>
      </c>
      <c r="G257" s="66">
        <f t="shared" si="31"/>
        <v>0.10549728394500311</v>
      </c>
      <c r="H257" s="23">
        <f t="shared" si="32"/>
        <v>-0.16090829808403814</v>
      </c>
      <c r="I257" s="24">
        <f t="shared" si="32"/>
        <v>0</v>
      </c>
      <c r="J257" s="32" t="str" cm="1">
        <f t="array" ref="J257">IFERROR(_xlfn.IFS(B257="044 - BLEND TRADICION","BLEND",B257="113 - CAFÉ GOURMET","GOURMET",B257="114 - CAFÉ CONSUMO","CONSUMO",B257="112 - CAFÉ ORGANICO","GOURMET",B257="172 - CAFÉ COSECHA","ESPECIALES",B257="176 - CAFE DESCAFEINADO","GOURMET",B257="147 - CAPSULAS","CAPSULAS",B257="130 - GALLETAS CAFECITAS","DERIVADOS",B257="140 - MERENGUES","DERIVADOS",B257="100 - CAFÉ ESPECIAL","ESPECIALES",B257="141 - AREQUIPE","DERIVADOS",B257="142 - MERMELADA","DERIVADOS",B257="131 - GALLETAS AVENA","DERIVADOS",B257="160 - SOUVENIR","OTROS",B257="148 - CARAMELOS","DERIVADOS",B257="143 - CHOCOFFES","DERIVADOS",B257="162 - CONVENIOS Y DSC POS ","OTROS"),"OTROS")</f>
        <v>OTROS</v>
      </c>
      <c r="K257" s="6"/>
      <c r="L257" s="27">
        <f t="shared" si="35"/>
        <v>384742681</v>
      </c>
      <c r="M257" s="27">
        <f t="shared" si="34"/>
        <v>384742681</v>
      </c>
    </row>
    <row r="258" spans="1:13" s="26" customFormat="1" ht="15.75" hidden="1" customHeight="1" outlineLevel="1">
      <c r="A258" s="67"/>
      <c r="B258" s="34" t="s">
        <v>18</v>
      </c>
      <c r="C258" s="68">
        <v>521600</v>
      </c>
      <c r="D258" s="68">
        <v>0</v>
      </c>
      <c r="E258" s="35">
        <v>0</v>
      </c>
      <c r="F258" s="35">
        <v>4301469.12</v>
      </c>
      <c r="G258" s="49">
        <f t="shared" si="31"/>
        <v>0.12126089609124056</v>
      </c>
      <c r="H258" s="23">
        <f t="shared" si="32"/>
        <v>0</v>
      </c>
      <c r="I258" s="24">
        <f t="shared" si="32"/>
        <v>0</v>
      </c>
      <c r="J258" s="32" t="str" cm="1">
        <f t="array" ref="J258">IFERROR(_xlfn.IFS(B258="044 - BLEND TRADICION","BLEND",B258="113 - CAFÉ GOURMET","GOURMET",B258="114 - CAFÉ CONSUMO","CONSUMO",B258="112 - CAFÉ ORGANICO","GOURMET",B258="172 - CAFÉ COSECHA","ESPECIALES",B258="176 - CAFE DESCAFEINADO","GOURMET",B258="147 - CAPSULAS","CAPSULAS",B258="130 - GALLETAS CAFECITAS","DERIVADOS",B258="140 - MERENGUES","DERIVADOS",B258="100 - CAFÉ ESPECIAL","ESPECIALES",B258="141 - AREQUIPE","DERIVADOS",B258="142 - MERMELADA","DERIVADOS",B258="131 - GALLETAS AVENA","DERIVADOS",B258="160 - SOUVENIR","OTROS",B258="148 - CARAMELOS","DERIVADOS",B258="143 - CHOCOFFES","DERIVADOS",B258="162 - CONVENIOS Y DSC POS ","OTROS"),"OTROS")</f>
        <v>BLEND</v>
      </c>
      <c r="L258" s="27">
        <f t="shared" si="35"/>
        <v>521600</v>
      </c>
      <c r="M258" s="27">
        <f t="shared" si="34"/>
        <v>521600</v>
      </c>
    </row>
    <row r="259" spans="1:13" s="26" customFormat="1" ht="15.75" hidden="1" customHeight="1" outlineLevel="1">
      <c r="A259" s="67"/>
      <c r="B259" s="39" t="s">
        <v>19</v>
      </c>
      <c r="C259" s="60">
        <v>19008422</v>
      </c>
      <c r="D259" s="60">
        <v>-7848862</v>
      </c>
      <c r="E259" s="36"/>
      <c r="F259" s="35">
        <v>133747007.69</v>
      </c>
      <c r="G259" s="37">
        <f t="shared" si="31"/>
        <v>0.14212222260746116</v>
      </c>
      <c r="H259" s="23">
        <f t="shared" si="32"/>
        <v>-0.29224332587018109</v>
      </c>
      <c r="I259" s="24">
        <f t="shared" si="32"/>
        <v>0</v>
      </c>
      <c r="J259" s="32" t="str" cm="1">
        <f t="array" ref="J259">IFERROR(_xlfn.IFS(B259="044 - BLEND TRADICION","BLEND",B259="113 - CAFÉ GOURMET","GOURMET",B259="114 - CAFÉ CONSUMO","CONSUMO",B259="112 - CAFÉ ORGANICO","GOURMET",B259="172 - CAFÉ COSECHA","ESPECIALES",B259="176 - CAFE DESCAFEINADO","GOURMET",B259="147 - CAPSULAS","CAPSULAS",B259="130 - GALLETAS CAFECITAS","DERIVADOS",B259="140 - MERENGUES","DERIVADOS",B259="100 - CAFÉ ESPECIAL","ESPECIALES",B259="141 - AREQUIPE","DERIVADOS",B259="142 - MERMELADA","DERIVADOS",B259="131 - GALLETAS AVENA","DERIVADOS",B259="160 - SOUVENIR","OTROS",B259="148 - CARAMELOS","DERIVADOS",B259="143 - CHOCOFFES","DERIVADOS",B259="162 - CONVENIOS Y DSC POS ","OTROS"),"OTROS")</f>
        <v>ESPECIALES</v>
      </c>
      <c r="L259" s="27">
        <f t="shared" si="35"/>
        <v>26857284</v>
      </c>
      <c r="M259" s="27">
        <f t="shared" si="34"/>
        <v>26857284</v>
      </c>
    </row>
    <row r="260" spans="1:13" s="26" customFormat="1" ht="15.75" hidden="1" customHeight="1" outlineLevel="1">
      <c r="A260" s="69"/>
      <c r="B260" s="39" t="s">
        <v>20</v>
      </c>
      <c r="C260" s="60">
        <v>19799262</v>
      </c>
      <c r="D260" s="60">
        <v>-927728</v>
      </c>
      <c r="E260" s="36">
        <v>0</v>
      </c>
      <c r="F260" s="36">
        <v>166140099.77000001</v>
      </c>
      <c r="G260" s="37">
        <f t="shared" si="31"/>
        <v>0.11917208444806268</v>
      </c>
      <c r="H260" s="23">
        <f t="shared" si="32"/>
        <v>-4.4759417551704324E-2</v>
      </c>
      <c r="I260" s="24">
        <f t="shared" si="32"/>
        <v>0</v>
      </c>
      <c r="J260" s="32" t="str" cm="1">
        <f t="array" ref="J260">IFERROR(_xlfn.IFS(B260="044 - BLEND TRADICION","BLEND",B260="113 - CAFÉ GOURMET","GOURMET",B260="114 - CAFÉ CONSUMO","CONSUMO",B260="112 - CAFÉ ORGANICO","GOURMET",B260="172 - CAFÉ COSECHA","ESPECIALES",B260="176 - CAFE DESCAFEINADO","GOURMET",B260="147 - CAPSULAS","CAPSULAS",B260="130 - GALLETAS CAFECITAS","DERIVADOS",B260="140 - MERENGUES","DERIVADOS",B260="100 - CAFÉ ESPECIAL","ESPECIALES",B260="141 - AREQUIPE","DERIVADOS",B260="142 - MERMELADA","DERIVADOS",B260="131 - GALLETAS AVENA","DERIVADOS",B260="160 - SOUVENIR","OTROS",B260="148 - CARAMELOS","DERIVADOS",B260="143 - CHOCOFFES","DERIVADOS",B260="162 - CONVENIOS Y DSC POS ","OTROS"),"OTROS")</f>
        <v>GOURMET</v>
      </c>
      <c r="L260" s="27">
        <f t="shared" si="35"/>
        <v>20726990</v>
      </c>
      <c r="M260" s="27">
        <f t="shared" si="34"/>
        <v>20726990</v>
      </c>
    </row>
    <row r="261" spans="1:13" s="26" customFormat="1" ht="15.75" hidden="1" customHeight="1" outlineLevel="1">
      <c r="A261" s="69"/>
      <c r="B261" s="39" t="s">
        <v>21</v>
      </c>
      <c r="C261" s="60">
        <v>258406193</v>
      </c>
      <c r="D261" s="60">
        <v>-15339248</v>
      </c>
      <c r="E261" s="36">
        <v>0</v>
      </c>
      <c r="F261" s="35">
        <v>2016617010.9000001</v>
      </c>
      <c r="G261" s="37">
        <f t="shared" si="31"/>
        <v>0.12813845742810401</v>
      </c>
      <c r="H261" s="23">
        <f t="shared" si="32"/>
        <v>-5.6034715843906971E-2</v>
      </c>
      <c r="I261" s="24">
        <f t="shared" si="32"/>
        <v>0</v>
      </c>
      <c r="J261" s="32" t="str" cm="1">
        <f t="array" ref="J261">IFERROR(_xlfn.IFS(B261="044 - BLEND TRADICION","BLEND",B261="113 - CAFÉ GOURMET","GOURMET",B261="114 - CAFÉ CONSUMO","CONSUMO",B261="112 - CAFÉ ORGANICO","GOURMET",B261="172 - CAFÉ COSECHA","ESPECIALES",B261="176 - CAFE DESCAFEINADO","GOURMET",B261="147 - CAPSULAS","CAPSULAS",B261="130 - GALLETAS CAFECITAS","DERIVADOS",B261="140 - MERENGUES","DERIVADOS",B261="100 - CAFÉ ESPECIAL","ESPECIALES",B261="141 - AREQUIPE","DERIVADOS",B261="142 - MERMELADA","DERIVADOS",B261="131 - GALLETAS AVENA","DERIVADOS",B261="160 - SOUVENIR","OTROS",B261="148 - CARAMELOS","DERIVADOS",B261="143 - CHOCOFFES","DERIVADOS",B261="162 - CONVENIOS Y DSC POS ","OTROS"),"OTROS")</f>
        <v>GOURMET</v>
      </c>
      <c r="L261" s="27">
        <f t="shared" si="35"/>
        <v>273745441</v>
      </c>
      <c r="M261" s="27">
        <f t="shared" si="34"/>
        <v>273745441</v>
      </c>
    </row>
    <row r="262" spans="1:13" s="26" customFormat="1" ht="15.75" hidden="1" customHeight="1" outlineLevel="1">
      <c r="A262" s="69"/>
      <c r="B262" s="39" t="s">
        <v>38</v>
      </c>
      <c r="C262" s="60">
        <v>-85592</v>
      </c>
      <c r="D262" s="60">
        <v>-85592</v>
      </c>
      <c r="E262" s="36">
        <v>0</v>
      </c>
      <c r="F262" s="36">
        <v>0</v>
      </c>
      <c r="G262" s="37" t="str">
        <f t="shared" ref="G262:G264" si="36">IFERROR(C262/F262*100%,"-")</f>
        <v>-</v>
      </c>
      <c r="H262" s="23">
        <f t="shared" ref="H262:H264" si="37">IFERROR(+D262/L262*100%,0)</f>
        <v>0</v>
      </c>
      <c r="I262" s="24">
        <f t="shared" ref="I262:I264" si="38">IFERROR(+E262/M262*100%,0)</f>
        <v>0</v>
      </c>
      <c r="J262" s="32" t="str" cm="1">
        <f t="array" ref="J262">IFERROR(_xlfn.IFS(B262="044 - BLEND TRADICION","BLEND",B262="113 - CAFÉ GOURMET","GOURMET",B262="114 - CAFÉ CONSUMO","CONSUMO",B262="112 - CAFÉ ORGANICO","GOURMET",B262="172 - CAFÉ COSECHA","ESPECIALES",B262="176 - CAFE DESCAFEINADO","GOURMET",B262="147 - CAPSULAS","CAPSULAS",B262="130 - GALLETAS CAFECITAS","DERIVADOS",B262="140 - MERENGUES","DERIVADOS",B262="100 - CAFÉ ESPECIAL","ESPECIALES",B262="141 - AREQUIPE","DERIVADOS",B262="142 - MERMELADA","DERIVADOS",B262="131 - GALLETAS AVENA","DERIVADOS",B262="160 - SOUVENIR","OTROS",B262="148 - CARAMELOS","DERIVADOS",B262="143 - CHOCOFFES","DERIVADOS",B262="162 - CONVENIOS Y DSC POS ","OTROS"),"OTROS")</f>
        <v>CONSUMO</v>
      </c>
      <c r="L262" s="27">
        <f t="shared" ref="L262:L264" si="39">C262-(D262+E262)</f>
        <v>0</v>
      </c>
      <c r="M262" s="27">
        <f t="shared" ref="M262:M264" si="40">L262</f>
        <v>0</v>
      </c>
    </row>
    <row r="263" spans="1:13" s="26" customFormat="1" ht="15.75" hidden="1" customHeight="1" outlineLevel="1">
      <c r="A263" s="69"/>
      <c r="B263" s="39" t="s">
        <v>22</v>
      </c>
      <c r="C263" s="60">
        <v>14781071</v>
      </c>
      <c r="D263" s="60">
        <v>-2367734</v>
      </c>
      <c r="E263" s="36"/>
      <c r="F263" s="35">
        <v>61087901.090000004</v>
      </c>
      <c r="G263" s="37">
        <f t="shared" si="36"/>
        <v>0.24196396890806973</v>
      </c>
      <c r="H263" s="23">
        <f t="shared" si="37"/>
        <v>-0.13806991216006012</v>
      </c>
      <c r="I263" s="24">
        <f t="shared" si="38"/>
        <v>0</v>
      </c>
      <c r="J263" s="32" t="str" cm="1">
        <f t="array" ref="J263">IFERROR(_xlfn.IFS(B263="044 - BLEND TRADICION","BLEND",B263="113 - CAFÉ GOURMET","GOURMET",B263="114 - CAFÉ CONSUMO","CONSUMO",B263="112 - CAFÉ ORGANICO","GOURMET",B263="172 - CAFÉ COSECHA","ESPECIALES",B263="176 - CAFE DESCAFEINADO","GOURMET",B263="147 - CAPSULAS","CAPSULAS",B263="130 - GALLETAS CAFECITAS","DERIVADOS",B263="140 - MERENGUES","DERIVADOS",B263="100 - CAFÉ ESPECIAL","ESPECIALES",B263="141 - AREQUIPE","DERIVADOS",B263="142 - MERMELADA","DERIVADOS",B263="131 - GALLETAS AVENA","DERIVADOS",B263="160 - SOUVENIR","OTROS",B263="148 - CARAMELOS","DERIVADOS",B263="143 - CHOCOFFES","DERIVADOS",B263="162 - CONVENIOS Y DSC POS ","OTROS"),"OTROS")</f>
        <v>DERIVADOS</v>
      </c>
      <c r="L263" s="27">
        <f t="shared" si="39"/>
        <v>17148805</v>
      </c>
      <c r="M263" s="27">
        <f t="shared" si="40"/>
        <v>17148805</v>
      </c>
    </row>
    <row r="264" spans="1:13" s="26" customFormat="1" ht="15.75" hidden="1" customHeight="1" outlineLevel="1">
      <c r="A264" s="69"/>
      <c r="B264" s="39" t="s">
        <v>24</v>
      </c>
      <c r="C264" s="60">
        <v>4204999</v>
      </c>
      <c r="D264" s="60">
        <v>-557241</v>
      </c>
      <c r="E264" s="36"/>
      <c r="F264" s="35">
        <v>7233101.0300000003</v>
      </c>
      <c r="G264" s="37">
        <f t="shared" si="36"/>
        <v>0.58135493788339909</v>
      </c>
      <c r="H264" s="23">
        <f t="shared" si="37"/>
        <v>-0.11701237232898803</v>
      </c>
      <c r="I264" s="24">
        <f t="shared" si="38"/>
        <v>0</v>
      </c>
      <c r="J264" s="32" t="str" cm="1">
        <f t="array" ref="J264">IFERROR(_xlfn.IFS(B264="044 - BLEND TRADICION","BLEND",B264="113 - CAFÉ GOURMET","GOURMET",B264="114 - CAFÉ CONSUMO","CONSUMO",B264="112 - CAFÉ ORGANICO","GOURMET",B264="172 - CAFÉ COSECHA","ESPECIALES",B264="176 - CAFE DESCAFEINADO","GOURMET",B264="147 - CAPSULAS","CAPSULAS",B264="130 - GALLETAS CAFECITAS","DERIVADOS",B264="140 - MERENGUES","DERIVADOS",B264="100 - CAFÉ ESPECIAL","ESPECIALES",B264="141 - AREQUIPE","DERIVADOS",B264="142 - MERMELADA","DERIVADOS",B264="131 - GALLETAS AVENA","DERIVADOS",B264="160 - SOUVENIR","OTROS",B264="148 - CARAMELOS","DERIVADOS",B264="143 - CHOCOFFES","DERIVADOS",B264="162 - CONVENIOS Y DSC POS ","OTROS"),"OTROS")</f>
        <v>DERIVADOS</v>
      </c>
      <c r="L264" s="27">
        <f t="shared" si="39"/>
        <v>4762240</v>
      </c>
      <c r="M264" s="27">
        <f t="shared" si="40"/>
        <v>4762240</v>
      </c>
    </row>
    <row r="265" spans="1:13" s="26" customFormat="1" ht="15.75" hidden="1" customHeight="1" outlineLevel="1">
      <c r="A265" s="69"/>
      <c r="B265" s="39" t="s">
        <v>25</v>
      </c>
      <c r="C265" s="60">
        <v>1536508</v>
      </c>
      <c r="D265" s="60">
        <v>-149012</v>
      </c>
      <c r="E265" s="36"/>
      <c r="F265" s="35">
        <v>8769038.3300000001</v>
      </c>
      <c r="G265" s="37">
        <f t="shared" si="31"/>
        <v>0.17521966972631536</v>
      </c>
      <c r="H265" s="23">
        <f t="shared" si="32"/>
        <v>-8.8407138449855233E-2</v>
      </c>
      <c r="I265" s="24">
        <f t="shared" si="32"/>
        <v>0</v>
      </c>
      <c r="J265" s="32" t="str" cm="1">
        <f t="array" ref="J265">IFERROR(_xlfn.IFS(B265="044 - BLEND TRADICION","BLEND",B265="113 - CAFÉ GOURMET","GOURMET",B265="114 - CAFÉ CONSUMO","CONSUMO",B265="112 - CAFÉ ORGANICO","GOURMET",B265="172 - CAFÉ COSECHA","ESPECIALES",B265="176 - CAFE DESCAFEINADO","GOURMET",B265="147 - CAPSULAS","CAPSULAS",B265="130 - GALLETAS CAFECITAS","DERIVADOS",B265="140 - MERENGUES","DERIVADOS",B265="100 - CAFÉ ESPECIAL","ESPECIALES",B265="141 - AREQUIPE","DERIVADOS",B265="142 - MERMELADA","DERIVADOS",B265="131 - GALLETAS AVENA","DERIVADOS",B265="160 - SOUVENIR","OTROS",B265="148 - CARAMELOS","DERIVADOS",B265="143 - CHOCOFFES","DERIVADOS",B265="162 - CONVENIOS Y DSC POS ","OTROS"),"OTROS")</f>
        <v>DERIVADOS</v>
      </c>
      <c r="L265" s="27">
        <f t="shared" si="35"/>
        <v>1685520</v>
      </c>
      <c r="M265" s="27">
        <f t="shared" si="34"/>
        <v>1685520</v>
      </c>
    </row>
    <row r="266" spans="1:13" s="26" customFormat="1" ht="15.75" hidden="1" customHeight="1" outlineLevel="1">
      <c r="A266" s="69"/>
      <c r="B266" s="39" t="s">
        <v>26</v>
      </c>
      <c r="C266" s="60">
        <v>-16552734</v>
      </c>
      <c r="D266" s="60">
        <v>-27042597</v>
      </c>
      <c r="E266" s="36">
        <v>0</v>
      </c>
      <c r="F266" s="36">
        <v>155253232.08000001</v>
      </c>
      <c r="G266" s="37">
        <f t="shared" si="31"/>
        <v>-0.10661764510944666</v>
      </c>
      <c r="H266" s="23">
        <f t="shared" si="32"/>
        <v>-2.5779742785963933</v>
      </c>
      <c r="I266" s="24">
        <f t="shared" si="32"/>
        <v>0</v>
      </c>
      <c r="J266" s="32" t="str" cm="1">
        <f t="array" ref="J266">IFERROR(_xlfn.IFS(B266="044 - BLEND TRADICION","BLEND",B266="113 - CAFÉ GOURMET","GOURMET",B266="114 - CAFÉ CONSUMO","CONSUMO",B266="112 - CAFÉ ORGANICO","GOURMET",B266="172 - CAFÉ COSECHA","ESPECIALES",B266="176 - CAFE DESCAFEINADO","GOURMET",B266="147 - CAPSULAS","CAPSULAS",B266="130 - GALLETAS CAFECITAS","DERIVADOS",B266="140 - MERENGUES","DERIVADOS",B266="100 - CAFÉ ESPECIAL","ESPECIALES",B266="141 - AREQUIPE","DERIVADOS",B266="142 - MERMELADA","DERIVADOS",B266="131 - GALLETAS AVENA","DERIVADOS",B266="160 - SOUVENIR","OTROS",B266="148 - CARAMELOS","DERIVADOS",B266="143 - CHOCOFFES","DERIVADOS",B266="162 - CONVENIOS Y DSC POS ","OTROS"),"OTROS")</f>
        <v>CAPSULAS</v>
      </c>
      <c r="L266" s="27">
        <f t="shared" si="35"/>
        <v>10489863</v>
      </c>
      <c r="M266" s="27">
        <f t="shared" si="34"/>
        <v>10489863</v>
      </c>
    </row>
    <row r="267" spans="1:13" s="26" customFormat="1" ht="15.75" hidden="1" customHeight="1" outlineLevel="1">
      <c r="A267" s="69"/>
      <c r="B267" s="39" t="s">
        <v>27</v>
      </c>
      <c r="C267" s="60">
        <v>1068749</v>
      </c>
      <c r="D267" s="60">
        <v>0</v>
      </c>
      <c r="E267" s="36">
        <v>0</v>
      </c>
      <c r="F267" s="35">
        <v>5439026.3600000003</v>
      </c>
      <c r="G267" s="37">
        <f t="shared" si="31"/>
        <v>0.1964963817531489</v>
      </c>
      <c r="H267" s="23">
        <f t="shared" si="32"/>
        <v>0</v>
      </c>
      <c r="I267" s="24">
        <f t="shared" si="32"/>
        <v>0</v>
      </c>
      <c r="J267" s="32" t="str" cm="1">
        <f t="array" ref="J267">IFERROR(_xlfn.IFS(B267="044 - BLEND TRADICION","BLEND",B267="113 - CAFÉ GOURMET","GOURMET",B267="114 - CAFÉ CONSUMO","CONSUMO",B267="112 - CAFÉ ORGANICO","GOURMET",B267="172 - CAFÉ COSECHA","ESPECIALES",B267="176 - CAFE DESCAFEINADO","GOURMET",B267="147 - CAPSULAS","CAPSULAS",B267="130 - GALLETAS CAFECITAS","DERIVADOS",B267="140 - MERENGUES","DERIVADOS",B267="100 - CAFÉ ESPECIAL","ESPECIALES",B267="141 - AREQUIPE","DERIVADOS",B267="142 - MERMELADA","DERIVADOS",B267="131 - GALLETAS AVENA","DERIVADOS",B267="160 - SOUVENIR","OTROS",B267="148 - CARAMELOS","DERIVADOS",B267="143 - CHOCOFFES","DERIVADOS",B267="162 - CONVENIOS Y DSC POS ","OTROS"),"OTROS")</f>
        <v>DERIVADOS</v>
      </c>
      <c r="L267" s="27">
        <f t="shared" si="35"/>
        <v>1068749</v>
      </c>
      <c r="M267" s="27">
        <f t="shared" si="34"/>
        <v>1068749</v>
      </c>
    </row>
    <row r="268" spans="1:13" s="26" customFormat="1" ht="15.75" hidden="1" customHeight="1" outlineLevel="1">
      <c r="A268" s="69"/>
      <c r="B268" s="39" t="s">
        <v>28</v>
      </c>
      <c r="C268" s="60">
        <v>10675038</v>
      </c>
      <c r="D268" s="60">
        <v>-1217631</v>
      </c>
      <c r="E268" s="36">
        <v>0</v>
      </c>
      <c r="F268" s="36">
        <v>137373469.31999999</v>
      </c>
      <c r="G268" s="37">
        <f t="shared" si="31"/>
        <v>7.7708148835736193E-2</v>
      </c>
      <c r="H268" s="23">
        <f t="shared" si="32"/>
        <v>-0.10238500709975196</v>
      </c>
      <c r="I268" s="24">
        <f t="shared" si="32"/>
        <v>0</v>
      </c>
      <c r="J268" s="32" t="str" cm="1">
        <f t="array" ref="J268">IFERROR(_xlfn.IFS(B268="044 - BLEND TRADICION","BLEND",B268="113 - CAFÉ GOURMET","GOURMET",B268="114 - CAFÉ CONSUMO","CONSUMO",B268="112 - CAFÉ ORGANICO","GOURMET",B268="172 - CAFÉ COSECHA","ESPECIALES",B268="176 - CAFE DESCAFEINADO","GOURMET",B268="147 - CAPSULAS","CAPSULAS",B268="130 - GALLETAS CAFECITAS","DERIVADOS",B268="140 - MERENGUES","DERIVADOS",B268="100 - CAFÉ ESPECIAL","ESPECIALES",B268="141 - AREQUIPE","DERIVADOS",B268="142 - MERMELADA","DERIVADOS",B268="131 - GALLETAS AVENA","DERIVADOS",B268="160 - SOUVENIR","OTROS",B268="148 - CARAMELOS","DERIVADOS",B268="143 - CHOCOFFES","DERIVADOS",B268="162 - CONVENIOS Y DSC POS ","OTROS"),"OTROS")</f>
        <v>OTROS</v>
      </c>
      <c r="L268" s="27">
        <f t="shared" si="35"/>
        <v>11892669</v>
      </c>
      <c r="M268" s="27">
        <f t="shared" si="34"/>
        <v>11892669</v>
      </c>
    </row>
    <row r="269" spans="1:13" s="26" customFormat="1" ht="15.75" hidden="1" customHeight="1" outlineLevel="1">
      <c r="A269" s="69"/>
      <c r="B269" s="39" t="s">
        <v>29</v>
      </c>
      <c r="C269" s="60">
        <v>6508064</v>
      </c>
      <c r="D269" s="60">
        <v>-6274188</v>
      </c>
      <c r="E269" s="36">
        <v>0</v>
      </c>
      <c r="F269" s="36">
        <v>320749097.20999998</v>
      </c>
      <c r="G269" s="37">
        <f t="shared" si="31"/>
        <v>2.0290202081968942E-2</v>
      </c>
      <c r="H269" s="23">
        <f t="shared" si="32"/>
        <v>-0.49085153382987601</v>
      </c>
      <c r="I269" s="24">
        <f t="shared" si="32"/>
        <v>0</v>
      </c>
      <c r="J269" s="32" t="str" cm="1">
        <f t="array" ref="J269">IFERROR(_xlfn.IFS(B269="044 - BLEND TRADICION","BLEND",B269="113 - CAFÉ GOURMET","GOURMET",B269="114 - CAFÉ CONSUMO","CONSUMO",B269="112 - CAFÉ ORGANICO","GOURMET",B269="172 - CAFÉ COSECHA","ESPECIALES",B269="176 - CAFE DESCAFEINADO","GOURMET",B269="147 - CAPSULAS","CAPSULAS",B269="130 - GALLETAS CAFECITAS","DERIVADOS",B269="140 - MERENGUES","DERIVADOS",B269="100 - CAFÉ ESPECIAL","ESPECIALES",B269="141 - AREQUIPE","DERIVADOS",B269="142 - MERMELADA","DERIVADOS",B269="131 - GALLETAS AVENA","DERIVADOS",B269="160 - SOUVENIR","OTROS",B269="148 - CARAMELOS","DERIVADOS",B269="143 - CHOCOFFES","DERIVADOS",B269="162 - CONVENIOS Y DSC POS ","OTROS"),"OTROS")</f>
        <v>ESPECIALES</v>
      </c>
      <c r="L269" s="27">
        <f t="shared" si="35"/>
        <v>12782252</v>
      </c>
      <c r="M269" s="27">
        <f t="shared" si="34"/>
        <v>12782252</v>
      </c>
    </row>
    <row r="270" spans="1:13" s="26" customFormat="1" ht="15.75" hidden="1" customHeight="1" outlineLevel="1">
      <c r="A270" s="69"/>
      <c r="B270" s="39" t="s">
        <v>30</v>
      </c>
      <c r="C270" s="60">
        <v>2962811</v>
      </c>
      <c r="D270" s="60">
        <v>-98457</v>
      </c>
      <c r="E270" s="60">
        <v>0</v>
      </c>
      <c r="F270" s="36">
        <v>43409949.520000003</v>
      </c>
      <c r="G270" s="37">
        <f t="shared" si="31"/>
        <v>6.8251887706871489E-2</v>
      </c>
      <c r="H270" s="23">
        <f t="shared" si="32"/>
        <v>-3.2162162868458431E-2</v>
      </c>
      <c r="I270" s="24">
        <f t="shared" si="32"/>
        <v>0</v>
      </c>
      <c r="J270" s="32" t="str" cm="1">
        <f t="array" ref="J270">IFERROR(_xlfn.IFS(B270="044 - BLEND TRADICION","BLEND",B270="113 - CAFÉ GOURMET","GOURMET",B270="114 - CAFÉ CONSUMO","CONSUMO",B270="112 - CAFÉ ORGANICO","GOURMET",B270="172 - CAFÉ COSECHA","ESPECIALES",B270="176 - CAFE DESCAFEINADO","GOURMET",B270="147 - CAPSULAS","CAPSULAS",B270="130 - GALLETAS CAFECITAS","DERIVADOS",B270="140 - MERENGUES","DERIVADOS",B270="100 - CAFÉ ESPECIAL","ESPECIALES",B270="141 - AREQUIPE","DERIVADOS",B270="142 - MERMELADA","DERIVADOS",B270="131 - GALLETAS AVENA","DERIVADOS",B270="160 - SOUVENIR","OTROS",B270="148 - CARAMELOS","DERIVADOS",B270="143 - CHOCOFFES","DERIVADOS",B270="162 - CONVENIOS Y DSC POS ","OTROS"),"OTROS")</f>
        <v>GOURMET</v>
      </c>
      <c r="L270" s="27">
        <f t="shared" si="35"/>
        <v>3061268</v>
      </c>
      <c r="M270" s="27">
        <f t="shared" si="34"/>
        <v>3061268</v>
      </c>
    </row>
    <row r="271" spans="1:13" s="26" customFormat="1" ht="15.75" hidden="1" customHeight="1" outlineLevel="1" thickBot="1">
      <c r="A271" s="70" t="s">
        <v>66</v>
      </c>
      <c r="B271" s="56" t="s">
        <v>32</v>
      </c>
      <c r="C271" s="54">
        <f>SUM(C258:C270)</f>
        <v>322834391</v>
      </c>
      <c r="D271" s="54">
        <f>SUM(D258:D270)</f>
        <v>-61908290</v>
      </c>
      <c r="E271" s="54">
        <f>SUM(E258:E270)</f>
        <v>0</v>
      </c>
      <c r="F271" s="71">
        <f>SUM(F258:F270)</f>
        <v>3060120402.4200006</v>
      </c>
      <c r="G271" s="72">
        <f t="shared" si="31"/>
        <v>0.10549728394500311</v>
      </c>
      <c r="H271" s="73">
        <f t="shared" si="32"/>
        <v>-0.16090829808403814</v>
      </c>
      <c r="I271" s="74">
        <f t="shared" si="32"/>
        <v>0</v>
      </c>
      <c r="J271" s="32"/>
      <c r="L271" s="27">
        <f t="shared" si="35"/>
        <v>384742681</v>
      </c>
      <c r="M271" s="27">
        <f t="shared" si="34"/>
        <v>384742681</v>
      </c>
    </row>
    <row r="272" spans="1:13" s="26" customFormat="1" ht="17" collapsed="1" thickBot="1">
      <c r="A272" s="181" t="s">
        <v>67</v>
      </c>
      <c r="B272" s="182"/>
      <c r="C272" s="75">
        <f>+C61+C110+C194+C210+C241+C5+C226+C257+C21</f>
        <v>1126629123</v>
      </c>
      <c r="D272" s="75">
        <f>+D61+D110+D194+D210+D241+D5+D226+D257+D21</f>
        <v>-78357629</v>
      </c>
      <c r="E272" s="75">
        <f>+E61+E110+E194+E210+E241+E5+E226+E257+E21</f>
        <v>-2584562</v>
      </c>
      <c r="F272" s="75">
        <f>+F61+F110+F194+F210+F241+F5+F226+F257+F21</f>
        <v>6068096467.1400003</v>
      </c>
      <c r="G272" s="76">
        <f>IFERROR(C272/F272*100%,"-")</f>
        <v>0.18566433956693507</v>
      </c>
      <c r="H272" s="76">
        <f t="shared" si="32"/>
        <v>-6.4888614106313552E-2</v>
      </c>
      <c r="I272" s="77">
        <f t="shared" si="32"/>
        <v>-2.1402976122700443E-3</v>
      </c>
      <c r="J272" s="32"/>
      <c r="L272" s="27">
        <f t="shared" si="35"/>
        <v>1207571314</v>
      </c>
      <c r="M272" s="27">
        <f>L272</f>
        <v>1207571314</v>
      </c>
    </row>
    <row r="273" spans="1:10" s="26" customFormat="1" ht="16.5">
      <c r="A273" s="6" t="s">
        <v>68</v>
      </c>
      <c r="B273" s="6" t="s">
        <v>68</v>
      </c>
      <c r="C273" s="78"/>
      <c r="D273" s="78"/>
      <c r="E273" s="78"/>
      <c r="F273" s="79"/>
      <c r="G273" s="79"/>
      <c r="H273" s="6"/>
      <c r="I273" s="6"/>
      <c r="J273" s="32"/>
    </row>
    <row r="274" spans="1:10" s="26" customFormat="1" ht="16.5">
      <c r="A274" s="183" t="s">
        <v>69</v>
      </c>
      <c r="B274" s="184"/>
      <c r="C274" s="187"/>
      <c r="D274" s="187"/>
      <c r="E274" s="187"/>
      <c r="F274" s="188"/>
      <c r="G274" s="79"/>
      <c r="H274" s="6"/>
      <c r="I274" s="6"/>
      <c r="J274" s="32"/>
    </row>
    <row r="275" spans="1:10" s="26" customFormat="1" ht="16.5">
      <c r="A275" s="185"/>
      <c r="B275" s="186"/>
      <c r="C275" s="171"/>
      <c r="D275" s="171"/>
      <c r="E275" s="171"/>
      <c r="F275" s="172"/>
      <c r="G275" s="79"/>
      <c r="H275" s="6"/>
      <c r="I275" s="6"/>
      <c r="J275" s="32"/>
    </row>
    <row r="276" spans="1:10" s="26" customFormat="1" ht="16.5">
      <c r="A276" s="80"/>
      <c r="B276" s="12" t="s">
        <v>2</v>
      </c>
      <c r="C276" s="13" t="s">
        <v>3</v>
      </c>
      <c r="D276" s="13" t="s">
        <v>4</v>
      </c>
      <c r="E276" s="13" t="s">
        <v>6</v>
      </c>
      <c r="F276" s="15" t="s">
        <v>7</v>
      </c>
      <c r="G276" s="81" t="s">
        <v>8</v>
      </c>
      <c r="H276" s="6"/>
      <c r="I276" s="6"/>
      <c r="J276" s="32"/>
    </row>
    <row r="277" spans="1:10" s="26" customFormat="1" ht="16.5">
      <c r="A277" s="82"/>
      <c r="B277" s="83" t="s">
        <v>62</v>
      </c>
      <c r="C277" s="84">
        <v>18333</v>
      </c>
      <c r="D277" s="84">
        <v>0</v>
      </c>
      <c r="E277" s="84">
        <v>0</v>
      </c>
      <c r="F277" s="85" t="str">
        <f>IFERROR(C277/E277*100%,"-")</f>
        <v>-</v>
      </c>
      <c r="G277" s="85">
        <f t="shared" ref="G277:G299" si="41">IFERROR((D277/C277)*100%,"-")</f>
        <v>0</v>
      </c>
      <c r="H277" s="6"/>
      <c r="I277" s="6"/>
      <c r="J277" s="32"/>
    </row>
    <row r="278" spans="1:10" s="26" customFormat="1" ht="16.5">
      <c r="A278" s="82"/>
      <c r="B278" s="83" t="s">
        <v>34</v>
      </c>
      <c r="C278" s="84">
        <v>31135539</v>
      </c>
      <c r="D278" s="84">
        <v>-2726312</v>
      </c>
      <c r="E278" s="84">
        <v>54501464.539999999</v>
      </c>
      <c r="F278" s="85">
        <f t="shared" ref="F278:F299" si="42">IFERROR(C278/E278*100%,"-")</f>
        <v>0.57127894200253726</v>
      </c>
      <c r="G278" s="85">
        <f t="shared" si="41"/>
        <v>-8.7562704470926289E-2</v>
      </c>
      <c r="H278" s="6"/>
      <c r="I278" s="6"/>
      <c r="J278" s="32"/>
    </row>
    <row r="279" spans="1:10" s="26" customFormat="1" ht="16.5">
      <c r="A279" s="82"/>
      <c r="B279" s="83" t="s">
        <v>95</v>
      </c>
      <c r="C279" s="84">
        <v>82845</v>
      </c>
      <c r="D279" s="84">
        <v>-82846</v>
      </c>
      <c r="E279" s="84">
        <v>0</v>
      </c>
      <c r="F279" s="85" t="str">
        <f t="shared" si="42"/>
        <v>-</v>
      </c>
      <c r="G279" s="85">
        <f t="shared" si="41"/>
        <v>-1.0000120707345042</v>
      </c>
      <c r="H279" s="6"/>
      <c r="I279" s="6"/>
      <c r="J279" s="32"/>
    </row>
    <row r="280" spans="1:10" s="26" customFormat="1" ht="16.5">
      <c r="A280" s="82"/>
      <c r="B280" s="83" t="s">
        <v>42</v>
      </c>
      <c r="C280" s="84">
        <v>436199</v>
      </c>
      <c r="D280" s="84">
        <v>0</v>
      </c>
      <c r="E280" s="84">
        <v>0</v>
      </c>
      <c r="F280" s="85" t="str">
        <f t="shared" si="42"/>
        <v>-</v>
      </c>
      <c r="G280" s="85">
        <f t="shared" si="41"/>
        <v>0</v>
      </c>
      <c r="H280" s="6"/>
      <c r="I280" s="6"/>
      <c r="J280" s="32"/>
    </row>
    <row r="281" spans="1:10" s="26" customFormat="1" ht="16.5">
      <c r="A281" s="82"/>
      <c r="B281" s="83" t="s">
        <v>18</v>
      </c>
      <c r="C281" s="84">
        <v>48647424</v>
      </c>
      <c r="D281" s="84">
        <v>0</v>
      </c>
      <c r="E281" s="84">
        <v>507299188.97000003</v>
      </c>
      <c r="F281" s="85">
        <f t="shared" si="42"/>
        <v>9.5894937460420118E-2</v>
      </c>
      <c r="G281" s="85">
        <f t="shared" si="41"/>
        <v>0</v>
      </c>
      <c r="H281" s="6"/>
      <c r="I281" s="6"/>
      <c r="J281" s="32"/>
    </row>
    <row r="282" spans="1:10" s="26" customFormat="1" ht="16.5">
      <c r="A282" s="82"/>
      <c r="B282" s="83" t="s">
        <v>36</v>
      </c>
      <c r="C282" s="84">
        <v>15646</v>
      </c>
      <c r="D282" s="84">
        <v>0</v>
      </c>
      <c r="E282" s="84">
        <v>0</v>
      </c>
      <c r="F282" s="85" t="str">
        <f t="shared" si="42"/>
        <v>-</v>
      </c>
      <c r="G282" s="85">
        <f t="shared" si="41"/>
        <v>0</v>
      </c>
      <c r="H282" s="6"/>
      <c r="I282" s="6"/>
      <c r="J282" s="32"/>
    </row>
    <row r="283" spans="1:10" s="26" customFormat="1" ht="16.5">
      <c r="A283" s="82"/>
      <c r="B283" s="83" t="s">
        <v>19</v>
      </c>
      <c r="C283" s="84">
        <v>41427781</v>
      </c>
      <c r="D283" s="84">
        <v>-8020006</v>
      </c>
      <c r="E283" s="84">
        <v>191019804.03</v>
      </c>
      <c r="F283" s="85">
        <f t="shared" si="42"/>
        <v>0.21687688986160666</v>
      </c>
      <c r="G283" s="85">
        <f t="shared" si="41"/>
        <v>-0.19359004528869167</v>
      </c>
      <c r="H283" s="6"/>
      <c r="I283" s="6"/>
      <c r="J283" s="32"/>
    </row>
    <row r="284" spans="1:10" s="26" customFormat="1" ht="16.5">
      <c r="A284" s="82"/>
      <c r="B284" s="83" t="s">
        <v>20</v>
      </c>
      <c r="C284" s="84">
        <v>36037138</v>
      </c>
      <c r="D284" s="84">
        <v>-927728</v>
      </c>
      <c r="E284" s="84">
        <v>223501100.75</v>
      </c>
      <c r="F284" s="85">
        <f t="shared" si="42"/>
        <v>0.16123919693939137</v>
      </c>
      <c r="G284" s="85">
        <f t="shared" si="41"/>
        <v>-2.5743664771603118E-2</v>
      </c>
      <c r="H284" s="6"/>
      <c r="I284" s="6"/>
      <c r="J284" s="32"/>
    </row>
    <row r="285" spans="1:10" s="26" customFormat="1" ht="16.5">
      <c r="A285" s="82"/>
      <c r="B285" s="83" t="s">
        <v>21</v>
      </c>
      <c r="C285" s="84">
        <v>721576248</v>
      </c>
      <c r="D285" s="84">
        <v>-26126003</v>
      </c>
      <c r="E285" s="84">
        <v>3601471598.6100001</v>
      </c>
      <c r="F285" s="85">
        <f t="shared" si="42"/>
        <v>0.20035594568578433</v>
      </c>
      <c r="G285" s="85">
        <f t="shared" si="41"/>
        <v>-3.6206850034786624E-2</v>
      </c>
      <c r="H285" s="6"/>
      <c r="I285" s="6"/>
      <c r="J285" s="32"/>
    </row>
    <row r="286" spans="1:10" s="26" customFormat="1" ht="16.5">
      <c r="A286" s="82"/>
      <c r="B286" s="83" t="s">
        <v>38</v>
      </c>
      <c r="C286" s="84">
        <v>27513991</v>
      </c>
      <c r="D286" s="84">
        <v>-85592</v>
      </c>
      <c r="E286" s="84">
        <v>53476353.159999996</v>
      </c>
      <c r="F286" s="85">
        <f t="shared" si="42"/>
        <v>0.51450761643522669</v>
      </c>
      <c r="G286" s="85">
        <f t="shared" si="41"/>
        <v>-3.1108536744087764E-3</v>
      </c>
      <c r="H286" s="6"/>
      <c r="I286" s="6"/>
      <c r="J286" s="32"/>
    </row>
    <row r="287" spans="1:10" s="26" customFormat="1" ht="16.5">
      <c r="A287" s="82"/>
      <c r="B287" s="83" t="s">
        <v>22</v>
      </c>
      <c r="C287" s="84">
        <v>47945697</v>
      </c>
      <c r="D287" s="84">
        <v>-2378374</v>
      </c>
      <c r="E287" s="84">
        <v>217515060.65000001</v>
      </c>
      <c r="F287" s="85">
        <f t="shared" si="42"/>
        <v>0.22042472303629887</v>
      </c>
      <c r="G287" s="85">
        <f t="shared" si="41"/>
        <v>-4.9605577743504284E-2</v>
      </c>
      <c r="H287" s="6"/>
      <c r="I287" s="6"/>
      <c r="J287" s="32"/>
    </row>
    <row r="288" spans="1:10" s="26" customFormat="1" ht="16.5">
      <c r="A288" s="82"/>
      <c r="B288" s="83" t="s">
        <v>23</v>
      </c>
      <c r="C288" s="84">
        <v>188109</v>
      </c>
      <c r="D288" s="84">
        <v>-343068</v>
      </c>
      <c r="E288" s="84">
        <v>2178053.21</v>
      </c>
      <c r="F288" s="85">
        <f t="shared" si="42"/>
        <v>8.6365658624106806E-2</v>
      </c>
      <c r="G288" s="85">
        <f t="shared" si="41"/>
        <v>-1.8237723872860947</v>
      </c>
      <c r="H288" s="6"/>
      <c r="I288" s="6"/>
      <c r="J288" s="32"/>
    </row>
    <row r="289" spans="1:31" s="26" customFormat="1" ht="16.5">
      <c r="A289" s="82"/>
      <c r="B289" s="83" t="s">
        <v>24</v>
      </c>
      <c r="C289" s="84">
        <v>9029979</v>
      </c>
      <c r="D289" s="84">
        <v>-557241</v>
      </c>
      <c r="E289" s="84">
        <v>22254856.469999999</v>
      </c>
      <c r="F289" s="85">
        <f t="shared" si="42"/>
        <v>0.405753189744117</v>
      </c>
      <c r="G289" s="85">
        <f t="shared" si="41"/>
        <v>-6.1710110289293033E-2</v>
      </c>
      <c r="H289" s="6"/>
      <c r="I289" s="6"/>
      <c r="J289" s="32"/>
    </row>
    <row r="290" spans="1:31" s="26" customFormat="1" ht="16.5">
      <c r="A290" s="82"/>
      <c r="B290" s="83" t="s">
        <v>25</v>
      </c>
      <c r="C290" s="84">
        <v>22892340</v>
      </c>
      <c r="D290" s="84">
        <v>-149012</v>
      </c>
      <c r="E290" s="84">
        <v>73446237.840000004</v>
      </c>
      <c r="F290" s="85">
        <f t="shared" si="42"/>
        <v>0.31168839512066149</v>
      </c>
      <c r="G290" s="85">
        <f t="shared" si="41"/>
        <v>-6.5092515662444296E-3</v>
      </c>
      <c r="H290" s="6"/>
      <c r="I290" s="6"/>
      <c r="J290" s="32"/>
    </row>
    <row r="291" spans="1:31" s="26" customFormat="1" ht="16.5">
      <c r="A291" s="82"/>
      <c r="B291" s="83" t="s">
        <v>26</v>
      </c>
      <c r="C291" s="84">
        <v>28678530</v>
      </c>
      <c r="D291" s="84">
        <v>-28862435</v>
      </c>
      <c r="E291" s="84">
        <v>283274900.44</v>
      </c>
      <c r="F291" s="85">
        <f t="shared" si="42"/>
        <v>0.10123922011958963</v>
      </c>
      <c r="G291" s="85">
        <f t="shared" si="41"/>
        <v>-1.0064126369099113</v>
      </c>
      <c r="H291" s="6"/>
      <c r="I291" s="6"/>
      <c r="J291" s="32"/>
    </row>
    <row r="292" spans="1:31" s="26" customFormat="1" ht="16.5">
      <c r="A292" s="82"/>
      <c r="B292" s="83" t="s">
        <v>27</v>
      </c>
      <c r="C292" s="84">
        <v>25883526</v>
      </c>
      <c r="D292" s="84">
        <v>0</v>
      </c>
      <c r="E292" s="84">
        <v>86150297.260000005</v>
      </c>
      <c r="F292" s="85">
        <f t="shared" si="42"/>
        <v>0.30044616006238489</v>
      </c>
      <c r="G292" s="85">
        <f t="shared" si="41"/>
        <v>0</v>
      </c>
      <c r="H292" s="6"/>
      <c r="I292" s="6"/>
      <c r="J292" s="32"/>
    </row>
    <row r="293" spans="1:31" s="26" customFormat="1" ht="16.5">
      <c r="A293" s="82"/>
      <c r="B293" s="83" t="s">
        <v>28</v>
      </c>
      <c r="C293" s="84">
        <v>33255432</v>
      </c>
      <c r="D293" s="84">
        <v>-1217631</v>
      </c>
      <c r="E293" s="84">
        <v>247793209.88999999</v>
      </c>
      <c r="F293" s="85">
        <f t="shared" si="42"/>
        <v>0.13420638933069515</v>
      </c>
      <c r="G293" s="85">
        <f t="shared" si="41"/>
        <v>-3.66144995500284E-2</v>
      </c>
      <c r="H293" s="6"/>
      <c r="I293" s="6"/>
      <c r="J293" s="32"/>
    </row>
    <row r="294" spans="1:31" s="26" customFormat="1" ht="16.5">
      <c r="A294" s="82"/>
      <c r="B294" s="83" t="s">
        <v>39</v>
      </c>
      <c r="C294" s="84">
        <v>81408</v>
      </c>
      <c r="D294" s="84">
        <v>0</v>
      </c>
      <c r="E294" s="84">
        <v>0</v>
      </c>
      <c r="F294" s="85" t="str">
        <f t="shared" si="42"/>
        <v>-</v>
      </c>
      <c r="G294" s="85">
        <f t="shared" si="41"/>
        <v>0</v>
      </c>
      <c r="H294" s="6"/>
      <c r="I294" s="6"/>
      <c r="J294" s="32"/>
    </row>
    <row r="295" spans="1:31" s="26" customFormat="1" ht="16.5">
      <c r="A295" s="82"/>
      <c r="B295" s="83" t="s">
        <v>50</v>
      </c>
      <c r="C295" s="84">
        <v>8215438</v>
      </c>
      <c r="D295" s="84">
        <v>-2584562</v>
      </c>
      <c r="E295" s="84">
        <v>0</v>
      </c>
      <c r="F295" s="85" t="str">
        <f t="shared" si="42"/>
        <v>-</v>
      </c>
      <c r="G295" s="85">
        <f t="shared" si="41"/>
        <v>-0.31459819914653364</v>
      </c>
      <c r="H295" s="6"/>
      <c r="I295" s="6"/>
      <c r="J295" s="32"/>
    </row>
    <row r="296" spans="1:31" s="26" customFormat="1" ht="16.5">
      <c r="A296" s="82"/>
      <c r="B296" s="83" t="s">
        <v>29</v>
      </c>
      <c r="C296" s="84">
        <v>30752339</v>
      </c>
      <c r="D296" s="84">
        <v>-6274188</v>
      </c>
      <c r="E296" s="84">
        <v>442463603.77999997</v>
      </c>
      <c r="F296" s="85">
        <f t="shared" si="42"/>
        <v>6.9502527975816422E-2</v>
      </c>
      <c r="G296" s="85">
        <f t="shared" si="41"/>
        <v>-0.20402311511979626</v>
      </c>
      <c r="H296" s="6"/>
      <c r="I296" s="6"/>
      <c r="J296" s="32"/>
    </row>
    <row r="297" spans="1:31" s="26" customFormat="1">
      <c r="A297" s="82"/>
      <c r="B297" s="83" t="s">
        <v>30</v>
      </c>
      <c r="C297" s="84">
        <v>9393397</v>
      </c>
      <c r="D297" s="84">
        <v>-98457</v>
      </c>
      <c r="E297" s="84">
        <v>61750737.539999999</v>
      </c>
      <c r="F297" s="85">
        <f t="shared" si="42"/>
        <v>0.15211797258154661</v>
      </c>
      <c r="G297" s="85">
        <f t="shared" si="41"/>
        <v>-1.0481511640570498E-2</v>
      </c>
      <c r="H297" s="6"/>
      <c r="I297" s="6"/>
    </row>
    <row r="298" spans="1:31" s="26" customFormat="1">
      <c r="A298" s="82"/>
      <c r="B298" s="83" t="s">
        <v>92</v>
      </c>
      <c r="C298" s="84">
        <v>3845520</v>
      </c>
      <c r="D298" s="84">
        <v>0</v>
      </c>
      <c r="E298" s="84">
        <v>0</v>
      </c>
      <c r="F298" s="85" t="str">
        <f t="shared" si="42"/>
        <v>-</v>
      </c>
      <c r="G298" s="85">
        <f t="shared" si="41"/>
        <v>0</v>
      </c>
      <c r="H298" s="6"/>
      <c r="I298" s="6"/>
    </row>
    <row r="299" spans="1:31" s="26" customFormat="1" ht="16.5">
      <c r="A299" s="82"/>
      <c r="B299" s="83" t="s">
        <v>31</v>
      </c>
      <c r="C299" s="84">
        <v>-423736</v>
      </c>
      <c r="D299" s="84">
        <v>-508736</v>
      </c>
      <c r="E299" s="84">
        <v>0</v>
      </c>
      <c r="F299" s="85" t="str">
        <f t="shared" si="42"/>
        <v>-</v>
      </c>
      <c r="G299" s="85">
        <f t="shared" si="41"/>
        <v>1.2005965978816999</v>
      </c>
      <c r="H299" s="6"/>
      <c r="I299" s="6"/>
      <c r="J299" s="32"/>
    </row>
    <row r="300" spans="1:31" s="79" customFormat="1" ht="16.5">
      <c r="A300" s="82"/>
      <c r="B300" s="86" t="s">
        <v>32</v>
      </c>
      <c r="C300" s="87">
        <f>SUM(C277:C299)</f>
        <v>1126629123</v>
      </c>
      <c r="D300" s="87">
        <f>SUM(D277:D299)</f>
        <v>-80942191</v>
      </c>
      <c r="E300" s="87">
        <f>SUM(E277:E299)</f>
        <v>6068096467.1399994</v>
      </c>
      <c r="F300" s="88">
        <f>C300/E300*100%</f>
        <v>0.18566433956693509</v>
      </c>
      <c r="G300" s="88">
        <v>2.1700000000000001E-2</v>
      </c>
      <c r="H300" s="6"/>
      <c r="I300" s="27"/>
      <c r="J300" s="32"/>
      <c r="K300" s="26"/>
      <c r="L300" s="26"/>
      <c r="M300" s="26"/>
      <c r="O300" s="26"/>
      <c r="P300" s="26"/>
      <c r="R300" s="26"/>
      <c r="S300" s="26"/>
      <c r="U300" s="26"/>
      <c r="V300" s="26"/>
      <c r="X300" s="26"/>
      <c r="Y300" s="26"/>
      <c r="Z300" s="26"/>
      <c r="AA300" s="26"/>
      <c r="AB300" s="26"/>
      <c r="AC300" s="26"/>
      <c r="AD300" s="26"/>
      <c r="AE300" s="26"/>
    </row>
    <row r="301" spans="1:31" s="79" customFormat="1">
      <c r="A301" s="89"/>
      <c r="B301" s="90"/>
      <c r="C301" s="91"/>
      <c r="D301" s="91"/>
      <c r="E301" s="91"/>
      <c r="F301" s="92"/>
      <c r="H301" s="6"/>
      <c r="I301" s="6"/>
      <c r="J301" s="83" t="s">
        <v>50</v>
      </c>
      <c r="K301" s="26"/>
      <c r="L301" s="93"/>
      <c r="M301" s="26"/>
      <c r="O301" s="26"/>
      <c r="P301" s="26"/>
      <c r="R301" s="26"/>
      <c r="S301" s="26"/>
      <c r="X301" s="26"/>
      <c r="Y301" s="26"/>
      <c r="Z301" s="26"/>
      <c r="AA301" s="26"/>
      <c r="AB301" s="26"/>
      <c r="AD301" s="26"/>
      <c r="AE301" s="26"/>
    </row>
    <row r="302" spans="1:31" s="79" customFormat="1" ht="16.5">
      <c r="A302" s="165">
        <f>+A1</f>
        <v>46245</v>
      </c>
      <c r="B302" s="166"/>
      <c r="C302" s="169"/>
      <c r="D302" s="169"/>
      <c r="E302" s="169"/>
      <c r="F302" s="170"/>
      <c r="H302" s="6"/>
      <c r="I302" s="6"/>
      <c r="J302" s="32"/>
      <c r="K302" s="26"/>
      <c r="L302" s="27"/>
      <c r="M302" s="26"/>
      <c r="O302" s="26"/>
      <c r="P302" s="26"/>
      <c r="R302" s="26"/>
      <c r="S302" s="26"/>
      <c r="X302" s="26"/>
      <c r="Y302" s="26"/>
      <c r="Z302" s="26"/>
      <c r="AA302" s="26"/>
      <c r="AB302" s="26"/>
      <c r="AD302" s="26"/>
      <c r="AE302" s="26"/>
    </row>
    <row r="303" spans="1:31" s="78" customFormat="1">
      <c r="A303" s="167"/>
      <c r="B303" s="168"/>
      <c r="C303" s="171"/>
      <c r="D303" s="171"/>
      <c r="E303" s="171"/>
      <c r="F303" s="172"/>
      <c r="G303" s="94">
        <f>+H2</f>
        <v>0.2857142857142857</v>
      </c>
      <c r="H303" s="6"/>
      <c r="I303" s="6"/>
      <c r="J303" s="27"/>
      <c r="K303" s="26"/>
      <c r="L303" s="26"/>
      <c r="M303" s="26"/>
      <c r="O303" s="26"/>
      <c r="P303" s="26"/>
      <c r="R303" s="26"/>
      <c r="S303" s="26"/>
      <c r="U303" s="79"/>
      <c r="V303" s="79"/>
      <c r="X303" s="26"/>
      <c r="Y303" s="26"/>
      <c r="Z303" s="26"/>
      <c r="AA303" s="26"/>
      <c r="AB303" s="26"/>
      <c r="AC303" s="79"/>
      <c r="AD303" s="26"/>
      <c r="AE303" s="26"/>
    </row>
    <row r="304" spans="1:31">
      <c r="A304" s="95" t="s">
        <v>1</v>
      </c>
      <c r="B304" s="12" t="s">
        <v>2</v>
      </c>
      <c r="C304" s="13" t="s">
        <v>3</v>
      </c>
      <c r="D304" s="13" t="s">
        <v>4</v>
      </c>
      <c r="E304" s="13" t="s">
        <v>6</v>
      </c>
      <c r="F304" s="15" t="s">
        <v>7</v>
      </c>
      <c r="G304" s="81" t="s">
        <v>8</v>
      </c>
      <c r="O304" s="26"/>
      <c r="P304" s="26"/>
      <c r="R304" s="26"/>
      <c r="S304" s="26"/>
      <c r="U304" s="78"/>
      <c r="V304" s="78"/>
      <c r="X304" s="26"/>
      <c r="Y304" s="26"/>
      <c r="Z304" s="79"/>
      <c r="AA304" s="26"/>
      <c r="AB304" s="26"/>
      <c r="AC304" s="78"/>
      <c r="AD304" s="79"/>
      <c r="AE304" s="79"/>
    </row>
    <row r="305" spans="1:31">
      <c r="A305" s="173" t="s">
        <v>69</v>
      </c>
      <c r="B305" s="174"/>
      <c r="C305" s="96">
        <f>+C5+C61+C110+C194+C210+C226+C241+C257+C21</f>
        <v>1126629123</v>
      </c>
      <c r="D305" s="96">
        <f>+D5+D61+D110+D194+D210+D226+D241+D257+D21</f>
        <v>-78357629</v>
      </c>
      <c r="E305" s="97">
        <f>+F61+F110+F194+F210+F5+F241+F226+F257+F21</f>
        <v>6068096467.1400003</v>
      </c>
      <c r="F305" s="31">
        <f>C305/E305*100%</f>
        <v>0.18566433956693507</v>
      </c>
      <c r="G305" s="31">
        <f>D305/C305*100%</f>
        <v>-6.9550509036503935E-2</v>
      </c>
      <c r="L305" s="98"/>
      <c r="M305" s="98"/>
      <c r="O305" s="26"/>
      <c r="P305" s="26"/>
      <c r="R305" s="26"/>
      <c r="S305" s="26"/>
      <c r="X305" s="79"/>
      <c r="Y305" s="79"/>
      <c r="Z305" s="79"/>
      <c r="AA305" s="26"/>
      <c r="AB305" s="26"/>
      <c r="AD305" s="79"/>
      <c r="AE305" s="79"/>
    </row>
    <row r="306" spans="1:31" s="26" customFormat="1">
      <c r="A306" s="99"/>
      <c r="B306" s="6"/>
      <c r="C306" s="78"/>
      <c r="D306" s="6"/>
      <c r="E306" s="6"/>
      <c r="F306" s="6"/>
      <c r="G306" s="6"/>
      <c r="H306" s="6"/>
      <c r="I306" s="6"/>
      <c r="J306" s="6"/>
      <c r="L306" s="98"/>
      <c r="M306" s="98"/>
      <c r="U306" s="6"/>
      <c r="V306" s="6"/>
      <c r="X306" s="79"/>
      <c r="Y306" s="79"/>
      <c r="Z306" s="79"/>
      <c r="AC306" s="6"/>
      <c r="AD306" s="79"/>
      <c r="AE306" s="79"/>
    </row>
    <row r="307" spans="1:31">
      <c r="J307" s="78"/>
      <c r="O307" s="26"/>
      <c r="P307" s="26"/>
      <c r="R307" s="26"/>
      <c r="S307" s="26"/>
      <c r="X307" s="26"/>
      <c r="Y307" s="26"/>
      <c r="Z307" s="26"/>
      <c r="AA307" s="26"/>
      <c r="AB307" s="26"/>
      <c r="AD307" s="26"/>
      <c r="AE307" s="26"/>
    </row>
    <row r="308" spans="1:31">
      <c r="O308" s="26"/>
      <c r="P308" s="26"/>
      <c r="R308" s="26"/>
      <c r="S308" s="26"/>
      <c r="X308" s="26"/>
      <c r="Y308" s="26"/>
      <c r="Z308" s="26"/>
      <c r="AA308" s="26"/>
      <c r="AB308" s="26"/>
      <c r="AD308" s="26"/>
      <c r="AE308" s="26"/>
    </row>
    <row r="309" spans="1:31">
      <c r="O309" s="26"/>
      <c r="P309" s="26"/>
      <c r="R309" s="26"/>
      <c r="S309" s="26"/>
      <c r="X309" s="26"/>
      <c r="Y309" s="26"/>
      <c r="Z309" s="26"/>
      <c r="AA309" s="26"/>
      <c r="AB309" s="26"/>
      <c r="AD309" s="26"/>
      <c r="AE309" s="26"/>
    </row>
    <row r="310" spans="1:31">
      <c r="O310" s="26"/>
      <c r="P310" s="26"/>
      <c r="R310" s="26"/>
      <c r="S310" s="26"/>
      <c r="X310" s="26"/>
      <c r="Y310" s="26"/>
      <c r="AA310" s="26"/>
      <c r="AB310" s="26"/>
    </row>
    <row r="311" spans="1:31">
      <c r="O311" s="26"/>
      <c r="P311" s="26"/>
      <c r="R311" s="26"/>
      <c r="S311" s="26"/>
      <c r="AA311" s="26"/>
      <c r="AB311" s="26"/>
    </row>
    <row r="312" spans="1:31">
      <c r="O312" s="26"/>
      <c r="P312" s="26"/>
      <c r="R312" s="26"/>
      <c r="S312" s="26"/>
      <c r="AA312" s="26"/>
      <c r="AB312" s="26"/>
    </row>
  </sheetData>
  <mergeCells count="10">
    <mergeCell ref="A302:B303"/>
    <mergeCell ref="C302:F302"/>
    <mergeCell ref="C303:F303"/>
    <mergeCell ref="A305:B305"/>
    <mergeCell ref="A1:B2"/>
    <mergeCell ref="C2:G2"/>
    <mergeCell ref="A272:B272"/>
    <mergeCell ref="A274:B275"/>
    <mergeCell ref="C274:F274"/>
    <mergeCell ref="C275:F275"/>
  </mergeCells>
  <conditionalFormatting sqref="F277:F299">
    <cfRule type="top10" dxfId="9" priority="1" bottom="1" rank="3"/>
    <cfRule type="top10" dxfId="8" priority="2" rank="3"/>
  </conditionalFormatting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5861D-5F6F-4352-96D8-FDB0B4A5ADCB}">
  <dimension ref="A1:AE314"/>
  <sheetViews>
    <sheetView showGridLines="0" topLeftCell="A2" zoomScale="70" zoomScaleNormal="70" zoomScaleSheetLayoutView="70" workbookViewId="0">
      <selection activeCell="L286" sqref="L286"/>
    </sheetView>
  </sheetViews>
  <sheetFormatPr baseColWidth="10" defaultColWidth="11.453125" defaultRowHeight="15.5" outlineLevelRow="2"/>
  <cols>
    <col min="1" max="1" width="36.7265625" style="6" customWidth="1"/>
    <col min="2" max="2" width="30.7265625" style="6" customWidth="1"/>
    <col min="3" max="3" width="18.81640625" style="78" bestFit="1" customWidth="1"/>
    <col min="4" max="4" width="18" style="78" customWidth="1"/>
    <col min="5" max="5" width="28.7265625" style="78" customWidth="1"/>
    <col min="6" max="6" width="22.26953125" style="79" bestFit="1" customWidth="1"/>
    <col min="7" max="7" width="18.7265625" style="79" bestFit="1" customWidth="1"/>
    <col min="8" max="8" width="11.81640625" style="6" customWidth="1"/>
    <col min="9" max="9" width="13.1796875" style="6" bestFit="1" customWidth="1"/>
    <col min="10" max="10" width="13.81640625" style="6" customWidth="1"/>
    <col min="11" max="11" width="3.26953125" style="26" customWidth="1"/>
    <col min="12" max="12" width="19.54296875" style="26" customWidth="1"/>
    <col min="13" max="13" width="18.81640625" style="26" customWidth="1"/>
    <col min="14" max="14" width="11.453125" style="6"/>
    <col min="15" max="15" width="21.7265625" style="6" bestFit="1" customWidth="1"/>
    <col min="16" max="16" width="13" style="6" bestFit="1" customWidth="1"/>
    <col min="17" max="17" width="11.453125" style="6"/>
    <col min="18" max="18" width="21.7265625" style="6" bestFit="1" customWidth="1"/>
    <col min="19" max="19" width="13" style="6" bestFit="1" customWidth="1"/>
    <col min="20" max="20" width="11.453125" style="6"/>
    <col min="21" max="21" width="22.26953125" style="6" bestFit="1" customWidth="1"/>
    <col min="22" max="22" width="13.54296875" style="6" bestFit="1" customWidth="1"/>
    <col min="23" max="23" width="11.453125" style="6"/>
    <col min="24" max="24" width="22.26953125" style="6" bestFit="1" customWidth="1"/>
    <col min="25" max="25" width="14.26953125" style="6" bestFit="1" customWidth="1"/>
    <col min="26" max="26" width="11.453125" style="6"/>
    <col min="27" max="27" width="22.26953125" style="6" bestFit="1" customWidth="1"/>
    <col min="28" max="28" width="13" style="6" bestFit="1" customWidth="1"/>
    <col min="29" max="29" width="11.453125" style="6"/>
    <col min="30" max="30" width="26.54296875" style="6" bestFit="1" customWidth="1"/>
    <col min="31" max="31" width="14.26953125" style="6" bestFit="1" customWidth="1"/>
    <col min="32" max="16384" width="11.453125" style="6"/>
  </cols>
  <sheetData>
    <row r="1" spans="1:13">
      <c r="A1" s="175">
        <v>46246</v>
      </c>
      <c r="B1" s="176"/>
      <c r="C1" s="1"/>
      <c r="D1" s="1"/>
      <c r="E1" s="1"/>
      <c r="F1" s="2"/>
      <c r="G1" s="2"/>
      <c r="H1" s="3"/>
      <c r="I1" s="4" t="s">
        <v>0</v>
      </c>
      <c r="J1" s="5"/>
      <c r="K1" s="6"/>
      <c r="L1" s="6"/>
      <c r="M1" s="6"/>
    </row>
    <row r="2" spans="1:13">
      <c r="A2" s="177"/>
      <c r="B2" s="178"/>
      <c r="C2" s="179"/>
      <c r="D2" s="179"/>
      <c r="E2" s="179"/>
      <c r="F2" s="179"/>
      <c r="G2" s="180"/>
      <c r="H2" s="7">
        <f>+M2/100</f>
        <v>0.33333333333333337</v>
      </c>
      <c r="I2" s="8">
        <v>7</v>
      </c>
      <c r="J2" s="9"/>
      <c r="K2" s="6"/>
      <c r="L2" s="10">
        <f>100/21</f>
        <v>4.7619047619047619</v>
      </c>
      <c r="M2" s="10">
        <f>L2*I2</f>
        <v>33.333333333333336</v>
      </c>
    </row>
    <row r="3" spans="1:13" ht="31">
      <c r="A3" s="11" t="s">
        <v>1</v>
      </c>
      <c r="B3" s="12" t="s">
        <v>2</v>
      </c>
      <c r="C3" s="13" t="s">
        <v>3</v>
      </c>
      <c r="D3" s="13" t="s">
        <v>4</v>
      </c>
      <c r="E3" s="14" t="s">
        <v>5</v>
      </c>
      <c r="F3" s="13" t="s">
        <v>6</v>
      </c>
      <c r="G3" s="15" t="s">
        <v>7</v>
      </c>
      <c r="H3" s="16" t="s">
        <v>8</v>
      </c>
      <c r="I3" s="17" t="s">
        <v>9</v>
      </c>
      <c r="J3" s="18" t="s">
        <v>10</v>
      </c>
      <c r="K3" s="6"/>
      <c r="L3" s="6"/>
      <c r="M3" s="6"/>
    </row>
    <row r="4" spans="1:13" ht="18.75" hidden="1" customHeight="1" outlineLevel="1">
      <c r="A4" s="19" t="s">
        <v>11</v>
      </c>
      <c r="B4" s="20" t="s">
        <v>12</v>
      </c>
      <c r="C4" s="21" t="s">
        <v>13</v>
      </c>
      <c r="D4" s="21" t="s">
        <v>14</v>
      </c>
      <c r="E4" s="14" t="s">
        <v>5</v>
      </c>
      <c r="F4" s="21" t="s">
        <v>6</v>
      </c>
      <c r="G4" s="22" t="s">
        <v>15</v>
      </c>
      <c r="H4" s="23">
        <f t="shared" ref="H4:I19" si="0">IFERROR(+D4/L4*100%,0)</f>
        <v>0</v>
      </c>
      <c r="I4" s="24">
        <f t="shared" si="0"/>
        <v>0</v>
      </c>
      <c r="J4" s="25"/>
      <c r="L4" s="27"/>
      <c r="M4" s="27"/>
    </row>
    <row r="5" spans="1:13" ht="16.5" collapsed="1">
      <c r="A5" s="28" t="s">
        <v>16</v>
      </c>
      <c r="B5" s="29" t="s">
        <v>17</v>
      </c>
      <c r="C5" s="30">
        <f>+C20</f>
        <v>27743713</v>
      </c>
      <c r="D5" s="30">
        <f>+D20</f>
        <v>-508736</v>
      </c>
      <c r="E5" s="30">
        <f>+E20</f>
        <v>0</v>
      </c>
      <c r="F5" s="30">
        <f>+F20</f>
        <v>132391087.09</v>
      </c>
      <c r="G5" s="31">
        <f t="shared" ref="G5" si="1">IFERROR(C5/F5*100%,"-")</f>
        <v>0.2095587672086997</v>
      </c>
      <c r="H5" s="23">
        <f t="shared" si="0"/>
        <v>-1.8006792968637868E-2</v>
      </c>
      <c r="I5" s="24">
        <f t="shared" si="0"/>
        <v>0</v>
      </c>
      <c r="J5" s="32"/>
      <c r="L5" s="27">
        <f t="shared" ref="L5:L71" si="2">C5-(D5+E5)</f>
        <v>28252449</v>
      </c>
      <c r="M5" s="27">
        <f t="shared" ref="M5:M71" si="3">L5</f>
        <v>28252449</v>
      </c>
    </row>
    <row r="6" spans="1:13" ht="16.5" hidden="1" outlineLevel="1">
      <c r="A6" s="33"/>
      <c r="B6" s="34" t="s">
        <v>18</v>
      </c>
      <c r="C6" s="35">
        <v>0</v>
      </c>
      <c r="D6" s="36">
        <v>0</v>
      </c>
      <c r="E6" s="36">
        <v>0</v>
      </c>
      <c r="F6" s="35">
        <v>2190251</v>
      </c>
      <c r="G6" s="37">
        <f>IFERROR(C6/F6*100%,"-")</f>
        <v>0</v>
      </c>
      <c r="H6" s="23">
        <f t="shared" si="0"/>
        <v>0</v>
      </c>
      <c r="I6" s="24">
        <f t="shared" si="0"/>
        <v>0</v>
      </c>
      <c r="J6" s="32" t="str" cm="1">
        <f t="array" ref="J6">IFERROR(_xlfn.IFS(B6="044 - BLEND TRADICION","BLEND",B6="113 - CAFÉ GOURMET","GOURMET",B6="114 - CAFÉ CONSUMO","CONSUMO",B6="112 - CAFÉ ORGANICO","GOURMET",B6="172 - CAFÉ COSECHA","ESPECIALES",B6="176 - CAFE DESCAFEINADO","GOURMET",B6="147 - CAPSULAS","CAPSULAS",B6="130 - GALLETAS CAFECITAS","DERIVADOS",B6="140 - MERENGUES","DERIVADOS",B6="100 - CAFÉ ESPECIAL","ESPECIALES",B6="141 - AREQUIPE","DERIVADOS",B6="142 - MERMELADA","DERIVADOS",B6="131 - GALLETAS AVENA","DERIVADOS",B6="160 - SOUVENIR","OTROS",B6="148 - CARAMELOS","DERIVADOS",B6="143 - CHOCOFFES","DERIVADOS",B6="162 - CONVENIOS Y DSC POS ","OTROS"),"OTROS")</f>
        <v>BLEND</v>
      </c>
      <c r="L6" s="27">
        <f t="shared" si="2"/>
        <v>0</v>
      </c>
      <c r="M6" s="27">
        <f t="shared" si="3"/>
        <v>0</v>
      </c>
    </row>
    <row r="7" spans="1:13" ht="16.5" hidden="1" outlineLevel="1">
      <c r="A7" s="33"/>
      <c r="B7" s="34" t="s">
        <v>19</v>
      </c>
      <c r="C7" s="35">
        <v>122080</v>
      </c>
      <c r="D7" s="36">
        <v>0</v>
      </c>
      <c r="E7" s="36"/>
      <c r="F7" s="35">
        <v>3013430.38</v>
      </c>
      <c r="G7" s="37">
        <f t="shared" ref="G7:G18" si="4">IFERROR(C7/F7*100%,"-")</f>
        <v>4.0511969617828041E-2</v>
      </c>
      <c r="H7" s="23">
        <f t="shared" si="0"/>
        <v>0</v>
      </c>
      <c r="I7" s="24">
        <f t="shared" si="0"/>
        <v>0</v>
      </c>
      <c r="J7" s="32" t="str" cm="1">
        <f t="array" ref="J7">IFERROR(_xlfn.IFS(B7="044 - BLEND TRADICION","BLEND",B7="113 - CAFÉ GOURMET","GOURMET",B7="114 - CAFÉ CONSUMO","CONSUMO",B7="112 - CAFÉ ORGANICO","GOURMET",B7="172 - CAFÉ COSECHA","ESPECIALES",B7="176 - CAFE DESCAFEINADO","GOURMET",B7="147 - CAPSULAS","CAPSULAS",B7="130 - GALLETAS CAFECITAS","DERIVADOS",B7="140 - MERENGUES","DERIVADOS",B7="100 - CAFÉ ESPECIAL","ESPECIALES",B7="141 - AREQUIPE","DERIVADOS",B7="142 - MERMELADA","DERIVADOS",B7="131 - GALLETAS AVENA","DERIVADOS",B7="160 - SOUVENIR","OTROS",B7="148 - CARAMELOS","DERIVADOS",B7="143 - CHOCOFFES","DERIVADOS",B7="162 - CONVENIOS Y DSC POS ","OTROS"),"OTROS")</f>
        <v>ESPECIALES</v>
      </c>
      <c r="L7" s="27">
        <f t="shared" si="2"/>
        <v>122080</v>
      </c>
      <c r="M7" s="27">
        <f t="shared" si="3"/>
        <v>122080</v>
      </c>
    </row>
    <row r="8" spans="1:13" ht="16.5" hidden="1" outlineLevel="1">
      <c r="A8" s="38"/>
      <c r="B8" s="39" t="s">
        <v>20</v>
      </c>
      <c r="C8" s="36">
        <v>136918</v>
      </c>
      <c r="D8" s="36">
        <v>0</v>
      </c>
      <c r="E8" s="36">
        <v>0</v>
      </c>
      <c r="F8" s="36">
        <v>2838463.33</v>
      </c>
      <c r="G8" s="37">
        <f t="shared" si="4"/>
        <v>4.8236663321629028E-2</v>
      </c>
      <c r="H8" s="23">
        <f t="shared" si="0"/>
        <v>0</v>
      </c>
      <c r="I8" s="24">
        <f t="shared" si="0"/>
        <v>0</v>
      </c>
      <c r="J8" s="32" t="str" cm="1">
        <f t="array" ref="J8">IFERROR(_xlfn.IFS(B8="044 - BLEND TRADICION","BLEND",B8="113 - CAFÉ GOURMET","GOURMET",B8="114 - CAFÉ CONSUMO","CONSUMO",B8="112 - CAFÉ ORGANICO","GOURMET",B8="172 - CAFÉ COSECHA","ESPECIALES",B8="176 - CAFE DESCAFEINADO","GOURMET",B8="147 - CAPSULAS","CAPSULAS",B8="130 - GALLETAS CAFECITAS","DERIVADOS",B8="140 - MERENGUES","DERIVADOS",B8="100 - CAFÉ ESPECIAL","ESPECIALES",B8="141 - AREQUIPE","DERIVADOS",B8="142 - MERMELADA","DERIVADOS",B8="131 - GALLETAS AVENA","DERIVADOS",B8="160 - SOUVENIR","OTROS",B8="148 - CARAMELOS","DERIVADOS",B8="143 - CHOCOFFES","DERIVADOS",B8="162 - CONVENIOS Y DSC POS ","OTROS"),"OTROS")</f>
        <v>GOURMET</v>
      </c>
      <c r="L8" s="27">
        <f t="shared" si="2"/>
        <v>136918</v>
      </c>
      <c r="M8" s="27">
        <f t="shared" si="3"/>
        <v>136918</v>
      </c>
    </row>
    <row r="9" spans="1:13" ht="16.5" hidden="1" outlineLevel="1">
      <c r="A9" s="38"/>
      <c r="B9" s="39" t="s">
        <v>21</v>
      </c>
      <c r="C9" s="36">
        <v>25389124</v>
      </c>
      <c r="D9" s="36">
        <v>0</v>
      </c>
      <c r="E9" s="36">
        <v>0</v>
      </c>
      <c r="F9" s="36">
        <v>87912157.530000001</v>
      </c>
      <c r="G9" s="37">
        <f t="shared" si="4"/>
        <v>0.28880105679736012</v>
      </c>
      <c r="H9" s="23">
        <f t="shared" si="0"/>
        <v>0</v>
      </c>
      <c r="I9" s="24">
        <f t="shared" si="0"/>
        <v>0</v>
      </c>
      <c r="J9" s="32" t="str" cm="1">
        <f t="array" ref="J9">IFERROR(_xlfn.IFS(B9="044 - BLEND TRADICION","BLEND",B9="113 - CAFÉ GOURMET","GOURMET",B9="114 - CAFÉ CONSUMO","CONSUMO",B9="112 - CAFÉ ORGANICO","GOURMET",B9="172 - CAFÉ COSECHA","ESPECIALES",B9="176 - CAFE DESCAFEINADO","GOURMET",B9="147 - CAPSULAS","CAPSULAS",B9="130 - GALLETAS CAFECITAS","DERIVADOS",B9="140 - MERENGUES","DERIVADOS",B9="100 - CAFÉ ESPECIAL","ESPECIALES",B9="141 - AREQUIPE","DERIVADOS",B9="142 - MERMELADA","DERIVADOS",B9="131 - GALLETAS AVENA","DERIVADOS",B9="160 - SOUVENIR","OTROS",B9="148 - CARAMELOS","DERIVADOS",B9="143 - CHOCOFFES","DERIVADOS",B9="162 - CONVENIOS Y DSC POS ","OTROS"),"OTROS")</f>
        <v>GOURMET</v>
      </c>
      <c r="L9" s="27">
        <f t="shared" si="2"/>
        <v>25389124</v>
      </c>
      <c r="M9" s="27">
        <f t="shared" si="3"/>
        <v>25389124</v>
      </c>
    </row>
    <row r="10" spans="1:13" ht="16.5" hidden="1" outlineLevel="1">
      <c r="A10" s="38"/>
      <c r="B10" s="39" t="s">
        <v>22</v>
      </c>
      <c r="C10" s="36">
        <v>502462</v>
      </c>
      <c r="D10" s="36">
        <v>0</v>
      </c>
      <c r="E10" s="36">
        <v>0</v>
      </c>
      <c r="F10" s="36">
        <v>4458765.92</v>
      </c>
      <c r="G10" s="37">
        <f t="shared" si="4"/>
        <v>0.11269082275572789</v>
      </c>
      <c r="H10" s="23">
        <f t="shared" si="0"/>
        <v>0</v>
      </c>
      <c r="I10" s="24">
        <f t="shared" si="0"/>
        <v>0</v>
      </c>
      <c r="J10" s="32" t="str" cm="1">
        <f t="array" ref="J10">IFERROR(_xlfn.IFS(B10="044 - BLEND TRADICION","BLEND",B10="113 - CAFÉ GOURMET","GOURMET",B10="114 - CAFÉ CONSUMO","CONSUMO",B10="112 - CAFÉ ORGANICO","GOURMET",B10="172 - CAFÉ COSECHA","ESPECIALES",B10="176 - CAFE DESCAFEINADO","GOURMET",B10="147 - CAPSULAS","CAPSULAS",B10="130 - GALLETAS CAFECITAS","DERIVADOS",B10="140 - MERENGUES","DERIVADOS",B10="100 - CAFÉ ESPECIAL","ESPECIALES",B10="141 - AREQUIPE","DERIVADOS",B10="142 - MERMELADA","DERIVADOS",B10="131 - GALLETAS AVENA","DERIVADOS",B10="160 - SOUVENIR","OTROS",B10="148 - CARAMELOS","DERIVADOS",B10="143 - CHOCOFFES","DERIVADOS",B10="162 - CONVENIOS Y DSC POS ","OTROS"),"OTROS")</f>
        <v>DERIVADOS</v>
      </c>
      <c r="L10" s="27">
        <f t="shared" si="2"/>
        <v>502462</v>
      </c>
      <c r="M10" s="27">
        <f t="shared" si="3"/>
        <v>502462</v>
      </c>
    </row>
    <row r="11" spans="1:13" ht="16.5" hidden="1" outlineLevel="1">
      <c r="A11" s="38"/>
      <c r="B11" s="39" t="s">
        <v>23</v>
      </c>
      <c r="C11" s="36">
        <v>63836</v>
      </c>
      <c r="D11" s="36">
        <v>0</v>
      </c>
      <c r="E11" s="36">
        <v>0</v>
      </c>
      <c r="F11" s="36">
        <v>347556.62</v>
      </c>
      <c r="G11" s="37">
        <f t="shared" si="4"/>
        <v>0.18367079297755859</v>
      </c>
      <c r="H11" s="23">
        <f t="shared" si="0"/>
        <v>0</v>
      </c>
      <c r="I11" s="24">
        <f t="shared" si="0"/>
        <v>0</v>
      </c>
      <c r="J11" s="32" t="str" cm="1">
        <f t="array" ref="J11">IFERROR(_xlfn.IFS(B11="044 - BLEND TRADICION","BLEND",B11="113 - CAFÉ GOURMET","GOURMET",B11="114 - CAFÉ CONSUMO","CONSUMO",B11="112 - CAFÉ ORGANICO","GOURMET",B11="172 - CAFÉ COSECHA","ESPECIALES",B11="176 - CAFE DESCAFEINADO","GOURMET",B11="147 - CAPSULAS","CAPSULAS",B11="130 - GALLETAS CAFECITAS","DERIVADOS",B11="140 - MERENGUES","DERIVADOS",B11="100 - CAFÉ ESPECIAL","ESPECIALES",B11="141 - AREQUIPE","DERIVADOS",B11="142 - MERMELADA","DERIVADOS",B11="131 - GALLETAS AVENA","DERIVADOS",B11="160 - SOUVENIR","OTROS",B11="148 - CARAMELOS","DERIVADOS",B11="143 - CHOCOFFES","DERIVADOS",B11="162 - CONVENIOS Y DSC POS ","OTROS"),"OTROS")</f>
        <v>DERIVADOS</v>
      </c>
      <c r="L11" s="27">
        <f t="shared" si="2"/>
        <v>63836</v>
      </c>
      <c r="M11" s="27">
        <f t="shared" si="3"/>
        <v>63836</v>
      </c>
    </row>
    <row r="12" spans="1:13" ht="16.5" hidden="1" outlineLevel="1">
      <c r="A12" s="38"/>
      <c r="B12" s="39" t="s">
        <v>24</v>
      </c>
      <c r="C12" s="36">
        <v>48741</v>
      </c>
      <c r="D12" s="36">
        <v>0</v>
      </c>
      <c r="E12" s="36"/>
      <c r="F12" s="36">
        <v>1108552.25</v>
      </c>
      <c r="G12" s="37">
        <f t="shared" si="4"/>
        <v>4.3968157567674415E-2</v>
      </c>
      <c r="H12" s="23">
        <f t="shared" si="0"/>
        <v>0</v>
      </c>
      <c r="I12" s="24">
        <f t="shared" si="0"/>
        <v>0</v>
      </c>
      <c r="J12" s="32" t="str" cm="1">
        <f t="array" ref="J12">IFERROR(_xlfn.IFS(B12="044 - BLEND TRADICION","BLEND",B12="113 - CAFÉ GOURMET","GOURMET",B12="114 - CAFÉ CONSUMO","CONSUMO",B12="112 - CAFÉ ORGANICO","GOURMET",B12="172 - CAFÉ COSECHA","ESPECIALES",B12="176 - CAFE DESCAFEINADO","GOURMET",B12="147 - CAPSULAS","CAPSULAS",B12="130 - GALLETAS CAFECITAS","DERIVADOS",B12="140 - MERENGUES","DERIVADOS",B12="100 - CAFÉ ESPECIAL","ESPECIALES",B12="141 - AREQUIPE","DERIVADOS",B12="142 - MERMELADA","DERIVADOS",B12="131 - GALLETAS AVENA","DERIVADOS",B12="160 - SOUVENIR","OTROS",B12="148 - CARAMELOS","DERIVADOS",B12="143 - CHOCOFFES","DERIVADOS",B12="162 - CONVENIOS Y DSC POS ","OTROS"),"OTROS")</f>
        <v>DERIVADOS</v>
      </c>
      <c r="L12" s="27">
        <f t="shared" si="2"/>
        <v>48741</v>
      </c>
      <c r="M12" s="27">
        <f t="shared" si="3"/>
        <v>48741</v>
      </c>
    </row>
    <row r="13" spans="1:13" ht="16.5" hidden="1" outlineLevel="1">
      <c r="A13" s="38"/>
      <c r="B13" s="39" t="s">
        <v>25</v>
      </c>
      <c r="C13" s="36">
        <v>140478</v>
      </c>
      <c r="D13" s="36">
        <v>0</v>
      </c>
      <c r="E13" s="36"/>
      <c r="F13" s="36">
        <v>5164325.42</v>
      </c>
      <c r="G13" s="37">
        <f t="shared" si="4"/>
        <v>2.7201616585966419E-2</v>
      </c>
      <c r="H13" s="23">
        <f t="shared" si="0"/>
        <v>0</v>
      </c>
      <c r="I13" s="24">
        <f t="shared" si="0"/>
        <v>0</v>
      </c>
      <c r="J13" s="32" t="str" cm="1">
        <f t="array" ref="J13">IFERROR(_xlfn.IFS(B13="044 - BLEND TRADICION","BLEND",B13="113 - CAFÉ GOURMET","GOURMET",B13="114 - CAFÉ CONSUMO","CONSUMO",B13="112 - CAFÉ ORGANICO","GOURMET",B13="172 - CAFÉ COSECHA","ESPECIALES",B13="176 - CAFE DESCAFEINADO","GOURMET",B13="147 - CAPSULAS","CAPSULAS",B13="130 - GALLETAS CAFECITAS","DERIVADOS",B13="140 - MERENGUES","DERIVADOS",B13="100 - CAFÉ ESPECIAL","ESPECIALES",B13="141 - AREQUIPE","DERIVADOS",B13="142 - MERMELADA","DERIVADOS",B13="131 - GALLETAS AVENA","DERIVADOS",B13="160 - SOUVENIR","OTROS",B13="148 - CARAMELOS","DERIVADOS",B13="143 - CHOCOFFES","DERIVADOS",B13="162 - CONVENIOS Y DSC POS ","OTROS"),"OTROS")</f>
        <v>DERIVADOS</v>
      </c>
      <c r="L13" s="27">
        <f t="shared" si="2"/>
        <v>140478</v>
      </c>
      <c r="M13" s="27">
        <f t="shared" si="3"/>
        <v>140478</v>
      </c>
    </row>
    <row r="14" spans="1:13" ht="16.5" hidden="1" outlineLevel="1">
      <c r="A14" s="38"/>
      <c r="B14" s="39" t="s">
        <v>26</v>
      </c>
      <c r="C14" s="36">
        <v>0</v>
      </c>
      <c r="D14" s="36">
        <v>0</v>
      </c>
      <c r="E14" s="36"/>
      <c r="F14" s="36">
        <v>2621339.7000000002</v>
      </c>
      <c r="G14" s="37">
        <f t="shared" si="4"/>
        <v>0</v>
      </c>
      <c r="H14" s="23">
        <f t="shared" si="0"/>
        <v>0</v>
      </c>
      <c r="I14" s="24">
        <f t="shared" si="0"/>
        <v>0</v>
      </c>
      <c r="J14" s="32" t="str" cm="1">
        <f t="array" ref="J14">IFERROR(_xlfn.IFS(B14="044 - BLEND TRADICION","BLEND",B14="113 - CAFÉ GOURMET","GOURMET",B14="114 - CAFÉ CONSUMO","CONSUMO",B14="112 - CAFÉ ORGANICO","GOURMET",B14="172 - CAFÉ COSECHA","ESPECIALES",B14="176 - CAFE DESCAFEINADO","GOURMET",B14="147 - CAPSULAS","CAPSULAS",B14="130 - GALLETAS CAFECITAS","DERIVADOS",B14="140 - MERENGUES","DERIVADOS",B14="100 - CAFÉ ESPECIAL","ESPECIALES",B14="141 - AREQUIPE","DERIVADOS",B14="142 - MERMELADA","DERIVADOS",B14="131 - GALLETAS AVENA","DERIVADOS",B14="160 - SOUVENIR","OTROS",B14="148 - CARAMELOS","DERIVADOS",B14="143 - CHOCOFFES","DERIVADOS",B14="162 - CONVENIOS Y DSC POS ","OTROS"),"OTROS")</f>
        <v>CAPSULAS</v>
      </c>
      <c r="L14" s="27">
        <f t="shared" si="2"/>
        <v>0</v>
      </c>
      <c r="M14" s="27">
        <f t="shared" si="3"/>
        <v>0</v>
      </c>
    </row>
    <row r="15" spans="1:13" ht="16.5" hidden="1" outlineLevel="1">
      <c r="A15" s="38"/>
      <c r="B15" s="39" t="s">
        <v>27</v>
      </c>
      <c r="C15" s="36">
        <v>187764</v>
      </c>
      <c r="D15" s="36">
        <v>0</v>
      </c>
      <c r="E15" s="36"/>
      <c r="F15" s="36">
        <v>4581829.2699999996</v>
      </c>
      <c r="G15" s="37">
        <f t="shared" si="4"/>
        <v>4.0980138921675714E-2</v>
      </c>
      <c r="H15" s="23">
        <f t="shared" si="0"/>
        <v>0</v>
      </c>
      <c r="I15" s="24">
        <f t="shared" si="0"/>
        <v>0</v>
      </c>
      <c r="J15" s="32" t="str" cm="1">
        <f t="array" ref="J15">IFERROR(_xlfn.IFS(B15="044 - BLEND TRADICION","BLEND",B15="113 - CAFÉ GOURMET","GOURMET",B15="114 - CAFÉ CONSUMO","CONSUMO",B15="112 - CAFÉ ORGANICO","GOURMET",B15="172 - CAFÉ COSECHA","ESPECIALES",B15="176 - CAFE DESCAFEINADO","GOURMET",B15="147 - CAPSULAS","CAPSULAS",B15="130 - GALLETAS CAFECITAS","DERIVADOS",B15="140 - MERENGUES","DERIVADOS",B15="100 - CAFÉ ESPECIAL","ESPECIALES",B15="141 - AREQUIPE","DERIVADOS",B15="142 - MERMELADA","DERIVADOS",B15="131 - GALLETAS AVENA","DERIVADOS",B15="160 - SOUVENIR","OTROS",B15="148 - CARAMELOS","DERIVADOS",B15="143 - CHOCOFFES","DERIVADOS",B15="162 - CONVENIOS Y DSC POS ","OTROS"),"OTROS")</f>
        <v>DERIVADOS</v>
      </c>
      <c r="L15" s="27">
        <f t="shared" si="2"/>
        <v>187764</v>
      </c>
      <c r="M15" s="27">
        <f t="shared" si="3"/>
        <v>187764</v>
      </c>
    </row>
    <row r="16" spans="1:13" ht="16.5" hidden="1" outlineLevel="1">
      <c r="A16" s="38"/>
      <c r="B16" s="39" t="s">
        <v>28</v>
      </c>
      <c r="C16" s="36">
        <v>617674</v>
      </c>
      <c r="D16" s="36">
        <v>0</v>
      </c>
      <c r="E16" s="36"/>
      <c r="F16" s="36">
        <v>11251446.380000001</v>
      </c>
      <c r="G16" s="37">
        <f t="shared" si="4"/>
        <v>5.4897297568599353E-2</v>
      </c>
      <c r="H16" s="23">
        <f t="shared" si="0"/>
        <v>0</v>
      </c>
      <c r="I16" s="24">
        <f t="shared" si="0"/>
        <v>0</v>
      </c>
      <c r="J16" s="32" t="str" cm="1">
        <f t="array" ref="J16">IFERROR(_xlfn.IFS(B16="044 - BLEND TRADICION","BLEND",B16="113 - CAFÉ GOURMET","GOURMET",B16="114 - CAFÉ CONSUMO","CONSUMO",B16="112 - CAFÉ ORGANICO","GOURMET",B16="172 - CAFÉ COSECHA","ESPECIALES",B16="176 - CAFE DESCAFEINADO","GOURMET",B16="147 - CAPSULAS","CAPSULAS",B16="130 - GALLETAS CAFECITAS","DERIVADOS",B16="140 - MERENGUES","DERIVADOS",B16="100 - CAFÉ ESPECIAL","ESPECIALES",B16="141 - AREQUIPE","DERIVADOS",B16="142 - MERMELADA","DERIVADOS",B16="131 - GALLETAS AVENA","DERIVADOS",B16="160 - SOUVENIR","OTROS",B16="148 - CARAMELOS","DERIVADOS",B16="143 - CHOCOFFES","DERIVADOS",B16="162 - CONVENIOS Y DSC POS ","OTROS"),"OTROS")</f>
        <v>OTROS</v>
      </c>
      <c r="L16" s="27">
        <f t="shared" si="2"/>
        <v>617674</v>
      </c>
      <c r="M16" s="27">
        <f t="shared" si="3"/>
        <v>617674</v>
      </c>
    </row>
    <row r="17" spans="1:13" ht="16.5" hidden="1" outlineLevel="1">
      <c r="A17" s="38"/>
      <c r="B17" s="39" t="s">
        <v>29</v>
      </c>
      <c r="C17" s="36">
        <v>163521</v>
      </c>
      <c r="D17" s="36">
        <v>0</v>
      </c>
      <c r="E17" s="36"/>
      <c r="F17" s="36">
        <v>6227226.4500000002</v>
      </c>
      <c r="G17" s="37">
        <f t="shared" si="4"/>
        <v>2.625904185642711E-2</v>
      </c>
      <c r="H17" s="23">
        <f t="shared" si="0"/>
        <v>0</v>
      </c>
      <c r="I17" s="24">
        <f t="shared" si="0"/>
        <v>0</v>
      </c>
      <c r="J17" s="32" t="str" cm="1">
        <f t="array" ref="J17">IFERROR(_xlfn.IFS(B17="044 - BLEND TRADICION","BLEND",B17="113 - CAFÉ GOURMET","GOURMET",B17="114 - CAFÉ CONSUMO","CONSUMO",B17="112 - CAFÉ ORGANICO","GOURMET",B17="172 - CAFÉ COSECHA","ESPECIALES",B17="176 - CAFE DESCAFEINADO","GOURMET",B17="147 - CAPSULAS","CAPSULAS",B17="130 - GALLETAS CAFECITAS","DERIVADOS",B17="140 - MERENGUES","DERIVADOS",B17="100 - CAFÉ ESPECIAL","ESPECIALES",B17="141 - AREQUIPE","DERIVADOS",B17="142 - MERMELADA","DERIVADOS",B17="131 - GALLETAS AVENA","DERIVADOS",B17="160 - SOUVENIR","OTROS",B17="148 - CARAMELOS","DERIVADOS",B17="143 - CHOCOFFES","DERIVADOS",B17="162 - CONVENIOS Y DSC POS ","OTROS"),"OTROS")</f>
        <v>ESPECIALES</v>
      </c>
      <c r="L17" s="27">
        <f t="shared" si="2"/>
        <v>163521</v>
      </c>
      <c r="M17" s="27">
        <f t="shared" si="3"/>
        <v>163521</v>
      </c>
    </row>
    <row r="18" spans="1:13" ht="16.5" hidden="1" outlineLevel="1">
      <c r="A18" s="38"/>
      <c r="B18" s="39" t="s">
        <v>30</v>
      </c>
      <c r="C18" s="36">
        <v>216351</v>
      </c>
      <c r="D18" s="36">
        <v>0</v>
      </c>
      <c r="E18" s="36"/>
      <c r="F18" s="36">
        <v>675742.84</v>
      </c>
      <c r="G18" s="37">
        <f t="shared" si="4"/>
        <v>0.32016765431062505</v>
      </c>
      <c r="H18" s="23">
        <f t="shared" si="0"/>
        <v>0</v>
      </c>
      <c r="I18" s="24">
        <f t="shared" si="0"/>
        <v>0</v>
      </c>
      <c r="J18" s="32" t="str" cm="1">
        <f t="array" ref="J18">IFERROR(_xlfn.IFS(B18="044 - BLEND TRADICION","BLEND",B18="113 - CAFÉ GOURMET","GOURMET",B18="114 - CAFÉ CONSUMO","CONSUMO",B18="112 - CAFÉ ORGANICO","GOURMET",B18="172 - CAFÉ COSECHA","ESPECIALES",B18="176 - CAFE DESCAFEINADO","GOURMET",B18="147 - CAPSULAS","CAPSULAS",B18="130 - GALLETAS CAFECITAS","DERIVADOS",B18="140 - MERENGUES","DERIVADOS",B18="100 - CAFÉ ESPECIAL","ESPECIALES",B18="141 - AREQUIPE","DERIVADOS",B18="142 - MERMELADA","DERIVADOS",B18="131 - GALLETAS AVENA","DERIVADOS",B18="160 - SOUVENIR","OTROS",B18="148 - CARAMELOS","DERIVADOS",B18="143 - CHOCOFFES","DERIVADOS",B18="162 - CONVENIOS Y DSC POS ","OTROS"),"OTROS")</f>
        <v>GOURMET</v>
      </c>
      <c r="L18" s="27">
        <f t="shared" si="2"/>
        <v>216351</v>
      </c>
      <c r="M18" s="27">
        <f t="shared" si="3"/>
        <v>216351</v>
      </c>
    </row>
    <row r="19" spans="1:13" ht="16.5" hidden="1" outlineLevel="1">
      <c r="A19" s="38"/>
      <c r="B19" s="39" t="s">
        <v>31</v>
      </c>
      <c r="C19" s="36">
        <v>154764</v>
      </c>
      <c r="D19" s="36">
        <v>-508736</v>
      </c>
      <c r="E19" s="36"/>
      <c r="F19" s="36"/>
      <c r="G19" s="37"/>
      <c r="H19" s="23">
        <f t="shared" si="0"/>
        <v>-0.76674604370761112</v>
      </c>
      <c r="I19" s="24">
        <f t="shared" si="0"/>
        <v>0</v>
      </c>
      <c r="J19" s="32" t="str" cm="1">
        <f t="array" ref="J19">IFERROR(_xlfn.IFS(B19="044 - BLEND TRADICION","BLEND",B19="113 - CAFÉ GOURMET","GOURMET",B19="114 - CAFÉ CONSUMO","CONSUMO",B19="112 - CAFÉ ORGANICO","GOURMET",B19="172 - CAFÉ COSECHA","ESPECIALES",B19="176 - CAFE DESCAFEINADO","GOURMET",B19="147 - CAPSULAS","CAPSULAS",B19="130 - GALLETAS CAFECITAS","DERIVADOS",B19="140 - MERENGUES","DERIVADOS",B19="100 - CAFÉ ESPECIAL","ESPECIALES",B19="141 - AREQUIPE","DERIVADOS",B19="142 - MERMELADA","DERIVADOS",B19="131 - GALLETAS AVENA","DERIVADOS",B19="160 - SOUVENIR","OTROS",B19="148 - CARAMELOS","DERIVADOS",B19="143 - CHOCOFFES","DERIVADOS",B19="162 - CONVENIOS Y DSC POS ","OTROS"),"OTROS")</f>
        <v>OTROS</v>
      </c>
      <c r="L19" s="27">
        <f t="shared" si="2"/>
        <v>663500</v>
      </c>
      <c r="M19" s="27">
        <f t="shared" si="3"/>
        <v>663500</v>
      </c>
    </row>
    <row r="20" spans="1:13" ht="16.5" hidden="1" outlineLevel="1">
      <c r="A20" s="19" t="s">
        <v>16</v>
      </c>
      <c r="B20" s="40" t="s">
        <v>32</v>
      </c>
      <c r="C20" s="41">
        <f>SUM(C6:C19)</f>
        <v>27743713</v>
      </c>
      <c r="D20" s="41">
        <f>SUM(D6:D19)</f>
        <v>-508736</v>
      </c>
      <c r="E20" s="41">
        <f>SUM(E6:E19)</f>
        <v>0</v>
      </c>
      <c r="F20" s="41">
        <f>SUM(F6:F19)</f>
        <v>132391087.09</v>
      </c>
      <c r="G20" s="42">
        <f t="shared" ref="G20:G90" si="5">IFERROR(C20/F20*100%,"-")</f>
        <v>0.2095587672086997</v>
      </c>
      <c r="H20" s="43">
        <f t="shared" ref="H20:I36" si="6">IFERROR(+D20/L20*100%,0)</f>
        <v>-1.8006792968637868E-2</v>
      </c>
      <c r="I20" s="24">
        <f t="shared" si="6"/>
        <v>0</v>
      </c>
      <c r="J20" s="32" t="str" cm="1">
        <f t="array" ref="J20">IFERROR(_xlfn.IFS(B20="044 - BLEND TRADICION","BLEND",B20="113 - CAFÉ GOURMET","GOURMET",B20="114 - CAFÉ CONSUMO","CONSUMO",B20="112 - CAFÉ ORGANICO","GOURMET",B20="172 - CAFÉ COSECHA","ESPECIALES",B20="176 - CAFE DESCAFEINADO","GOURMET",B20="147 - CAPSULAS","CAPSULAS",B20="130 - GALLETAS CAFECITAS","DERIVADOS",B20="140 - MERENGUES","DERIVADOS",B20="100 - CAFÉ ESPECIAL","ESPECIALES",B20="141 - AREQUIPE","DERIVADOS",B20="142 - MERMELADA","DERIVADOS",B20="131 - GALLETAS AVENA","DERIVADOS",B20="160 - SOUVENIR","OTROS",B20="148 - CARAMELOS","DERIVADOS",B20="143 - CHOCOFFES","DERIVADOS",B20="162 - CONVENIOS Y DSC POS ","OTROS"),"OTROS")</f>
        <v>OTROS</v>
      </c>
      <c r="L20" s="27">
        <f t="shared" si="2"/>
        <v>28252449</v>
      </c>
      <c r="M20" s="27">
        <f t="shared" si="3"/>
        <v>28252449</v>
      </c>
    </row>
    <row r="21" spans="1:13" ht="16.5" collapsed="1">
      <c r="A21" s="28" t="s">
        <v>33</v>
      </c>
      <c r="B21" s="29" t="s">
        <v>17</v>
      </c>
      <c r="C21" s="30">
        <f>+C26+C61+C42</f>
        <v>181949269</v>
      </c>
      <c r="D21" s="30">
        <f>+D26+D61+D42</f>
        <v>-12308696</v>
      </c>
      <c r="E21" s="30">
        <f>+E26+E61+E42</f>
        <v>0</v>
      </c>
      <c r="F21" s="30">
        <f>+F26+F61+F42</f>
        <v>482062133.13</v>
      </c>
      <c r="G21" s="31">
        <f t="shared" si="5"/>
        <v>0.37743945540508339</v>
      </c>
      <c r="H21" s="43">
        <f t="shared" si="6"/>
        <v>-6.3362632260664312E-2</v>
      </c>
      <c r="I21" s="24">
        <f t="shared" si="6"/>
        <v>0</v>
      </c>
      <c r="J21" s="32" t="str" cm="1">
        <f t="array" ref="J21">IFERROR(_xlfn.IFS(B21="044 - BLEND TRADICION","BLEND",B21="113 - CAFÉ GOURMET","GOURMET",B21="114 - CAFÉ CONSUMO","CONSUMO",B21="112 - CAFÉ ORGANICO","GOURMET",B21="172 - CAFÉ COSECHA","ESPECIALES",B21="176 - CAFE DESCAFEINADO","GOURMET",B21="147 - CAPSULAS","CAPSULAS",B21="130 - GALLETAS CAFECITAS","DERIVADOS",B21="140 - MERENGUES","DERIVADOS",B21="100 - CAFÉ ESPECIAL","ESPECIALES",B21="141 - AREQUIPE","DERIVADOS",B21="142 - MERMELADA","DERIVADOS",B21="131 - GALLETAS AVENA","DERIVADOS",B21="160 - SOUVENIR","OTROS",B21="148 - CARAMELOS","DERIVADOS",B21="143 - CHOCOFFES","DERIVADOS",B21="162 - CONVENIOS Y DSC POS ","OTROS"),"OTROS")</f>
        <v>OTROS</v>
      </c>
      <c r="L21" s="27">
        <f t="shared" si="2"/>
        <v>194257965</v>
      </c>
      <c r="M21" s="27">
        <f t="shared" si="3"/>
        <v>194257965</v>
      </c>
    </row>
    <row r="22" spans="1:13" ht="16.5" hidden="1" outlineLevel="1">
      <c r="A22" s="44"/>
      <c r="B22" s="45" t="s">
        <v>34</v>
      </c>
      <c r="C22" s="46">
        <v>26048700</v>
      </c>
      <c r="D22" s="47">
        <v>0</v>
      </c>
      <c r="E22" s="48"/>
      <c r="F22" s="48">
        <v>43207145.729999997</v>
      </c>
      <c r="G22" s="49">
        <f t="shared" si="5"/>
        <v>0.60287944412661398</v>
      </c>
      <c r="H22" s="43">
        <f t="shared" si="6"/>
        <v>0</v>
      </c>
      <c r="I22" s="24">
        <f t="shared" si="6"/>
        <v>0</v>
      </c>
      <c r="J22" s="32" t="str" cm="1">
        <f t="array" ref="J22">IFERROR(_xlfn.IFS(B22="044 - BLEND TRADICION","BLEND",B22="113 - CAFÉ GOURMET","GOURMET",B22="114 - CAFÉ CONSUMO","CONSUMO",B22="112 - CAFÉ ORGANICO","GOURMET",B22="172 - CAFÉ COSECHA","ESPECIALES",B22="176 - CAFE DESCAFEINADO","GOURMET",B22="147 - CAPSULAS","CAPSULAS",B22="130 - GALLETAS CAFECITAS","DERIVADOS",B22="140 - MERENGUES","DERIVADOS",B22="100 - CAFÉ ESPECIAL","ESPECIALES",B22="141 - AREQUIPE","DERIVADOS",B22="142 - MERMELADA","DERIVADOS",B22="131 - GALLETAS AVENA","DERIVADOS",B22="160 - SOUVENIR","OTROS",B22="148 - CARAMELOS","DERIVADOS",B22="143 - CHOCOFFES","DERIVADOS",B22="162 - CONVENIOS Y DSC POS ","OTROS"),"OTROS")</f>
        <v>OTROS</v>
      </c>
      <c r="L22" s="27">
        <f t="shared" si="2"/>
        <v>26048700</v>
      </c>
      <c r="M22" s="27">
        <f t="shared" si="3"/>
        <v>26048700</v>
      </c>
    </row>
    <row r="23" spans="1:13" ht="16.5" hidden="1" outlineLevel="1">
      <c r="A23" s="44"/>
      <c r="B23" s="45" t="s">
        <v>21</v>
      </c>
      <c r="C23" s="46">
        <v>17902500</v>
      </c>
      <c r="D23" s="50">
        <v>0</v>
      </c>
      <c r="E23" s="51"/>
      <c r="F23" s="51">
        <v>40827157.719999999</v>
      </c>
      <c r="G23" s="49">
        <f t="shared" si="5"/>
        <v>0.43849488918083812</v>
      </c>
      <c r="H23" s="43">
        <f t="shared" si="6"/>
        <v>0</v>
      </c>
      <c r="I23" s="24">
        <f t="shared" si="6"/>
        <v>0</v>
      </c>
      <c r="J23" s="32" t="str" cm="1">
        <f t="array" ref="J23">IFERROR(_xlfn.IFS(B23="044 - BLEND TRADICION","BLEND",B23="113 - CAFÉ GOURMET","GOURMET",B23="114 - CAFÉ CONSUMO","CONSUMO",B23="112 - CAFÉ ORGANICO","GOURMET",B23="172 - CAFÉ COSECHA","ESPECIALES",B23="176 - CAFE DESCAFEINADO","GOURMET",B23="147 - CAPSULAS","CAPSULAS",B23="130 - GALLETAS CAFECITAS","DERIVADOS",B23="140 - MERENGUES","DERIVADOS",B23="100 - CAFÉ ESPECIAL","ESPECIALES",B23="141 - AREQUIPE","DERIVADOS",B23="142 - MERMELADA","DERIVADOS",B23="131 - GALLETAS AVENA","DERIVADOS",B23="160 - SOUVENIR","OTROS",B23="148 - CARAMELOS","DERIVADOS",B23="143 - CHOCOFFES","DERIVADOS",B23="162 - CONVENIOS Y DSC POS ","OTROS"),"OTROS")</f>
        <v>GOURMET</v>
      </c>
      <c r="L23" s="27">
        <f t="shared" si="2"/>
        <v>17902500</v>
      </c>
      <c r="M23" s="27">
        <f t="shared" si="3"/>
        <v>17902500</v>
      </c>
    </row>
    <row r="24" spans="1:13" ht="16.5" hidden="1" outlineLevel="1">
      <c r="A24" s="44"/>
      <c r="B24" s="45" t="s">
        <v>26</v>
      </c>
      <c r="C24" s="46">
        <v>0</v>
      </c>
      <c r="D24" s="50">
        <v>0</v>
      </c>
      <c r="E24" s="51"/>
      <c r="F24" s="51">
        <v>72407.34</v>
      </c>
      <c r="G24" s="49">
        <f t="shared" si="5"/>
        <v>0</v>
      </c>
      <c r="H24" s="43">
        <f t="shared" si="6"/>
        <v>0</v>
      </c>
      <c r="I24" s="24">
        <f t="shared" si="6"/>
        <v>0</v>
      </c>
      <c r="J24" s="32" t="str" cm="1">
        <f t="array" ref="J24">IFERROR(_xlfn.IFS(B24="044 - BLEND TRADICION","BLEND",B24="113 - CAFÉ GOURMET","GOURMET",B24="114 - CAFÉ CONSUMO","CONSUMO",B24="112 - CAFÉ ORGANICO","GOURMET",B24="172 - CAFÉ COSECHA","ESPECIALES",B24="176 - CAFE DESCAFEINADO","GOURMET",B24="147 - CAPSULAS","CAPSULAS",B24="130 - GALLETAS CAFECITAS","DERIVADOS",B24="140 - MERENGUES","DERIVADOS",B24="100 - CAFÉ ESPECIAL","ESPECIALES",B24="141 - AREQUIPE","DERIVADOS",B24="142 - MERMELADA","DERIVADOS",B24="131 - GALLETAS AVENA","DERIVADOS",B24="160 - SOUVENIR","OTROS",B24="148 - CARAMELOS","DERIVADOS",B24="143 - CHOCOFFES","DERIVADOS",B24="162 - CONVENIOS Y DSC POS ","OTROS"),"OTROS")</f>
        <v>CAPSULAS</v>
      </c>
      <c r="L24" s="27">
        <f t="shared" si="2"/>
        <v>0</v>
      </c>
      <c r="M24" s="27">
        <f t="shared" si="3"/>
        <v>0</v>
      </c>
    </row>
    <row r="25" spans="1:13" ht="16.5" hidden="1" outlineLevel="1">
      <c r="A25" s="44"/>
      <c r="B25" s="45" t="s">
        <v>28</v>
      </c>
      <c r="C25" s="46">
        <v>0</v>
      </c>
      <c r="D25" s="50">
        <v>0</v>
      </c>
      <c r="E25" s="51"/>
      <c r="F25" s="51">
        <v>7805453.8099999996</v>
      </c>
      <c r="G25" s="49">
        <f t="shared" si="5"/>
        <v>0</v>
      </c>
      <c r="H25" s="43">
        <f t="shared" si="6"/>
        <v>0</v>
      </c>
      <c r="I25" s="24">
        <f t="shared" si="6"/>
        <v>0</v>
      </c>
      <c r="J25" s="32" t="str" cm="1">
        <f t="array" ref="J25">IFERROR(_xlfn.IFS(B25="044 - BLEND TRADICION","BLEND",B25="113 - CAFÉ GOURMET","GOURMET",B25="114 - CAFÉ CONSUMO","CONSUMO",B25="112 - CAFÉ ORGANICO","GOURMET",B25="172 - CAFÉ COSECHA","ESPECIALES",B25="176 - CAFE DESCAFEINADO","GOURMET",B25="147 - CAPSULAS","CAPSULAS",B25="130 - GALLETAS CAFECITAS","DERIVADOS",B25="140 - MERENGUES","DERIVADOS",B25="100 - CAFÉ ESPECIAL","ESPECIALES",B25="141 - AREQUIPE","DERIVADOS",B25="142 - MERMELADA","DERIVADOS",B25="131 - GALLETAS AVENA","DERIVADOS",B25="160 - SOUVENIR","OTROS",B25="148 - CARAMELOS","DERIVADOS",B25="143 - CHOCOFFES","DERIVADOS",B25="162 - CONVENIOS Y DSC POS ","OTROS"),"OTROS")</f>
        <v>OTROS</v>
      </c>
      <c r="L25" s="27">
        <f t="shared" si="2"/>
        <v>0</v>
      </c>
      <c r="M25" s="27">
        <f t="shared" si="3"/>
        <v>0</v>
      </c>
    </row>
    <row r="26" spans="1:13" ht="16.5" hidden="1" outlineLevel="1">
      <c r="A26" s="52" t="s">
        <v>35</v>
      </c>
      <c r="B26" s="20" t="s">
        <v>32</v>
      </c>
      <c r="C26" s="21">
        <f>SUM(C22:C25)</f>
        <v>43951200</v>
      </c>
      <c r="D26" s="53">
        <f t="shared" ref="D26:E26" si="7">SUM(D22)</f>
        <v>0</v>
      </c>
      <c r="E26" s="54">
        <f t="shared" si="7"/>
        <v>0</v>
      </c>
      <c r="F26" s="54">
        <f>SUM(F22:F25)</f>
        <v>91912164.599999994</v>
      </c>
      <c r="G26" s="55">
        <f t="shared" si="5"/>
        <v>0.47818697548115413</v>
      </c>
      <c r="H26" s="43">
        <f t="shared" si="6"/>
        <v>0</v>
      </c>
      <c r="I26" s="24">
        <f t="shared" si="6"/>
        <v>0</v>
      </c>
      <c r="J26" s="32" t="str" cm="1">
        <f t="array" ref="J26">IFERROR(_xlfn.IFS(B26="044 - BLEND TRADICION","BLEND",B26="113 - CAFÉ GOURMET","GOURMET",B26="114 - CAFÉ CONSUMO","CONSUMO",B26="112 - CAFÉ ORGANICO","GOURMET",B26="172 - CAFÉ COSECHA","ESPECIALES",B26="176 - CAFE DESCAFEINADO","GOURMET",B26="147 - CAPSULAS","CAPSULAS",B26="130 - GALLETAS CAFECITAS","DERIVADOS",B26="140 - MERENGUES","DERIVADOS",B26="100 - CAFÉ ESPECIAL","ESPECIALES",B26="141 - AREQUIPE","DERIVADOS",B26="142 - MERMELADA","DERIVADOS",B26="131 - GALLETAS AVENA","DERIVADOS",B26="160 - SOUVENIR","OTROS",B26="148 - CARAMELOS","DERIVADOS",B26="143 - CHOCOFFES","DERIVADOS",B26="162 - CONVENIOS Y DSC POS ","OTROS"),"OTROS")</f>
        <v>OTROS</v>
      </c>
      <c r="L26" s="27">
        <f t="shared" si="2"/>
        <v>43951200</v>
      </c>
      <c r="M26" s="27">
        <f t="shared" si="3"/>
        <v>43951200</v>
      </c>
    </row>
    <row r="27" spans="1:13" ht="16.5" hidden="1" outlineLevel="1">
      <c r="A27" s="44"/>
      <c r="B27" s="45" t="s">
        <v>34</v>
      </c>
      <c r="C27" s="46">
        <v>2899260</v>
      </c>
      <c r="D27" s="47">
        <v>-2726312</v>
      </c>
      <c r="E27" s="48">
        <v>0</v>
      </c>
      <c r="F27" s="48">
        <v>6545773.3099999996</v>
      </c>
      <c r="G27" s="49">
        <f t="shared" si="5"/>
        <v>0.44292092968920738</v>
      </c>
      <c r="H27" s="43">
        <f t="shared" si="6"/>
        <v>-0.48462840756459963</v>
      </c>
      <c r="I27" s="24">
        <f t="shared" si="6"/>
        <v>0</v>
      </c>
      <c r="J27" s="32" t="str" cm="1">
        <f t="array" ref="J27">IFERROR(_xlfn.IFS(B27="044 - BLEND TRADICION","BLEND",B27="113 - CAFÉ GOURMET","GOURMET",B27="114 - CAFÉ CONSUMO","CONSUMO",B27="112 - CAFÉ ORGANICO","GOURMET",B27="172 - CAFÉ COSECHA","ESPECIALES",B27="176 - CAFE DESCAFEINADO","GOURMET",B27="147 - CAPSULAS","CAPSULAS",B27="130 - GALLETAS CAFECITAS","DERIVADOS",B27="140 - MERENGUES","DERIVADOS",B27="100 - CAFÉ ESPECIAL","ESPECIALES",B27="141 - AREQUIPE","DERIVADOS",B27="142 - MERMELADA","DERIVADOS",B27="131 - GALLETAS AVENA","DERIVADOS",B27="160 - SOUVENIR","OTROS",B27="148 - CARAMELOS","DERIVADOS",B27="143 - CHOCOFFES","DERIVADOS",B27="162 - CONVENIOS Y DSC POS ","OTROS"),"OTROS")</f>
        <v>OTROS</v>
      </c>
      <c r="L27" s="27">
        <f t="shared" si="2"/>
        <v>5625572</v>
      </c>
      <c r="M27" s="27">
        <f t="shared" si="3"/>
        <v>5625572</v>
      </c>
    </row>
    <row r="28" spans="1:13" ht="16.5" hidden="1" outlineLevel="1">
      <c r="A28" s="38"/>
      <c r="B28" s="34" t="s">
        <v>19</v>
      </c>
      <c r="C28" s="35">
        <v>1330340</v>
      </c>
      <c r="D28" s="36">
        <v>0</v>
      </c>
      <c r="E28" s="48">
        <v>0</v>
      </c>
      <c r="F28" s="48">
        <v>4061262.59</v>
      </c>
      <c r="G28" s="49">
        <f t="shared" si="5"/>
        <v>0.3275680827129181</v>
      </c>
      <c r="H28" s="23">
        <f t="shared" si="6"/>
        <v>0</v>
      </c>
      <c r="I28" s="24">
        <f t="shared" si="6"/>
        <v>0</v>
      </c>
      <c r="J28" s="32" t="str" cm="1">
        <f t="array" ref="J28">IFERROR(_xlfn.IFS(B28="044 - BLEND TRADICION","BLEND",B28="113 - CAFÉ GOURMET","GOURMET",B28="114 - CAFÉ CONSUMO","CONSUMO",B28="112 - CAFÉ ORGANICO","GOURMET",B28="172 - CAFÉ COSECHA","ESPECIALES",B28="176 - CAFE DESCAFEINADO","GOURMET",B28="147 - CAPSULAS","CAPSULAS",B28="130 - GALLETAS CAFECITAS","DERIVADOS",B28="140 - MERENGUES","DERIVADOS",B28="100 - CAFÉ ESPECIAL","ESPECIALES",B28="141 - AREQUIPE","DERIVADOS",B28="142 - MERMELADA","DERIVADOS",B28="131 - GALLETAS AVENA","DERIVADOS",B28="160 - SOUVENIR","OTROS",B28="148 - CARAMELOS","DERIVADOS",B28="143 - CHOCOFFES","DERIVADOS",B28="162 - CONVENIOS Y DSC POS ","OTROS"),"OTROS")</f>
        <v>ESPECIALES</v>
      </c>
      <c r="L28" s="27">
        <f t="shared" si="2"/>
        <v>1330340</v>
      </c>
      <c r="M28" s="27">
        <f t="shared" si="3"/>
        <v>1330340</v>
      </c>
    </row>
    <row r="29" spans="1:13" ht="16.5" hidden="1" outlineLevel="1">
      <c r="A29" s="38"/>
      <c r="B29" s="39" t="s">
        <v>20</v>
      </c>
      <c r="C29" s="36">
        <v>639804</v>
      </c>
      <c r="D29" s="36">
        <v>0</v>
      </c>
      <c r="E29" s="48">
        <v>0</v>
      </c>
      <c r="F29" s="48">
        <v>1222472.22</v>
      </c>
      <c r="G29" s="49">
        <f t="shared" si="5"/>
        <v>0.52336894821217284</v>
      </c>
      <c r="H29" s="23">
        <f t="shared" si="6"/>
        <v>0</v>
      </c>
      <c r="I29" s="24">
        <f t="shared" si="6"/>
        <v>0</v>
      </c>
      <c r="J29" s="32" t="str" cm="1">
        <f t="array" ref="J29">IFERROR(_xlfn.IFS(B29="044 - BLEND TRADICION","BLEND",B29="113 - CAFÉ GOURMET","GOURMET",B29="114 - CAFÉ CONSUMO","CONSUMO",B29="112 - CAFÉ ORGANICO","GOURMET",B29="172 - CAFÉ COSECHA","ESPECIALES",B29="176 - CAFE DESCAFEINADO","GOURMET",B29="147 - CAPSULAS","CAPSULAS",B29="130 - GALLETAS CAFECITAS","DERIVADOS",B29="140 - MERENGUES","DERIVADOS",B29="100 - CAFÉ ESPECIAL","ESPECIALES",B29="141 - AREQUIPE","DERIVADOS",B29="142 - MERMELADA","DERIVADOS",B29="131 - GALLETAS AVENA","DERIVADOS",B29="160 - SOUVENIR","OTROS",B29="148 - CARAMELOS","DERIVADOS",B29="143 - CHOCOFFES","DERIVADOS",B29="162 - CONVENIOS Y DSC POS ","OTROS"),"OTROS")</f>
        <v>GOURMET</v>
      </c>
      <c r="L29" s="27">
        <f t="shared" si="2"/>
        <v>639804</v>
      </c>
      <c r="M29" s="27">
        <f t="shared" si="3"/>
        <v>639804</v>
      </c>
    </row>
    <row r="30" spans="1:13" ht="16.5" hidden="1" outlineLevel="1">
      <c r="A30" s="38"/>
      <c r="B30" s="39" t="s">
        <v>21</v>
      </c>
      <c r="C30" s="36">
        <v>78019323</v>
      </c>
      <c r="D30" s="36">
        <v>-7679700</v>
      </c>
      <c r="E30" s="48">
        <v>0</v>
      </c>
      <c r="F30" s="48">
        <v>223480484.16999999</v>
      </c>
      <c r="G30" s="49">
        <f t="shared" si="5"/>
        <v>0.34911022897485433</v>
      </c>
      <c r="H30" s="23">
        <f t="shared" si="6"/>
        <v>-8.9612456842127597E-2</v>
      </c>
      <c r="I30" s="24">
        <f t="shared" si="6"/>
        <v>0</v>
      </c>
      <c r="J30" s="32" t="str" cm="1">
        <f t="array" ref="J30">IFERROR(_xlfn.IFS(B30="044 - BLEND TRADICION","BLEND",B30="113 - CAFÉ GOURMET","GOURMET",B30="114 - CAFÉ CONSUMO","CONSUMO",B30="112 - CAFÉ ORGANICO","GOURMET",B30="172 - CAFÉ COSECHA","ESPECIALES",B30="176 - CAFE DESCAFEINADO","GOURMET",B30="147 - CAPSULAS","CAPSULAS",B30="130 - GALLETAS CAFECITAS","DERIVADOS",B30="140 - MERENGUES","DERIVADOS",B30="100 - CAFÉ ESPECIAL","ESPECIALES",B30="141 - AREQUIPE","DERIVADOS",B30="142 - MERMELADA","DERIVADOS",B30="131 - GALLETAS AVENA","DERIVADOS",B30="160 - SOUVENIR","OTROS",B30="148 - CARAMELOS","DERIVADOS",B30="143 - CHOCOFFES","DERIVADOS",B30="162 - CONVENIOS Y DSC POS ","OTROS"),"OTROS")</f>
        <v>GOURMET</v>
      </c>
      <c r="L30" s="27">
        <f t="shared" si="2"/>
        <v>85699023</v>
      </c>
      <c r="M30" s="27">
        <f t="shared" si="3"/>
        <v>85699023</v>
      </c>
    </row>
    <row r="31" spans="1:13" ht="16.5" hidden="1" outlineLevel="1">
      <c r="A31" s="38"/>
      <c r="B31" s="39" t="s">
        <v>38</v>
      </c>
      <c r="C31" s="36">
        <v>14257425</v>
      </c>
      <c r="D31" s="36">
        <v>0</v>
      </c>
      <c r="E31" s="48">
        <v>0</v>
      </c>
      <c r="F31" s="48">
        <v>12078505</v>
      </c>
      <c r="G31" s="49">
        <f t="shared" ref="G31:G34" si="8">IFERROR(C31/F31*100%,"-")</f>
        <v>1.1803964977453749</v>
      </c>
      <c r="H31" s="23">
        <f t="shared" ref="H31:H34" si="9">IFERROR(+D31/L31*100%,0)</f>
        <v>0</v>
      </c>
      <c r="I31" s="24">
        <f t="shared" ref="I31:I34" si="10">IFERROR(+E31/M31*100%,0)</f>
        <v>0</v>
      </c>
      <c r="J31" s="32" t="str" cm="1">
        <f t="array" ref="J31">IFERROR(_xlfn.IFS(B31="044 - BLEND TRADICION","BLEND",B31="113 - CAFÉ GOURMET","GOURMET",B31="114 - CAFÉ CONSUMO","CONSUMO",B31="112 - CAFÉ ORGANICO","GOURMET",B31="172 - CAFÉ COSECHA","ESPECIALES",B31="176 - CAFE DESCAFEINADO","GOURMET",B31="147 - CAPSULAS","CAPSULAS",B31="130 - GALLETAS CAFECITAS","DERIVADOS",B31="140 - MERENGUES","DERIVADOS",B31="100 - CAFÉ ESPECIAL","ESPECIALES",B31="141 - AREQUIPE","DERIVADOS",B31="142 - MERMELADA","DERIVADOS",B31="131 - GALLETAS AVENA","DERIVADOS",B31="160 - SOUVENIR","OTROS",B31="148 - CARAMELOS","DERIVADOS",B31="143 - CHOCOFFES","DERIVADOS",B31="162 - CONVENIOS Y DSC POS ","OTROS"),"OTROS")</f>
        <v>CONSUMO</v>
      </c>
      <c r="L31" s="27">
        <f t="shared" ref="L31:L34" si="11">C31-(D31+E31)</f>
        <v>14257425</v>
      </c>
      <c r="M31" s="27">
        <f t="shared" ref="M31:M34" si="12">L31</f>
        <v>14257425</v>
      </c>
    </row>
    <row r="32" spans="1:13" ht="16.5" hidden="1" outlineLevel="1">
      <c r="A32" s="38"/>
      <c r="B32" s="39" t="s">
        <v>22</v>
      </c>
      <c r="C32" s="36">
        <v>1326682</v>
      </c>
      <c r="D32" s="36">
        <v>0</v>
      </c>
      <c r="E32" s="48">
        <v>0</v>
      </c>
      <c r="F32" s="48">
        <v>876245.45</v>
      </c>
      <c r="G32" s="49">
        <f t="shared" si="8"/>
        <v>1.5140529403034275</v>
      </c>
      <c r="H32" s="23">
        <f t="shared" si="9"/>
        <v>0</v>
      </c>
      <c r="I32" s="24">
        <f t="shared" si="10"/>
        <v>0</v>
      </c>
      <c r="J32" s="32" t="str" cm="1">
        <f t="array" ref="J32">IFERROR(_xlfn.IFS(B32="044 - BLEND TRADICION","BLEND",B32="113 - CAFÉ GOURMET","GOURMET",B32="114 - CAFÉ CONSUMO","CONSUMO",B32="112 - CAFÉ ORGANICO","GOURMET",B32="172 - CAFÉ COSECHA","ESPECIALES",B32="176 - CAFE DESCAFEINADO","GOURMET",B32="147 - CAPSULAS","CAPSULAS",B32="130 - GALLETAS CAFECITAS","DERIVADOS",B32="140 - MERENGUES","DERIVADOS",B32="100 - CAFÉ ESPECIAL","ESPECIALES",B32="141 - AREQUIPE","DERIVADOS",B32="142 - MERMELADA","DERIVADOS",B32="131 - GALLETAS AVENA","DERIVADOS",B32="160 - SOUVENIR","OTROS",B32="148 - CARAMELOS","DERIVADOS",B32="143 - CHOCOFFES","DERIVADOS",B32="162 - CONVENIOS Y DSC POS ","OTROS"),"OTROS")</f>
        <v>DERIVADOS</v>
      </c>
      <c r="L32" s="27">
        <f t="shared" si="11"/>
        <v>1326682</v>
      </c>
      <c r="M32" s="27">
        <f t="shared" si="12"/>
        <v>1326682</v>
      </c>
    </row>
    <row r="33" spans="1:13" ht="16.5" hidden="1" outlineLevel="1">
      <c r="A33" s="38"/>
      <c r="B33" s="39" t="s">
        <v>23</v>
      </c>
      <c r="C33" s="36">
        <v>49717</v>
      </c>
      <c r="D33" s="36">
        <v>0</v>
      </c>
      <c r="E33" s="48"/>
      <c r="F33" s="48">
        <v>315313</v>
      </c>
      <c r="G33" s="49">
        <f t="shared" si="8"/>
        <v>0.15767507207124348</v>
      </c>
      <c r="H33" s="23">
        <f t="shared" si="9"/>
        <v>0</v>
      </c>
      <c r="I33" s="24">
        <f t="shared" si="10"/>
        <v>0</v>
      </c>
      <c r="J33" s="32" t="str" cm="1">
        <f t="array" ref="J33">IFERROR(_xlfn.IFS(B33="044 - BLEND TRADICION","BLEND",B33="113 - CAFÉ GOURMET","GOURMET",B33="114 - CAFÉ CONSUMO","CONSUMO",B33="112 - CAFÉ ORGANICO","GOURMET",B33="172 - CAFÉ COSECHA","ESPECIALES",B33="176 - CAFE DESCAFEINADO","GOURMET",B33="147 - CAPSULAS","CAPSULAS",B33="130 - GALLETAS CAFECITAS","DERIVADOS",B33="140 - MERENGUES","DERIVADOS",B33="100 - CAFÉ ESPECIAL","ESPECIALES",B33="141 - AREQUIPE","DERIVADOS",B33="142 - MERMELADA","DERIVADOS",B33="131 - GALLETAS AVENA","DERIVADOS",B33="160 - SOUVENIR","OTROS",B33="148 - CARAMELOS","DERIVADOS",B33="143 - CHOCOFFES","DERIVADOS",B33="162 - CONVENIOS Y DSC POS ","OTROS"),"OTROS")</f>
        <v>DERIVADOS</v>
      </c>
      <c r="L33" s="27">
        <f t="shared" si="11"/>
        <v>49717</v>
      </c>
      <c r="M33" s="27">
        <f t="shared" si="12"/>
        <v>49717</v>
      </c>
    </row>
    <row r="34" spans="1:13" ht="16.5" hidden="1" outlineLevel="1">
      <c r="A34" s="38"/>
      <c r="B34" s="39" t="s">
        <v>24</v>
      </c>
      <c r="C34" s="36">
        <v>344071</v>
      </c>
      <c r="D34" s="36">
        <v>0</v>
      </c>
      <c r="E34" s="48"/>
      <c r="F34" s="48">
        <v>443819.64</v>
      </c>
      <c r="G34" s="49">
        <f t="shared" si="8"/>
        <v>0.7752496036453006</v>
      </c>
      <c r="H34" s="23">
        <f t="shared" si="9"/>
        <v>0</v>
      </c>
      <c r="I34" s="24">
        <f t="shared" si="10"/>
        <v>0</v>
      </c>
      <c r="J34" s="32" t="str" cm="1">
        <f t="array" ref="J34">IFERROR(_xlfn.IFS(B34="044 - BLEND TRADICION","BLEND",B34="113 - CAFÉ GOURMET","GOURMET",B34="114 - CAFÉ CONSUMO","CONSUMO",B34="112 - CAFÉ ORGANICO","GOURMET",B34="172 - CAFÉ COSECHA","ESPECIALES",B34="176 - CAFE DESCAFEINADO","GOURMET",B34="147 - CAPSULAS","CAPSULAS",B34="130 - GALLETAS CAFECITAS","DERIVADOS",B34="140 - MERENGUES","DERIVADOS",B34="100 - CAFÉ ESPECIAL","ESPECIALES",B34="141 - AREQUIPE","DERIVADOS",B34="142 - MERMELADA","DERIVADOS",B34="131 - GALLETAS AVENA","DERIVADOS",B34="160 - SOUVENIR","OTROS",B34="148 - CARAMELOS","DERIVADOS",B34="143 - CHOCOFFES","DERIVADOS",B34="162 - CONVENIOS Y DSC POS ","OTROS"),"OTROS")</f>
        <v>DERIVADOS</v>
      </c>
      <c r="L34" s="27">
        <f t="shared" si="11"/>
        <v>344071</v>
      </c>
      <c r="M34" s="27">
        <f t="shared" si="12"/>
        <v>344071</v>
      </c>
    </row>
    <row r="35" spans="1:13" ht="16.5" hidden="1" outlineLevel="1">
      <c r="A35" s="38"/>
      <c r="B35" s="39" t="s">
        <v>25</v>
      </c>
      <c r="C35" s="36">
        <v>183833</v>
      </c>
      <c r="D35" s="36">
        <v>0</v>
      </c>
      <c r="E35" s="48"/>
      <c r="F35" s="48">
        <v>253263.49</v>
      </c>
      <c r="G35" s="49">
        <f t="shared" si="5"/>
        <v>0.72585669572823153</v>
      </c>
      <c r="H35" s="23">
        <f t="shared" si="6"/>
        <v>0</v>
      </c>
      <c r="I35" s="24">
        <f t="shared" si="6"/>
        <v>0</v>
      </c>
      <c r="J35" s="32" t="str" cm="1">
        <f t="array" ref="J35">IFERROR(_xlfn.IFS(B35="044 - BLEND TRADICION","BLEND",B35="113 - CAFÉ GOURMET","GOURMET",B35="114 - CAFÉ CONSUMO","CONSUMO",B35="112 - CAFÉ ORGANICO","GOURMET",B35="172 - CAFÉ COSECHA","ESPECIALES",B35="176 - CAFE DESCAFEINADO","GOURMET",B35="147 - CAPSULAS","CAPSULAS",B35="130 - GALLETAS CAFECITAS","DERIVADOS",B35="140 - MERENGUES","DERIVADOS",B35="100 - CAFÉ ESPECIAL","ESPECIALES",B35="141 - AREQUIPE","DERIVADOS",B35="142 - MERMELADA","DERIVADOS",B35="131 - GALLETAS AVENA","DERIVADOS",B35="160 - SOUVENIR","OTROS",B35="148 - CARAMELOS","DERIVADOS",B35="143 - CHOCOFFES","DERIVADOS",B35="162 - CONVENIOS Y DSC POS ","OTROS"),"OTROS")</f>
        <v>DERIVADOS</v>
      </c>
      <c r="L35" s="27">
        <f t="shared" si="2"/>
        <v>183833</v>
      </c>
      <c r="M35" s="27">
        <f t="shared" si="3"/>
        <v>183833</v>
      </c>
    </row>
    <row r="36" spans="1:13" ht="16.5" hidden="1" outlineLevel="1">
      <c r="A36" s="38"/>
      <c r="B36" s="39" t="s">
        <v>26</v>
      </c>
      <c r="C36" s="36">
        <v>12222125</v>
      </c>
      <c r="D36" s="36">
        <v>-1819838</v>
      </c>
      <c r="E36" s="48"/>
      <c r="F36" s="48">
        <v>19346780.550000001</v>
      </c>
      <c r="G36" s="49">
        <f t="shared" si="5"/>
        <v>0.63173947564107769</v>
      </c>
      <c r="H36" s="23">
        <f t="shared" si="6"/>
        <v>-0.12959997117212174</v>
      </c>
      <c r="I36" s="24">
        <f t="shared" si="6"/>
        <v>0</v>
      </c>
      <c r="J36" s="32" t="str" cm="1">
        <f t="array" ref="J36">IFERROR(_xlfn.IFS(B36="044 - BLEND TRADICION","BLEND",B36="113 - CAFÉ GOURMET","GOURMET",B36="114 - CAFÉ CONSUMO","CONSUMO",B36="112 - CAFÉ ORGANICO","GOURMET",B36="172 - CAFÉ COSECHA","ESPECIALES",B36="176 - CAFE DESCAFEINADO","GOURMET",B36="147 - CAPSULAS","CAPSULAS",B36="130 - GALLETAS CAFECITAS","DERIVADOS",B36="140 - MERENGUES","DERIVADOS",B36="100 - CAFÉ ESPECIAL","ESPECIALES",B36="141 - AREQUIPE","DERIVADOS",B36="142 - MERMELADA","DERIVADOS",B36="131 - GALLETAS AVENA","DERIVADOS",B36="160 - SOUVENIR","OTROS",B36="148 - CARAMELOS","DERIVADOS",B36="143 - CHOCOFFES","DERIVADOS",B36="162 - CONVENIOS Y DSC POS ","OTROS"),"OTROS")</f>
        <v>CAPSULAS</v>
      </c>
      <c r="L36" s="27">
        <f t="shared" si="2"/>
        <v>14041963</v>
      </c>
      <c r="M36" s="27">
        <f t="shared" si="3"/>
        <v>14041963</v>
      </c>
    </row>
    <row r="37" spans="1:13" ht="16.5" hidden="1" outlineLevel="1">
      <c r="A37" s="38"/>
      <c r="B37" s="39" t="s">
        <v>27</v>
      </c>
      <c r="C37" s="36">
        <v>263222</v>
      </c>
      <c r="D37" s="36">
        <v>0</v>
      </c>
      <c r="E37" s="48"/>
      <c r="F37" s="48">
        <v>709870.17</v>
      </c>
      <c r="G37" s="49">
        <f t="shared" si="5"/>
        <v>0.37080301599375559</v>
      </c>
      <c r="H37" s="23">
        <f t="shared" ref="H37:I91" si="13">IFERROR(+D37/L37*100%,0)</f>
        <v>0</v>
      </c>
      <c r="I37" s="24">
        <f t="shared" si="13"/>
        <v>0</v>
      </c>
      <c r="J37" s="32" t="str" cm="1">
        <f t="array" ref="J37">IFERROR(_xlfn.IFS(B37="044 - BLEND TRADICION","BLEND",B37="113 - CAFÉ GOURMET","GOURMET",B37="114 - CAFÉ CONSUMO","CONSUMO",B37="112 - CAFÉ ORGANICO","GOURMET",B37="172 - CAFÉ COSECHA","ESPECIALES",B37="176 - CAFE DESCAFEINADO","GOURMET",B37="147 - CAPSULAS","CAPSULAS",B37="130 - GALLETAS CAFECITAS","DERIVADOS",B37="140 - MERENGUES","DERIVADOS",B37="100 - CAFÉ ESPECIAL","ESPECIALES",B37="141 - AREQUIPE","DERIVADOS",B37="142 - MERMELADA","DERIVADOS",B37="131 - GALLETAS AVENA","DERIVADOS",B37="160 - SOUVENIR","OTROS",B37="148 - CARAMELOS","DERIVADOS",B37="143 - CHOCOFFES","DERIVADOS",B37="162 - CONVENIOS Y DSC POS ","OTROS"),"OTROS")</f>
        <v>DERIVADOS</v>
      </c>
      <c r="L37" s="27">
        <f t="shared" si="2"/>
        <v>263222</v>
      </c>
      <c r="M37" s="27">
        <f t="shared" si="3"/>
        <v>263222</v>
      </c>
    </row>
    <row r="38" spans="1:13" ht="16.5" hidden="1" outlineLevel="1">
      <c r="A38" s="38"/>
      <c r="B38" s="39" t="s">
        <v>28</v>
      </c>
      <c r="C38" s="36">
        <v>230329</v>
      </c>
      <c r="D38" s="36">
        <v>0</v>
      </c>
      <c r="E38" s="48"/>
      <c r="F38" s="48">
        <v>926563.16</v>
      </c>
      <c r="G38" s="49">
        <f t="shared" si="5"/>
        <v>0.24858424114336683</v>
      </c>
      <c r="H38" s="23">
        <f t="shared" si="13"/>
        <v>0</v>
      </c>
      <c r="I38" s="24">
        <f t="shared" si="13"/>
        <v>0</v>
      </c>
      <c r="J38" s="32" t="str" cm="1">
        <f t="array" ref="J38">IFERROR(_xlfn.IFS(B38="044 - BLEND TRADICION","BLEND",B38="113 - CAFÉ GOURMET","GOURMET",B38="114 - CAFÉ CONSUMO","CONSUMO",B38="112 - CAFÉ ORGANICO","GOURMET",B38="172 - CAFÉ COSECHA","ESPECIALES",B38="176 - CAFE DESCAFEINADO","GOURMET",B38="147 - CAPSULAS","CAPSULAS",B38="130 - GALLETAS CAFECITAS","DERIVADOS",B38="140 - MERENGUES","DERIVADOS",B38="100 - CAFÉ ESPECIAL","ESPECIALES",B38="141 - AREQUIPE","DERIVADOS",B38="142 - MERMELADA","DERIVADOS",B38="131 - GALLETAS AVENA","DERIVADOS",B38="160 - SOUVENIR","OTROS",B38="148 - CARAMELOS","DERIVADOS",B38="143 - CHOCOFFES","DERIVADOS",B38="162 - CONVENIOS Y DSC POS ","OTROS"),"OTROS")</f>
        <v>OTROS</v>
      </c>
      <c r="L38" s="27">
        <f t="shared" si="2"/>
        <v>230329</v>
      </c>
      <c r="M38" s="27">
        <f t="shared" si="3"/>
        <v>230329</v>
      </c>
    </row>
    <row r="39" spans="1:13" ht="16.5" hidden="1" outlineLevel="1">
      <c r="A39" s="38"/>
      <c r="B39" s="39" t="s">
        <v>29</v>
      </c>
      <c r="C39" s="36">
        <v>167160</v>
      </c>
      <c r="D39" s="36">
        <v>0</v>
      </c>
      <c r="E39" s="48"/>
      <c r="F39" s="48">
        <v>1035996.29</v>
      </c>
      <c r="G39" s="49">
        <f t="shared" si="5"/>
        <v>0.16135192916569227</v>
      </c>
      <c r="H39" s="23">
        <f t="shared" si="13"/>
        <v>0</v>
      </c>
      <c r="I39" s="24">
        <f t="shared" si="13"/>
        <v>0</v>
      </c>
      <c r="J39" s="32" t="str" cm="1">
        <f t="array" ref="J39">IFERROR(_xlfn.IFS(B39="044 - BLEND TRADICION","BLEND",B39="113 - CAFÉ GOURMET","GOURMET",B39="114 - CAFÉ CONSUMO","CONSUMO",B39="112 - CAFÉ ORGANICO","GOURMET",B39="172 - CAFÉ COSECHA","ESPECIALES",B39="176 - CAFE DESCAFEINADO","GOURMET",B39="147 - CAPSULAS","CAPSULAS",B39="130 - GALLETAS CAFECITAS","DERIVADOS",B39="140 - MERENGUES","DERIVADOS",B39="100 - CAFÉ ESPECIAL","ESPECIALES",B39="141 - AREQUIPE","DERIVADOS",B39="142 - MERMELADA","DERIVADOS",B39="131 - GALLETAS AVENA","DERIVADOS",B39="160 - SOUVENIR","OTROS",B39="148 - CARAMELOS","DERIVADOS",B39="143 - CHOCOFFES","DERIVADOS",B39="162 - CONVENIOS Y DSC POS ","OTROS"),"OTROS")</f>
        <v>ESPECIALES</v>
      </c>
      <c r="L39" s="27">
        <f t="shared" si="2"/>
        <v>167160</v>
      </c>
      <c r="M39" s="27">
        <f t="shared" si="3"/>
        <v>167160</v>
      </c>
    </row>
    <row r="40" spans="1:13" ht="16.5" hidden="1" outlineLevel="1">
      <c r="A40" s="38"/>
      <c r="B40" s="39" t="s">
        <v>30</v>
      </c>
      <c r="C40" s="36">
        <v>63262</v>
      </c>
      <c r="D40" s="36">
        <v>0</v>
      </c>
      <c r="E40" s="48"/>
      <c r="F40" s="48">
        <v>573972.9</v>
      </c>
      <c r="G40" s="49">
        <f t="shared" si="5"/>
        <v>0.11021774721419773</v>
      </c>
      <c r="H40" s="23">
        <f t="shared" si="13"/>
        <v>0</v>
      </c>
      <c r="I40" s="24">
        <f t="shared" si="13"/>
        <v>0</v>
      </c>
      <c r="J40" s="32" t="str" cm="1">
        <f t="array" ref="J40">IFERROR(_xlfn.IFS(B40="044 - BLEND TRADICION","BLEND",B40="113 - CAFÉ GOURMET","GOURMET",B40="114 - CAFÉ CONSUMO","CONSUMO",B40="112 - CAFÉ ORGANICO","GOURMET",B40="172 - CAFÉ COSECHA","ESPECIALES",B40="176 - CAFE DESCAFEINADO","GOURMET",B40="147 - CAPSULAS","CAPSULAS",B40="130 - GALLETAS CAFECITAS","DERIVADOS",B40="140 - MERENGUES","DERIVADOS",B40="100 - CAFÉ ESPECIAL","ESPECIALES",B40="141 - AREQUIPE","DERIVADOS",B40="142 - MERMELADA","DERIVADOS",B40="131 - GALLETAS AVENA","DERIVADOS",B40="160 - SOUVENIR","OTROS",B40="148 - CARAMELOS","DERIVADOS",B40="143 - CHOCOFFES","DERIVADOS",B40="162 - CONVENIOS Y DSC POS ","OTROS"),"OTROS")</f>
        <v>GOURMET</v>
      </c>
      <c r="L40" s="27">
        <f t="shared" si="2"/>
        <v>63262</v>
      </c>
      <c r="M40" s="27">
        <f t="shared" si="3"/>
        <v>63262</v>
      </c>
    </row>
    <row r="41" spans="1:13" ht="16.5" hidden="1" outlineLevel="1">
      <c r="A41" s="38"/>
      <c r="B41" s="39" t="s">
        <v>31</v>
      </c>
      <c r="C41" s="36">
        <v>12000</v>
      </c>
      <c r="D41" s="36">
        <v>0</v>
      </c>
      <c r="E41" s="48"/>
      <c r="F41" s="48">
        <v>0</v>
      </c>
      <c r="G41" s="49" t="str">
        <f t="shared" si="5"/>
        <v>-</v>
      </c>
      <c r="H41" s="23">
        <f t="shared" si="13"/>
        <v>0</v>
      </c>
      <c r="I41" s="24">
        <f t="shared" si="13"/>
        <v>0</v>
      </c>
      <c r="J41" s="32" t="str" cm="1">
        <f t="array" ref="J41">IFERROR(_xlfn.IFS(B41="044 - BLEND TRADICION","BLEND",B41="113 - CAFÉ GOURMET","GOURMET",B41="114 - CAFÉ CONSUMO","CONSUMO",B41="112 - CAFÉ ORGANICO","GOURMET",B41="172 - CAFÉ COSECHA","ESPECIALES",B41="176 - CAFE DESCAFEINADO","GOURMET",B41="147 - CAPSULAS","CAPSULAS",B41="130 - GALLETAS CAFECITAS","DERIVADOS",B41="140 - MERENGUES","DERIVADOS",B41="100 - CAFÉ ESPECIAL","ESPECIALES",B41="141 - AREQUIPE","DERIVADOS",B41="142 - MERMELADA","DERIVADOS",B41="131 - GALLETAS AVENA","DERIVADOS",B41="160 - SOUVENIR","OTROS",B41="148 - CARAMELOS","DERIVADOS",B41="143 - CHOCOFFES","DERIVADOS",B41="162 - CONVENIOS Y DSC POS ","OTROS"),"OTROS")</f>
        <v>OTROS</v>
      </c>
      <c r="L41" s="27">
        <f t="shared" si="2"/>
        <v>12000</v>
      </c>
      <c r="M41" s="27">
        <f t="shared" si="3"/>
        <v>12000</v>
      </c>
    </row>
    <row r="42" spans="1:13" ht="16.5" hidden="1" outlineLevel="1">
      <c r="A42" s="19" t="s">
        <v>37</v>
      </c>
      <c r="B42" s="56" t="s">
        <v>32</v>
      </c>
      <c r="C42" s="54">
        <f>SUM(C27:C41)</f>
        <v>112008553</v>
      </c>
      <c r="D42" s="54">
        <f>SUM(D27:D41)</f>
        <v>-12225850</v>
      </c>
      <c r="E42" s="54">
        <f>SUM(E27:E41)</f>
        <v>0</v>
      </c>
      <c r="F42" s="54">
        <f>SUM(F27:F41)</f>
        <v>271870321.94</v>
      </c>
      <c r="G42" s="55">
        <f t="shared" si="5"/>
        <v>0.41199257131390588</v>
      </c>
      <c r="H42" s="23">
        <f t="shared" si="13"/>
        <v>-9.8409536366508718E-2</v>
      </c>
      <c r="I42" s="24">
        <f t="shared" si="13"/>
        <v>0</v>
      </c>
      <c r="J42" s="32" t="str" cm="1">
        <f t="array" ref="J42">IFERROR(_xlfn.IFS(B42="044 - BLEND TRADICION","BLEND",B42="113 - CAFÉ GOURMET","GOURMET",B42="114 - CAFÉ CONSUMO","CONSUMO",B42="112 - CAFÉ ORGANICO","GOURMET",B42="172 - CAFÉ COSECHA","ESPECIALES",B42="176 - CAFE DESCAFEINADO","GOURMET",B42="147 - CAPSULAS","CAPSULAS",B42="130 - GALLETAS CAFECITAS","DERIVADOS",B42="140 - MERENGUES","DERIVADOS",B42="100 - CAFÉ ESPECIAL","ESPECIALES",B42="141 - AREQUIPE","DERIVADOS",B42="142 - MERMELADA","DERIVADOS",B42="131 - GALLETAS AVENA","DERIVADOS",B42="160 - SOUVENIR","OTROS",B42="148 - CARAMELOS","DERIVADOS",B42="143 - CHOCOFFES","DERIVADOS",B42="162 - CONVENIOS Y DSC POS ","OTROS"),"OTROS")</f>
        <v>OTROS</v>
      </c>
      <c r="L42" s="27">
        <f t="shared" si="2"/>
        <v>124234403</v>
      </c>
      <c r="M42" s="27">
        <f t="shared" si="3"/>
        <v>124234403</v>
      </c>
    </row>
    <row r="43" spans="1:13" ht="16.5" hidden="1" outlineLevel="1">
      <c r="A43" s="38"/>
      <c r="B43" s="39" t="s">
        <v>34</v>
      </c>
      <c r="C43" s="36">
        <v>0</v>
      </c>
      <c r="D43" s="36">
        <v>0</v>
      </c>
      <c r="E43" s="48">
        <v>0</v>
      </c>
      <c r="F43" s="48">
        <v>16995.71</v>
      </c>
      <c r="G43" s="49">
        <f t="shared" si="5"/>
        <v>0</v>
      </c>
      <c r="H43" s="23">
        <f t="shared" si="13"/>
        <v>0</v>
      </c>
      <c r="I43" s="24">
        <f t="shared" si="13"/>
        <v>0</v>
      </c>
      <c r="J43" s="32" t="str" cm="1">
        <f t="array" ref="J43">IFERROR(_xlfn.IFS(B43="044 - BLEND TRADICION","BLEND",B43="113 - CAFÉ GOURMET","GOURMET",B43="114 - CAFÉ CONSUMO","CONSUMO",B43="112 - CAFÉ ORGANICO","GOURMET",B43="172 - CAFÉ COSECHA","ESPECIALES",B43="176 - CAFE DESCAFEINADO","GOURMET",B43="147 - CAPSULAS","CAPSULAS",B43="130 - GALLETAS CAFECITAS","DERIVADOS",B43="140 - MERENGUES","DERIVADOS",B43="100 - CAFÉ ESPECIAL","ESPECIALES",B43="141 - AREQUIPE","DERIVADOS",B43="142 - MERMELADA","DERIVADOS",B43="131 - GALLETAS AVENA","DERIVADOS",B43="160 - SOUVENIR","OTROS",B43="148 - CARAMELOS","DERIVADOS",B43="143 - CHOCOFFES","DERIVADOS",B43="162 - CONVENIOS Y DSC POS ","OTROS"),"OTROS")</f>
        <v>OTROS</v>
      </c>
      <c r="L43" s="27">
        <f t="shared" si="2"/>
        <v>0</v>
      </c>
      <c r="M43" s="27">
        <f t="shared" si="3"/>
        <v>0</v>
      </c>
    </row>
    <row r="44" spans="1:13" ht="16.5" hidden="1" outlineLevel="1">
      <c r="A44" s="38"/>
      <c r="B44" s="39" t="s">
        <v>95</v>
      </c>
      <c r="C44" s="36">
        <v>82845</v>
      </c>
      <c r="D44" s="36">
        <v>-82846</v>
      </c>
      <c r="E44" s="48">
        <v>0</v>
      </c>
      <c r="F44" s="48">
        <v>0</v>
      </c>
      <c r="G44" s="49" t="str">
        <f t="shared" si="5"/>
        <v>-</v>
      </c>
      <c r="H44" s="23">
        <f t="shared" si="13"/>
        <v>-0.50000301766541333</v>
      </c>
      <c r="I44" s="24">
        <f t="shared" si="13"/>
        <v>0</v>
      </c>
      <c r="J44" s="32" t="str" cm="1">
        <f t="array" ref="J44">IFERROR(_xlfn.IFS(B44="044 - BLEND TRADICION","BLEND",B44="113 - CAFÉ GOURMET","GOURMET",B44="114 - CAFÉ CONSUMO","CONSUMO",B44="112 - CAFÉ ORGANICO","GOURMET",B44="172 - CAFÉ COSECHA","ESPECIALES",B44="176 - CAFE DESCAFEINADO","GOURMET",B44="147 - CAPSULAS","CAPSULAS",B44="130 - GALLETAS CAFECITAS","DERIVADOS",B44="140 - MERENGUES","DERIVADOS",B44="100 - CAFÉ ESPECIAL","ESPECIALES",B44="141 - AREQUIPE","DERIVADOS",B44="142 - MERMELADA","DERIVADOS",B44="131 - GALLETAS AVENA","DERIVADOS",B44="160 - SOUVENIR","OTROS",B44="148 - CARAMELOS","DERIVADOS",B44="143 - CHOCOFFES","DERIVADOS",B44="162 - CONVENIOS Y DSC POS ","OTROS"),"OTROS")</f>
        <v>OTROS</v>
      </c>
      <c r="L44" s="27">
        <f t="shared" si="2"/>
        <v>165691</v>
      </c>
      <c r="M44" s="27">
        <f t="shared" si="3"/>
        <v>165691</v>
      </c>
    </row>
    <row r="45" spans="1:13" ht="16.5" hidden="1" outlineLevel="1">
      <c r="A45" s="38"/>
      <c r="B45" s="39" t="s">
        <v>42</v>
      </c>
      <c r="C45" s="36">
        <v>348131</v>
      </c>
      <c r="D45" s="36">
        <v>0</v>
      </c>
      <c r="E45" s="48">
        <v>0</v>
      </c>
      <c r="F45" s="48">
        <v>0</v>
      </c>
      <c r="G45" s="49" t="str">
        <f t="shared" si="5"/>
        <v>-</v>
      </c>
      <c r="H45" s="23">
        <f t="shared" si="13"/>
        <v>0</v>
      </c>
      <c r="I45" s="24">
        <f t="shared" si="13"/>
        <v>0</v>
      </c>
      <c r="J45" s="32" t="str" cm="1">
        <f t="array" ref="J45">IFERROR(_xlfn.IFS(B45="044 - BLEND TRADICION","BLEND",B45="113 - CAFÉ GOURMET","GOURMET",B45="114 - CAFÉ CONSUMO","CONSUMO",B45="112 - CAFÉ ORGANICO","GOURMET",B45="172 - CAFÉ COSECHA","ESPECIALES",B45="176 - CAFE DESCAFEINADO","GOURMET",B45="147 - CAPSULAS","CAPSULAS",B45="130 - GALLETAS CAFECITAS","DERIVADOS",B45="140 - MERENGUES","DERIVADOS",B45="100 - CAFÉ ESPECIAL","ESPECIALES",B45="141 - AREQUIPE","DERIVADOS",B45="142 - MERMELADA","DERIVADOS",B45="131 - GALLETAS AVENA","DERIVADOS",B45="160 - SOUVENIR","OTROS",B45="148 - CARAMELOS","DERIVADOS",B45="143 - CHOCOFFES","DERIVADOS",B45="162 - CONVENIOS Y DSC POS ","OTROS"),"OTROS")</f>
        <v>OTROS</v>
      </c>
      <c r="L45" s="27">
        <f t="shared" si="2"/>
        <v>348131</v>
      </c>
      <c r="M45" s="27">
        <f t="shared" si="3"/>
        <v>348131</v>
      </c>
    </row>
    <row r="46" spans="1:13" ht="16.5" hidden="1" outlineLevel="1">
      <c r="A46" s="38"/>
      <c r="B46" s="39" t="s">
        <v>18</v>
      </c>
      <c r="C46" s="36">
        <v>0</v>
      </c>
      <c r="D46" s="36">
        <v>0</v>
      </c>
      <c r="E46" s="48">
        <v>0</v>
      </c>
      <c r="F46" s="48">
        <v>89635.4</v>
      </c>
      <c r="G46" s="49">
        <f t="shared" si="5"/>
        <v>0</v>
      </c>
      <c r="H46" s="23">
        <f t="shared" si="13"/>
        <v>0</v>
      </c>
      <c r="I46" s="24">
        <f t="shared" si="13"/>
        <v>0</v>
      </c>
      <c r="J46" s="32" t="str" cm="1">
        <f t="array" ref="J46">IFERROR(_xlfn.IFS(B46="044 - BLEND TRADICION","BLEND",B46="113 - CAFÉ GOURMET","GOURMET",B46="114 - CAFÉ CONSUMO","CONSUMO",B46="112 - CAFÉ ORGANICO","GOURMET",B46="172 - CAFÉ COSECHA","ESPECIALES",B46="176 - CAFE DESCAFEINADO","GOURMET",B46="147 - CAPSULAS","CAPSULAS",B46="130 - GALLETAS CAFECITAS","DERIVADOS",B46="140 - MERENGUES","DERIVADOS",B46="100 - CAFÉ ESPECIAL","ESPECIALES",B46="141 - AREQUIPE","DERIVADOS",B46="142 - MERMELADA","DERIVADOS",B46="131 - GALLETAS AVENA","DERIVADOS",B46="160 - SOUVENIR","OTROS",B46="148 - CARAMELOS","DERIVADOS",B46="143 - CHOCOFFES","DERIVADOS",B46="162 - CONVENIOS Y DSC POS ","OTROS"),"OTROS")</f>
        <v>BLEND</v>
      </c>
      <c r="L46" s="27">
        <f t="shared" si="2"/>
        <v>0</v>
      </c>
      <c r="M46" s="27">
        <f t="shared" si="3"/>
        <v>0</v>
      </c>
    </row>
    <row r="47" spans="1:13" ht="16.5" hidden="1" outlineLevel="1">
      <c r="A47" s="38"/>
      <c r="B47" s="39" t="s">
        <v>36</v>
      </c>
      <c r="C47" s="36">
        <v>38539</v>
      </c>
      <c r="D47" s="36">
        <v>0</v>
      </c>
      <c r="E47" s="48"/>
      <c r="F47" s="48">
        <v>0</v>
      </c>
      <c r="G47" s="49" t="str">
        <f t="shared" si="5"/>
        <v>-</v>
      </c>
      <c r="H47" s="23">
        <f t="shared" si="13"/>
        <v>0</v>
      </c>
      <c r="I47" s="24">
        <f t="shared" si="13"/>
        <v>0</v>
      </c>
      <c r="J47" s="32" t="str" cm="1">
        <f t="array" ref="J47">IFERROR(_xlfn.IFS(B47="044 - BLEND TRADICION","BLEND",B47="113 - CAFÉ GOURMET","GOURMET",B47="114 - CAFÉ CONSUMO","CONSUMO",B47="112 - CAFÉ ORGANICO","GOURMET",B47="172 - CAFÉ COSECHA","ESPECIALES",B47="176 - CAFE DESCAFEINADO","GOURMET",B47="147 - CAPSULAS","CAPSULAS",B47="130 - GALLETAS CAFECITAS","DERIVADOS",B47="140 - MERENGUES","DERIVADOS",B47="100 - CAFÉ ESPECIAL","ESPECIALES",B47="141 - AREQUIPE","DERIVADOS",B47="142 - MERMELADA","DERIVADOS",B47="131 - GALLETAS AVENA","DERIVADOS",B47="160 - SOUVENIR","OTROS",B47="148 - CARAMELOS","DERIVADOS",B47="143 - CHOCOFFES","DERIVADOS",B47="162 - CONVENIOS Y DSC POS ","OTROS"),"OTROS")</f>
        <v>OTROS</v>
      </c>
      <c r="L47" s="27">
        <f t="shared" si="2"/>
        <v>38539</v>
      </c>
      <c r="M47" s="27">
        <f t="shared" si="3"/>
        <v>38539</v>
      </c>
    </row>
    <row r="48" spans="1:13" ht="16.5" hidden="1" outlineLevel="1">
      <c r="A48" s="38"/>
      <c r="B48" s="39" t="s">
        <v>19</v>
      </c>
      <c r="C48" s="36">
        <v>0</v>
      </c>
      <c r="D48" s="36">
        <v>0</v>
      </c>
      <c r="E48" s="48"/>
      <c r="F48" s="48">
        <v>94237.05</v>
      </c>
      <c r="G48" s="49">
        <f t="shared" si="5"/>
        <v>0</v>
      </c>
      <c r="H48" s="23">
        <f t="shared" si="13"/>
        <v>0</v>
      </c>
      <c r="I48" s="24">
        <f t="shared" si="13"/>
        <v>0</v>
      </c>
      <c r="J48" s="32" t="str" cm="1">
        <f t="array" ref="J48">IFERROR(_xlfn.IFS(B48="044 - BLEND TRADICION","BLEND",B48="113 - CAFÉ GOURMET","GOURMET",B48="114 - CAFÉ CONSUMO","CONSUMO",B48="112 - CAFÉ ORGANICO","GOURMET",B48="172 - CAFÉ COSECHA","ESPECIALES",B48="176 - CAFE DESCAFEINADO","GOURMET",B48="147 - CAPSULAS","CAPSULAS",B48="130 - GALLETAS CAFECITAS","DERIVADOS",B48="140 - MERENGUES","DERIVADOS",B48="100 - CAFÉ ESPECIAL","ESPECIALES",B48="141 - AREQUIPE","DERIVADOS",B48="142 - MERMELADA","DERIVADOS",B48="131 - GALLETAS AVENA","DERIVADOS",B48="160 - SOUVENIR","OTROS",B48="148 - CARAMELOS","DERIVADOS",B48="143 - CHOCOFFES","DERIVADOS",B48="162 - CONVENIOS Y DSC POS ","OTROS"),"OTROS")</f>
        <v>ESPECIALES</v>
      </c>
      <c r="L48" s="27">
        <f t="shared" si="2"/>
        <v>0</v>
      </c>
      <c r="M48" s="27">
        <f t="shared" si="3"/>
        <v>0</v>
      </c>
    </row>
    <row r="49" spans="1:13" ht="16.5" hidden="1" outlineLevel="1">
      <c r="A49" s="38"/>
      <c r="B49" s="39" t="s">
        <v>20</v>
      </c>
      <c r="C49" s="36">
        <v>0</v>
      </c>
      <c r="D49" s="36">
        <v>0</v>
      </c>
      <c r="E49" s="48"/>
      <c r="F49" s="48">
        <v>136038.93</v>
      </c>
      <c r="G49" s="49">
        <f t="shared" si="5"/>
        <v>0</v>
      </c>
      <c r="H49" s="23">
        <f t="shared" si="13"/>
        <v>0</v>
      </c>
      <c r="I49" s="24">
        <f t="shared" si="13"/>
        <v>0</v>
      </c>
      <c r="J49" s="32" t="str" cm="1">
        <f t="array" ref="J49">IFERROR(_xlfn.IFS(B49="044 - BLEND TRADICION","BLEND",B49="113 - CAFÉ GOURMET","GOURMET",B49="114 - CAFÉ CONSUMO","CONSUMO",B49="112 - CAFÉ ORGANICO","GOURMET",B49="172 - CAFÉ COSECHA","ESPECIALES",B49="176 - CAFE DESCAFEINADO","GOURMET",B49="147 - CAPSULAS","CAPSULAS",B49="130 - GALLETAS CAFECITAS","DERIVADOS",B49="140 - MERENGUES","DERIVADOS",B49="100 - CAFÉ ESPECIAL","ESPECIALES",B49="141 - AREQUIPE","DERIVADOS",B49="142 - MERMELADA","DERIVADOS",B49="131 - GALLETAS AVENA","DERIVADOS",B49="160 - SOUVENIR","OTROS",B49="148 - CARAMELOS","DERIVADOS",B49="143 - CHOCOFFES","DERIVADOS",B49="162 - CONVENIOS Y DSC POS ","OTROS"),"OTROS")</f>
        <v>GOURMET</v>
      </c>
      <c r="L49" s="27">
        <f t="shared" si="2"/>
        <v>0</v>
      </c>
      <c r="M49" s="27">
        <f t="shared" si="3"/>
        <v>0</v>
      </c>
    </row>
    <row r="50" spans="1:13" ht="16.5" hidden="1" outlineLevel="1">
      <c r="A50" s="38"/>
      <c r="B50" s="39" t="s">
        <v>21</v>
      </c>
      <c r="C50" s="36">
        <v>17311070</v>
      </c>
      <c r="D50" s="36">
        <v>0</v>
      </c>
      <c r="E50" s="48"/>
      <c r="F50" s="48">
        <v>69823497.540000007</v>
      </c>
      <c r="G50" s="49">
        <f t="shared" si="5"/>
        <v>0.24792613675765746</v>
      </c>
      <c r="H50" s="23">
        <f t="shared" si="13"/>
        <v>0</v>
      </c>
      <c r="I50" s="24">
        <f t="shared" si="13"/>
        <v>0</v>
      </c>
      <c r="J50" s="32" t="str" cm="1">
        <f t="array" ref="J50">IFERROR(_xlfn.IFS(B50="044 - BLEND TRADICION","BLEND",B50="113 - CAFÉ GOURMET","GOURMET",B50="114 - CAFÉ CONSUMO","CONSUMO",B50="112 - CAFÉ ORGANICO","GOURMET",B50="172 - CAFÉ COSECHA","ESPECIALES",B50="176 - CAFE DESCAFEINADO","GOURMET",B50="147 - CAPSULAS","CAPSULAS",B50="130 - GALLETAS CAFECITAS","DERIVADOS",B50="140 - MERENGUES","DERIVADOS",B50="100 - CAFÉ ESPECIAL","ESPECIALES",B50="141 - AREQUIPE","DERIVADOS",B50="142 - MERMELADA","DERIVADOS",B50="131 - GALLETAS AVENA","DERIVADOS",B50="160 - SOUVENIR","OTROS",B50="148 - CARAMELOS","DERIVADOS",B50="143 - CHOCOFFES","DERIVADOS",B50="162 - CONVENIOS Y DSC POS ","OTROS"),"OTROS")</f>
        <v>GOURMET</v>
      </c>
      <c r="L50" s="27">
        <f t="shared" si="2"/>
        <v>17311070</v>
      </c>
      <c r="M50" s="27">
        <f t="shared" si="3"/>
        <v>17311070</v>
      </c>
    </row>
    <row r="51" spans="1:13" ht="16.5" hidden="1" outlineLevel="1">
      <c r="A51" s="38"/>
      <c r="B51" s="39" t="s">
        <v>38</v>
      </c>
      <c r="C51" s="36">
        <v>2872023</v>
      </c>
      <c r="D51" s="36">
        <v>0</v>
      </c>
      <c r="E51" s="48"/>
      <c r="F51" s="48">
        <v>14106647.08</v>
      </c>
      <c r="G51" s="49">
        <f t="shared" si="5"/>
        <v>0.20359359553779949</v>
      </c>
      <c r="H51" s="23">
        <f t="shared" si="13"/>
        <v>0</v>
      </c>
      <c r="I51" s="24">
        <f t="shared" si="13"/>
        <v>0</v>
      </c>
      <c r="J51" s="32" t="str" cm="1">
        <f t="array" ref="J51">IFERROR(_xlfn.IFS(B51="044 - BLEND TRADICION","BLEND",B51="113 - CAFÉ GOURMET","GOURMET",B51="114 - CAFÉ CONSUMO","CONSUMO",B51="112 - CAFÉ ORGANICO","GOURMET",B51="172 - CAFÉ COSECHA","ESPECIALES",B51="176 - CAFE DESCAFEINADO","GOURMET",B51="147 - CAPSULAS","CAPSULAS",B51="130 - GALLETAS CAFECITAS","DERIVADOS",B51="140 - MERENGUES","DERIVADOS",B51="100 - CAFÉ ESPECIAL","ESPECIALES",B51="141 - AREQUIPE","DERIVADOS",B51="142 - MERMELADA","DERIVADOS",B51="131 - GALLETAS AVENA","DERIVADOS",B51="160 - SOUVENIR","OTROS",B51="148 - CARAMELOS","DERIVADOS",B51="143 - CHOCOFFES","DERIVADOS",B51="162 - CONVENIOS Y DSC POS ","OTROS"),"OTROS")</f>
        <v>CONSUMO</v>
      </c>
      <c r="L51" s="27">
        <f t="shared" si="2"/>
        <v>2872023</v>
      </c>
      <c r="M51" s="27">
        <f t="shared" si="3"/>
        <v>2872023</v>
      </c>
    </row>
    <row r="52" spans="1:13" ht="16.5" hidden="1" outlineLevel="1">
      <c r="A52" s="38"/>
      <c r="B52" s="39" t="s">
        <v>22</v>
      </c>
      <c r="C52" s="36">
        <v>1326481</v>
      </c>
      <c r="D52" s="36">
        <v>0</v>
      </c>
      <c r="E52" s="48"/>
      <c r="F52" s="48">
        <v>2927476.03</v>
      </c>
      <c r="G52" s="49">
        <f t="shared" si="5"/>
        <v>0.45311421388478462</v>
      </c>
      <c r="H52" s="23">
        <f t="shared" si="13"/>
        <v>0</v>
      </c>
      <c r="I52" s="24">
        <f t="shared" si="13"/>
        <v>0</v>
      </c>
      <c r="J52" s="32" t="str" cm="1">
        <f t="array" ref="J52">IFERROR(_xlfn.IFS(B52="044 - BLEND TRADICION","BLEND",B52="113 - CAFÉ GOURMET","GOURMET",B52="114 - CAFÉ CONSUMO","CONSUMO",B52="112 - CAFÉ ORGANICO","GOURMET",B52="172 - CAFÉ COSECHA","ESPECIALES",B52="176 - CAFE DESCAFEINADO","GOURMET",B52="147 - CAPSULAS","CAPSULAS",B52="130 - GALLETAS CAFECITAS","DERIVADOS",B52="140 - MERENGUES","DERIVADOS",B52="100 - CAFÉ ESPECIAL","ESPECIALES",B52="141 - AREQUIPE","DERIVADOS",B52="142 - MERMELADA","DERIVADOS",B52="131 - GALLETAS AVENA","DERIVADOS",B52="160 - SOUVENIR","OTROS",B52="148 - CARAMELOS","DERIVADOS",B52="143 - CHOCOFFES","DERIVADOS",B52="162 - CONVENIOS Y DSC POS ","OTROS"),"OTROS")</f>
        <v>DERIVADOS</v>
      </c>
      <c r="L52" s="27">
        <f t="shared" si="2"/>
        <v>1326481</v>
      </c>
      <c r="M52" s="27">
        <f t="shared" si="3"/>
        <v>1326481</v>
      </c>
    </row>
    <row r="53" spans="1:13" ht="16.5" hidden="1" outlineLevel="1">
      <c r="A53" s="38"/>
      <c r="B53" s="39" t="s">
        <v>23</v>
      </c>
      <c r="C53" s="36">
        <v>59660</v>
      </c>
      <c r="D53" s="36">
        <v>0</v>
      </c>
      <c r="E53" s="48"/>
      <c r="F53" s="48">
        <v>256078.41</v>
      </c>
      <c r="G53" s="49">
        <f t="shared" si="5"/>
        <v>0.2329755171472675</v>
      </c>
      <c r="H53" s="23">
        <f t="shared" si="13"/>
        <v>0</v>
      </c>
      <c r="I53" s="24">
        <f t="shared" si="13"/>
        <v>0</v>
      </c>
      <c r="J53" s="32" t="str" cm="1">
        <f t="array" ref="J53">IFERROR(_xlfn.IFS(B53="044 - BLEND TRADICION","BLEND",B53="113 - CAFÉ GOURMET","GOURMET",B53="114 - CAFÉ CONSUMO","CONSUMO",B53="112 - CAFÉ ORGANICO","GOURMET",B53="172 - CAFÉ COSECHA","ESPECIALES",B53="176 - CAFE DESCAFEINADO","GOURMET",B53="147 - CAPSULAS","CAPSULAS",B53="130 - GALLETAS CAFECITAS","DERIVADOS",B53="140 - MERENGUES","DERIVADOS",B53="100 - CAFÉ ESPECIAL","ESPECIALES",B53="141 - AREQUIPE","DERIVADOS",B53="142 - MERMELADA","DERIVADOS",B53="131 - GALLETAS AVENA","DERIVADOS",B53="160 - SOUVENIR","OTROS",B53="148 - CARAMELOS","DERIVADOS",B53="143 - CHOCOFFES","DERIVADOS",B53="162 - CONVENIOS Y DSC POS ","OTROS"),"OTROS")</f>
        <v>DERIVADOS</v>
      </c>
      <c r="L53" s="27">
        <f t="shared" si="2"/>
        <v>59660</v>
      </c>
      <c r="M53" s="27">
        <f t="shared" si="3"/>
        <v>59660</v>
      </c>
    </row>
    <row r="54" spans="1:13" ht="16.5" hidden="1" outlineLevel="1">
      <c r="A54" s="38"/>
      <c r="B54" s="39" t="s">
        <v>24</v>
      </c>
      <c r="C54" s="36">
        <v>341418</v>
      </c>
      <c r="D54" s="36">
        <v>0</v>
      </c>
      <c r="E54" s="48"/>
      <c r="F54" s="48">
        <v>589663.42000000004</v>
      </c>
      <c r="G54" s="49">
        <f t="shared" si="5"/>
        <v>0.57900488383695226</v>
      </c>
      <c r="H54" s="23">
        <f t="shared" si="13"/>
        <v>0</v>
      </c>
      <c r="I54" s="24">
        <f t="shared" si="13"/>
        <v>0</v>
      </c>
      <c r="J54" s="32" t="str" cm="1">
        <f t="array" ref="J54">IFERROR(_xlfn.IFS(B54="044 - BLEND TRADICION","BLEND",B54="113 - CAFÉ GOURMET","GOURMET",B54="114 - CAFÉ CONSUMO","CONSUMO",B54="112 - CAFÉ ORGANICO","GOURMET",B54="172 - CAFÉ COSECHA","ESPECIALES",B54="176 - CAFE DESCAFEINADO","GOURMET",B54="147 - CAPSULAS","CAPSULAS",B54="130 - GALLETAS CAFECITAS","DERIVADOS",B54="140 - MERENGUES","DERIVADOS",B54="100 - CAFÉ ESPECIAL","ESPECIALES",B54="141 - AREQUIPE","DERIVADOS",B54="142 - MERMELADA","DERIVADOS",B54="131 - GALLETAS AVENA","DERIVADOS",B54="160 - SOUVENIR","OTROS",B54="148 - CARAMELOS","DERIVADOS",B54="143 - CHOCOFFES","DERIVADOS",B54="162 - CONVENIOS Y DSC POS ","OTROS"),"OTROS")</f>
        <v>DERIVADOS</v>
      </c>
      <c r="L54" s="27">
        <f t="shared" si="2"/>
        <v>341418</v>
      </c>
      <c r="M54" s="27">
        <f t="shared" si="3"/>
        <v>341418</v>
      </c>
    </row>
    <row r="55" spans="1:13" ht="16.5" hidden="1" outlineLevel="1">
      <c r="A55" s="38"/>
      <c r="B55" s="39" t="s">
        <v>25</v>
      </c>
      <c r="C55" s="36">
        <v>13114</v>
      </c>
      <c r="D55" s="36">
        <v>0</v>
      </c>
      <c r="E55" s="48"/>
      <c r="F55" s="48">
        <v>1309142.77</v>
      </c>
      <c r="G55" s="49">
        <f t="shared" si="5"/>
        <v>1.0017242046106246E-2</v>
      </c>
      <c r="H55" s="23">
        <f t="shared" si="13"/>
        <v>0</v>
      </c>
      <c r="I55" s="24">
        <f t="shared" si="13"/>
        <v>0</v>
      </c>
      <c r="J55" s="32" t="str" cm="1">
        <f t="array" ref="J55">IFERROR(_xlfn.IFS(B55="044 - BLEND TRADICION","BLEND",B55="113 - CAFÉ GOURMET","GOURMET",B55="114 - CAFÉ CONSUMO","CONSUMO",B55="112 - CAFÉ ORGANICO","GOURMET",B55="172 - CAFÉ COSECHA","ESPECIALES",B55="176 - CAFE DESCAFEINADO","GOURMET",B55="147 - CAPSULAS","CAPSULAS",B55="130 - GALLETAS CAFECITAS","DERIVADOS",B55="140 - MERENGUES","DERIVADOS",B55="100 - CAFÉ ESPECIAL","ESPECIALES",B55="141 - AREQUIPE","DERIVADOS",B55="142 - MERMELADA","DERIVADOS",B55="131 - GALLETAS AVENA","DERIVADOS",B55="160 - SOUVENIR","OTROS",B55="148 - CARAMELOS","DERIVADOS",B55="143 - CHOCOFFES","DERIVADOS",B55="162 - CONVENIOS Y DSC POS ","OTROS"),"OTROS")</f>
        <v>DERIVADOS</v>
      </c>
      <c r="L55" s="27">
        <f t="shared" si="2"/>
        <v>13114</v>
      </c>
      <c r="M55" s="27">
        <f t="shared" si="3"/>
        <v>13114</v>
      </c>
    </row>
    <row r="56" spans="1:13" ht="16.5" hidden="1" outlineLevel="1">
      <c r="A56" s="38"/>
      <c r="B56" s="39" t="s">
        <v>26</v>
      </c>
      <c r="C56" s="36">
        <v>2329840</v>
      </c>
      <c r="D56" s="36">
        <v>0</v>
      </c>
      <c r="E56" s="48"/>
      <c r="F56" s="48">
        <v>11209211.369999999</v>
      </c>
      <c r="G56" s="49">
        <f t="shared" si="5"/>
        <v>0.20785048324055291</v>
      </c>
      <c r="H56" s="23">
        <f t="shared" si="13"/>
        <v>0</v>
      </c>
      <c r="I56" s="24">
        <f t="shared" si="13"/>
        <v>0</v>
      </c>
      <c r="J56" s="32" t="str" cm="1">
        <f t="array" ref="J56">IFERROR(_xlfn.IFS(B56="044 - BLEND TRADICION","BLEND",B56="113 - CAFÉ GOURMET","GOURMET",B56="114 - CAFÉ CONSUMO","CONSUMO",B56="112 - CAFÉ ORGANICO","GOURMET",B56="172 - CAFÉ COSECHA","ESPECIALES",B56="176 - CAFE DESCAFEINADO","GOURMET",B56="147 - CAPSULAS","CAPSULAS",B56="130 - GALLETAS CAFECITAS","DERIVADOS",B56="140 - MERENGUES","DERIVADOS",B56="100 - CAFÉ ESPECIAL","ESPECIALES",B56="141 - AREQUIPE","DERIVADOS",B56="142 - MERMELADA","DERIVADOS",B56="131 - GALLETAS AVENA","DERIVADOS",B56="160 - SOUVENIR","OTROS",B56="148 - CARAMELOS","DERIVADOS",B56="143 - CHOCOFFES","DERIVADOS",B56="162 - CONVENIOS Y DSC POS ","OTROS"),"OTROS")</f>
        <v>CAPSULAS</v>
      </c>
      <c r="L56" s="27">
        <f t="shared" si="2"/>
        <v>2329840</v>
      </c>
      <c r="M56" s="27">
        <f t="shared" si="3"/>
        <v>2329840</v>
      </c>
    </row>
    <row r="57" spans="1:13" ht="16.5" hidden="1" outlineLevel="1">
      <c r="A57" s="38"/>
      <c r="B57" s="39" t="s">
        <v>27</v>
      </c>
      <c r="C57" s="36">
        <v>559325</v>
      </c>
      <c r="D57" s="36">
        <v>0</v>
      </c>
      <c r="E57" s="48" t="s">
        <v>94</v>
      </c>
      <c r="F57" s="48">
        <v>1035181.45</v>
      </c>
      <c r="G57" s="49">
        <f t="shared" si="5"/>
        <v>0.54031590307187216</v>
      </c>
      <c r="H57" s="23">
        <f t="shared" si="13"/>
        <v>0</v>
      </c>
      <c r="I57" s="24">
        <f t="shared" si="13"/>
        <v>0</v>
      </c>
      <c r="J57" s="32" t="str" cm="1">
        <f t="array" ref="J57">IFERROR(_xlfn.IFS(B57="044 - BLEND TRADICION","BLEND",B57="113 - CAFÉ GOURMET","GOURMET",B57="114 - CAFÉ CONSUMO","CONSUMO",B57="112 - CAFÉ ORGANICO","GOURMET",B57="172 - CAFÉ COSECHA","ESPECIALES",B57="176 - CAFE DESCAFEINADO","GOURMET",B57="147 - CAPSULAS","CAPSULAS",B57="130 - GALLETAS CAFECITAS","DERIVADOS",B57="140 - MERENGUES","DERIVADOS",B57="100 - CAFÉ ESPECIAL","ESPECIALES",B57="141 - AREQUIPE","DERIVADOS",B57="142 - MERMELADA","DERIVADOS",B57="131 - GALLETAS AVENA","DERIVADOS",B57="160 - SOUVENIR","OTROS",B57="148 - CARAMELOS","DERIVADOS",B57="143 - CHOCOFFES","DERIVADOS",B57="162 - CONVENIOS Y DSC POS ","OTROS"),"OTROS")</f>
        <v>DERIVADOS</v>
      </c>
      <c r="L57" s="27" t="e">
        <f t="shared" si="2"/>
        <v>#VALUE!</v>
      </c>
      <c r="M57" s="27" t="e">
        <f t="shared" si="3"/>
        <v>#VALUE!</v>
      </c>
    </row>
    <row r="58" spans="1:13" ht="16.5" hidden="1" outlineLevel="1">
      <c r="A58" s="38"/>
      <c r="B58" s="39" t="s">
        <v>28</v>
      </c>
      <c r="C58" s="36">
        <v>0</v>
      </c>
      <c r="D58" s="36">
        <v>0</v>
      </c>
      <c r="E58" s="48"/>
      <c r="F58" s="48">
        <v>11765277.34</v>
      </c>
      <c r="G58" s="49">
        <f t="shared" si="5"/>
        <v>0</v>
      </c>
      <c r="H58" s="23">
        <f t="shared" si="13"/>
        <v>0</v>
      </c>
      <c r="I58" s="24">
        <f t="shared" si="13"/>
        <v>0</v>
      </c>
      <c r="J58" s="32" t="str" cm="1">
        <f t="array" ref="J58">IFERROR(_xlfn.IFS(B58="044 - BLEND TRADICION","BLEND",B58="113 - CAFÉ GOURMET","GOURMET",B58="114 - CAFÉ CONSUMO","CONSUMO",B58="112 - CAFÉ ORGANICO","GOURMET",B58="172 - CAFÉ COSECHA","ESPECIALES",B58="176 - CAFE DESCAFEINADO","GOURMET",B58="147 - CAPSULAS","CAPSULAS",B58="130 - GALLETAS CAFECITAS","DERIVADOS",B58="140 - MERENGUES","DERIVADOS",B58="100 - CAFÉ ESPECIAL","ESPECIALES",B58="141 - AREQUIPE","DERIVADOS",B58="142 - MERMELADA","DERIVADOS",B58="131 - GALLETAS AVENA","DERIVADOS",B58="160 - SOUVENIR","OTROS",B58="148 - CARAMELOS","DERIVADOS",B58="143 - CHOCOFFES","DERIVADOS",B58="162 - CONVENIOS Y DSC POS ","OTROS"),"OTROS")</f>
        <v>OTROS</v>
      </c>
      <c r="L58" s="27">
        <f t="shared" si="2"/>
        <v>0</v>
      </c>
      <c r="M58" s="27">
        <f t="shared" si="3"/>
        <v>0</v>
      </c>
    </row>
    <row r="59" spans="1:13" ht="16.5" hidden="1" outlineLevel="1">
      <c r="A59" s="38"/>
      <c r="B59" s="39" t="s">
        <v>39</v>
      </c>
      <c r="C59" s="36">
        <v>60390</v>
      </c>
      <c r="D59" s="36">
        <v>0</v>
      </c>
      <c r="E59" s="48"/>
      <c r="F59" s="48">
        <v>0</v>
      </c>
      <c r="G59" s="49" t="str">
        <f t="shared" si="5"/>
        <v>-</v>
      </c>
      <c r="H59" s="23">
        <f t="shared" si="13"/>
        <v>0</v>
      </c>
      <c r="I59" s="24">
        <f t="shared" si="13"/>
        <v>0</v>
      </c>
      <c r="J59" s="32" t="str" cm="1">
        <f t="array" ref="J59">IFERROR(_xlfn.IFS(B59="044 - BLEND TRADICION","BLEND",B59="113 - CAFÉ GOURMET","GOURMET",B59="114 - CAFÉ CONSUMO","CONSUMO",B59="112 - CAFÉ ORGANICO","GOURMET",B59="172 - CAFÉ COSECHA","ESPECIALES",B59="176 - CAFE DESCAFEINADO","GOURMET",B59="147 - CAPSULAS","CAPSULAS",B59="130 - GALLETAS CAFECITAS","DERIVADOS",B59="140 - MERENGUES","DERIVADOS",B59="100 - CAFÉ ESPECIAL","ESPECIALES",B59="141 - AREQUIPE","DERIVADOS",B59="142 - MERMELADA","DERIVADOS",B59="131 - GALLETAS AVENA","DERIVADOS",B59="160 - SOUVENIR","OTROS",B59="148 - CARAMELOS","DERIVADOS",B59="143 - CHOCOFFES","DERIVADOS",B59="162 - CONVENIOS Y DSC POS ","OTROS"),"OTROS")</f>
        <v>OTROS</v>
      </c>
      <c r="L59" s="27">
        <f t="shared" si="2"/>
        <v>60390</v>
      </c>
      <c r="M59" s="27">
        <f t="shared" si="3"/>
        <v>60390</v>
      </c>
    </row>
    <row r="60" spans="1:13" ht="16.5" hidden="1" outlineLevel="1">
      <c r="A60" s="38"/>
      <c r="B60" s="39" t="s">
        <v>29</v>
      </c>
      <c r="C60" s="36">
        <v>646680</v>
      </c>
      <c r="D60" s="36">
        <v>0</v>
      </c>
      <c r="E60" s="48"/>
      <c r="F60" s="48">
        <v>4920564.09</v>
      </c>
      <c r="G60" s="49">
        <f t="shared" si="5"/>
        <v>0.13142395631310638</v>
      </c>
      <c r="H60" s="23">
        <f t="shared" si="13"/>
        <v>0</v>
      </c>
      <c r="I60" s="24">
        <f t="shared" si="13"/>
        <v>0</v>
      </c>
      <c r="J60" s="32" t="str" cm="1">
        <f t="array" ref="J60">IFERROR(_xlfn.IFS(B60="044 - BLEND TRADICION","BLEND",B60="113 - CAFÉ GOURMET","GOURMET",B60="114 - CAFÉ CONSUMO","CONSUMO",B60="112 - CAFÉ ORGANICO","GOURMET",B60="172 - CAFÉ COSECHA","ESPECIALES",B60="176 - CAFE DESCAFEINADO","GOURMET",B60="147 - CAPSULAS","CAPSULAS",B60="130 - GALLETAS CAFECITAS","DERIVADOS",B60="140 - MERENGUES","DERIVADOS",B60="100 - CAFÉ ESPECIAL","ESPECIALES",B60="141 - AREQUIPE","DERIVADOS",B60="142 - MERMELADA","DERIVADOS",B60="131 - GALLETAS AVENA","DERIVADOS",B60="160 - SOUVENIR","OTROS",B60="148 - CARAMELOS","DERIVADOS",B60="143 - CHOCOFFES","DERIVADOS",B60="162 - CONVENIOS Y DSC POS ","OTROS"),"OTROS")</f>
        <v>ESPECIALES</v>
      </c>
      <c r="L60" s="27">
        <f t="shared" si="2"/>
        <v>646680</v>
      </c>
      <c r="M60" s="27">
        <f t="shared" si="3"/>
        <v>646680</v>
      </c>
    </row>
    <row r="61" spans="1:13" ht="16.5" hidden="1" outlineLevel="1">
      <c r="A61" s="19" t="s">
        <v>40</v>
      </c>
      <c r="B61" s="56" t="s">
        <v>32</v>
      </c>
      <c r="C61" s="54">
        <f>SUM(C43:C60)</f>
        <v>25989516</v>
      </c>
      <c r="D61" s="54">
        <f>SUM(D43:D60)</f>
        <v>-82846</v>
      </c>
      <c r="E61" s="54">
        <f>SUM(E43:E60)</f>
        <v>0</v>
      </c>
      <c r="F61" s="54">
        <f>SUM(F43:F60)</f>
        <v>118279646.59000002</v>
      </c>
      <c r="G61" s="55">
        <f t="shared" si="5"/>
        <v>0.2197294018817037</v>
      </c>
      <c r="H61" s="23">
        <f t="shared" si="13"/>
        <v>-3.1775410298460877E-3</v>
      </c>
      <c r="I61" s="24">
        <f t="shared" si="13"/>
        <v>0</v>
      </c>
      <c r="J61" s="32" t="str" cm="1">
        <f t="array" ref="J61">IFERROR(_xlfn.IFS(B61="044 - BLEND TRADICION","BLEND",B61="113 - CAFÉ GOURMET","GOURMET",B61="114 - CAFÉ CONSUMO","CONSUMO",B61="112 - CAFÉ ORGANICO","GOURMET",B61="172 - CAFÉ COSECHA","ESPECIALES",B61="176 - CAFE DESCAFEINADO","GOURMET",B61="147 - CAPSULAS","CAPSULAS",B61="130 - GALLETAS CAFECITAS","DERIVADOS",B61="140 - MERENGUES","DERIVADOS",B61="100 - CAFÉ ESPECIAL","ESPECIALES",B61="141 - AREQUIPE","DERIVADOS",B61="142 - MERMELADA","DERIVADOS",B61="131 - GALLETAS AVENA","DERIVADOS",B61="160 - SOUVENIR","OTROS",B61="148 - CARAMELOS","DERIVADOS",B61="143 - CHOCOFFES","DERIVADOS",B61="162 - CONVENIOS Y DSC POS ","OTROS"),"OTROS")</f>
        <v>OTROS</v>
      </c>
      <c r="L61" s="27">
        <f t="shared" si="2"/>
        <v>26072362</v>
      </c>
      <c r="M61" s="27">
        <f t="shared" si="3"/>
        <v>26072362</v>
      </c>
    </row>
    <row r="62" spans="1:13" ht="16.5" collapsed="1">
      <c r="A62" s="28" t="s">
        <v>41</v>
      </c>
      <c r="B62" s="29" t="s">
        <v>17</v>
      </c>
      <c r="C62" s="30">
        <f>+C82+C96+C110+C65</f>
        <v>178105405</v>
      </c>
      <c r="D62" s="30">
        <f>+D82+D96+D110+D65</f>
        <v>-3450123</v>
      </c>
      <c r="E62" s="30">
        <f>+E82+E96+E110+E65</f>
        <v>-2347272</v>
      </c>
      <c r="F62" s="30">
        <f>+F82+F96+F110+F65</f>
        <v>488313278.77999997</v>
      </c>
      <c r="G62" s="31">
        <f t="shared" si="5"/>
        <v>0.36473594460707248</v>
      </c>
      <c r="H62" s="23">
        <f t="shared" si="13"/>
        <v>-1.8760578958014779E-2</v>
      </c>
      <c r="I62" s="24">
        <f t="shared" si="13"/>
        <v>-1.2763655583275513E-2</v>
      </c>
      <c r="J62" s="32" t="str" cm="1">
        <f t="array" ref="J62">IFERROR(_xlfn.IFS(B62="044 - BLEND TRADICION","BLEND",B62="113 - CAFÉ GOURMET","GOURMET",B62="114 - CAFÉ CONSUMO","CONSUMO",B62="112 - CAFÉ ORGANICO","GOURMET",B62="172 - CAFÉ COSECHA","ESPECIALES",B62="176 - CAFE DESCAFEINADO","GOURMET",B62="147 - CAPSULAS","CAPSULAS",B62="130 - GALLETAS CAFECITAS","DERIVADOS",B62="140 - MERENGUES","DERIVADOS",B62="100 - CAFÉ ESPECIAL","ESPECIALES",B62="141 - AREQUIPE","DERIVADOS",B62="142 - MERMELADA","DERIVADOS",B62="131 - GALLETAS AVENA","DERIVADOS",B62="160 - SOUVENIR","OTROS",B62="148 - CARAMELOS","DERIVADOS",B62="143 - CHOCOFFES","DERIVADOS",B62="162 - CONVENIOS Y DSC POS ","OTROS"),"OTROS")</f>
        <v>OTROS</v>
      </c>
      <c r="L62" s="27">
        <f t="shared" si="2"/>
        <v>183902800</v>
      </c>
      <c r="M62" s="27">
        <f t="shared" si="3"/>
        <v>183902800</v>
      </c>
    </row>
    <row r="63" spans="1:13" ht="16.5" hidden="1" outlineLevel="1">
      <c r="A63" s="38"/>
      <c r="B63" s="39" t="s">
        <v>42</v>
      </c>
      <c r="C63" s="36">
        <v>0</v>
      </c>
      <c r="D63" s="36">
        <v>0</v>
      </c>
      <c r="E63" s="48"/>
      <c r="F63" s="48">
        <v>0</v>
      </c>
      <c r="G63" s="49" t="str">
        <f t="shared" si="5"/>
        <v>-</v>
      </c>
      <c r="H63" s="23">
        <f t="shared" si="13"/>
        <v>0</v>
      </c>
      <c r="I63" s="24">
        <f t="shared" si="13"/>
        <v>0</v>
      </c>
      <c r="J63" s="32" t="str" cm="1">
        <f t="array" ref="J63">IFERROR(_xlfn.IFS(B63="044 - BLEND TRADICION","BLEND",B63="113 - CAFÉ GOURMET","GOURMET",B63="114 - CAFÉ CONSUMO","CONSUMO",B63="112 - CAFÉ ORGANICO","GOURMET",B63="172 - CAFÉ COSECHA","ESPECIALES",B63="176 - CAFE DESCAFEINADO","GOURMET",B63="147 - CAPSULAS","CAPSULAS",B63="130 - GALLETAS CAFECITAS","DERIVADOS",B63="140 - MERENGUES","DERIVADOS",B63="100 - CAFÉ ESPECIAL","ESPECIALES",B63="141 - AREQUIPE","DERIVADOS",B63="142 - MERMELADA","DERIVADOS",B63="131 - GALLETAS AVENA","DERIVADOS",B63="160 - SOUVENIR","OTROS",B63="148 - CARAMELOS","DERIVADOS",B63="143 - CHOCOFFES","DERIVADOS",B63="162 - CONVENIOS Y DSC POS ","OTROS"),"OTROS")</f>
        <v>OTROS</v>
      </c>
      <c r="L63" s="27">
        <f t="shared" si="2"/>
        <v>0</v>
      </c>
      <c r="M63" s="27">
        <f t="shared" si="3"/>
        <v>0</v>
      </c>
    </row>
    <row r="64" spans="1:13" ht="16.5" hidden="1" outlineLevel="1">
      <c r="A64" s="38"/>
      <c r="B64" s="39" t="s">
        <v>21</v>
      </c>
      <c r="C64" s="36">
        <v>0</v>
      </c>
      <c r="D64" s="36">
        <v>0</v>
      </c>
      <c r="E64" s="48"/>
      <c r="F64" s="48">
        <v>0</v>
      </c>
      <c r="G64" s="49" t="str">
        <f t="shared" si="5"/>
        <v>-</v>
      </c>
      <c r="H64" s="23">
        <f t="shared" si="13"/>
        <v>0</v>
      </c>
      <c r="I64" s="24">
        <f t="shared" si="13"/>
        <v>0</v>
      </c>
      <c r="J64" s="32" t="str" cm="1">
        <f t="array" ref="J64">IFERROR(_xlfn.IFS(B64="044 - BLEND TRADICION","BLEND",B64="113 - CAFÉ GOURMET","GOURMET",B64="114 - CAFÉ CONSUMO","CONSUMO",B64="112 - CAFÉ ORGANICO","GOURMET",B64="172 - CAFÉ COSECHA","ESPECIALES",B64="176 - CAFE DESCAFEINADO","GOURMET",B64="147 - CAPSULAS","CAPSULAS",B64="130 - GALLETAS CAFECITAS","DERIVADOS",B64="140 - MERENGUES","DERIVADOS",B64="100 - CAFÉ ESPECIAL","ESPECIALES",B64="141 - AREQUIPE","DERIVADOS",B64="142 - MERMELADA","DERIVADOS",B64="131 - GALLETAS AVENA","DERIVADOS",B64="160 - SOUVENIR","OTROS",B64="148 - CARAMELOS","DERIVADOS",B64="143 - CHOCOFFES","DERIVADOS",B64="162 - CONVENIOS Y DSC POS ","OTROS"),"OTROS")</f>
        <v>GOURMET</v>
      </c>
      <c r="L64" s="27">
        <f t="shared" si="2"/>
        <v>0</v>
      </c>
      <c r="M64" s="27">
        <f t="shared" si="3"/>
        <v>0</v>
      </c>
    </row>
    <row r="65" spans="1:13" ht="16.5" hidden="1" outlineLevel="1">
      <c r="A65" s="19" t="s">
        <v>43</v>
      </c>
      <c r="B65" s="56" t="s">
        <v>32</v>
      </c>
      <c r="C65" s="54">
        <f>SUM(C63:C64)</f>
        <v>0</v>
      </c>
      <c r="D65" s="54">
        <f>SUM(D63:D64)</f>
        <v>0</v>
      </c>
      <c r="E65" s="54">
        <f>SUM(E63:E64)</f>
        <v>0</v>
      </c>
      <c r="F65" s="54">
        <f>SUM(F63:F64)</f>
        <v>0</v>
      </c>
      <c r="G65" s="55" t="str">
        <f t="shared" si="5"/>
        <v>-</v>
      </c>
      <c r="H65" s="23">
        <f t="shared" si="13"/>
        <v>0</v>
      </c>
      <c r="I65" s="24">
        <f t="shared" si="13"/>
        <v>0</v>
      </c>
      <c r="J65" s="32" t="str" cm="1">
        <f t="array" ref="J65">IFERROR(_xlfn.IFS(B65="044 - BLEND TRADICION","BLEND",B65="113 - CAFÉ GOURMET","GOURMET",B65="114 - CAFÉ CONSUMO","CONSUMO",B65="112 - CAFÉ ORGANICO","GOURMET",B65="172 - CAFÉ COSECHA","ESPECIALES",B65="176 - CAFE DESCAFEINADO","GOURMET",B65="147 - CAPSULAS","CAPSULAS",B65="130 - GALLETAS CAFECITAS","DERIVADOS",B65="140 - MERENGUES","DERIVADOS",B65="100 - CAFÉ ESPECIAL","ESPECIALES",B65="141 - AREQUIPE","DERIVADOS",B65="142 - MERMELADA","DERIVADOS",B65="131 - GALLETAS AVENA","DERIVADOS",B65="160 - SOUVENIR","OTROS",B65="148 - CARAMELOS","DERIVADOS",B65="143 - CHOCOFFES","DERIVADOS",B65="162 - CONVENIOS Y DSC POS ","OTROS"),"OTROS")</f>
        <v>OTROS</v>
      </c>
      <c r="L65" s="27">
        <f t="shared" si="2"/>
        <v>0</v>
      </c>
      <c r="M65" s="27">
        <f t="shared" si="3"/>
        <v>0</v>
      </c>
    </row>
    <row r="66" spans="1:13" ht="16.5" hidden="1" outlineLevel="1">
      <c r="A66" s="33"/>
      <c r="B66" s="39" t="s">
        <v>34</v>
      </c>
      <c r="C66" s="36">
        <v>0</v>
      </c>
      <c r="D66" s="36">
        <v>0</v>
      </c>
      <c r="E66" s="48">
        <v>0</v>
      </c>
      <c r="F66" s="48">
        <v>142340.04</v>
      </c>
      <c r="G66" s="49">
        <f t="shared" si="5"/>
        <v>0</v>
      </c>
      <c r="H66" s="23">
        <f t="shared" si="13"/>
        <v>0</v>
      </c>
      <c r="I66" s="24">
        <f t="shared" si="13"/>
        <v>0</v>
      </c>
      <c r="J66" s="32" t="str" cm="1">
        <f t="array" ref="J66">IFERROR(_xlfn.IFS(B66="044 - BLEND TRADICION","BLEND",B66="113 - CAFÉ GOURMET","GOURMET",B66="114 - CAFÉ CONSUMO","CONSUMO",B66="112 - CAFÉ ORGANICO","GOURMET",B66="172 - CAFÉ COSECHA","ESPECIALES",B66="176 - CAFE DESCAFEINADO","GOURMET",B66="147 - CAPSULAS","CAPSULAS",B66="130 - GALLETAS CAFECITAS","DERIVADOS",B66="140 - MERENGUES","DERIVADOS",B66="100 - CAFÉ ESPECIAL","ESPECIALES",B66="141 - AREQUIPE","DERIVADOS",B66="142 - MERMELADA","DERIVADOS",B66="131 - GALLETAS AVENA","DERIVADOS",B66="160 - SOUVENIR","OTROS",B66="148 - CARAMELOS","DERIVADOS",B66="143 - CHOCOFFES","DERIVADOS",B66="162 - CONVENIOS Y DSC POS ","OTROS"),"OTROS")</f>
        <v>OTROS</v>
      </c>
      <c r="L66" s="27">
        <f t="shared" si="2"/>
        <v>0</v>
      </c>
      <c r="M66" s="27">
        <f t="shared" si="3"/>
        <v>0</v>
      </c>
    </row>
    <row r="67" spans="1:13" ht="16.5" hidden="1" outlineLevel="1">
      <c r="A67" s="38"/>
      <c r="B67" s="39" t="s">
        <v>18</v>
      </c>
      <c r="C67" s="36">
        <v>326000</v>
      </c>
      <c r="D67" s="36">
        <v>0</v>
      </c>
      <c r="E67" s="48">
        <v>0</v>
      </c>
      <c r="F67" s="48">
        <v>1206734.55</v>
      </c>
      <c r="G67" s="49">
        <f t="shared" si="5"/>
        <v>0.27015054802234673</v>
      </c>
      <c r="H67" s="23">
        <f t="shared" si="13"/>
        <v>0</v>
      </c>
      <c r="I67" s="24">
        <f t="shared" si="13"/>
        <v>0</v>
      </c>
      <c r="J67" s="32" t="str" cm="1">
        <f t="array" ref="J67">IFERROR(_xlfn.IFS(B67="044 - BLEND TRADICION","BLEND",B67="113 - CAFÉ GOURMET","GOURMET",B67="114 - CAFÉ CONSUMO","CONSUMO",B67="112 - CAFÉ ORGANICO","GOURMET",B67="172 - CAFÉ COSECHA","ESPECIALES",B67="176 - CAFE DESCAFEINADO","GOURMET",B67="147 - CAPSULAS","CAPSULAS",B67="130 - GALLETAS CAFECITAS","DERIVADOS",B67="140 - MERENGUES","DERIVADOS",B67="100 - CAFÉ ESPECIAL","ESPECIALES",B67="141 - AREQUIPE","DERIVADOS",B67="142 - MERMELADA","DERIVADOS",B67="131 - GALLETAS AVENA","DERIVADOS",B67="160 - SOUVENIR","OTROS",B67="148 - CARAMELOS","DERIVADOS",B67="143 - CHOCOFFES","DERIVADOS",B67="162 - CONVENIOS Y DSC POS ","OTROS"),"OTROS")</f>
        <v>BLEND</v>
      </c>
      <c r="L67" s="27">
        <f t="shared" si="2"/>
        <v>326000</v>
      </c>
      <c r="M67" s="27">
        <f t="shared" si="3"/>
        <v>326000</v>
      </c>
    </row>
    <row r="68" spans="1:13" ht="16.5" hidden="1" outlineLevel="1">
      <c r="A68" s="38"/>
      <c r="B68" s="39" t="s">
        <v>19</v>
      </c>
      <c r="C68" s="36">
        <v>1573490</v>
      </c>
      <c r="D68" s="36">
        <v>0</v>
      </c>
      <c r="E68" s="48">
        <v>0</v>
      </c>
      <c r="F68" s="48">
        <v>3072107.02</v>
      </c>
      <c r="G68" s="49">
        <f t="shared" si="5"/>
        <v>0.51218593289761105</v>
      </c>
      <c r="H68" s="23">
        <f t="shared" si="13"/>
        <v>0</v>
      </c>
      <c r="I68" s="24">
        <f t="shared" si="13"/>
        <v>0</v>
      </c>
      <c r="J68" s="32" t="str" cm="1">
        <f t="array" ref="J68">IFERROR(_xlfn.IFS(B68="044 - BLEND TRADICION","BLEND",B68="113 - CAFÉ GOURMET","GOURMET",B68="114 - CAFÉ CONSUMO","CONSUMO",B68="112 - CAFÉ ORGANICO","GOURMET",B68="172 - CAFÉ COSECHA","ESPECIALES",B68="176 - CAFE DESCAFEINADO","GOURMET",B68="147 - CAPSULAS","CAPSULAS",B68="130 - GALLETAS CAFECITAS","DERIVADOS",B68="140 - MERENGUES","DERIVADOS",B68="100 - CAFÉ ESPECIAL","ESPECIALES",B68="141 - AREQUIPE","DERIVADOS",B68="142 - MERMELADA","DERIVADOS",B68="131 - GALLETAS AVENA","DERIVADOS",B68="160 - SOUVENIR","OTROS",B68="148 - CARAMELOS","DERIVADOS",B68="143 - CHOCOFFES","DERIVADOS",B68="162 - CONVENIOS Y DSC POS ","OTROS"),"OTROS")</f>
        <v>ESPECIALES</v>
      </c>
      <c r="L68" s="27">
        <f t="shared" si="2"/>
        <v>1573490</v>
      </c>
      <c r="M68" s="27">
        <f t="shared" si="3"/>
        <v>1573490</v>
      </c>
    </row>
    <row r="69" spans="1:13" ht="16.5" hidden="1" outlineLevel="1">
      <c r="A69" s="38"/>
      <c r="B69" s="39" t="s">
        <v>20</v>
      </c>
      <c r="C69" s="36">
        <v>34230</v>
      </c>
      <c r="D69" s="36">
        <v>0</v>
      </c>
      <c r="E69" s="48"/>
      <c r="F69" s="48">
        <v>457781.38</v>
      </c>
      <c r="G69" s="49">
        <f t="shared" si="5"/>
        <v>7.4773683455626794E-2</v>
      </c>
      <c r="H69" s="23">
        <f t="shared" si="13"/>
        <v>0</v>
      </c>
      <c r="I69" s="24">
        <f t="shared" si="13"/>
        <v>0</v>
      </c>
      <c r="J69" s="32" t="str" cm="1">
        <f t="array" ref="J69">IFERROR(_xlfn.IFS(B69="044 - BLEND TRADICION","BLEND",B69="113 - CAFÉ GOURMET","GOURMET",B69="114 - CAFÉ CONSUMO","CONSUMO",B69="112 - CAFÉ ORGANICO","GOURMET",B69="172 - CAFÉ COSECHA","ESPECIALES",B69="176 - CAFE DESCAFEINADO","GOURMET",B69="147 - CAPSULAS","CAPSULAS",B69="130 - GALLETAS CAFECITAS","DERIVADOS",B69="140 - MERENGUES","DERIVADOS",B69="100 - CAFÉ ESPECIAL","ESPECIALES",B69="141 - AREQUIPE","DERIVADOS",B69="142 - MERMELADA","DERIVADOS",B69="131 - GALLETAS AVENA","DERIVADOS",B69="160 - SOUVENIR","OTROS",B69="148 - CARAMELOS","DERIVADOS",B69="143 - CHOCOFFES","DERIVADOS",B69="162 - CONVENIOS Y DSC POS ","OTROS"),"OTROS")</f>
        <v>GOURMET</v>
      </c>
      <c r="L69" s="27">
        <f t="shared" si="2"/>
        <v>34230</v>
      </c>
      <c r="M69" s="27">
        <f t="shared" si="3"/>
        <v>34230</v>
      </c>
    </row>
    <row r="70" spans="1:13" ht="16.5" hidden="1" outlineLevel="1">
      <c r="A70" s="38"/>
      <c r="B70" s="39" t="s">
        <v>21</v>
      </c>
      <c r="C70" s="36">
        <v>50482883</v>
      </c>
      <c r="D70" s="36">
        <v>0</v>
      </c>
      <c r="E70" s="48"/>
      <c r="F70" s="48">
        <v>106018093.81999999</v>
      </c>
      <c r="G70" s="49">
        <f t="shared" si="5"/>
        <v>0.47617233229745692</v>
      </c>
      <c r="H70" s="23">
        <f t="shared" si="13"/>
        <v>0</v>
      </c>
      <c r="I70" s="24">
        <f t="shared" si="13"/>
        <v>0</v>
      </c>
      <c r="J70" s="32" t="str" cm="1">
        <f t="array" ref="J70">IFERROR(_xlfn.IFS(B70="044 - BLEND TRADICION","BLEND",B70="113 - CAFÉ GOURMET","GOURMET",B70="114 - CAFÉ CONSUMO","CONSUMO",B70="112 - CAFÉ ORGANICO","GOURMET",B70="172 - CAFÉ COSECHA","ESPECIALES",B70="176 - CAFE DESCAFEINADO","GOURMET",B70="147 - CAPSULAS","CAPSULAS",B70="130 - GALLETAS CAFECITAS","DERIVADOS",B70="140 - MERENGUES","DERIVADOS",B70="100 - CAFÉ ESPECIAL","ESPECIALES",B70="141 - AREQUIPE","DERIVADOS",B70="142 - MERMELADA","DERIVADOS",B70="131 - GALLETAS AVENA","DERIVADOS",B70="160 - SOUVENIR","OTROS",B70="148 - CARAMELOS","DERIVADOS",B70="143 - CHOCOFFES","DERIVADOS",B70="162 - CONVENIOS Y DSC POS ","OTROS"),"OTROS")</f>
        <v>GOURMET</v>
      </c>
      <c r="L70" s="27">
        <f t="shared" si="2"/>
        <v>50482883</v>
      </c>
      <c r="M70" s="27">
        <f t="shared" si="3"/>
        <v>50482883</v>
      </c>
    </row>
    <row r="71" spans="1:13" ht="16.5" hidden="1" outlineLevel="1">
      <c r="A71" s="38"/>
      <c r="B71" s="39" t="s">
        <v>22</v>
      </c>
      <c r="C71" s="36">
        <v>3059477</v>
      </c>
      <c r="D71" s="36">
        <v>0</v>
      </c>
      <c r="E71" s="48"/>
      <c r="F71" s="48">
        <v>5082259.87</v>
      </c>
      <c r="G71" s="49">
        <f t="shared" si="5"/>
        <v>0.60199145227888551</v>
      </c>
      <c r="H71" s="23">
        <f t="shared" si="13"/>
        <v>0</v>
      </c>
      <c r="I71" s="24">
        <f t="shared" si="13"/>
        <v>0</v>
      </c>
      <c r="J71" s="32" t="str" cm="1">
        <f t="array" ref="J71">IFERROR(_xlfn.IFS(B71="044 - BLEND TRADICION","BLEND",B71="113 - CAFÉ GOURMET","GOURMET",B71="114 - CAFÉ CONSUMO","CONSUMO",B71="112 - CAFÉ ORGANICO","GOURMET",B71="172 - CAFÉ COSECHA","ESPECIALES",B71="176 - CAFE DESCAFEINADO","GOURMET",B71="147 - CAPSULAS","CAPSULAS",B71="130 - GALLETAS CAFECITAS","DERIVADOS",B71="140 - MERENGUES","DERIVADOS",B71="100 - CAFÉ ESPECIAL","ESPECIALES",B71="141 - AREQUIPE","DERIVADOS",B71="142 - MERMELADA","DERIVADOS",B71="131 - GALLETAS AVENA","DERIVADOS",B71="160 - SOUVENIR","OTROS",B71="148 - CARAMELOS","DERIVADOS",B71="143 - CHOCOFFES","DERIVADOS",B71="162 - CONVENIOS Y DSC POS ","OTROS"),"OTROS")</f>
        <v>DERIVADOS</v>
      </c>
      <c r="L71" s="27">
        <f t="shared" si="2"/>
        <v>3059477</v>
      </c>
      <c r="M71" s="27">
        <f t="shared" si="3"/>
        <v>3059477</v>
      </c>
    </row>
    <row r="72" spans="1:13" ht="16.5" hidden="1" outlineLevel="1">
      <c r="A72" s="38"/>
      <c r="B72" s="39" t="s">
        <v>23</v>
      </c>
      <c r="C72" s="36">
        <v>0</v>
      </c>
      <c r="D72" s="36">
        <v>0</v>
      </c>
      <c r="E72" s="48"/>
      <c r="F72" s="48">
        <v>42776.35</v>
      </c>
      <c r="G72" s="49">
        <f t="shared" si="5"/>
        <v>0</v>
      </c>
      <c r="H72" s="23">
        <f t="shared" si="13"/>
        <v>0</v>
      </c>
      <c r="I72" s="24">
        <f t="shared" si="13"/>
        <v>0</v>
      </c>
      <c r="J72" s="32" t="str" cm="1">
        <f t="array" ref="J72">IFERROR(_xlfn.IFS(B72="044 - BLEND TRADICION","BLEND",B72="113 - CAFÉ GOURMET","GOURMET",B72="114 - CAFÉ CONSUMO","CONSUMO",B72="112 - CAFÉ ORGANICO","GOURMET",B72="172 - CAFÉ COSECHA","ESPECIALES",B72="176 - CAFE DESCAFEINADO","GOURMET",B72="147 - CAPSULAS","CAPSULAS",B72="130 - GALLETAS CAFECITAS","DERIVADOS",B72="140 - MERENGUES","DERIVADOS",B72="100 - CAFÉ ESPECIAL","ESPECIALES",B72="141 - AREQUIPE","DERIVADOS",B72="142 - MERMELADA","DERIVADOS",B72="131 - GALLETAS AVENA","DERIVADOS",B72="160 - SOUVENIR","OTROS",B72="148 - CARAMELOS","DERIVADOS",B72="143 - CHOCOFFES","DERIVADOS",B72="162 - CONVENIOS Y DSC POS ","OTROS"),"OTROS")</f>
        <v>DERIVADOS</v>
      </c>
      <c r="L72" s="27">
        <f t="shared" ref="L72:L135" si="14">C72-(D72+E72)</f>
        <v>0</v>
      </c>
      <c r="M72" s="27">
        <f t="shared" ref="M72:M135" si="15">L72</f>
        <v>0</v>
      </c>
    </row>
    <row r="73" spans="1:13" ht="16.5" hidden="1" outlineLevel="1">
      <c r="A73" s="38"/>
      <c r="B73" s="39" t="s">
        <v>24</v>
      </c>
      <c r="C73" s="36">
        <v>169530</v>
      </c>
      <c r="D73" s="36">
        <v>0</v>
      </c>
      <c r="E73" s="48"/>
      <c r="F73" s="48">
        <v>253296.1</v>
      </c>
      <c r="G73" s="49">
        <f t="shared" si="5"/>
        <v>0.66929573728138725</v>
      </c>
      <c r="H73" s="23">
        <f t="shared" si="13"/>
        <v>0</v>
      </c>
      <c r="I73" s="24">
        <f t="shared" si="13"/>
        <v>0</v>
      </c>
      <c r="J73" s="32" t="str" cm="1">
        <f t="array" ref="J73">IFERROR(_xlfn.IFS(B73="044 - BLEND TRADICION","BLEND",B73="113 - CAFÉ GOURMET","GOURMET",B73="114 - CAFÉ CONSUMO","CONSUMO",B73="112 - CAFÉ ORGANICO","GOURMET",B73="172 - CAFÉ COSECHA","ESPECIALES",B73="176 - CAFE DESCAFEINADO","GOURMET",B73="147 - CAPSULAS","CAPSULAS",B73="130 - GALLETAS CAFECITAS","DERIVADOS",B73="140 - MERENGUES","DERIVADOS",B73="100 - CAFÉ ESPECIAL","ESPECIALES",B73="141 - AREQUIPE","DERIVADOS",B73="142 - MERMELADA","DERIVADOS",B73="131 - GALLETAS AVENA","DERIVADOS",B73="160 - SOUVENIR","OTROS",B73="148 - CARAMELOS","DERIVADOS",B73="143 - CHOCOFFES","DERIVADOS",B73="162 - CONVENIOS Y DSC POS ","OTROS"),"OTROS")</f>
        <v>DERIVADOS</v>
      </c>
      <c r="L73" s="27">
        <f t="shared" si="14"/>
        <v>169530</v>
      </c>
      <c r="M73" s="27">
        <f t="shared" si="15"/>
        <v>169530</v>
      </c>
    </row>
    <row r="74" spans="1:13" ht="16.5" hidden="1" outlineLevel="1">
      <c r="A74" s="38"/>
      <c r="B74" s="39" t="s">
        <v>25</v>
      </c>
      <c r="C74" s="36">
        <v>6667091</v>
      </c>
      <c r="D74" s="36">
        <v>0</v>
      </c>
      <c r="E74" s="48"/>
      <c r="F74" s="48">
        <v>6237513.8499999996</v>
      </c>
      <c r="G74" s="49">
        <f t="shared" si="5"/>
        <v>1.0688699312467258</v>
      </c>
      <c r="H74" s="23">
        <f t="shared" si="13"/>
        <v>0</v>
      </c>
      <c r="I74" s="24">
        <f t="shared" si="13"/>
        <v>0</v>
      </c>
      <c r="J74" s="32" t="str" cm="1">
        <f t="array" ref="J74">IFERROR(_xlfn.IFS(B74="044 - BLEND TRADICION","BLEND",B74="113 - CAFÉ GOURMET","GOURMET",B74="114 - CAFÉ CONSUMO","CONSUMO",B74="112 - CAFÉ ORGANICO","GOURMET",B74="172 - CAFÉ COSECHA","ESPECIALES",B74="176 - CAFE DESCAFEINADO","GOURMET",B74="147 - CAPSULAS","CAPSULAS",B74="130 - GALLETAS CAFECITAS","DERIVADOS",B74="140 - MERENGUES","DERIVADOS",B74="100 - CAFÉ ESPECIAL","ESPECIALES",B74="141 - AREQUIPE","DERIVADOS",B74="142 - MERMELADA","DERIVADOS",B74="131 - GALLETAS AVENA","DERIVADOS",B74="160 - SOUVENIR","OTROS",B74="148 - CARAMELOS","DERIVADOS",B74="143 - CHOCOFFES","DERIVADOS",B74="162 - CONVENIOS Y DSC POS ","OTROS"),"OTROS")</f>
        <v>DERIVADOS</v>
      </c>
      <c r="L74" s="27">
        <f t="shared" si="14"/>
        <v>6667091</v>
      </c>
      <c r="M74" s="27">
        <f t="shared" si="15"/>
        <v>6667091</v>
      </c>
    </row>
    <row r="75" spans="1:13" ht="16.5" hidden="1" outlineLevel="1">
      <c r="A75" s="38"/>
      <c r="B75" s="39" t="s">
        <v>26</v>
      </c>
      <c r="C75" s="36">
        <v>0</v>
      </c>
      <c r="D75" s="36">
        <v>0</v>
      </c>
      <c r="E75" s="48">
        <v>0</v>
      </c>
      <c r="F75" s="48">
        <v>834555.96</v>
      </c>
      <c r="G75" s="49">
        <f t="shared" si="5"/>
        <v>0</v>
      </c>
      <c r="H75" s="23">
        <f t="shared" si="13"/>
        <v>0</v>
      </c>
      <c r="I75" s="24">
        <f t="shared" si="13"/>
        <v>0</v>
      </c>
      <c r="J75" s="32" t="str" cm="1">
        <f t="array" ref="J75">IFERROR(_xlfn.IFS(B75="044 - BLEND TRADICION","BLEND",B75="113 - CAFÉ GOURMET","GOURMET",B75="114 - CAFÉ CONSUMO","CONSUMO",B75="112 - CAFÉ ORGANICO","GOURMET",B75="172 - CAFÉ COSECHA","ESPECIALES",B75="176 - CAFE DESCAFEINADO","GOURMET",B75="147 - CAPSULAS","CAPSULAS",B75="130 - GALLETAS CAFECITAS","DERIVADOS",B75="140 - MERENGUES","DERIVADOS",B75="100 - CAFÉ ESPECIAL","ESPECIALES",B75="141 - AREQUIPE","DERIVADOS",B75="142 - MERMELADA","DERIVADOS",B75="131 - GALLETAS AVENA","DERIVADOS",B75="160 - SOUVENIR","OTROS",B75="148 - CARAMELOS","DERIVADOS",B75="143 - CHOCOFFES","DERIVADOS",B75="162 - CONVENIOS Y DSC POS ","OTROS"),"OTROS")</f>
        <v>CAPSULAS</v>
      </c>
      <c r="L75" s="27">
        <f t="shared" si="14"/>
        <v>0</v>
      </c>
      <c r="M75" s="27">
        <f t="shared" si="15"/>
        <v>0</v>
      </c>
    </row>
    <row r="76" spans="1:13" ht="16.5" hidden="1" outlineLevel="1">
      <c r="A76" s="38"/>
      <c r="B76" s="39" t="s">
        <v>27</v>
      </c>
      <c r="C76" s="36">
        <v>6866525</v>
      </c>
      <c r="D76" s="36">
        <v>0</v>
      </c>
      <c r="E76" s="48"/>
      <c r="F76" s="48">
        <v>6191934.2800000003</v>
      </c>
      <c r="G76" s="49">
        <f t="shared" si="5"/>
        <v>1.1089466860426691</v>
      </c>
      <c r="H76" s="23">
        <f t="shared" si="13"/>
        <v>0</v>
      </c>
      <c r="I76" s="24">
        <f t="shared" si="13"/>
        <v>0</v>
      </c>
      <c r="J76" s="32" t="str" cm="1">
        <f t="array" ref="J76">IFERROR(_xlfn.IFS(B76="044 - BLEND TRADICION","BLEND",B76="113 - CAFÉ GOURMET","GOURMET",B76="114 - CAFÉ CONSUMO","CONSUMO",B76="112 - CAFÉ ORGANICO","GOURMET",B76="172 - CAFÉ COSECHA","ESPECIALES",B76="176 - CAFE DESCAFEINADO","GOURMET",B76="147 - CAPSULAS","CAPSULAS",B76="130 - GALLETAS CAFECITAS","DERIVADOS",B76="140 - MERENGUES","DERIVADOS",B76="100 - CAFÉ ESPECIAL","ESPECIALES",B76="141 - AREQUIPE","DERIVADOS",B76="142 - MERMELADA","DERIVADOS",B76="131 - GALLETAS AVENA","DERIVADOS",B76="160 - SOUVENIR","OTROS",B76="148 - CARAMELOS","DERIVADOS",B76="143 - CHOCOFFES","DERIVADOS",B76="162 - CONVENIOS Y DSC POS ","OTROS"),"OTROS")</f>
        <v>DERIVADOS</v>
      </c>
      <c r="L76" s="27">
        <f t="shared" si="14"/>
        <v>6866525</v>
      </c>
      <c r="M76" s="27">
        <f t="shared" si="15"/>
        <v>6866525</v>
      </c>
    </row>
    <row r="77" spans="1:13" ht="16.5" hidden="1" outlineLevel="1">
      <c r="A77" s="38"/>
      <c r="B77" s="39" t="s">
        <v>28</v>
      </c>
      <c r="C77" s="36">
        <v>5226600</v>
      </c>
      <c r="D77" s="36">
        <v>0</v>
      </c>
      <c r="E77" s="48">
        <v>0</v>
      </c>
      <c r="F77" s="48">
        <v>6313546.5</v>
      </c>
      <c r="G77" s="49">
        <f t="shared" si="5"/>
        <v>0.82783899667168048</v>
      </c>
      <c r="H77" s="23">
        <f t="shared" si="13"/>
        <v>0</v>
      </c>
      <c r="I77" s="24">
        <f t="shared" si="13"/>
        <v>0</v>
      </c>
      <c r="J77" s="32" t="str" cm="1">
        <f t="array" ref="J77">IFERROR(_xlfn.IFS(B77="044 - BLEND TRADICION","BLEND",B77="113 - CAFÉ GOURMET","GOURMET",B77="114 - CAFÉ CONSUMO","CONSUMO",B77="112 - CAFÉ ORGANICO","GOURMET",B77="172 - CAFÉ COSECHA","ESPECIALES",B77="176 - CAFE DESCAFEINADO","GOURMET",B77="147 - CAPSULAS","CAPSULAS",B77="130 - GALLETAS CAFECITAS","DERIVADOS",B77="140 - MERENGUES","DERIVADOS",B77="100 - CAFÉ ESPECIAL","ESPECIALES",B77="141 - AREQUIPE","DERIVADOS",B77="142 - MERMELADA","DERIVADOS",B77="131 - GALLETAS AVENA","DERIVADOS",B77="160 - SOUVENIR","OTROS",B77="148 - CARAMELOS","DERIVADOS",B77="143 - CHOCOFFES","DERIVADOS",B77="162 - CONVENIOS Y DSC POS ","OTROS"),"OTROS")</f>
        <v>OTROS</v>
      </c>
      <c r="L77" s="27">
        <f t="shared" si="14"/>
        <v>5226600</v>
      </c>
      <c r="M77" s="27">
        <f t="shared" si="15"/>
        <v>5226600</v>
      </c>
    </row>
    <row r="78" spans="1:13" ht="16.5" hidden="1" outlineLevel="1">
      <c r="A78" s="38"/>
      <c r="B78" s="39" t="s">
        <v>50</v>
      </c>
      <c r="C78" s="36">
        <v>-2347272</v>
      </c>
      <c r="D78" s="36">
        <v>0</v>
      </c>
      <c r="E78" s="36">
        <v>-2347272</v>
      </c>
      <c r="F78" s="48">
        <v>0</v>
      </c>
      <c r="G78" s="49" t="str">
        <f t="shared" si="5"/>
        <v>-</v>
      </c>
      <c r="H78" s="23">
        <f t="shared" si="13"/>
        <v>0</v>
      </c>
      <c r="I78" s="24">
        <f t="shared" si="13"/>
        <v>0</v>
      </c>
      <c r="J78" s="32" t="str" cm="1">
        <f t="array" ref="J78">IFERROR(_xlfn.IFS(B78="044 - BLEND TRADICION","BLEND",B78="113 - CAFÉ GOURMET","GOURMET",B78="114 - CAFÉ CONSUMO","CONSUMO",B78="112 - CAFÉ ORGANICO","GOURMET",B78="172 - CAFÉ COSECHA","ESPECIALES",B78="176 - CAFE DESCAFEINADO","GOURMET",B78="147 - CAPSULAS","CAPSULAS",B78="130 - GALLETAS CAFECITAS","DERIVADOS",B78="140 - MERENGUES","DERIVADOS",B78="100 - CAFÉ ESPECIAL","ESPECIALES",B78="141 - AREQUIPE","DERIVADOS",B78="142 - MERMELADA","DERIVADOS",B78="131 - GALLETAS AVENA","DERIVADOS",B78="160 - SOUVENIR","OTROS",B78="148 - CARAMELOS","DERIVADOS",B78="143 - CHOCOFFES","DERIVADOS",B78="162 - CONVENIOS Y DSC POS ","OTROS"),"OTROS")</f>
        <v>OTROS</v>
      </c>
      <c r="L78" s="27">
        <f t="shared" si="14"/>
        <v>0</v>
      </c>
      <c r="M78" s="27">
        <f t="shared" si="15"/>
        <v>0</v>
      </c>
    </row>
    <row r="79" spans="1:13" ht="16.5" hidden="1" outlineLevel="1">
      <c r="A79" s="38"/>
      <c r="B79" s="39" t="s">
        <v>29</v>
      </c>
      <c r="C79" s="36">
        <v>468671</v>
      </c>
      <c r="D79" s="36">
        <v>0</v>
      </c>
      <c r="E79" s="48"/>
      <c r="F79" s="48">
        <v>10016848.720000001</v>
      </c>
      <c r="G79" s="49">
        <f t="shared" si="5"/>
        <v>4.6788267757726501E-2</v>
      </c>
      <c r="H79" s="23">
        <f t="shared" si="13"/>
        <v>0</v>
      </c>
      <c r="I79" s="24">
        <f t="shared" si="13"/>
        <v>0</v>
      </c>
      <c r="J79" s="32" t="str" cm="1">
        <f t="array" ref="J79">IFERROR(_xlfn.IFS(B79="044 - BLEND TRADICION","BLEND",B79="113 - CAFÉ GOURMET","GOURMET",B79="114 - CAFÉ CONSUMO","CONSUMO",B79="112 - CAFÉ ORGANICO","GOURMET",B79="172 - CAFÉ COSECHA","ESPECIALES",B79="176 - CAFE DESCAFEINADO","GOURMET",B79="147 - CAPSULAS","CAPSULAS",B79="130 - GALLETAS CAFECITAS","DERIVADOS",B79="140 - MERENGUES","DERIVADOS",B79="100 - CAFÉ ESPECIAL","ESPECIALES",B79="141 - AREQUIPE","DERIVADOS",B79="142 - MERMELADA","DERIVADOS",B79="131 - GALLETAS AVENA","DERIVADOS",B79="160 - SOUVENIR","OTROS",B79="148 - CARAMELOS","DERIVADOS",B79="143 - CHOCOFFES","DERIVADOS",B79="162 - CONVENIOS Y DSC POS ","OTROS"),"OTROS")</f>
        <v>ESPECIALES</v>
      </c>
      <c r="L79" s="27">
        <f t="shared" si="14"/>
        <v>468671</v>
      </c>
      <c r="M79" s="27">
        <f t="shared" si="15"/>
        <v>468671</v>
      </c>
    </row>
    <row r="80" spans="1:13" ht="16.5" hidden="1" outlineLevel="1">
      <c r="A80" s="38"/>
      <c r="B80" s="39" t="s">
        <v>30</v>
      </c>
      <c r="C80" s="36">
        <v>194214</v>
      </c>
      <c r="D80" s="36">
        <v>0</v>
      </c>
      <c r="E80" s="48">
        <v>0</v>
      </c>
      <c r="F80" s="48">
        <v>1809439.28</v>
      </c>
      <c r="G80" s="49">
        <f t="shared" si="5"/>
        <v>0.1073338034310828</v>
      </c>
      <c r="H80" s="23">
        <f t="shared" si="13"/>
        <v>0</v>
      </c>
      <c r="I80" s="24">
        <f t="shared" si="13"/>
        <v>0</v>
      </c>
      <c r="J80" s="32" t="str" cm="1">
        <f t="array" ref="J80">IFERROR(_xlfn.IFS(B80="044 - BLEND TRADICION","BLEND",B80="113 - CAFÉ GOURMET","GOURMET",B80="114 - CAFÉ CONSUMO","CONSUMO",B80="112 - CAFÉ ORGANICO","GOURMET",B80="172 - CAFÉ COSECHA","ESPECIALES",B80="176 - CAFE DESCAFEINADO","GOURMET",B80="147 - CAPSULAS","CAPSULAS",B80="130 - GALLETAS CAFECITAS","DERIVADOS",B80="140 - MERENGUES","DERIVADOS",B80="100 - CAFÉ ESPECIAL","ESPECIALES",B80="141 - AREQUIPE","DERIVADOS",B80="142 - MERMELADA","DERIVADOS",B80="131 - GALLETAS AVENA","DERIVADOS",B80="160 - SOUVENIR","OTROS",B80="148 - CARAMELOS","DERIVADOS",B80="143 - CHOCOFFES","DERIVADOS",B80="162 - CONVENIOS Y DSC POS ","OTROS"),"OTROS")</f>
        <v>GOURMET</v>
      </c>
      <c r="L80" s="27">
        <f t="shared" si="14"/>
        <v>194214</v>
      </c>
      <c r="M80" s="27">
        <f t="shared" si="15"/>
        <v>194214</v>
      </c>
    </row>
    <row r="81" spans="1:13" ht="16.5" hidden="1" outlineLevel="1">
      <c r="A81" s="38"/>
      <c r="B81" s="39" t="s">
        <v>31</v>
      </c>
      <c r="C81" s="36">
        <v>36000</v>
      </c>
      <c r="D81" s="36">
        <v>0</v>
      </c>
      <c r="E81" s="48">
        <v>0</v>
      </c>
      <c r="F81" s="48">
        <v>0</v>
      </c>
      <c r="G81" s="49" t="str">
        <f t="shared" si="5"/>
        <v>-</v>
      </c>
      <c r="H81" s="23">
        <f t="shared" si="13"/>
        <v>0</v>
      </c>
      <c r="I81" s="24">
        <f t="shared" si="13"/>
        <v>0</v>
      </c>
      <c r="J81" s="32" t="str" cm="1">
        <f t="array" ref="J81">IFERROR(_xlfn.IFS(B81="044 - BLEND TRADICION","BLEND",B81="113 - CAFÉ GOURMET","GOURMET",B81="114 - CAFÉ CONSUMO","CONSUMO",B81="112 - CAFÉ ORGANICO","GOURMET",B81="172 - CAFÉ COSECHA","ESPECIALES",B81="176 - CAFE DESCAFEINADO","GOURMET",B81="147 - CAPSULAS","CAPSULAS",B81="130 - GALLETAS CAFECITAS","DERIVADOS",B81="140 - MERENGUES","DERIVADOS",B81="100 - CAFÉ ESPECIAL","ESPECIALES",B81="141 - AREQUIPE","DERIVADOS",B81="142 - MERMELADA","DERIVADOS",B81="131 - GALLETAS AVENA","DERIVADOS",B81="160 - SOUVENIR","OTROS",B81="148 - CARAMELOS","DERIVADOS",B81="143 - CHOCOFFES","DERIVADOS",B81="162 - CONVENIOS Y DSC POS ","OTROS"),"OTROS")</f>
        <v>OTROS</v>
      </c>
      <c r="L81" s="27">
        <f t="shared" si="14"/>
        <v>36000</v>
      </c>
      <c r="M81" s="27">
        <f t="shared" si="15"/>
        <v>36000</v>
      </c>
    </row>
    <row r="82" spans="1:13" ht="16.5" hidden="1" outlineLevel="1">
      <c r="A82" s="19" t="s">
        <v>44</v>
      </c>
      <c r="B82" s="56" t="s">
        <v>32</v>
      </c>
      <c r="C82" s="54">
        <f>SUM(C66:C81)</f>
        <v>72757439</v>
      </c>
      <c r="D82" s="54">
        <f>SUM(D66:D81)</f>
        <v>0</v>
      </c>
      <c r="E82" s="58">
        <f>SUM(E66:E81)</f>
        <v>-2347272</v>
      </c>
      <c r="F82" s="58">
        <f>SUM(F66:F81)</f>
        <v>147679227.71999997</v>
      </c>
      <c r="G82" s="55">
        <f t="shared" si="5"/>
        <v>0.49267212541189753</v>
      </c>
      <c r="H82" s="23">
        <f t="shared" si="13"/>
        <v>0</v>
      </c>
      <c r="I82" s="24">
        <f t="shared" si="13"/>
        <v>-3.1253325773399218E-2</v>
      </c>
      <c r="J82" s="32" t="str" cm="1">
        <f t="array" ref="J82">IFERROR(_xlfn.IFS(B82="044 - BLEND TRADICION","BLEND",B82="113 - CAFÉ GOURMET","GOURMET",B82="114 - CAFÉ CONSUMO","CONSUMO",B82="112 - CAFÉ ORGANICO","GOURMET",B82="172 - CAFÉ COSECHA","ESPECIALES",B82="176 - CAFE DESCAFEINADO","GOURMET",B82="147 - CAPSULAS","CAPSULAS",B82="130 - GALLETAS CAFECITAS","DERIVADOS",B82="140 - MERENGUES","DERIVADOS",B82="100 - CAFÉ ESPECIAL","ESPECIALES",B82="141 - AREQUIPE","DERIVADOS",B82="142 - MERMELADA","DERIVADOS",B82="131 - GALLETAS AVENA","DERIVADOS",B82="160 - SOUVENIR","OTROS",B82="148 - CARAMELOS","DERIVADOS",B82="143 - CHOCOFFES","DERIVADOS",B82="162 - CONVENIOS Y DSC POS ","OTROS"),"OTROS")</f>
        <v>OTROS</v>
      </c>
      <c r="L82" s="27">
        <f t="shared" si="14"/>
        <v>75104711</v>
      </c>
      <c r="M82" s="27">
        <f t="shared" si="15"/>
        <v>75104711</v>
      </c>
    </row>
    <row r="83" spans="1:13" ht="16.5" hidden="1" outlineLevel="1">
      <c r="A83" s="59"/>
      <c r="B83" s="39" t="s">
        <v>19</v>
      </c>
      <c r="C83" s="36">
        <v>2219467</v>
      </c>
      <c r="D83" s="36">
        <v>0</v>
      </c>
      <c r="E83" s="36">
        <v>0</v>
      </c>
      <c r="F83" s="48">
        <v>2429943.91</v>
      </c>
      <c r="G83" s="49">
        <f t="shared" si="5"/>
        <v>0.91338198831099759</v>
      </c>
      <c r="H83" s="23">
        <f t="shared" si="13"/>
        <v>0</v>
      </c>
      <c r="I83" s="24">
        <f t="shared" si="13"/>
        <v>0</v>
      </c>
      <c r="J83" s="32" t="str" cm="1">
        <f t="array" ref="J83">IFERROR(_xlfn.IFS(B83="044 - BLEND TRADICION","BLEND",B83="113 - CAFÉ GOURMET","GOURMET",B83="114 - CAFÉ CONSUMO","CONSUMO",B83="112 - CAFÉ ORGANICO","GOURMET",B83="172 - CAFÉ COSECHA","ESPECIALES",B83="176 - CAFE DESCAFEINADO","GOURMET",B83="147 - CAPSULAS","CAPSULAS",B83="130 - GALLETAS CAFECITAS","DERIVADOS",B83="140 - MERENGUES","DERIVADOS",B83="100 - CAFÉ ESPECIAL","ESPECIALES",B83="141 - AREQUIPE","DERIVADOS",B83="142 - MERMELADA","DERIVADOS",B83="131 - GALLETAS AVENA","DERIVADOS",B83="160 - SOUVENIR","OTROS",B83="148 - CARAMELOS","DERIVADOS",B83="143 - CHOCOFFES","DERIVADOS",B83="162 - CONVENIOS Y DSC POS ","OTROS"),"OTROS")</f>
        <v>ESPECIALES</v>
      </c>
      <c r="L83" s="27">
        <f t="shared" si="14"/>
        <v>2219467</v>
      </c>
      <c r="M83" s="27">
        <f t="shared" si="15"/>
        <v>2219467</v>
      </c>
    </row>
    <row r="84" spans="1:13" ht="16.5" hidden="1" outlineLevel="1">
      <c r="A84" s="59"/>
      <c r="B84" s="39" t="s">
        <v>20</v>
      </c>
      <c r="C84" s="36">
        <v>308385</v>
      </c>
      <c r="D84" s="36">
        <v>0</v>
      </c>
      <c r="E84" s="36">
        <v>0</v>
      </c>
      <c r="F84" s="48">
        <v>2531872.7599999998</v>
      </c>
      <c r="G84" s="49">
        <f t="shared" si="5"/>
        <v>0.12180114454092868</v>
      </c>
      <c r="H84" s="23">
        <f t="shared" si="13"/>
        <v>0</v>
      </c>
      <c r="I84" s="24">
        <f t="shared" si="13"/>
        <v>0</v>
      </c>
      <c r="J84" s="32" t="str" cm="1">
        <f t="array" ref="J84">IFERROR(_xlfn.IFS(B84="044 - BLEND TRADICION","BLEND",B84="113 - CAFÉ GOURMET","GOURMET",B84="114 - CAFÉ CONSUMO","CONSUMO",B84="112 - CAFÉ ORGANICO","GOURMET",B84="172 - CAFÉ COSECHA","ESPECIALES",B84="176 - CAFE DESCAFEINADO","GOURMET",B84="147 - CAPSULAS","CAPSULAS",B84="130 - GALLETAS CAFECITAS","DERIVADOS",B84="140 - MERENGUES","DERIVADOS",B84="100 - CAFÉ ESPECIAL","ESPECIALES",B84="141 - AREQUIPE","DERIVADOS",B84="142 - MERMELADA","DERIVADOS",B84="131 - GALLETAS AVENA","DERIVADOS",B84="160 - SOUVENIR","OTROS",B84="148 - CARAMELOS","DERIVADOS",B84="143 - CHOCOFFES","DERIVADOS",B84="162 - CONVENIOS Y DSC POS ","OTROS"),"OTROS")</f>
        <v>GOURMET</v>
      </c>
      <c r="L84" s="27">
        <f t="shared" si="14"/>
        <v>308385</v>
      </c>
      <c r="M84" s="27">
        <f t="shared" si="15"/>
        <v>308385</v>
      </c>
    </row>
    <row r="85" spans="1:13" ht="16.5" hidden="1" outlineLevel="1">
      <c r="A85" s="59"/>
      <c r="B85" s="39" t="s">
        <v>21</v>
      </c>
      <c r="C85" s="36">
        <v>34038240</v>
      </c>
      <c r="D85" s="36">
        <v>-3107055</v>
      </c>
      <c r="E85" s="36">
        <v>0</v>
      </c>
      <c r="F85" s="48">
        <v>112116243.56</v>
      </c>
      <c r="G85" s="49">
        <f t="shared" si="5"/>
        <v>0.30359775639275799</v>
      </c>
      <c r="H85" s="23">
        <f t="shared" si="13"/>
        <v>-8.3645990696802924E-2</v>
      </c>
      <c r="I85" s="24">
        <f t="shared" si="13"/>
        <v>0</v>
      </c>
      <c r="J85" s="32" t="str" cm="1">
        <f t="array" ref="J85">IFERROR(_xlfn.IFS(B85="044 - BLEND TRADICION","BLEND",B85="113 - CAFÉ GOURMET","GOURMET",B85="114 - CAFÉ CONSUMO","CONSUMO",B85="112 - CAFÉ ORGANICO","GOURMET",B85="172 - CAFÉ COSECHA","ESPECIALES",B85="176 - CAFE DESCAFEINADO","GOURMET",B85="147 - CAPSULAS","CAPSULAS",B85="130 - GALLETAS CAFECITAS","DERIVADOS",B85="140 - MERENGUES","DERIVADOS",B85="100 - CAFÉ ESPECIAL","ESPECIALES",B85="141 - AREQUIPE","DERIVADOS",B85="142 - MERMELADA","DERIVADOS",B85="131 - GALLETAS AVENA","DERIVADOS",B85="160 - SOUVENIR","OTROS",B85="148 - CARAMELOS","DERIVADOS",B85="143 - CHOCOFFES","DERIVADOS",B85="162 - CONVENIOS Y DSC POS ","OTROS"),"OTROS")</f>
        <v>GOURMET</v>
      </c>
      <c r="L85" s="27">
        <f t="shared" si="14"/>
        <v>37145295</v>
      </c>
      <c r="M85" s="27">
        <f t="shared" si="15"/>
        <v>37145295</v>
      </c>
    </row>
    <row r="86" spans="1:13" ht="16.5" hidden="1" outlineLevel="1">
      <c r="A86" s="59"/>
      <c r="B86" s="39" t="s">
        <v>22</v>
      </c>
      <c r="C86" s="36">
        <v>1214571</v>
      </c>
      <c r="D86" s="36">
        <v>0</v>
      </c>
      <c r="E86" s="36">
        <v>0</v>
      </c>
      <c r="F86" s="48">
        <v>3725758.66</v>
      </c>
      <c r="G86" s="49">
        <f t="shared" si="5"/>
        <v>0.32599293481881081</v>
      </c>
      <c r="H86" s="23">
        <f t="shared" si="13"/>
        <v>0</v>
      </c>
      <c r="I86" s="24">
        <f t="shared" si="13"/>
        <v>0</v>
      </c>
      <c r="J86" s="32" t="str" cm="1">
        <f t="array" ref="J86">IFERROR(_xlfn.IFS(B86="044 - BLEND TRADICION","BLEND",B86="113 - CAFÉ GOURMET","GOURMET",B86="114 - CAFÉ CONSUMO","CONSUMO",B86="112 - CAFÉ ORGANICO","GOURMET",B86="172 - CAFÉ COSECHA","ESPECIALES",B86="176 - CAFE DESCAFEINADO","GOURMET",B86="147 - CAPSULAS","CAPSULAS",B86="130 - GALLETAS CAFECITAS","DERIVADOS",B86="140 - MERENGUES","DERIVADOS",B86="100 - CAFÉ ESPECIAL","ESPECIALES",B86="141 - AREQUIPE","DERIVADOS",B86="142 - MERMELADA","DERIVADOS",B86="131 - GALLETAS AVENA","DERIVADOS",B86="160 - SOUVENIR","OTROS",B86="148 - CARAMELOS","DERIVADOS",B86="143 - CHOCOFFES","DERIVADOS",B86="162 - CONVENIOS Y DSC POS ","OTROS"),"OTROS")</f>
        <v>DERIVADOS</v>
      </c>
      <c r="L86" s="27">
        <f t="shared" si="14"/>
        <v>1214571</v>
      </c>
      <c r="M86" s="27">
        <f t="shared" si="15"/>
        <v>1214571</v>
      </c>
    </row>
    <row r="87" spans="1:13" ht="16.5" hidden="1" outlineLevel="1">
      <c r="A87" s="59"/>
      <c r="B87" s="39" t="s">
        <v>23</v>
      </c>
      <c r="C87" s="36">
        <v>-104428</v>
      </c>
      <c r="D87" s="36">
        <v>-343068</v>
      </c>
      <c r="E87" s="36"/>
      <c r="F87" s="48">
        <v>530387.72</v>
      </c>
      <c r="G87" s="49">
        <f t="shared" si="5"/>
        <v>-0.19688992799456217</v>
      </c>
      <c r="H87" s="23">
        <f t="shared" si="13"/>
        <v>-1.4375963794837412</v>
      </c>
      <c r="I87" s="24">
        <f t="shared" si="13"/>
        <v>0</v>
      </c>
      <c r="J87" s="32" t="str" cm="1">
        <f t="array" ref="J87">IFERROR(_xlfn.IFS(B87="044 - BLEND TRADICION","BLEND",B87="113 - CAFÉ GOURMET","GOURMET",B87="114 - CAFÉ CONSUMO","CONSUMO",B87="112 - CAFÉ ORGANICO","GOURMET",B87="172 - CAFÉ COSECHA","ESPECIALES",B87="176 - CAFE DESCAFEINADO","GOURMET",B87="147 - CAPSULAS","CAPSULAS",B87="130 - GALLETAS CAFECITAS","DERIVADOS",B87="140 - MERENGUES","DERIVADOS",B87="100 - CAFÉ ESPECIAL","ESPECIALES",B87="141 - AREQUIPE","DERIVADOS",B87="142 - MERMELADA","DERIVADOS",B87="131 - GALLETAS AVENA","DERIVADOS",B87="160 - SOUVENIR","OTROS",B87="148 - CARAMELOS","DERIVADOS",B87="143 - CHOCOFFES","DERIVADOS",B87="162 - CONVENIOS Y DSC POS ","OTROS"),"OTROS")</f>
        <v>DERIVADOS</v>
      </c>
      <c r="L87" s="27">
        <f t="shared" si="14"/>
        <v>238640</v>
      </c>
      <c r="M87" s="27">
        <f t="shared" si="15"/>
        <v>238640</v>
      </c>
    </row>
    <row r="88" spans="1:13" ht="16.5" hidden="1" outlineLevel="1">
      <c r="A88" s="59"/>
      <c r="B88" s="39" t="s">
        <v>24</v>
      </c>
      <c r="C88" s="36">
        <v>637730</v>
      </c>
      <c r="D88" s="36">
        <v>0</v>
      </c>
      <c r="E88" s="36"/>
      <c r="F88" s="48">
        <v>1022579.12</v>
      </c>
      <c r="G88" s="49">
        <f t="shared" si="5"/>
        <v>0.62364856423041382</v>
      </c>
      <c r="H88" s="23">
        <f t="shared" si="13"/>
        <v>0</v>
      </c>
      <c r="I88" s="24">
        <f t="shared" si="13"/>
        <v>0</v>
      </c>
      <c r="J88" s="32" t="str" cm="1">
        <f t="array" ref="J88">IFERROR(_xlfn.IFS(B88="044 - BLEND TRADICION","BLEND",B88="113 - CAFÉ GOURMET","GOURMET",B88="114 - CAFÉ CONSUMO","CONSUMO",B88="112 - CAFÉ ORGANICO","GOURMET",B88="172 - CAFÉ COSECHA","ESPECIALES",B88="176 - CAFE DESCAFEINADO","GOURMET",B88="147 - CAPSULAS","CAPSULAS",B88="130 - GALLETAS CAFECITAS","DERIVADOS",B88="140 - MERENGUES","DERIVADOS",B88="100 - CAFÉ ESPECIAL","ESPECIALES",B88="141 - AREQUIPE","DERIVADOS",B88="142 - MERMELADA","DERIVADOS",B88="131 - GALLETAS AVENA","DERIVADOS",B88="160 - SOUVENIR","OTROS",B88="148 - CARAMELOS","DERIVADOS",B88="143 - CHOCOFFES","DERIVADOS",B88="162 - CONVENIOS Y DSC POS ","OTROS"),"OTROS")</f>
        <v>DERIVADOS</v>
      </c>
      <c r="L88" s="27">
        <f t="shared" si="14"/>
        <v>637730</v>
      </c>
      <c r="M88" s="27">
        <f t="shared" si="15"/>
        <v>637730</v>
      </c>
    </row>
    <row r="89" spans="1:13" ht="16.5" hidden="1" outlineLevel="1">
      <c r="A89" s="59"/>
      <c r="B89" s="39" t="s">
        <v>25</v>
      </c>
      <c r="C89" s="36">
        <v>196710</v>
      </c>
      <c r="D89" s="36">
        <v>0</v>
      </c>
      <c r="E89" s="36"/>
      <c r="F89" s="48">
        <v>1766197.25</v>
      </c>
      <c r="G89" s="49">
        <f t="shared" si="5"/>
        <v>0.11137487616402982</v>
      </c>
      <c r="H89" s="23">
        <f t="shared" si="13"/>
        <v>0</v>
      </c>
      <c r="I89" s="24">
        <f t="shared" si="13"/>
        <v>0</v>
      </c>
      <c r="J89" s="32" t="str" cm="1">
        <f t="array" ref="J89">IFERROR(_xlfn.IFS(B89="044 - BLEND TRADICION","BLEND",B89="113 - CAFÉ GOURMET","GOURMET",B89="114 - CAFÉ CONSUMO","CONSUMO",B89="112 - CAFÉ ORGANICO","GOURMET",B89="172 - CAFÉ COSECHA","ESPECIALES",B89="176 - CAFE DESCAFEINADO","GOURMET",B89="147 - CAPSULAS","CAPSULAS",B89="130 - GALLETAS CAFECITAS","DERIVADOS",B89="140 - MERENGUES","DERIVADOS",B89="100 - CAFÉ ESPECIAL","ESPECIALES",B89="141 - AREQUIPE","DERIVADOS",B89="142 - MERMELADA","DERIVADOS",B89="131 - GALLETAS AVENA","DERIVADOS",B89="160 - SOUVENIR","OTROS",B89="148 - CARAMELOS","DERIVADOS",B89="143 - CHOCOFFES","DERIVADOS",B89="162 - CONVENIOS Y DSC POS ","OTROS"),"OTROS")</f>
        <v>DERIVADOS</v>
      </c>
      <c r="L89" s="27">
        <f t="shared" si="14"/>
        <v>196710</v>
      </c>
      <c r="M89" s="27">
        <f t="shared" si="15"/>
        <v>196710</v>
      </c>
    </row>
    <row r="90" spans="1:13" ht="16.5" hidden="1" outlineLevel="1">
      <c r="A90" s="59"/>
      <c r="B90" s="39" t="s">
        <v>26</v>
      </c>
      <c r="C90" s="36">
        <v>1173705</v>
      </c>
      <c r="D90" s="36">
        <v>0</v>
      </c>
      <c r="E90" s="36"/>
      <c r="F90" s="48">
        <v>2921002.36</v>
      </c>
      <c r="G90" s="49">
        <f t="shared" si="5"/>
        <v>0.40181583420562522</v>
      </c>
      <c r="H90" s="23">
        <f t="shared" si="13"/>
        <v>0</v>
      </c>
      <c r="I90" s="24">
        <f t="shared" si="13"/>
        <v>0</v>
      </c>
      <c r="J90" s="32" t="str" cm="1">
        <f t="array" ref="J90">IFERROR(_xlfn.IFS(B90="044 - BLEND TRADICION","BLEND",B90="113 - CAFÉ GOURMET","GOURMET",B90="114 - CAFÉ CONSUMO","CONSUMO",B90="112 - CAFÉ ORGANICO","GOURMET",B90="172 - CAFÉ COSECHA","ESPECIALES",B90="176 - CAFE DESCAFEINADO","GOURMET",B90="147 - CAPSULAS","CAPSULAS",B90="130 - GALLETAS CAFECITAS","DERIVADOS",B90="140 - MERENGUES","DERIVADOS",B90="100 - CAFÉ ESPECIAL","ESPECIALES",B90="141 - AREQUIPE","DERIVADOS",B90="142 - MERMELADA","DERIVADOS",B90="131 - GALLETAS AVENA","DERIVADOS",B90="160 - SOUVENIR","OTROS",B90="148 - CARAMELOS","DERIVADOS",B90="143 - CHOCOFFES","DERIVADOS",B90="162 - CONVENIOS Y DSC POS ","OTROS"),"OTROS")</f>
        <v>CAPSULAS</v>
      </c>
      <c r="L90" s="27">
        <f t="shared" si="14"/>
        <v>1173705</v>
      </c>
      <c r="M90" s="27">
        <f t="shared" si="15"/>
        <v>1173705</v>
      </c>
    </row>
    <row r="91" spans="1:13" ht="16.5" hidden="1" outlineLevel="1">
      <c r="A91" s="59"/>
      <c r="B91" s="39" t="s">
        <v>27</v>
      </c>
      <c r="C91" s="36">
        <v>595312</v>
      </c>
      <c r="D91" s="36">
        <v>0</v>
      </c>
      <c r="E91" s="36"/>
      <c r="F91" s="48">
        <v>1719908.5</v>
      </c>
      <c r="G91" s="49">
        <f t="shared" ref="G91:G134" si="16">IFERROR(C91/F91*100%,"-")</f>
        <v>0.34613004122021607</v>
      </c>
      <c r="H91" s="23">
        <f t="shared" si="13"/>
        <v>0</v>
      </c>
      <c r="I91" s="24">
        <f t="shared" si="13"/>
        <v>0</v>
      </c>
      <c r="J91" s="32" t="str" cm="1">
        <f t="array" ref="J91">IFERROR(_xlfn.IFS(B91="044 - BLEND TRADICION","BLEND",B91="113 - CAFÉ GOURMET","GOURMET",B91="114 - CAFÉ CONSUMO","CONSUMO",B91="112 - CAFÉ ORGANICO","GOURMET",B91="172 - CAFÉ COSECHA","ESPECIALES",B91="176 - CAFE DESCAFEINADO","GOURMET",B91="147 - CAPSULAS","CAPSULAS",B91="130 - GALLETAS CAFECITAS","DERIVADOS",B91="140 - MERENGUES","DERIVADOS",B91="100 - CAFÉ ESPECIAL","ESPECIALES",B91="141 - AREQUIPE","DERIVADOS",B91="142 - MERMELADA","DERIVADOS",B91="131 - GALLETAS AVENA","DERIVADOS",B91="160 - SOUVENIR","OTROS",B91="148 - CARAMELOS","DERIVADOS",B91="143 - CHOCOFFES","DERIVADOS",B91="162 - CONVENIOS Y DSC POS ","OTROS"),"OTROS")</f>
        <v>DERIVADOS</v>
      </c>
      <c r="L91" s="27">
        <f t="shared" si="14"/>
        <v>595312</v>
      </c>
      <c r="M91" s="27">
        <f t="shared" si="15"/>
        <v>595312</v>
      </c>
    </row>
    <row r="92" spans="1:13" ht="16.5" hidden="1" outlineLevel="1">
      <c r="A92" s="59"/>
      <c r="B92" s="39" t="s">
        <v>28</v>
      </c>
      <c r="C92" s="36">
        <v>55124</v>
      </c>
      <c r="D92" s="36">
        <v>0</v>
      </c>
      <c r="E92" s="36"/>
      <c r="F92" s="48">
        <v>6824547.4699999997</v>
      </c>
      <c r="G92" s="49">
        <f t="shared" si="16"/>
        <v>8.0773121210335735E-3</v>
      </c>
      <c r="H92" s="23">
        <f t="shared" ref="H92:I108" si="17">IFERROR(+D92/L92*100%,0)</f>
        <v>0</v>
      </c>
      <c r="I92" s="24">
        <f t="shared" si="17"/>
        <v>0</v>
      </c>
      <c r="J92" s="32" t="str" cm="1">
        <f t="array" ref="J92">IFERROR(_xlfn.IFS(B92="044 - BLEND TRADICION","BLEND",B92="113 - CAFÉ GOURMET","GOURMET",B92="114 - CAFÉ CONSUMO","CONSUMO",B92="112 - CAFÉ ORGANICO","GOURMET",B92="172 - CAFÉ COSECHA","ESPECIALES",B92="176 - CAFE DESCAFEINADO","GOURMET",B92="147 - CAPSULAS","CAPSULAS",B92="130 - GALLETAS CAFECITAS","DERIVADOS",B92="140 - MERENGUES","DERIVADOS",B92="100 - CAFÉ ESPECIAL","ESPECIALES",B92="141 - AREQUIPE","DERIVADOS",B92="142 - MERMELADA","DERIVADOS",B92="131 - GALLETAS AVENA","DERIVADOS",B92="160 - SOUVENIR","OTROS",B92="148 - CARAMELOS","DERIVADOS",B92="143 - CHOCOFFES","DERIVADOS",B92="162 - CONVENIOS Y DSC POS ","OTROS"),"OTROS")</f>
        <v>OTROS</v>
      </c>
      <c r="L92" s="27">
        <f t="shared" si="14"/>
        <v>55124</v>
      </c>
      <c r="M92" s="27">
        <f t="shared" si="15"/>
        <v>55124</v>
      </c>
    </row>
    <row r="93" spans="1:13" ht="16.5" hidden="1" outlineLevel="1">
      <c r="A93" s="59"/>
      <c r="B93" s="39" t="s">
        <v>29</v>
      </c>
      <c r="C93" s="36">
        <v>152822</v>
      </c>
      <c r="D93" s="36">
        <v>0</v>
      </c>
      <c r="E93" s="36"/>
      <c r="F93" s="48">
        <v>1667302.64</v>
      </c>
      <c r="G93" s="49">
        <f t="shared" si="16"/>
        <v>9.1658224687990661E-2</v>
      </c>
      <c r="H93" s="23">
        <f t="shared" si="17"/>
        <v>0</v>
      </c>
      <c r="I93" s="24">
        <f t="shared" si="17"/>
        <v>0</v>
      </c>
      <c r="J93" s="32" t="str" cm="1">
        <f t="array" ref="J93">IFERROR(_xlfn.IFS(B93="044 - BLEND TRADICION","BLEND",B93="113 - CAFÉ GOURMET","GOURMET",B93="114 - CAFÉ CONSUMO","CONSUMO",B93="112 - CAFÉ ORGANICO","GOURMET",B93="172 - CAFÉ COSECHA","ESPECIALES",B93="176 - CAFE DESCAFEINADO","GOURMET",B93="147 - CAPSULAS","CAPSULAS",B93="130 - GALLETAS CAFECITAS","DERIVADOS",B93="140 - MERENGUES","DERIVADOS",B93="100 - CAFÉ ESPECIAL","ESPECIALES",B93="141 - AREQUIPE","DERIVADOS",B93="142 - MERMELADA","DERIVADOS",B93="131 - GALLETAS AVENA","DERIVADOS",B93="160 - SOUVENIR","OTROS",B93="148 - CARAMELOS","DERIVADOS",B93="143 - CHOCOFFES","DERIVADOS",B93="162 - CONVENIOS Y DSC POS ","OTROS"),"OTROS")</f>
        <v>ESPECIALES</v>
      </c>
      <c r="L93" s="27">
        <f t="shared" si="14"/>
        <v>152822</v>
      </c>
      <c r="M93" s="27">
        <f t="shared" si="15"/>
        <v>152822</v>
      </c>
    </row>
    <row r="94" spans="1:13" ht="16.5" hidden="1" outlineLevel="1">
      <c r="A94" s="59"/>
      <c r="B94" s="39" t="s">
        <v>30</v>
      </c>
      <c r="C94" s="36">
        <v>189786</v>
      </c>
      <c r="D94" s="36">
        <v>0</v>
      </c>
      <c r="E94" s="36"/>
      <c r="F94" s="48">
        <v>382592.22</v>
      </c>
      <c r="G94" s="49">
        <f t="shared" si="16"/>
        <v>0.49605295162562379</v>
      </c>
      <c r="H94" s="23">
        <f t="shared" si="17"/>
        <v>0</v>
      </c>
      <c r="I94" s="24">
        <f t="shared" si="17"/>
        <v>0</v>
      </c>
      <c r="J94" s="32" t="str" cm="1">
        <f t="array" ref="J94">IFERROR(_xlfn.IFS(B94="044 - BLEND TRADICION","BLEND",B94="113 - CAFÉ GOURMET","GOURMET",B94="114 - CAFÉ CONSUMO","CONSUMO",B94="112 - CAFÉ ORGANICO","GOURMET",B94="172 - CAFÉ COSECHA","ESPECIALES",B94="176 - CAFE DESCAFEINADO","GOURMET",B94="147 - CAPSULAS","CAPSULAS",B94="130 - GALLETAS CAFECITAS","DERIVADOS",B94="140 - MERENGUES","DERIVADOS",B94="100 - CAFÉ ESPECIAL","ESPECIALES",B94="141 - AREQUIPE","DERIVADOS",B94="142 - MERMELADA","DERIVADOS",B94="131 - GALLETAS AVENA","DERIVADOS",B94="160 - SOUVENIR","OTROS",B94="148 - CARAMELOS","DERIVADOS",B94="143 - CHOCOFFES","DERIVADOS",B94="162 - CONVENIOS Y DSC POS ","OTROS"),"OTROS")</f>
        <v>GOURMET</v>
      </c>
      <c r="L94" s="27">
        <f t="shared" si="14"/>
        <v>189786</v>
      </c>
      <c r="M94" s="27">
        <f t="shared" si="15"/>
        <v>189786</v>
      </c>
    </row>
    <row r="95" spans="1:13" ht="16.5" hidden="1" outlineLevel="1">
      <c r="A95" s="59"/>
      <c r="B95" s="39" t="s">
        <v>31</v>
      </c>
      <c r="C95" s="36">
        <v>24000</v>
      </c>
      <c r="D95" s="36">
        <v>0</v>
      </c>
      <c r="E95" s="36"/>
      <c r="F95" s="48">
        <v>0</v>
      </c>
      <c r="G95" s="49" t="str">
        <f t="shared" si="16"/>
        <v>-</v>
      </c>
      <c r="H95" s="23">
        <f t="shared" si="17"/>
        <v>0</v>
      </c>
      <c r="I95" s="24">
        <f t="shared" si="17"/>
        <v>0</v>
      </c>
      <c r="J95" s="32" t="str" cm="1">
        <f t="array" ref="J95">IFERROR(_xlfn.IFS(B95="044 - BLEND TRADICION","BLEND",B95="113 - CAFÉ GOURMET","GOURMET",B95="114 - CAFÉ CONSUMO","CONSUMO",B95="112 - CAFÉ ORGANICO","GOURMET",B95="172 - CAFÉ COSECHA","ESPECIALES",B95="176 - CAFE DESCAFEINADO","GOURMET",B95="147 - CAPSULAS","CAPSULAS",B95="130 - GALLETAS CAFECITAS","DERIVADOS",B95="140 - MERENGUES","DERIVADOS",B95="100 - CAFÉ ESPECIAL","ESPECIALES",B95="141 - AREQUIPE","DERIVADOS",B95="142 - MERMELADA","DERIVADOS",B95="131 - GALLETAS AVENA","DERIVADOS",B95="160 - SOUVENIR","OTROS",B95="148 - CARAMELOS","DERIVADOS",B95="143 - CHOCOFFES","DERIVADOS",B95="162 - CONVENIOS Y DSC POS ","OTROS"),"OTROS")</f>
        <v>OTROS</v>
      </c>
      <c r="L95" s="27">
        <f t="shared" si="14"/>
        <v>24000</v>
      </c>
      <c r="M95" s="27">
        <f t="shared" si="15"/>
        <v>24000</v>
      </c>
    </row>
    <row r="96" spans="1:13" ht="16.5" hidden="1" outlineLevel="1">
      <c r="A96" s="19" t="s">
        <v>45</v>
      </c>
      <c r="B96" s="56" t="s">
        <v>32</v>
      </c>
      <c r="C96" s="54">
        <f>SUM(C83:C95)</f>
        <v>40701424</v>
      </c>
      <c r="D96" s="54">
        <f>SUM(D83:D95)</f>
        <v>-3450123</v>
      </c>
      <c r="E96" s="57">
        <v>0</v>
      </c>
      <c r="F96" s="58">
        <f>SUM(F83:F95)</f>
        <v>137638336.16999999</v>
      </c>
      <c r="G96" s="55">
        <f t="shared" si="16"/>
        <v>0.29571284521871016</v>
      </c>
      <c r="H96" s="23">
        <f t="shared" si="17"/>
        <v>-7.8142743220299848E-2</v>
      </c>
      <c r="I96" s="24">
        <f t="shared" si="17"/>
        <v>0</v>
      </c>
      <c r="J96" s="32" t="str" cm="1">
        <f t="array" ref="J96">IFERROR(_xlfn.IFS(B96="044 - BLEND TRADICION","BLEND",B96="113 - CAFÉ GOURMET","GOURMET",B96="114 - CAFÉ CONSUMO","CONSUMO",B96="112 - CAFÉ ORGANICO","GOURMET",B96="172 - CAFÉ COSECHA","ESPECIALES",B96="176 - CAFE DESCAFEINADO","GOURMET",B96="147 - CAPSULAS","CAPSULAS",B96="130 - GALLETAS CAFECITAS","DERIVADOS",B96="140 - MERENGUES","DERIVADOS",B96="100 - CAFÉ ESPECIAL","ESPECIALES",B96="141 - AREQUIPE","DERIVADOS",B96="142 - MERMELADA","DERIVADOS",B96="131 - GALLETAS AVENA","DERIVADOS",B96="160 - SOUVENIR","OTROS",B96="148 - CARAMELOS","DERIVADOS",B96="143 - CHOCOFFES","DERIVADOS",B96="162 - CONVENIOS Y DSC POS ","OTROS"),"OTROS")</f>
        <v>OTROS</v>
      </c>
      <c r="L96" s="27">
        <f t="shared" si="14"/>
        <v>44151547</v>
      </c>
      <c r="M96" s="27">
        <f t="shared" si="15"/>
        <v>44151547</v>
      </c>
    </row>
    <row r="97" spans="1:13" ht="16.5" hidden="1" outlineLevel="1">
      <c r="A97" s="59"/>
      <c r="B97" s="39" t="s">
        <v>18</v>
      </c>
      <c r="C97" s="60">
        <v>1401800</v>
      </c>
      <c r="D97" s="60">
        <v>0</v>
      </c>
      <c r="E97" s="36">
        <v>0</v>
      </c>
      <c r="F97" s="48">
        <v>4980625.03</v>
      </c>
      <c r="G97" s="49">
        <f t="shared" si="16"/>
        <v>0.28145061946171041</v>
      </c>
      <c r="H97" s="23">
        <f t="shared" si="17"/>
        <v>0</v>
      </c>
      <c r="I97" s="24">
        <f t="shared" si="17"/>
        <v>0</v>
      </c>
      <c r="J97" s="32" t="str" cm="1">
        <f t="array" ref="J97">IFERROR(_xlfn.IFS(B97="044 - BLEND TRADICION","BLEND",B97="113 - CAFÉ GOURMET","GOURMET",B97="114 - CAFÉ CONSUMO","CONSUMO",B97="112 - CAFÉ ORGANICO","GOURMET",B97="172 - CAFÉ COSECHA","ESPECIALES",B97="176 - CAFE DESCAFEINADO","GOURMET",B97="147 - CAPSULAS","CAPSULAS",B97="130 - GALLETAS CAFECITAS","DERIVADOS",B97="140 - MERENGUES","DERIVADOS",B97="100 - CAFÉ ESPECIAL","ESPECIALES",B97="141 - AREQUIPE","DERIVADOS",B97="142 - MERMELADA","DERIVADOS",B97="131 - GALLETAS AVENA","DERIVADOS",B97="160 - SOUVENIR","OTROS",B97="148 - CARAMELOS","DERIVADOS",B97="143 - CHOCOFFES","DERIVADOS",B97="162 - CONVENIOS Y DSC POS ","OTROS"),"OTROS")</f>
        <v>BLEND</v>
      </c>
      <c r="L97" s="27">
        <f t="shared" si="14"/>
        <v>1401800</v>
      </c>
      <c r="M97" s="27">
        <f t="shared" si="15"/>
        <v>1401800</v>
      </c>
    </row>
    <row r="98" spans="1:13" ht="16.5" hidden="1" outlineLevel="1">
      <c r="A98" s="59"/>
      <c r="B98" s="39" t="s">
        <v>19</v>
      </c>
      <c r="C98" s="60">
        <v>1984720</v>
      </c>
      <c r="D98" s="60">
        <v>0</v>
      </c>
      <c r="E98" s="36">
        <v>0</v>
      </c>
      <c r="F98" s="48">
        <v>4364104.07</v>
      </c>
      <c r="G98" s="49">
        <f t="shared" si="16"/>
        <v>0.45478292180140423</v>
      </c>
      <c r="H98" s="23">
        <f t="shared" si="17"/>
        <v>0</v>
      </c>
      <c r="I98" s="24">
        <f t="shared" si="17"/>
        <v>0</v>
      </c>
      <c r="J98" s="32" t="str" cm="1">
        <f t="array" ref="J98">IFERROR(_xlfn.IFS(B98="044 - BLEND TRADICION","BLEND",B98="113 - CAFÉ GOURMET","GOURMET",B98="114 - CAFÉ CONSUMO","CONSUMO",B98="112 - CAFÉ ORGANICO","GOURMET",B98="172 - CAFÉ COSECHA","ESPECIALES",B98="176 - CAFE DESCAFEINADO","GOURMET",B98="147 - CAPSULAS","CAPSULAS",B98="130 - GALLETAS CAFECITAS","DERIVADOS",B98="140 - MERENGUES","DERIVADOS",B98="100 - CAFÉ ESPECIAL","ESPECIALES",B98="141 - AREQUIPE","DERIVADOS",B98="142 - MERMELADA","DERIVADOS",B98="131 - GALLETAS AVENA","DERIVADOS",B98="160 - SOUVENIR","OTROS",B98="148 - CARAMELOS","DERIVADOS",B98="143 - CHOCOFFES","DERIVADOS",B98="162 - CONVENIOS Y DSC POS ","OTROS"),"OTROS")</f>
        <v>ESPECIALES</v>
      </c>
      <c r="L98" s="27">
        <f t="shared" si="14"/>
        <v>1984720</v>
      </c>
      <c r="M98" s="27">
        <f t="shared" si="15"/>
        <v>1984720</v>
      </c>
    </row>
    <row r="99" spans="1:13" ht="16.5" hidden="1" outlineLevel="1">
      <c r="A99" s="59"/>
      <c r="B99" s="39" t="s">
        <v>20</v>
      </c>
      <c r="C99" s="60">
        <v>2344524</v>
      </c>
      <c r="D99" s="60">
        <v>0</v>
      </c>
      <c r="E99" s="36">
        <v>0</v>
      </c>
      <c r="F99" s="48">
        <v>6833481.9699999997</v>
      </c>
      <c r="G99" s="49">
        <f t="shared" si="16"/>
        <v>0.34309361029893815</v>
      </c>
      <c r="H99" s="23">
        <f t="shared" si="17"/>
        <v>0</v>
      </c>
      <c r="I99" s="24">
        <f t="shared" si="17"/>
        <v>0</v>
      </c>
      <c r="J99" s="32" t="str" cm="1">
        <f t="array" ref="J99">IFERROR(_xlfn.IFS(B99="044 - BLEND TRADICION","BLEND",B99="113 - CAFÉ GOURMET","GOURMET",B99="114 - CAFÉ CONSUMO","CONSUMO",B99="112 - CAFÉ ORGANICO","GOURMET",B99="172 - CAFÉ COSECHA","ESPECIALES",B99="176 - CAFE DESCAFEINADO","GOURMET",B99="147 - CAPSULAS","CAPSULAS",B99="130 - GALLETAS CAFECITAS","DERIVADOS",B99="140 - MERENGUES","DERIVADOS",B99="100 - CAFÉ ESPECIAL","ESPECIALES",B99="141 - AREQUIPE","DERIVADOS",B99="142 - MERMELADA","DERIVADOS",B99="131 - GALLETAS AVENA","DERIVADOS",B99="160 - SOUVENIR","OTROS",B99="148 - CARAMELOS","DERIVADOS",B99="143 - CHOCOFFES","DERIVADOS",B99="162 - CONVENIOS Y DSC POS ","OTROS"),"OTROS")</f>
        <v>GOURMET</v>
      </c>
      <c r="L99" s="27">
        <f t="shared" si="14"/>
        <v>2344524</v>
      </c>
      <c r="M99" s="27">
        <f t="shared" si="15"/>
        <v>2344524</v>
      </c>
    </row>
    <row r="100" spans="1:13" ht="16.5" hidden="1" outlineLevel="1">
      <c r="A100" s="59"/>
      <c r="B100" s="39" t="s">
        <v>21</v>
      </c>
      <c r="C100" s="60">
        <v>45379323</v>
      </c>
      <c r="D100" s="60">
        <v>0</v>
      </c>
      <c r="E100" s="36"/>
      <c r="F100" s="48">
        <v>128071723.90000001</v>
      </c>
      <c r="G100" s="49">
        <f t="shared" si="16"/>
        <v>0.35432741606127471</v>
      </c>
      <c r="H100" s="23">
        <f t="shared" si="17"/>
        <v>0</v>
      </c>
      <c r="I100" s="24">
        <f t="shared" si="17"/>
        <v>0</v>
      </c>
      <c r="J100" s="32" t="str" cm="1">
        <f t="array" ref="J100">IFERROR(_xlfn.IFS(B100="044 - BLEND TRADICION","BLEND",B100="113 - CAFÉ GOURMET","GOURMET",B100="114 - CAFÉ CONSUMO","CONSUMO",B100="112 - CAFÉ ORGANICO","GOURMET",B100="172 - CAFÉ COSECHA","ESPECIALES",B100="176 - CAFE DESCAFEINADO","GOURMET",B100="147 - CAPSULAS","CAPSULAS",B100="130 - GALLETAS CAFECITAS","DERIVADOS",B100="140 - MERENGUES","DERIVADOS",B100="100 - CAFÉ ESPECIAL","ESPECIALES",B100="141 - AREQUIPE","DERIVADOS",B100="142 - MERMELADA","DERIVADOS",B100="131 - GALLETAS AVENA","DERIVADOS",B100="160 - SOUVENIR","OTROS",B100="148 - CARAMELOS","DERIVADOS",B100="143 - CHOCOFFES","DERIVADOS",B100="162 - CONVENIOS Y DSC POS ","OTROS"),"OTROS")</f>
        <v>GOURMET</v>
      </c>
      <c r="L100" s="27">
        <f t="shared" si="14"/>
        <v>45379323</v>
      </c>
      <c r="M100" s="27">
        <f t="shared" si="15"/>
        <v>45379323</v>
      </c>
    </row>
    <row r="101" spans="1:13" ht="16.5" hidden="1" outlineLevel="1">
      <c r="A101" s="59"/>
      <c r="B101" s="39" t="s">
        <v>22</v>
      </c>
      <c r="C101" s="60">
        <v>1660672</v>
      </c>
      <c r="D101" s="60">
        <v>0</v>
      </c>
      <c r="E101" s="36">
        <v>0</v>
      </c>
      <c r="F101" s="48">
        <v>5287340.72</v>
      </c>
      <c r="G101" s="49">
        <f t="shared" si="16"/>
        <v>0.31408454418651499</v>
      </c>
      <c r="H101" s="23">
        <f t="shared" si="17"/>
        <v>0</v>
      </c>
      <c r="I101" s="24">
        <f t="shared" si="17"/>
        <v>0</v>
      </c>
      <c r="J101" s="32" t="str" cm="1">
        <f t="array" ref="J101">IFERROR(_xlfn.IFS(B101="044 - BLEND TRADICION","BLEND",B101="113 - CAFÉ GOURMET","GOURMET",B101="114 - CAFÉ CONSUMO","CONSUMO",B101="112 - CAFÉ ORGANICO","GOURMET",B101="172 - CAFÉ COSECHA","ESPECIALES",B101="176 - CAFE DESCAFEINADO","GOURMET",B101="147 - CAPSULAS","CAPSULAS",B101="130 - GALLETAS CAFECITAS","DERIVADOS",B101="140 - MERENGUES","DERIVADOS",B101="100 - CAFÉ ESPECIAL","ESPECIALES",B101="141 - AREQUIPE","DERIVADOS",B101="142 - MERMELADA","DERIVADOS",B101="131 - GALLETAS AVENA","DERIVADOS",B101="160 - SOUVENIR","OTROS",B101="148 - CARAMELOS","DERIVADOS",B101="143 - CHOCOFFES","DERIVADOS",B101="162 - CONVENIOS Y DSC POS ","OTROS"),"OTROS")</f>
        <v>DERIVADOS</v>
      </c>
      <c r="L101" s="27">
        <f t="shared" si="14"/>
        <v>1660672</v>
      </c>
      <c r="M101" s="27">
        <f t="shared" si="15"/>
        <v>1660672</v>
      </c>
    </row>
    <row r="102" spans="1:13" ht="16.5" hidden="1" outlineLevel="1">
      <c r="A102" s="59"/>
      <c r="B102" s="39" t="s">
        <v>23</v>
      </c>
      <c r="C102" s="60">
        <v>59660</v>
      </c>
      <c r="D102" s="60">
        <v>0</v>
      </c>
      <c r="E102" s="36">
        <v>0</v>
      </c>
      <c r="F102" s="48">
        <v>0</v>
      </c>
      <c r="G102" s="49" t="str">
        <f t="shared" si="16"/>
        <v>-</v>
      </c>
      <c r="H102" s="23">
        <f t="shared" si="17"/>
        <v>0</v>
      </c>
      <c r="I102" s="24">
        <f t="shared" si="17"/>
        <v>0</v>
      </c>
      <c r="J102" s="32" t="str" cm="1">
        <f t="array" ref="J102">IFERROR(_xlfn.IFS(B102="044 - BLEND TRADICION","BLEND",B102="113 - CAFÉ GOURMET","GOURMET",B102="114 - CAFÉ CONSUMO","CONSUMO",B102="112 - CAFÉ ORGANICO","GOURMET",B102="172 - CAFÉ COSECHA","ESPECIALES",B102="176 - CAFE DESCAFEINADO","GOURMET",B102="147 - CAPSULAS","CAPSULAS",B102="130 - GALLETAS CAFECITAS","DERIVADOS",B102="140 - MERENGUES","DERIVADOS",B102="100 - CAFÉ ESPECIAL","ESPECIALES",B102="141 - AREQUIPE","DERIVADOS",B102="142 - MERMELADA","DERIVADOS",B102="131 - GALLETAS AVENA","DERIVADOS",B102="160 - SOUVENIR","OTROS",B102="148 - CARAMELOS","DERIVADOS",B102="143 - CHOCOFFES","DERIVADOS",B102="162 - CONVENIOS Y DSC POS ","OTROS"),"OTROS")</f>
        <v>DERIVADOS</v>
      </c>
      <c r="L102" s="27">
        <f t="shared" si="14"/>
        <v>59660</v>
      </c>
      <c r="M102" s="27">
        <f t="shared" si="15"/>
        <v>59660</v>
      </c>
    </row>
    <row r="103" spans="1:13" ht="16.5" hidden="1" outlineLevel="1">
      <c r="A103" s="59"/>
      <c r="B103" s="39" t="s">
        <v>24</v>
      </c>
      <c r="C103" s="60">
        <v>989937</v>
      </c>
      <c r="D103" s="60">
        <v>0</v>
      </c>
      <c r="E103" s="36"/>
      <c r="F103" s="48">
        <v>843982.64</v>
      </c>
      <c r="G103" s="49">
        <f t="shared" si="16"/>
        <v>1.1729352632182102</v>
      </c>
      <c r="H103" s="23">
        <f t="shared" si="17"/>
        <v>0</v>
      </c>
      <c r="I103" s="24">
        <f t="shared" si="17"/>
        <v>0</v>
      </c>
      <c r="J103" s="32" t="str" cm="1">
        <f t="array" ref="J103">IFERROR(_xlfn.IFS(B103="044 - BLEND TRADICION","BLEND",B103="113 - CAFÉ GOURMET","GOURMET",B103="114 - CAFÉ CONSUMO","CONSUMO",B103="112 - CAFÉ ORGANICO","GOURMET",B103="172 - CAFÉ COSECHA","ESPECIALES",B103="176 - CAFE DESCAFEINADO","GOURMET",B103="147 - CAPSULAS","CAPSULAS",B103="130 - GALLETAS CAFECITAS","DERIVADOS",B103="140 - MERENGUES","DERIVADOS",B103="100 - CAFÉ ESPECIAL","ESPECIALES",B103="141 - AREQUIPE","DERIVADOS",B103="142 - MERMELADA","DERIVADOS",B103="131 - GALLETAS AVENA","DERIVADOS",B103="160 - SOUVENIR","OTROS",B103="148 - CARAMELOS","DERIVADOS",B103="143 - CHOCOFFES","DERIVADOS",B103="162 - CONVENIOS Y DSC POS ","OTROS"),"OTROS")</f>
        <v>DERIVADOS</v>
      </c>
      <c r="L103" s="27">
        <f t="shared" si="14"/>
        <v>989937</v>
      </c>
      <c r="M103" s="27">
        <f t="shared" si="15"/>
        <v>989937</v>
      </c>
    </row>
    <row r="104" spans="1:13" ht="16.5" hidden="1" outlineLevel="1">
      <c r="A104" s="59"/>
      <c r="B104" s="39" t="s">
        <v>25</v>
      </c>
      <c r="C104" s="60">
        <v>960800</v>
      </c>
      <c r="D104" s="60">
        <v>0</v>
      </c>
      <c r="E104" s="36"/>
      <c r="F104" s="48">
        <v>5547744.04</v>
      </c>
      <c r="G104" s="49">
        <f t="shared" si="16"/>
        <v>0.17318751425309087</v>
      </c>
      <c r="H104" s="23">
        <f t="shared" si="17"/>
        <v>0</v>
      </c>
      <c r="I104" s="24">
        <f t="shared" si="17"/>
        <v>0</v>
      </c>
      <c r="J104" s="32" t="str" cm="1">
        <f t="array" ref="J104">IFERROR(_xlfn.IFS(B104="044 - BLEND TRADICION","BLEND",B104="113 - CAFÉ GOURMET","GOURMET",B104="114 - CAFÉ CONSUMO","CONSUMO",B104="112 - CAFÉ ORGANICO","GOURMET",B104="172 - CAFÉ COSECHA","ESPECIALES",B104="176 - CAFE DESCAFEINADO","GOURMET",B104="147 - CAPSULAS","CAPSULAS",B104="130 - GALLETAS CAFECITAS","DERIVADOS",B104="140 - MERENGUES","DERIVADOS",B104="100 - CAFÉ ESPECIAL","ESPECIALES",B104="141 - AREQUIPE","DERIVADOS",B104="142 - MERMELADA","DERIVADOS",B104="131 - GALLETAS AVENA","DERIVADOS",B104="160 - SOUVENIR","OTROS",B104="148 - CARAMELOS","DERIVADOS",B104="143 - CHOCOFFES","DERIVADOS",B104="162 - CONVENIOS Y DSC POS ","OTROS"),"OTROS")</f>
        <v>DERIVADOS</v>
      </c>
      <c r="L104" s="27">
        <f t="shared" si="14"/>
        <v>960800</v>
      </c>
      <c r="M104" s="27">
        <f t="shared" si="15"/>
        <v>960800</v>
      </c>
    </row>
    <row r="105" spans="1:13" ht="16.5" hidden="1" outlineLevel="1">
      <c r="A105" s="59"/>
      <c r="B105" s="39" t="s">
        <v>26</v>
      </c>
      <c r="C105" s="60">
        <v>398666</v>
      </c>
      <c r="D105" s="60">
        <v>0</v>
      </c>
      <c r="E105" s="36"/>
      <c r="F105" s="48">
        <v>1612858.44</v>
      </c>
      <c r="G105" s="49">
        <f t="shared" si="16"/>
        <v>0.24717978349048414</v>
      </c>
      <c r="H105" s="23">
        <f t="shared" si="17"/>
        <v>0</v>
      </c>
      <c r="I105" s="24">
        <f t="shared" si="17"/>
        <v>0</v>
      </c>
      <c r="J105" s="32" t="str" cm="1">
        <f t="array" ref="J105">IFERROR(_xlfn.IFS(B105="044 - BLEND TRADICION","BLEND",B105="113 - CAFÉ GOURMET","GOURMET",B105="114 - CAFÉ CONSUMO","CONSUMO",B105="112 - CAFÉ ORGANICO","GOURMET",B105="172 - CAFÉ COSECHA","ESPECIALES",B105="176 - CAFE DESCAFEINADO","GOURMET",B105="147 - CAPSULAS","CAPSULAS",B105="130 - GALLETAS CAFECITAS","DERIVADOS",B105="140 - MERENGUES","DERIVADOS",B105="100 - CAFÉ ESPECIAL","ESPECIALES",B105="141 - AREQUIPE","DERIVADOS",B105="142 - MERMELADA","DERIVADOS",B105="131 - GALLETAS AVENA","DERIVADOS",B105="160 - SOUVENIR","OTROS",B105="148 - CARAMELOS","DERIVADOS",B105="143 - CHOCOFFES","DERIVADOS",B105="162 - CONVENIOS Y DSC POS ","OTROS"),"OTROS")</f>
        <v>CAPSULAS</v>
      </c>
      <c r="L105" s="27">
        <f t="shared" si="14"/>
        <v>398666</v>
      </c>
      <c r="M105" s="27">
        <f t="shared" si="15"/>
        <v>398666</v>
      </c>
    </row>
    <row r="106" spans="1:13" ht="16.5" hidden="1" outlineLevel="1">
      <c r="A106" s="59"/>
      <c r="B106" s="39" t="s">
        <v>27</v>
      </c>
      <c r="C106" s="60">
        <v>1589353</v>
      </c>
      <c r="D106" s="60">
        <v>0</v>
      </c>
      <c r="E106" s="36"/>
      <c r="F106" s="48">
        <v>6748851.9699999997</v>
      </c>
      <c r="G106" s="49">
        <f t="shared" si="16"/>
        <v>0.23549975715351185</v>
      </c>
      <c r="H106" s="23">
        <f t="shared" si="17"/>
        <v>0</v>
      </c>
      <c r="I106" s="24">
        <f t="shared" si="17"/>
        <v>0</v>
      </c>
      <c r="J106" s="32" t="str" cm="1">
        <f t="array" ref="J106">IFERROR(_xlfn.IFS(B106="044 - BLEND TRADICION","BLEND",B106="113 - CAFÉ GOURMET","GOURMET",B106="114 - CAFÉ CONSUMO","CONSUMO",B106="112 - CAFÉ ORGANICO","GOURMET",B106="172 - CAFÉ COSECHA","ESPECIALES",B106="176 - CAFE DESCAFEINADO","GOURMET",B106="147 - CAPSULAS","CAPSULAS",B106="130 - GALLETAS CAFECITAS","DERIVADOS",B106="140 - MERENGUES","DERIVADOS",B106="100 - CAFÉ ESPECIAL","ESPECIALES",B106="141 - AREQUIPE","DERIVADOS",B106="142 - MERMELADA","DERIVADOS",B106="131 - GALLETAS AVENA","DERIVADOS",B106="160 - SOUVENIR","OTROS",B106="148 - CARAMELOS","DERIVADOS",B106="143 - CHOCOFFES","DERIVADOS",B106="162 - CONVENIOS Y DSC POS ","OTROS"),"OTROS")</f>
        <v>DERIVADOS</v>
      </c>
      <c r="L106" s="27">
        <f t="shared" si="14"/>
        <v>1589353</v>
      </c>
      <c r="M106" s="27">
        <f t="shared" si="15"/>
        <v>1589353</v>
      </c>
    </row>
    <row r="107" spans="1:13" ht="16.5" hidden="1" outlineLevel="1">
      <c r="A107" s="59"/>
      <c r="B107" s="39" t="s">
        <v>28</v>
      </c>
      <c r="C107" s="60">
        <v>2767403</v>
      </c>
      <c r="D107" s="60">
        <v>0</v>
      </c>
      <c r="E107" s="36"/>
      <c r="F107" s="48">
        <v>13175768.16</v>
      </c>
      <c r="G107" s="49">
        <f t="shared" si="16"/>
        <v>0.21003731747508222</v>
      </c>
      <c r="H107" s="23">
        <f t="shared" si="17"/>
        <v>0</v>
      </c>
      <c r="I107" s="24">
        <f t="shared" si="17"/>
        <v>0</v>
      </c>
      <c r="J107" s="32" t="str" cm="1">
        <f t="array" ref="J107">IFERROR(_xlfn.IFS(B107="044 - BLEND TRADICION","BLEND",B107="113 - CAFÉ GOURMET","GOURMET",B107="114 - CAFÉ CONSUMO","CONSUMO",B107="112 - CAFÉ ORGANICO","GOURMET",B107="172 - CAFÉ COSECHA","ESPECIALES",B107="176 - CAFE DESCAFEINADO","GOURMET",B107="147 - CAPSULAS","CAPSULAS",B107="130 - GALLETAS CAFECITAS","DERIVADOS",B107="140 - MERENGUES","DERIVADOS",B107="100 - CAFÉ ESPECIAL","ESPECIALES",B107="141 - AREQUIPE","DERIVADOS",B107="142 - MERMELADA","DERIVADOS",B107="131 - GALLETAS AVENA","DERIVADOS",B107="160 - SOUVENIR","OTROS",B107="148 - CARAMELOS","DERIVADOS",B107="143 - CHOCOFFES","DERIVADOS",B107="162 - CONVENIOS Y DSC POS ","OTROS"),"OTROS")</f>
        <v>OTROS</v>
      </c>
      <c r="L107" s="27">
        <f t="shared" si="14"/>
        <v>2767403</v>
      </c>
      <c r="M107" s="27">
        <f t="shared" si="15"/>
        <v>2767403</v>
      </c>
    </row>
    <row r="108" spans="1:13" ht="16.5" hidden="1" outlineLevel="1">
      <c r="A108" s="59"/>
      <c r="B108" s="39" t="s">
        <v>29</v>
      </c>
      <c r="C108" s="60">
        <v>3591393</v>
      </c>
      <c r="D108" s="60">
        <v>0</v>
      </c>
      <c r="E108" s="36"/>
      <c r="F108" s="48">
        <v>23863639.710000001</v>
      </c>
      <c r="G108" s="49">
        <f t="shared" si="16"/>
        <v>0.15049644746752674</v>
      </c>
      <c r="H108" s="23">
        <f t="shared" si="17"/>
        <v>0</v>
      </c>
      <c r="I108" s="24">
        <f t="shared" si="17"/>
        <v>0</v>
      </c>
      <c r="J108" s="32" t="str" cm="1">
        <f t="array" ref="J108">IFERROR(_xlfn.IFS(B108="044 - BLEND TRADICION","BLEND",B108="113 - CAFÉ GOURMET","GOURMET",B108="114 - CAFÉ CONSUMO","CONSUMO",B108="112 - CAFÉ ORGANICO","GOURMET",B108="172 - CAFÉ COSECHA","ESPECIALES",B108="176 - CAFE DESCAFEINADO","GOURMET",B108="147 - CAPSULAS","CAPSULAS",B108="130 - GALLETAS CAFECITAS","DERIVADOS",B108="140 - MERENGUES","DERIVADOS",B108="100 - CAFÉ ESPECIAL","ESPECIALES",B108="141 - AREQUIPE","DERIVADOS",B108="142 - MERMELADA","DERIVADOS",B108="131 - GALLETAS AVENA","DERIVADOS",B108="160 - SOUVENIR","OTROS",B108="148 - CARAMELOS","DERIVADOS",B108="143 - CHOCOFFES","DERIVADOS",B108="162 - CONVENIOS Y DSC POS ","OTROS"),"OTROS")</f>
        <v>ESPECIALES</v>
      </c>
      <c r="L108" s="27">
        <f t="shared" si="14"/>
        <v>3591393</v>
      </c>
      <c r="M108" s="27">
        <f t="shared" si="15"/>
        <v>3591393</v>
      </c>
    </row>
    <row r="109" spans="1:13" ht="16.5" hidden="1" outlineLevel="1">
      <c r="A109" s="59"/>
      <c r="B109" s="39" t="s">
        <v>30</v>
      </c>
      <c r="C109" s="60">
        <v>1518291</v>
      </c>
      <c r="D109" s="60">
        <v>0</v>
      </c>
      <c r="E109" s="36">
        <v>0</v>
      </c>
      <c r="F109" s="48">
        <v>1665594.24</v>
      </c>
      <c r="G109" s="49">
        <f t="shared" si="16"/>
        <v>0.91156114949100686</v>
      </c>
      <c r="H109" s="23">
        <f t="shared" ref="H109:I127" si="18">IFERROR(+D109/L109*100%,0)</f>
        <v>0</v>
      </c>
      <c r="I109" s="24">
        <f t="shared" si="18"/>
        <v>0</v>
      </c>
      <c r="J109" s="32" t="str" cm="1">
        <f t="array" ref="J109">IFERROR(_xlfn.IFS(B109="044 - BLEND TRADICION","BLEND",B109="113 - CAFÉ GOURMET","GOURMET",B109="114 - CAFÉ CONSUMO","CONSUMO",B109="112 - CAFÉ ORGANICO","GOURMET",B109="172 - CAFÉ COSECHA","ESPECIALES",B109="176 - CAFE DESCAFEINADO","GOURMET",B109="147 - CAPSULAS","CAPSULAS",B109="130 - GALLETAS CAFECITAS","DERIVADOS",B109="140 - MERENGUES","DERIVADOS",B109="100 - CAFÉ ESPECIAL","ESPECIALES",B109="141 - AREQUIPE","DERIVADOS",B109="142 - MERMELADA","DERIVADOS",B109="131 - GALLETAS AVENA","DERIVADOS",B109="160 - SOUVENIR","OTROS",B109="148 - CARAMELOS","DERIVADOS",B109="143 - CHOCOFFES","DERIVADOS",B109="162 - CONVENIOS Y DSC POS ","OTROS"),"OTROS")</f>
        <v>GOURMET</v>
      </c>
      <c r="L109" s="27">
        <f t="shared" si="14"/>
        <v>1518291</v>
      </c>
      <c r="M109" s="27">
        <f t="shared" si="15"/>
        <v>1518291</v>
      </c>
    </row>
    <row r="110" spans="1:13" ht="16.5" hidden="1" outlineLevel="1">
      <c r="A110" s="19" t="s">
        <v>46</v>
      </c>
      <c r="B110" s="56" t="s">
        <v>32</v>
      </c>
      <c r="C110" s="54">
        <f>SUM(C97:C109)</f>
        <v>64646542</v>
      </c>
      <c r="D110" s="54">
        <f>SUM(D97:D109)</f>
        <v>0</v>
      </c>
      <c r="E110" s="54">
        <f>SUM(E97:E109)</f>
        <v>0</v>
      </c>
      <c r="F110" s="54">
        <f>SUM(F97:F109)</f>
        <v>202995714.88999999</v>
      </c>
      <c r="G110" s="55">
        <f t="shared" si="16"/>
        <v>0.31846259432141655</v>
      </c>
      <c r="H110" s="23">
        <f t="shared" si="18"/>
        <v>0</v>
      </c>
      <c r="I110" s="24">
        <f t="shared" si="18"/>
        <v>0</v>
      </c>
      <c r="J110" s="32" t="str" cm="1">
        <f t="array" ref="J110">IFERROR(_xlfn.IFS(B110="044 - BLEND TRADICION","BLEND",B110="113 - CAFÉ GOURMET","GOURMET",B110="114 - CAFÉ CONSUMO","CONSUMO",B110="112 - CAFÉ ORGANICO","GOURMET",B110="172 - CAFÉ COSECHA","ESPECIALES",B110="176 - CAFE DESCAFEINADO","GOURMET",B110="147 - CAPSULAS","CAPSULAS",B110="130 - GALLETAS CAFECITAS","DERIVADOS",B110="140 - MERENGUES","DERIVADOS",B110="100 - CAFÉ ESPECIAL","ESPECIALES",B110="141 - AREQUIPE","DERIVADOS",B110="142 - MERMELADA","DERIVADOS",B110="131 - GALLETAS AVENA","DERIVADOS",B110="160 - SOUVENIR","OTROS",B110="148 - CARAMELOS","DERIVADOS",B110="143 - CHOCOFFES","DERIVADOS",B110="162 - CONVENIOS Y DSC POS ","OTROS"),"OTROS")</f>
        <v>OTROS</v>
      </c>
      <c r="L110" s="27">
        <f t="shared" si="14"/>
        <v>64646542</v>
      </c>
      <c r="M110" s="27">
        <f t="shared" si="15"/>
        <v>64646542</v>
      </c>
    </row>
    <row r="111" spans="1:13" ht="16.5" collapsed="1">
      <c r="A111" s="28" t="s">
        <v>47</v>
      </c>
      <c r="B111" s="29" t="s">
        <v>17</v>
      </c>
      <c r="C111" s="30">
        <f>+C132+C146+C163+C179+C194+C118</f>
        <v>201082764</v>
      </c>
      <c r="D111" s="30">
        <f>+D132+D146+D163+D179+D194+D118</f>
        <v>-426436</v>
      </c>
      <c r="E111" s="30">
        <f>+E132+E146+E163+E179+E194+E118</f>
        <v>-52019</v>
      </c>
      <c r="F111" s="30">
        <f>+F132+F146+F163+F179+F194+F118</f>
        <v>664228042.13999987</v>
      </c>
      <c r="G111" s="31">
        <f t="shared" si="16"/>
        <v>0.30273151875996474</v>
      </c>
      <c r="H111" s="23">
        <f t="shared" si="18"/>
        <v>-2.1156649186567979E-3</v>
      </c>
      <c r="I111" s="24">
        <f t="shared" si="18"/>
        <v>-2.580803998808918E-4</v>
      </c>
      <c r="J111" s="32" t="str" cm="1">
        <f t="array" ref="J111">IFERROR(_xlfn.IFS(B111="044 - BLEND TRADICION","BLEND",B111="113 - CAFÉ GOURMET","GOURMET",B111="114 - CAFÉ CONSUMO","CONSUMO",B111="112 - CAFÉ ORGANICO","GOURMET",B111="172 - CAFÉ COSECHA","ESPECIALES",B111="176 - CAFE DESCAFEINADO","GOURMET",B111="147 - CAPSULAS","CAPSULAS",B111="130 - GALLETAS CAFECITAS","DERIVADOS",B111="140 - MERENGUES","DERIVADOS",B111="100 - CAFÉ ESPECIAL","ESPECIALES",B111="141 - AREQUIPE","DERIVADOS",B111="142 - MERMELADA","DERIVADOS",B111="131 - GALLETAS AVENA","DERIVADOS",B111="160 - SOUVENIR","OTROS",B111="148 - CARAMELOS","DERIVADOS",B111="143 - CHOCOFFES","DERIVADOS",B111="162 - CONVENIOS Y DSC POS ","OTROS"),"OTROS")</f>
        <v>OTROS</v>
      </c>
      <c r="L111" s="27">
        <f t="shared" si="14"/>
        <v>201561219</v>
      </c>
      <c r="M111" s="27">
        <f t="shared" si="15"/>
        <v>201561219</v>
      </c>
    </row>
    <row r="112" spans="1:13" ht="16.5" hidden="1" outlineLevel="1">
      <c r="A112" s="38"/>
      <c r="B112" s="39" t="s">
        <v>19</v>
      </c>
      <c r="C112" s="36">
        <v>0</v>
      </c>
      <c r="D112" s="36">
        <v>0</v>
      </c>
      <c r="E112" s="36">
        <v>0</v>
      </c>
      <c r="F112" s="36">
        <v>397872.45</v>
      </c>
      <c r="G112" s="37">
        <f t="shared" si="16"/>
        <v>0</v>
      </c>
      <c r="H112" s="23">
        <f t="shared" si="18"/>
        <v>0</v>
      </c>
      <c r="I112" s="24">
        <f t="shared" si="18"/>
        <v>0</v>
      </c>
      <c r="J112" s="32" t="str" cm="1">
        <f t="array" ref="J112">IFERROR(_xlfn.IFS(B112="044 - BLEND TRADICION","BLEND",B112="113 - CAFÉ GOURMET","GOURMET",B112="114 - CAFÉ CONSUMO","CONSUMO",B112="112 - CAFÉ ORGANICO","GOURMET",B112="172 - CAFÉ COSECHA","ESPECIALES",B112="176 - CAFE DESCAFEINADO","GOURMET",B112="147 - CAPSULAS","CAPSULAS",B112="130 - GALLETAS CAFECITAS","DERIVADOS",B112="140 - MERENGUES","DERIVADOS",B112="100 - CAFÉ ESPECIAL","ESPECIALES",B112="141 - AREQUIPE","DERIVADOS",B112="142 - MERMELADA","DERIVADOS",B112="131 - GALLETAS AVENA","DERIVADOS",B112="160 - SOUVENIR","OTROS",B112="148 - CARAMELOS","DERIVADOS",B112="143 - CHOCOFFES","DERIVADOS",B112="162 - CONVENIOS Y DSC POS ","OTROS"),"OTROS")</f>
        <v>ESPECIALES</v>
      </c>
      <c r="L112" s="27">
        <f t="shared" si="14"/>
        <v>0</v>
      </c>
      <c r="M112" s="27">
        <f t="shared" si="15"/>
        <v>0</v>
      </c>
    </row>
    <row r="113" spans="1:13" ht="16.5" hidden="1" outlineLevel="1">
      <c r="A113" s="38"/>
      <c r="B113" s="39" t="s">
        <v>20</v>
      </c>
      <c r="C113" s="36">
        <v>0</v>
      </c>
      <c r="D113" s="36">
        <v>0</v>
      </c>
      <c r="E113" s="36"/>
      <c r="F113" s="36">
        <v>550199.43000000005</v>
      </c>
      <c r="G113" s="37">
        <f t="shared" si="16"/>
        <v>0</v>
      </c>
      <c r="H113" s="23">
        <f t="shared" si="18"/>
        <v>0</v>
      </c>
      <c r="I113" s="24">
        <f t="shared" si="18"/>
        <v>0</v>
      </c>
      <c r="J113" s="32" t="str" cm="1">
        <f t="array" ref="J113">IFERROR(_xlfn.IFS(B113="044 - BLEND TRADICION","BLEND",B113="113 - CAFÉ GOURMET","GOURMET",B113="114 - CAFÉ CONSUMO","CONSUMO",B113="112 - CAFÉ ORGANICO","GOURMET",B113="172 - CAFÉ COSECHA","ESPECIALES",B113="176 - CAFE DESCAFEINADO","GOURMET",B113="147 - CAPSULAS","CAPSULAS",B113="130 - GALLETAS CAFECITAS","DERIVADOS",B113="140 - MERENGUES","DERIVADOS",B113="100 - CAFÉ ESPECIAL","ESPECIALES",B113="141 - AREQUIPE","DERIVADOS",B113="142 - MERMELADA","DERIVADOS",B113="131 - GALLETAS AVENA","DERIVADOS",B113="160 - SOUVENIR","OTROS",B113="148 - CARAMELOS","DERIVADOS",B113="143 - CHOCOFFES","DERIVADOS",B113="162 - CONVENIOS Y DSC POS ","OTROS"),"OTROS")</f>
        <v>GOURMET</v>
      </c>
      <c r="L113" s="27">
        <f t="shared" si="14"/>
        <v>0</v>
      </c>
      <c r="M113" s="27">
        <f t="shared" si="15"/>
        <v>0</v>
      </c>
    </row>
    <row r="114" spans="1:13" ht="16.5" hidden="1" outlineLevel="1">
      <c r="A114" s="38"/>
      <c r="B114" s="39" t="s">
        <v>21</v>
      </c>
      <c r="C114" s="36">
        <v>0</v>
      </c>
      <c r="D114" s="36">
        <v>0</v>
      </c>
      <c r="E114" s="36"/>
      <c r="F114" s="36">
        <v>1226924.78</v>
      </c>
      <c r="G114" s="37">
        <f t="shared" si="16"/>
        <v>0</v>
      </c>
      <c r="H114" s="23">
        <f t="shared" si="18"/>
        <v>0</v>
      </c>
      <c r="I114" s="24">
        <f t="shared" si="18"/>
        <v>0</v>
      </c>
      <c r="J114" s="32" t="str" cm="1">
        <f t="array" ref="J114">IFERROR(_xlfn.IFS(B114="044 - BLEND TRADICION","BLEND",B114="113 - CAFÉ GOURMET","GOURMET",B114="114 - CAFÉ CONSUMO","CONSUMO",B114="112 - CAFÉ ORGANICO","GOURMET",B114="172 - CAFÉ COSECHA","ESPECIALES",B114="176 - CAFE DESCAFEINADO","GOURMET",B114="147 - CAPSULAS","CAPSULAS",B114="130 - GALLETAS CAFECITAS","DERIVADOS",B114="140 - MERENGUES","DERIVADOS",B114="100 - CAFÉ ESPECIAL","ESPECIALES",B114="141 - AREQUIPE","DERIVADOS",B114="142 - MERMELADA","DERIVADOS",B114="131 - GALLETAS AVENA","DERIVADOS",B114="160 - SOUVENIR","OTROS",B114="148 - CARAMELOS","DERIVADOS",B114="143 - CHOCOFFES","DERIVADOS",B114="162 - CONVENIOS Y DSC POS ","OTROS"),"OTROS")</f>
        <v>GOURMET</v>
      </c>
      <c r="L114" s="27">
        <f t="shared" si="14"/>
        <v>0</v>
      </c>
      <c r="M114" s="27">
        <f t="shared" si="15"/>
        <v>0</v>
      </c>
    </row>
    <row r="115" spans="1:13" ht="16.5" hidden="1" outlineLevel="1">
      <c r="A115" s="38"/>
      <c r="B115" s="39" t="s">
        <v>22</v>
      </c>
      <c r="C115" s="36">
        <v>0</v>
      </c>
      <c r="D115" s="36">
        <v>0</v>
      </c>
      <c r="E115" s="36"/>
      <c r="F115" s="36">
        <v>231859.77</v>
      </c>
      <c r="G115" s="37">
        <f t="shared" si="16"/>
        <v>0</v>
      </c>
      <c r="H115" s="23">
        <f t="shared" si="18"/>
        <v>0</v>
      </c>
      <c r="I115" s="24">
        <f t="shared" si="18"/>
        <v>0</v>
      </c>
      <c r="J115" s="32" t="str" cm="1">
        <f t="array" ref="J115">IFERROR(_xlfn.IFS(B115="044 - BLEND TRADICION","BLEND",B115="113 - CAFÉ GOURMET","GOURMET",B115="114 - CAFÉ CONSUMO","CONSUMO",B115="112 - CAFÉ ORGANICO","GOURMET",B115="172 - CAFÉ COSECHA","ESPECIALES",B115="176 - CAFE DESCAFEINADO","GOURMET",B115="147 - CAPSULAS","CAPSULAS",B115="130 - GALLETAS CAFECITAS","DERIVADOS",B115="140 - MERENGUES","DERIVADOS",B115="100 - CAFÉ ESPECIAL","ESPECIALES",B115="141 - AREQUIPE","DERIVADOS",B115="142 - MERMELADA","DERIVADOS",B115="131 - GALLETAS AVENA","DERIVADOS",B115="160 - SOUVENIR","OTROS",B115="148 - CARAMELOS","DERIVADOS",B115="143 - CHOCOFFES","DERIVADOS",B115="162 - CONVENIOS Y DSC POS ","OTROS"),"OTROS")</f>
        <v>DERIVADOS</v>
      </c>
      <c r="L115" s="27">
        <f t="shared" si="14"/>
        <v>0</v>
      </c>
      <c r="M115" s="27">
        <f t="shared" si="15"/>
        <v>0</v>
      </c>
    </row>
    <row r="116" spans="1:13" ht="16.5" hidden="1" outlineLevel="1">
      <c r="A116" s="38"/>
      <c r="B116" s="39" t="s">
        <v>28</v>
      </c>
      <c r="C116" s="36">
        <v>0</v>
      </c>
      <c r="D116" s="36">
        <v>0</v>
      </c>
      <c r="E116" s="36"/>
      <c r="F116" s="36">
        <v>197515.99</v>
      </c>
      <c r="G116" s="37">
        <f t="shared" si="16"/>
        <v>0</v>
      </c>
      <c r="H116" s="23">
        <f t="shared" si="18"/>
        <v>0</v>
      </c>
      <c r="I116" s="24">
        <f t="shared" si="18"/>
        <v>0</v>
      </c>
      <c r="J116" s="32" t="str" cm="1">
        <f t="array" ref="J116">IFERROR(_xlfn.IFS(B116="044 - BLEND TRADICION","BLEND",B116="113 - CAFÉ GOURMET","GOURMET",B116="114 - CAFÉ CONSUMO","CONSUMO",B116="112 - CAFÉ ORGANICO","GOURMET",B116="172 - CAFÉ COSECHA","ESPECIALES",B116="176 - CAFE DESCAFEINADO","GOURMET",B116="147 - CAPSULAS","CAPSULAS",B116="130 - GALLETAS CAFECITAS","DERIVADOS",B116="140 - MERENGUES","DERIVADOS",B116="100 - CAFÉ ESPECIAL","ESPECIALES",B116="141 - AREQUIPE","DERIVADOS",B116="142 - MERMELADA","DERIVADOS",B116="131 - GALLETAS AVENA","DERIVADOS",B116="160 - SOUVENIR","OTROS",B116="148 - CARAMELOS","DERIVADOS",B116="143 - CHOCOFFES","DERIVADOS",B116="162 - CONVENIOS Y DSC POS ","OTROS"),"OTROS")</f>
        <v>OTROS</v>
      </c>
      <c r="L116" s="27">
        <f t="shared" si="14"/>
        <v>0</v>
      </c>
      <c r="M116" s="27">
        <f t="shared" si="15"/>
        <v>0</v>
      </c>
    </row>
    <row r="117" spans="1:13" ht="16.5" hidden="1" outlineLevel="1">
      <c r="A117" s="38"/>
      <c r="B117" s="39" t="s">
        <v>29</v>
      </c>
      <c r="C117" s="36">
        <v>0</v>
      </c>
      <c r="D117" s="36">
        <v>0</v>
      </c>
      <c r="E117" s="36"/>
      <c r="F117" s="36">
        <v>934062.72</v>
      </c>
      <c r="G117" s="37">
        <f t="shared" si="16"/>
        <v>0</v>
      </c>
      <c r="H117" s="23">
        <f t="shared" si="18"/>
        <v>0</v>
      </c>
      <c r="I117" s="24">
        <f t="shared" si="18"/>
        <v>0</v>
      </c>
      <c r="J117" s="32" t="str" cm="1">
        <f t="array" ref="J117">IFERROR(_xlfn.IFS(B117="044 - BLEND TRADICION","BLEND",B117="113 - CAFÉ GOURMET","GOURMET",B117="114 - CAFÉ CONSUMO","CONSUMO",B117="112 - CAFÉ ORGANICO","GOURMET",B117="172 - CAFÉ COSECHA","ESPECIALES",B117="176 - CAFE DESCAFEINADO","GOURMET",B117="147 - CAPSULAS","CAPSULAS",B117="130 - GALLETAS CAFECITAS","DERIVADOS",B117="140 - MERENGUES","DERIVADOS",B117="100 - CAFÉ ESPECIAL","ESPECIALES",B117="141 - AREQUIPE","DERIVADOS",B117="142 - MERMELADA","DERIVADOS",B117="131 - GALLETAS AVENA","DERIVADOS",B117="160 - SOUVENIR","OTROS",B117="148 - CARAMELOS","DERIVADOS",B117="143 - CHOCOFFES","DERIVADOS",B117="162 - CONVENIOS Y DSC POS ","OTROS"),"OTROS")</f>
        <v>ESPECIALES</v>
      </c>
      <c r="L117" s="27">
        <f t="shared" si="14"/>
        <v>0</v>
      </c>
      <c r="M117" s="27">
        <f t="shared" si="15"/>
        <v>0</v>
      </c>
    </row>
    <row r="118" spans="1:13" ht="16.5" hidden="1" outlineLevel="1">
      <c r="A118" s="19" t="s">
        <v>48</v>
      </c>
      <c r="B118" s="56" t="s">
        <v>32</v>
      </c>
      <c r="C118" s="54">
        <f>SUM(C112:C117)</f>
        <v>0</v>
      </c>
      <c r="D118" s="54">
        <f>SUM(D112:D117)</f>
        <v>0</v>
      </c>
      <c r="E118" s="54">
        <f>SUM(E112:E117)</f>
        <v>0</v>
      </c>
      <c r="F118" s="54">
        <f>SUM(F112:F117)</f>
        <v>3538435.1399999997</v>
      </c>
      <c r="G118" s="55">
        <f t="shared" si="16"/>
        <v>0</v>
      </c>
      <c r="H118" s="23">
        <f t="shared" si="18"/>
        <v>0</v>
      </c>
      <c r="I118" s="24">
        <f t="shared" si="18"/>
        <v>0</v>
      </c>
      <c r="J118" s="32" t="str" cm="1">
        <f t="array" ref="J118">IFERROR(_xlfn.IFS(B118="044 - BLEND TRADICION","BLEND",B118="113 - CAFÉ GOURMET","GOURMET",B118="114 - CAFÉ CONSUMO","CONSUMO",B118="112 - CAFÉ ORGANICO","GOURMET",B118="172 - CAFÉ COSECHA","ESPECIALES",B118="176 - CAFE DESCAFEINADO","GOURMET",B118="147 - CAPSULAS","CAPSULAS",B118="130 - GALLETAS CAFECITAS","DERIVADOS",B118="140 - MERENGUES","DERIVADOS",B118="100 - CAFÉ ESPECIAL","ESPECIALES",B118="141 - AREQUIPE","DERIVADOS",B118="142 - MERMELADA","DERIVADOS",B118="131 - GALLETAS AVENA","DERIVADOS",B118="160 - SOUVENIR","OTROS",B118="148 - CARAMELOS","DERIVADOS",B118="143 - CHOCOFFES","DERIVADOS",B118="162 - CONVENIOS Y DSC POS ","OTROS"),"OTROS")</f>
        <v>OTROS</v>
      </c>
      <c r="L118" s="27">
        <f t="shared" si="14"/>
        <v>0</v>
      </c>
      <c r="M118" s="27">
        <f t="shared" si="15"/>
        <v>0</v>
      </c>
    </row>
    <row r="119" spans="1:13" ht="16.5" hidden="1" outlineLevel="1">
      <c r="A119" s="33"/>
      <c r="B119" s="39" t="s">
        <v>18</v>
      </c>
      <c r="C119" s="36">
        <v>1065368</v>
      </c>
      <c r="D119" s="36">
        <v>0</v>
      </c>
      <c r="E119" s="36">
        <v>0</v>
      </c>
      <c r="F119" s="36">
        <v>4604527.18</v>
      </c>
      <c r="G119" s="37">
        <f t="shared" si="16"/>
        <v>0.2313740278540391</v>
      </c>
      <c r="H119" s="23">
        <f t="shared" si="18"/>
        <v>0</v>
      </c>
      <c r="I119" s="24">
        <f t="shared" si="18"/>
        <v>0</v>
      </c>
      <c r="J119" s="32" t="str" cm="1">
        <f t="array" ref="J119">IFERROR(_xlfn.IFS(B119="044 - BLEND TRADICION","BLEND",B119="113 - CAFÉ GOURMET","GOURMET",B119="114 - CAFÉ CONSUMO","CONSUMO",B119="112 - CAFÉ ORGANICO","GOURMET",B119="172 - CAFÉ COSECHA","ESPECIALES",B119="176 - CAFE DESCAFEINADO","GOURMET",B119="147 - CAPSULAS","CAPSULAS",B119="130 - GALLETAS CAFECITAS","DERIVADOS",B119="140 - MERENGUES","DERIVADOS",B119="100 - CAFÉ ESPECIAL","ESPECIALES",B119="141 - AREQUIPE","DERIVADOS",B119="142 - MERMELADA","DERIVADOS",B119="131 - GALLETAS AVENA","DERIVADOS",B119="160 - SOUVENIR","OTROS",B119="148 - CARAMELOS","DERIVADOS",B119="143 - CHOCOFFES","DERIVADOS",B119="162 - CONVENIOS Y DSC POS ","OTROS"),"OTROS")</f>
        <v>BLEND</v>
      </c>
      <c r="L119" s="27">
        <f t="shared" si="14"/>
        <v>1065368</v>
      </c>
      <c r="M119" s="27">
        <f t="shared" si="15"/>
        <v>1065368</v>
      </c>
    </row>
    <row r="120" spans="1:13" ht="16.5" hidden="1" outlineLevel="1">
      <c r="A120" s="38"/>
      <c r="B120" s="39" t="s">
        <v>19</v>
      </c>
      <c r="C120" s="36">
        <v>198983</v>
      </c>
      <c r="D120" s="36">
        <v>0</v>
      </c>
      <c r="E120" s="36">
        <v>0</v>
      </c>
      <c r="F120" s="36">
        <v>904271.48</v>
      </c>
      <c r="G120" s="37">
        <f t="shared" si="16"/>
        <v>0.2200478555400199</v>
      </c>
      <c r="H120" s="23">
        <f t="shared" si="18"/>
        <v>0</v>
      </c>
      <c r="I120" s="24">
        <f t="shared" si="18"/>
        <v>0</v>
      </c>
      <c r="J120" s="32" t="str" cm="1">
        <f t="array" ref="J120">IFERROR(_xlfn.IFS(B120="044 - BLEND TRADICION","BLEND",B120="113 - CAFÉ GOURMET","GOURMET",B120="114 - CAFÉ CONSUMO","CONSUMO",B120="112 - CAFÉ ORGANICO","GOURMET",B120="172 - CAFÉ COSECHA","ESPECIALES",B120="176 - CAFE DESCAFEINADO","GOURMET",B120="147 - CAPSULAS","CAPSULAS",B120="130 - GALLETAS CAFECITAS","DERIVADOS",B120="140 - MERENGUES","DERIVADOS",B120="100 - CAFÉ ESPECIAL","ESPECIALES",B120="141 - AREQUIPE","DERIVADOS",B120="142 - MERMELADA","DERIVADOS",B120="131 - GALLETAS AVENA","DERIVADOS",B120="160 - SOUVENIR","OTROS",B120="148 - CARAMELOS","DERIVADOS",B120="143 - CHOCOFFES","DERIVADOS",B120="162 - CONVENIOS Y DSC POS ","OTROS"),"OTROS")</f>
        <v>ESPECIALES</v>
      </c>
      <c r="L120" s="27">
        <f t="shared" si="14"/>
        <v>198983</v>
      </c>
      <c r="M120" s="27">
        <f t="shared" si="15"/>
        <v>198983</v>
      </c>
    </row>
    <row r="121" spans="1:13" ht="16.5" hidden="1" outlineLevel="1">
      <c r="A121" s="38"/>
      <c r="B121" s="39" t="s">
        <v>20</v>
      </c>
      <c r="C121" s="36">
        <v>319902</v>
      </c>
      <c r="D121" s="36">
        <v>0</v>
      </c>
      <c r="E121" s="36">
        <v>0</v>
      </c>
      <c r="F121" s="36">
        <v>1000950.28</v>
      </c>
      <c r="G121" s="37">
        <f t="shared" si="16"/>
        <v>0.31959829213495</v>
      </c>
      <c r="H121" s="23">
        <f t="shared" si="18"/>
        <v>0</v>
      </c>
      <c r="I121" s="24">
        <f t="shared" si="18"/>
        <v>0</v>
      </c>
      <c r="J121" s="32" t="str" cm="1">
        <f t="array" ref="J121">IFERROR(_xlfn.IFS(B121="044 - BLEND TRADICION","BLEND",B121="113 - CAFÉ GOURMET","GOURMET",B121="114 - CAFÉ CONSUMO","CONSUMO",B121="112 - CAFÉ ORGANICO","GOURMET",B121="172 - CAFÉ COSECHA","ESPECIALES",B121="176 - CAFE DESCAFEINADO","GOURMET",B121="147 - CAPSULAS","CAPSULAS",B121="130 - GALLETAS CAFECITAS","DERIVADOS",B121="140 - MERENGUES","DERIVADOS",B121="100 - CAFÉ ESPECIAL","ESPECIALES",B121="141 - AREQUIPE","DERIVADOS",B121="142 - MERMELADA","DERIVADOS",B121="131 - GALLETAS AVENA","DERIVADOS",B121="160 - SOUVENIR","OTROS",B121="148 - CARAMELOS","DERIVADOS",B121="143 - CHOCOFFES","DERIVADOS",B121="162 - CONVENIOS Y DSC POS ","OTROS"),"OTROS")</f>
        <v>GOURMET</v>
      </c>
      <c r="L121" s="27">
        <f t="shared" si="14"/>
        <v>319902</v>
      </c>
      <c r="M121" s="27">
        <f t="shared" si="15"/>
        <v>319902</v>
      </c>
    </row>
    <row r="122" spans="1:13" ht="16.5" hidden="1" outlineLevel="1">
      <c r="A122" s="38"/>
      <c r="B122" s="39" t="s">
        <v>21</v>
      </c>
      <c r="C122" s="36">
        <v>5273653</v>
      </c>
      <c r="D122" s="36">
        <v>-284231</v>
      </c>
      <c r="E122" s="36">
        <v>0</v>
      </c>
      <c r="F122" s="36">
        <v>29634733.52</v>
      </c>
      <c r="G122" s="37">
        <f t="shared" si="16"/>
        <v>0.17795513485690356</v>
      </c>
      <c r="H122" s="23">
        <f t="shared" si="18"/>
        <v>-5.1140146141948985E-2</v>
      </c>
      <c r="I122" s="24">
        <f t="shared" si="18"/>
        <v>0</v>
      </c>
      <c r="J122" s="32" t="str" cm="1">
        <f t="array" ref="J122">IFERROR(_xlfn.IFS(B122="044 - BLEND TRADICION","BLEND",B122="113 - CAFÉ GOURMET","GOURMET",B122="114 - CAFÉ CONSUMO","CONSUMO",B122="112 - CAFÉ ORGANICO","GOURMET",B122="172 - CAFÉ COSECHA","ESPECIALES",B122="176 - CAFE DESCAFEINADO","GOURMET",B122="147 - CAPSULAS","CAPSULAS",B122="130 - GALLETAS CAFECITAS","DERIVADOS",B122="140 - MERENGUES","DERIVADOS",B122="100 - CAFÉ ESPECIAL","ESPECIALES",B122="141 - AREQUIPE","DERIVADOS",B122="142 - MERMELADA","DERIVADOS",B122="131 - GALLETAS AVENA","DERIVADOS",B122="160 - SOUVENIR","OTROS",B122="148 - CARAMELOS","DERIVADOS",B122="143 - CHOCOFFES","DERIVADOS",B122="162 - CONVENIOS Y DSC POS ","OTROS"),"OTROS")</f>
        <v>GOURMET</v>
      </c>
      <c r="L122" s="27">
        <f t="shared" si="14"/>
        <v>5557884</v>
      </c>
      <c r="M122" s="27">
        <f t="shared" si="15"/>
        <v>5557884</v>
      </c>
    </row>
    <row r="123" spans="1:13" ht="16.5" hidden="1" outlineLevel="1">
      <c r="A123" s="38"/>
      <c r="B123" s="39" t="s">
        <v>22</v>
      </c>
      <c r="C123" s="36">
        <v>1993425</v>
      </c>
      <c r="D123" s="36">
        <v>0</v>
      </c>
      <c r="E123" s="36"/>
      <c r="F123" s="36">
        <v>7797334.1100000003</v>
      </c>
      <c r="G123" s="37">
        <f t="shared" si="16"/>
        <v>0.25565468554739151</v>
      </c>
      <c r="H123" s="23">
        <f t="shared" si="18"/>
        <v>0</v>
      </c>
      <c r="I123" s="24">
        <f t="shared" si="18"/>
        <v>0</v>
      </c>
      <c r="J123" s="32" t="str" cm="1">
        <f t="array" ref="J123">IFERROR(_xlfn.IFS(B123="044 - BLEND TRADICION","BLEND",B123="113 - CAFÉ GOURMET","GOURMET",B123="114 - CAFÉ CONSUMO","CONSUMO",B123="112 - CAFÉ ORGANICO","GOURMET",B123="172 - CAFÉ COSECHA","ESPECIALES",B123="176 - CAFE DESCAFEINADO","GOURMET",B123="147 - CAPSULAS","CAPSULAS",B123="130 - GALLETAS CAFECITAS","DERIVADOS",B123="140 - MERENGUES","DERIVADOS",B123="100 - CAFÉ ESPECIAL","ESPECIALES",B123="141 - AREQUIPE","DERIVADOS",B123="142 - MERMELADA","DERIVADOS",B123="131 - GALLETAS AVENA","DERIVADOS",B123="160 - SOUVENIR","OTROS",B123="148 - CARAMELOS","DERIVADOS",B123="143 - CHOCOFFES","DERIVADOS",B123="162 - CONVENIOS Y DSC POS ","OTROS"),"OTROS")</f>
        <v>DERIVADOS</v>
      </c>
      <c r="L123" s="27">
        <f t="shared" si="14"/>
        <v>1993425</v>
      </c>
      <c r="M123" s="27">
        <f t="shared" si="15"/>
        <v>1993425</v>
      </c>
    </row>
    <row r="124" spans="1:13" ht="16.5" hidden="1" outlineLevel="1">
      <c r="A124" s="38"/>
      <c r="B124" s="39" t="s">
        <v>23</v>
      </c>
      <c r="C124" s="36">
        <v>0</v>
      </c>
      <c r="D124" s="36">
        <v>0</v>
      </c>
      <c r="E124" s="36">
        <v>0</v>
      </c>
      <c r="F124" s="36">
        <v>251654.35</v>
      </c>
      <c r="G124" s="37">
        <f t="shared" si="16"/>
        <v>0</v>
      </c>
      <c r="H124" s="23">
        <f t="shared" si="18"/>
        <v>0</v>
      </c>
      <c r="I124" s="24">
        <f t="shared" si="18"/>
        <v>0</v>
      </c>
      <c r="J124" s="32" t="str" cm="1">
        <f t="array" ref="J124">IFERROR(_xlfn.IFS(B124="044 - BLEND TRADICION","BLEND",B124="113 - CAFÉ GOURMET","GOURMET",B124="114 - CAFÉ CONSUMO","CONSUMO",B124="112 - CAFÉ ORGANICO","GOURMET",B124="172 - CAFÉ COSECHA","ESPECIALES",B124="176 - CAFE DESCAFEINADO","GOURMET",B124="147 - CAPSULAS","CAPSULAS",B124="130 - GALLETAS CAFECITAS","DERIVADOS",B124="140 - MERENGUES","DERIVADOS",B124="100 - CAFÉ ESPECIAL","ESPECIALES",B124="141 - AREQUIPE","DERIVADOS",B124="142 - MERMELADA","DERIVADOS",B124="131 - GALLETAS AVENA","DERIVADOS",B124="160 - SOUVENIR","OTROS",B124="148 - CARAMELOS","DERIVADOS",B124="143 - CHOCOFFES","DERIVADOS",B124="162 - CONVENIOS Y DSC POS ","OTROS"),"OTROS")</f>
        <v>DERIVADOS</v>
      </c>
      <c r="L124" s="27">
        <f t="shared" si="14"/>
        <v>0</v>
      </c>
      <c r="M124" s="27">
        <f t="shared" si="15"/>
        <v>0</v>
      </c>
    </row>
    <row r="125" spans="1:13" ht="16.5" hidden="1" outlineLevel="1">
      <c r="A125" s="38"/>
      <c r="B125" s="39" t="s">
        <v>24</v>
      </c>
      <c r="C125" s="36">
        <v>177812</v>
      </c>
      <c r="D125" s="36">
        <v>0</v>
      </c>
      <c r="E125" s="36">
        <v>0</v>
      </c>
      <c r="F125" s="36">
        <v>965398.25</v>
      </c>
      <c r="G125" s="37">
        <f t="shared" si="16"/>
        <v>0.18418512774391294</v>
      </c>
      <c r="H125" s="23">
        <f t="shared" si="18"/>
        <v>0</v>
      </c>
      <c r="I125" s="24">
        <f t="shared" si="18"/>
        <v>0</v>
      </c>
      <c r="J125" s="32" t="str" cm="1">
        <f t="array" ref="J125">IFERROR(_xlfn.IFS(B125="044 - BLEND TRADICION","BLEND",B125="113 - CAFÉ GOURMET","GOURMET",B125="114 - CAFÉ CONSUMO","CONSUMO",B125="112 - CAFÉ ORGANICO","GOURMET",B125="172 - CAFÉ COSECHA","ESPECIALES",B125="176 - CAFE DESCAFEINADO","GOURMET",B125="147 - CAPSULAS","CAPSULAS",B125="130 - GALLETAS CAFECITAS","DERIVADOS",B125="140 - MERENGUES","DERIVADOS",B125="100 - CAFÉ ESPECIAL","ESPECIALES",B125="141 - AREQUIPE","DERIVADOS",B125="142 - MERMELADA","DERIVADOS",B125="131 - GALLETAS AVENA","DERIVADOS",B125="160 - SOUVENIR","OTROS",B125="148 - CARAMELOS","DERIVADOS",B125="143 - CHOCOFFES","DERIVADOS",B125="162 - CONVENIOS Y DSC POS ","OTROS"),"OTROS")</f>
        <v>DERIVADOS</v>
      </c>
      <c r="L125" s="27">
        <f t="shared" si="14"/>
        <v>177812</v>
      </c>
      <c r="M125" s="27">
        <f t="shared" si="15"/>
        <v>177812</v>
      </c>
    </row>
    <row r="126" spans="1:13" ht="16.5" hidden="1" outlineLevel="1">
      <c r="A126" s="38"/>
      <c r="B126" s="39" t="s">
        <v>25</v>
      </c>
      <c r="C126" s="36">
        <v>1018995</v>
      </c>
      <c r="D126" s="36">
        <v>0</v>
      </c>
      <c r="E126" s="36"/>
      <c r="F126" s="36">
        <v>4939039.0999999996</v>
      </c>
      <c r="G126" s="37">
        <f t="shared" si="16"/>
        <v>0.20631442257665061</v>
      </c>
      <c r="H126" s="23">
        <f t="shared" si="18"/>
        <v>0</v>
      </c>
      <c r="I126" s="24">
        <f t="shared" si="18"/>
        <v>0</v>
      </c>
      <c r="J126" s="32" t="str" cm="1">
        <f t="array" ref="J126">IFERROR(_xlfn.IFS(B126="044 - BLEND TRADICION","BLEND",B126="113 - CAFÉ GOURMET","GOURMET",B126="114 - CAFÉ CONSUMO","CONSUMO",B126="112 - CAFÉ ORGANICO","GOURMET",B126="172 - CAFÉ COSECHA","ESPECIALES",B126="176 - CAFE DESCAFEINADO","GOURMET",B126="147 - CAPSULAS","CAPSULAS",B126="130 - GALLETAS CAFECITAS","DERIVADOS",B126="140 - MERENGUES","DERIVADOS",B126="100 - CAFÉ ESPECIAL","ESPECIALES",B126="141 - AREQUIPE","DERIVADOS",B126="142 - MERMELADA","DERIVADOS",B126="131 - GALLETAS AVENA","DERIVADOS",B126="160 - SOUVENIR","OTROS",B126="148 - CARAMELOS","DERIVADOS",B126="143 - CHOCOFFES","DERIVADOS",B126="162 - CONVENIOS Y DSC POS ","OTROS"),"OTROS")</f>
        <v>DERIVADOS</v>
      </c>
      <c r="L126" s="27">
        <f t="shared" si="14"/>
        <v>1018995</v>
      </c>
      <c r="M126" s="27">
        <f t="shared" si="15"/>
        <v>1018995</v>
      </c>
    </row>
    <row r="127" spans="1:13" ht="16.5" hidden="1" outlineLevel="1">
      <c r="A127" s="38"/>
      <c r="B127" s="39" t="s">
        <v>26</v>
      </c>
      <c r="C127" s="36">
        <v>228552</v>
      </c>
      <c r="D127" s="36">
        <v>0</v>
      </c>
      <c r="E127" s="36"/>
      <c r="F127" s="36">
        <v>1642173.15</v>
      </c>
      <c r="G127" s="37">
        <f t="shared" si="16"/>
        <v>0.1391765539462145</v>
      </c>
      <c r="H127" s="23">
        <f t="shared" si="18"/>
        <v>0</v>
      </c>
      <c r="I127" s="24">
        <f t="shared" si="18"/>
        <v>0</v>
      </c>
      <c r="J127" s="32" t="str" cm="1">
        <f t="array" ref="J127">IFERROR(_xlfn.IFS(B127="044 - BLEND TRADICION","BLEND",B127="113 - CAFÉ GOURMET","GOURMET",B127="114 - CAFÉ CONSUMO","CONSUMO",B127="112 - CAFÉ ORGANICO","GOURMET",B127="172 - CAFÉ COSECHA","ESPECIALES",B127="176 - CAFE DESCAFEINADO","GOURMET",B127="147 - CAPSULAS","CAPSULAS",B127="130 - GALLETAS CAFECITAS","DERIVADOS",B127="140 - MERENGUES","DERIVADOS",B127="100 - CAFÉ ESPECIAL","ESPECIALES",B127="141 - AREQUIPE","DERIVADOS",B127="142 - MERMELADA","DERIVADOS",B127="131 - GALLETAS AVENA","DERIVADOS",B127="160 - SOUVENIR","OTROS",B127="148 - CARAMELOS","DERIVADOS",B127="143 - CHOCOFFES","DERIVADOS",B127="162 - CONVENIOS Y DSC POS ","OTROS"),"OTROS")</f>
        <v>CAPSULAS</v>
      </c>
      <c r="L127" s="27">
        <f t="shared" si="14"/>
        <v>228552</v>
      </c>
      <c r="M127" s="27">
        <f t="shared" si="15"/>
        <v>228552</v>
      </c>
    </row>
    <row r="128" spans="1:13" ht="16.5" hidden="1" outlineLevel="1">
      <c r="A128" s="38"/>
      <c r="B128" s="39" t="s">
        <v>27</v>
      </c>
      <c r="C128" s="36">
        <v>1561955</v>
      </c>
      <c r="D128" s="36">
        <v>0</v>
      </c>
      <c r="E128" s="36"/>
      <c r="F128" s="36">
        <v>3108561.46</v>
      </c>
      <c r="G128" s="37">
        <f t="shared" si="16"/>
        <v>0.50246875286165327</v>
      </c>
      <c r="H128" s="23">
        <f t="shared" ref="H128:I143" si="19">IFERROR(+D128/L128*100%,0)</f>
        <v>0</v>
      </c>
      <c r="I128" s="24">
        <f t="shared" si="19"/>
        <v>0</v>
      </c>
      <c r="J128" s="32" t="str" cm="1">
        <f t="array" ref="J128">IFERROR(_xlfn.IFS(B128="044 - BLEND TRADICION","BLEND",B128="113 - CAFÉ GOURMET","GOURMET",B128="114 - CAFÉ CONSUMO","CONSUMO",B128="112 - CAFÉ ORGANICO","GOURMET",B128="172 - CAFÉ COSECHA","ESPECIALES",B128="176 - CAFE DESCAFEINADO","GOURMET",B128="147 - CAPSULAS","CAPSULAS",B128="130 - GALLETAS CAFECITAS","DERIVADOS",B128="140 - MERENGUES","DERIVADOS",B128="100 - CAFÉ ESPECIAL","ESPECIALES",B128="141 - AREQUIPE","DERIVADOS",B128="142 - MERMELADA","DERIVADOS",B128="131 - GALLETAS AVENA","DERIVADOS",B128="160 - SOUVENIR","OTROS",B128="148 - CARAMELOS","DERIVADOS",B128="143 - CHOCOFFES","DERIVADOS",B128="162 - CONVENIOS Y DSC POS ","OTROS"),"OTROS")</f>
        <v>DERIVADOS</v>
      </c>
      <c r="L128" s="27">
        <f t="shared" si="14"/>
        <v>1561955</v>
      </c>
      <c r="M128" s="27">
        <f t="shared" si="15"/>
        <v>1561955</v>
      </c>
    </row>
    <row r="129" spans="1:13" ht="16.5" hidden="1" outlineLevel="1">
      <c r="A129" s="38"/>
      <c r="B129" s="39" t="s">
        <v>28</v>
      </c>
      <c r="C129" s="36">
        <v>79379</v>
      </c>
      <c r="D129" s="36">
        <v>0</v>
      </c>
      <c r="E129" s="36">
        <v>0</v>
      </c>
      <c r="F129" s="36">
        <v>1929397.03</v>
      </c>
      <c r="G129" s="37">
        <f t="shared" si="16"/>
        <v>4.1141869073987328E-2</v>
      </c>
      <c r="H129" s="23">
        <f t="shared" si="19"/>
        <v>0</v>
      </c>
      <c r="I129" s="24">
        <f t="shared" si="19"/>
        <v>0</v>
      </c>
      <c r="J129" s="32" t="str" cm="1">
        <f t="array" ref="J129">IFERROR(_xlfn.IFS(B129="044 - BLEND TRADICION","BLEND",B129="113 - CAFÉ GOURMET","GOURMET",B129="114 - CAFÉ CONSUMO","CONSUMO",B129="112 - CAFÉ ORGANICO","GOURMET",B129="172 - CAFÉ COSECHA","ESPECIALES",B129="176 - CAFE DESCAFEINADO","GOURMET",B129="147 - CAPSULAS","CAPSULAS",B129="130 - GALLETAS CAFECITAS","DERIVADOS",B129="140 - MERENGUES","DERIVADOS",B129="100 - CAFÉ ESPECIAL","ESPECIALES",B129="141 - AREQUIPE","DERIVADOS",B129="142 - MERMELADA","DERIVADOS",B129="131 - GALLETAS AVENA","DERIVADOS",B129="160 - SOUVENIR","OTROS",B129="148 - CARAMELOS","DERIVADOS",B129="143 - CHOCOFFES","DERIVADOS",B129="162 - CONVENIOS Y DSC POS ","OTROS"),"OTROS")</f>
        <v>OTROS</v>
      </c>
      <c r="L129" s="27">
        <f t="shared" si="14"/>
        <v>79379</v>
      </c>
      <c r="M129" s="27">
        <f t="shared" si="15"/>
        <v>79379</v>
      </c>
    </row>
    <row r="130" spans="1:13" ht="16.5" hidden="1" outlineLevel="1">
      <c r="A130" s="38"/>
      <c r="B130" s="39" t="s">
        <v>29</v>
      </c>
      <c r="C130" s="36">
        <v>127352</v>
      </c>
      <c r="D130" s="36">
        <v>0</v>
      </c>
      <c r="E130" s="36"/>
      <c r="F130" s="36">
        <v>2019776.56</v>
      </c>
      <c r="G130" s="37">
        <f t="shared" si="16"/>
        <v>6.3052519037056262E-2</v>
      </c>
      <c r="H130" s="23">
        <f t="shared" si="19"/>
        <v>0</v>
      </c>
      <c r="I130" s="24">
        <f t="shared" si="19"/>
        <v>0</v>
      </c>
      <c r="J130" s="32" t="str" cm="1">
        <f t="array" ref="J130">IFERROR(_xlfn.IFS(B130="044 - BLEND TRADICION","BLEND",B130="113 - CAFÉ GOURMET","GOURMET",B130="114 - CAFÉ CONSUMO","CONSUMO",B130="112 - CAFÉ ORGANICO","GOURMET",B130="172 - CAFÉ COSECHA","ESPECIALES",B130="176 - CAFE DESCAFEINADO","GOURMET",B130="147 - CAPSULAS","CAPSULAS",B130="130 - GALLETAS CAFECITAS","DERIVADOS",B130="140 - MERENGUES","DERIVADOS",B130="100 - CAFÉ ESPECIAL","ESPECIALES",B130="141 - AREQUIPE","DERIVADOS",B130="142 - MERMELADA","DERIVADOS",B130="131 - GALLETAS AVENA","DERIVADOS",B130="160 - SOUVENIR","OTROS",B130="148 - CARAMELOS","DERIVADOS",B130="143 - CHOCOFFES","DERIVADOS",B130="162 - CONVENIOS Y DSC POS ","OTROS"),"OTROS")</f>
        <v>ESPECIALES</v>
      </c>
      <c r="L130" s="27">
        <f t="shared" si="14"/>
        <v>127352</v>
      </c>
      <c r="M130" s="27">
        <f t="shared" si="15"/>
        <v>127352</v>
      </c>
    </row>
    <row r="131" spans="1:13" ht="16.5" hidden="1" outlineLevel="1">
      <c r="A131" s="38"/>
      <c r="B131" s="39" t="s">
        <v>30</v>
      </c>
      <c r="C131" s="36">
        <v>0</v>
      </c>
      <c r="D131" s="36">
        <v>0</v>
      </c>
      <c r="E131" s="36">
        <v>0</v>
      </c>
      <c r="F131" s="36">
        <v>75457.58</v>
      </c>
      <c r="G131" s="37">
        <f t="shared" si="16"/>
        <v>0</v>
      </c>
      <c r="H131" s="23">
        <f t="shared" si="19"/>
        <v>0</v>
      </c>
      <c r="I131" s="24">
        <f t="shared" si="19"/>
        <v>0</v>
      </c>
      <c r="J131" s="32" t="str" cm="1">
        <f t="array" ref="J131">IFERROR(_xlfn.IFS(B131="044 - BLEND TRADICION","BLEND",B131="113 - CAFÉ GOURMET","GOURMET",B131="114 - CAFÉ CONSUMO","CONSUMO",B131="112 - CAFÉ ORGANICO","GOURMET",B131="172 - CAFÉ COSECHA","ESPECIALES",B131="176 - CAFE DESCAFEINADO","GOURMET",B131="147 - CAPSULAS","CAPSULAS",B131="130 - GALLETAS CAFECITAS","DERIVADOS",B131="140 - MERENGUES","DERIVADOS",B131="100 - CAFÉ ESPECIAL","ESPECIALES",B131="141 - AREQUIPE","DERIVADOS",B131="142 - MERMELADA","DERIVADOS",B131="131 - GALLETAS AVENA","DERIVADOS",B131="160 - SOUVENIR","OTROS",B131="148 - CARAMELOS","DERIVADOS",B131="143 - CHOCOFFES","DERIVADOS",B131="162 - CONVENIOS Y DSC POS ","OTROS"),"OTROS")</f>
        <v>GOURMET</v>
      </c>
      <c r="L131" s="27">
        <f t="shared" si="14"/>
        <v>0</v>
      </c>
      <c r="M131" s="27">
        <f t="shared" si="15"/>
        <v>0</v>
      </c>
    </row>
    <row r="132" spans="1:13" ht="16.5" hidden="1" outlineLevel="1">
      <c r="A132" s="19" t="s">
        <v>49</v>
      </c>
      <c r="B132" s="56" t="s">
        <v>32</v>
      </c>
      <c r="C132" s="54">
        <f>SUM(C119:C131)</f>
        <v>12045376</v>
      </c>
      <c r="D132" s="54">
        <f>SUM(D119:D131)</f>
        <v>-284231</v>
      </c>
      <c r="E132" s="54">
        <f>SUM(E119:E131)</f>
        <v>0</v>
      </c>
      <c r="F132" s="58">
        <f>SUM(F119:F131)</f>
        <v>58873274.050000004</v>
      </c>
      <c r="G132" s="55">
        <f t="shared" si="16"/>
        <v>0.20459837157638083</v>
      </c>
      <c r="H132" s="23">
        <f t="shared" si="19"/>
        <v>-2.305272179397121E-2</v>
      </c>
      <c r="I132" s="24">
        <f t="shared" si="19"/>
        <v>0</v>
      </c>
      <c r="J132" s="32" t="str" cm="1">
        <f t="array" ref="J132">IFERROR(_xlfn.IFS(B132="044 - BLEND TRADICION","BLEND",B132="113 - CAFÉ GOURMET","GOURMET",B132="114 - CAFÉ CONSUMO","CONSUMO",B132="112 - CAFÉ ORGANICO","GOURMET",B132="172 - CAFÉ COSECHA","ESPECIALES",B132="176 - CAFE DESCAFEINADO","GOURMET",B132="147 - CAPSULAS","CAPSULAS",B132="130 - GALLETAS CAFECITAS","DERIVADOS",B132="140 - MERENGUES","DERIVADOS",B132="100 - CAFÉ ESPECIAL","ESPECIALES",B132="141 - AREQUIPE","DERIVADOS",B132="142 - MERMELADA","DERIVADOS",B132="131 - GALLETAS AVENA","DERIVADOS",B132="160 - SOUVENIR","OTROS",B132="148 - CARAMELOS","DERIVADOS",B132="143 - CHOCOFFES","DERIVADOS",B132="162 - CONVENIOS Y DSC POS ","OTROS"),"OTROS")</f>
        <v>OTROS</v>
      </c>
      <c r="L132" s="27">
        <f t="shared" si="14"/>
        <v>12329607</v>
      </c>
      <c r="M132" s="27">
        <f t="shared" si="15"/>
        <v>12329607</v>
      </c>
    </row>
    <row r="133" spans="1:13" ht="16.5" hidden="1" outlineLevel="1">
      <c r="A133" s="33"/>
      <c r="B133" s="39" t="s">
        <v>18</v>
      </c>
      <c r="C133" s="36">
        <v>844992</v>
      </c>
      <c r="D133" s="36">
        <v>0</v>
      </c>
      <c r="E133" s="36"/>
      <c r="F133" s="36">
        <v>5334403.3099999996</v>
      </c>
      <c r="G133" s="37">
        <f t="shared" si="16"/>
        <v>0.1584042208462112</v>
      </c>
      <c r="H133" s="23">
        <f t="shared" si="19"/>
        <v>0</v>
      </c>
      <c r="I133" s="24">
        <f t="shared" si="19"/>
        <v>0</v>
      </c>
      <c r="J133" s="32" t="str" cm="1">
        <f t="array" ref="J133">IFERROR(_xlfn.IFS(B133="044 - BLEND TRADICION","BLEND",B133="113 - CAFÉ GOURMET","GOURMET",B133="114 - CAFÉ CONSUMO","CONSUMO",B133="112 - CAFÉ ORGANICO","GOURMET",B133="172 - CAFÉ COSECHA","ESPECIALES",B133="176 - CAFE DESCAFEINADO","GOURMET",B133="147 - CAPSULAS","CAPSULAS",B133="130 - GALLETAS CAFECITAS","DERIVADOS",B133="140 - MERENGUES","DERIVADOS",B133="100 - CAFÉ ESPECIAL","ESPECIALES",B133="141 - AREQUIPE","DERIVADOS",B133="142 - MERMELADA","DERIVADOS",B133="131 - GALLETAS AVENA","DERIVADOS",B133="160 - SOUVENIR","OTROS",B133="148 - CARAMELOS","DERIVADOS",B133="143 - CHOCOFFES","DERIVADOS",B133="162 - CONVENIOS Y DSC POS ","OTROS"),"OTROS")</f>
        <v>BLEND</v>
      </c>
      <c r="L133" s="27">
        <f t="shared" si="14"/>
        <v>844992</v>
      </c>
      <c r="M133" s="27">
        <f t="shared" si="15"/>
        <v>844992</v>
      </c>
    </row>
    <row r="134" spans="1:13" ht="16.5" hidden="1" outlineLevel="1">
      <c r="A134" s="38"/>
      <c r="B134" s="39" t="s">
        <v>19</v>
      </c>
      <c r="C134" s="36">
        <v>0</v>
      </c>
      <c r="D134" s="36">
        <v>0</v>
      </c>
      <c r="E134" s="36"/>
      <c r="F134" s="36">
        <v>1332928.3500000001</v>
      </c>
      <c r="G134" s="37">
        <f t="shared" si="16"/>
        <v>0</v>
      </c>
      <c r="H134" s="23">
        <f t="shared" si="19"/>
        <v>0</v>
      </c>
      <c r="I134" s="24">
        <f t="shared" si="19"/>
        <v>0</v>
      </c>
      <c r="J134" s="32" t="str" cm="1">
        <f t="array" ref="J134">IFERROR(_xlfn.IFS(B134="044 - BLEND TRADICION","BLEND",B134="113 - CAFÉ GOURMET","GOURMET",B134="114 - CAFÉ CONSUMO","CONSUMO",B134="112 - CAFÉ ORGANICO","GOURMET",B134="172 - CAFÉ COSECHA","ESPECIALES",B134="176 - CAFE DESCAFEINADO","GOURMET",B134="147 - CAPSULAS","CAPSULAS",B134="130 - GALLETAS CAFECITAS","DERIVADOS",B134="140 - MERENGUES","DERIVADOS",B134="100 - CAFÉ ESPECIAL","ESPECIALES",B134="141 - AREQUIPE","DERIVADOS",B134="142 - MERMELADA","DERIVADOS",B134="131 - GALLETAS AVENA","DERIVADOS",B134="160 - SOUVENIR","OTROS",B134="148 - CARAMELOS","DERIVADOS",B134="143 - CHOCOFFES","DERIVADOS",B134="162 - CONVENIOS Y DSC POS ","OTROS"),"OTROS")</f>
        <v>ESPECIALES</v>
      </c>
      <c r="L134" s="27">
        <f t="shared" si="14"/>
        <v>0</v>
      </c>
      <c r="M134" s="27">
        <f t="shared" si="15"/>
        <v>0</v>
      </c>
    </row>
    <row r="135" spans="1:13" ht="16.5" hidden="1" outlineLevel="1">
      <c r="A135" s="38"/>
      <c r="B135" s="39" t="s">
        <v>20</v>
      </c>
      <c r="C135" s="36">
        <v>767760</v>
      </c>
      <c r="D135" s="36">
        <v>0</v>
      </c>
      <c r="E135" s="36"/>
      <c r="F135" s="36">
        <v>1484611.46</v>
      </c>
      <c r="G135" s="37">
        <f>IFERROR(C135/F135*100%,"-")</f>
        <v>0.51714540853672253</v>
      </c>
      <c r="H135" s="23">
        <f t="shared" si="19"/>
        <v>0</v>
      </c>
      <c r="I135" s="24">
        <f t="shared" si="19"/>
        <v>0</v>
      </c>
      <c r="J135" s="32" t="str" cm="1">
        <f t="array" ref="J135">IFERROR(_xlfn.IFS(B135="044 - BLEND TRADICION","BLEND",B135="113 - CAFÉ GOURMET","GOURMET",B135="114 - CAFÉ CONSUMO","CONSUMO",B135="112 - CAFÉ ORGANICO","GOURMET",B135="172 - CAFÉ COSECHA","ESPECIALES",B135="176 - CAFE DESCAFEINADO","GOURMET",B135="147 - CAPSULAS","CAPSULAS",B135="130 - GALLETAS CAFECITAS","DERIVADOS",B135="140 - MERENGUES","DERIVADOS",B135="100 - CAFÉ ESPECIAL","ESPECIALES",B135="141 - AREQUIPE","DERIVADOS",B135="142 - MERMELADA","DERIVADOS",B135="131 - GALLETAS AVENA","DERIVADOS",B135="160 - SOUVENIR","OTROS",B135="148 - CARAMELOS","DERIVADOS",B135="143 - CHOCOFFES","DERIVADOS",B135="162 - CONVENIOS Y DSC POS ","OTROS"),"OTROS")</f>
        <v>GOURMET</v>
      </c>
      <c r="L135" s="27">
        <f t="shared" si="14"/>
        <v>767760</v>
      </c>
      <c r="M135" s="27">
        <f t="shared" si="15"/>
        <v>767760</v>
      </c>
    </row>
    <row r="136" spans="1:13" ht="16.5" hidden="1" outlineLevel="1">
      <c r="A136" s="38"/>
      <c r="B136" s="39" t="s">
        <v>21</v>
      </c>
      <c r="C136" s="36">
        <v>18618488</v>
      </c>
      <c r="D136" s="36">
        <v>0</v>
      </c>
      <c r="E136" s="36"/>
      <c r="F136" s="36">
        <v>49968995.509999998</v>
      </c>
      <c r="G136" s="37">
        <f t="shared" ref="G136:G145" si="20">IFERROR(C136/F136*100%,"-")</f>
        <v>0.37260080595924711</v>
      </c>
      <c r="H136" s="23">
        <f t="shared" si="19"/>
        <v>0</v>
      </c>
      <c r="I136" s="24">
        <f t="shared" si="19"/>
        <v>0</v>
      </c>
      <c r="J136" s="32" t="str" cm="1">
        <f t="array" ref="J136">IFERROR(_xlfn.IFS(B136="044 - BLEND TRADICION","BLEND",B136="113 - CAFÉ GOURMET","GOURMET",B136="114 - CAFÉ CONSUMO","CONSUMO",B136="112 - CAFÉ ORGANICO","GOURMET",B136="172 - CAFÉ COSECHA","ESPECIALES",B136="176 - CAFE DESCAFEINADO","GOURMET",B136="147 - CAPSULAS","CAPSULAS",B136="130 - GALLETAS CAFECITAS","DERIVADOS",B136="140 - MERENGUES","DERIVADOS",B136="100 - CAFÉ ESPECIAL","ESPECIALES",B136="141 - AREQUIPE","DERIVADOS",B136="142 - MERMELADA","DERIVADOS",B136="131 - GALLETAS AVENA","DERIVADOS",B136="160 - SOUVENIR","OTROS",B136="148 - CARAMELOS","DERIVADOS",B136="143 - CHOCOFFES","DERIVADOS",B136="162 - CONVENIOS Y DSC POS ","OTROS"),"OTROS")</f>
        <v>GOURMET</v>
      </c>
      <c r="L136" s="27">
        <f t="shared" ref="L136:L199" si="21">C136-(D136+E136)</f>
        <v>18618488</v>
      </c>
      <c r="M136" s="27">
        <f t="shared" ref="M136:M199" si="22">L136</f>
        <v>18618488</v>
      </c>
    </row>
    <row r="137" spans="1:13" ht="16.5" hidden="1" outlineLevel="1">
      <c r="A137" s="38"/>
      <c r="B137" s="39" t="s">
        <v>22</v>
      </c>
      <c r="C137" s="36">
        <v>1894708</v>
      </c>
      <c r="D137" s="36">
        <v>0</v>
      </c>
      <c r="E137" s="36"/>
      <c r="F137" s="36">
        <v>9961569.3200000003</v>
      </c>
      <c r="G137" s="37">
        <f t="shared" si="20"/>
        <v>0.19020175829083122</v>
      </c>
      <c r="H137" s="23">
        <f t="shared" si="19"/>
        <v>0</v>
      </c>
      <c r="I137" s="24">
        <f t="shared" si="19"/>
        <v>0</v>
      </c>
      <c r="J137" s="32" t="str" cm="1">
        <f t="array" ref="J137">IFERROR(_xlfn.IFS(B137="044 - BLEND TRADICION","BLEND",B137="113 - CAFÉ GOURMET","GOURMET",B137="114 - CAFÉ CONSUMO","CONSUMO",B137="112 - CAFÉ ORGANICO","GOURMET",B137="172 - CAFÉ COSECHA","ESPECIALES",B137="176 - CAFE DESCAFEINADO","GOURMET",B137="147 - CAPSULAS","CAPSULAS",B137="130 - GALLETAS CAFECITAS","DERIVADOS",B137="140 - MERENGUES","DERIVADOS",B137="100 - CAFÉ ESPECIAL","ESPECIALES",B137="141 - AREQUIPE","DERIVADOS",B137="142 - MERMELADA","DERIVADOS",B137="131 - GALLETAS AVENA","DERIVADOS",B137="160 - SOUVENIR","OTROS",B137="148 - CARAMELOS","DERIVADOS",B137="143 - CHOCOFFES","DERIVADOS",B137="162 - CONVENIOS Y DSC POS ","OTROS"),"OTROS")</f>
        <v>DERIVADOS</v>
      </c>
      <c r="L137" s="27">
        <f t="shared" si="21"/>
        <v>1894708</v>
      </c>
      <c r="M137" s="27">
        <f t="shared" si="22"/>
        <v>1894708</v>
      </c>
    </row>
    <row r="138" spans="1:13" ht="16.5" hidden="1" outlineLevel="1">
      <c r="A138" s="38"/>
      <c r="B138" s="39" t="s">
        <v>23</v>
      </c>
      <c r="C138" s="36">
        <v>0</v>
      </c>
      <c r="D138" s="36">
        <v>0</v>
      </c>
      <c r="E138" s="36"/>
      <c r="F138" s="36">
        <v>11794.96</v>
      </c>
      <c r="G138" s="37">
        <f t="shared" si="20"/>
        <v>0</v>
      </c>
      <c r="H138" s="23">
        <f t="shared" si="19"/>
        <v>0</v>
      </c>
      <c r="I138" s="24">
        <f t="shared" si="19"/>
        <v>0</v>
      </c>
      <c r="J138" s="32" t="str" cm="1">
        <f t="array" ref="J138">IFERROR(_xlfn.IFS(B138="044 - BLEND TRADICION","BLEND",B138="113 - CAFÉ GOURMET","GOURMET",B138="114 - CAFÉ CONSUMO","CONSUMO",B138="112 - CAFÉ ORGANICO","GOURMET",B138="172 - CAFÉ COSECHA","ESPECIALES",B138="176 - CAFE DESCAFEINADO","GOURMET",B138="147 - CAPSULAS","CAPSULAS",B138="130 - GALLETAS CAFECITAS","DERIVADOS",B138="140 - MERENGUES","DERIVADOS",B138="100 - CAFÉ ESPECIAL","ESPECIALES",B138="141 - AREQUIPE","DERIVADOS",B138="142 - MERMELADA","DERIVADOS",B138="131 - GALLETAS AVENA","DERIVADOS",B138="160 - SOUVENIR","OTROS",B138="148 - CARAMELOS","DERIVADOS",B138="143 - CHOCOFFES","DERIVADOS",B138="162 - CONVENIOS Y DSC POS ","OTROS"),"OTROS")</f>
        <v>DERIVADOS</v>
      </c>
      <c r="L138" s="27">
        <f t="shared" si="21"/>
        <v>0</v>
      </c>
      <c r="M138" s="27">
        <f t="shared" si="22"/>
        <v>0</v>
      </c>
    </row>
    <row r="139" spans="1:13" ht="16.5" hidden="1" outlineLevel="1">
      <c r="A139" s="38"/>
      <c r="B139" s="39" t="s">
        <v>24</v>
      </c>
      <c r="C139" s="36">
        <v>172459</v>
      </c>
      <c r="D139" s="36">
        <v>0</v>
      </c>
      <c r="E139" s="36"/>
      <c r="F139" s="36">
        <v>854376.78</v>
      </c>
      <c r="G139" s="37">
        <f t="shared" si="20"/>
        <v>0.20185356629191162</v>
      </c>
      <c r="H139" s="23">
        <f t="shared" si="19"/>
        <v>0</v>
      </c>
      <c r="I139" s="24">
        <f t="shared" si="19"/>
        <v>0</v>
      </c>
      <c r="J139" s="32" t="str" cm="1">
        <f t="array" ref="J139">IFERROR(_xlfn.IFS(B139="044 - BLEND TRADICION","BLEND",B139="113 - CAFÉ GOURMET","GOURMET",B139="114 - CAFÉ CONSUMO","CONSUMO",B139="112 - CAFÉ ORGANICO","GOURMET",B139="172 - CAFÉ COSECHA","ESPECIALES",B139="176 - CAFE DESCAFEINADO","GOURMET",B139="147 - CAPSULAS","CAPSULAS",B139="130 - GALLETAS CAFECITAS","DERIVADOS",B139="140 - MERENGUES","DERIVADOS",B139="100 - CAFÉ ESPECIAL","ESPECIALES",B139="141 - AREQUIPE","DERIVADOS",B139="142 - MERMELADA","DERIVADOS",B139="131 - GALLETAS AVENA","DERIVADOS",B139="160 - SOUVENIR","OTROS",B139="148 - CARAMELOS","DERIVADOS",B139="143 - CHOCOFFES","DERIVADOS",B139="162 - CONVENIOS Y DSC POS ","OTROS"),"OTROS")</f>
        <v>DERIVADOS</v>
      </c>
      <c r="L139" s="27">
        <f t="shared" si="21"/>
        <v>172459</v>
      </c>
      <c r="M139" s="27">
        <f t="shared" si="22"/>
        <v>172459</v>
      </c>
    </row>
    <row r="140" spans="1:13" ht="16.5" hidden="1" outlineLevel="1">
      <c r="A140" s="38"/>
      <c r="B140" s="39" t="s">
        <v>25</v>
      </c>
      <c r="C140" s="36">
        <v>919914</v>
      </c>
      <c r="D140" s="36">
        <v>0</v>
      </c>
      <c r="E140" s="36"/>
      <c r="F140" s="36">
        <v>3865702.13</v>
      </c>
      <c r="G140" s="37">
        <f t="shared" si="20"/>
        <v>0.23796815405433216</v>
      </c>
      <c r="H140" s="23">
        <f t="shared" si="19"/>
        <v>0</v>
      </c>
      <c r="I140" s="24">
        <f t="shared" si="19"/>
        <v>0</v>
      </c>
      <c r="J140" s="32" t="str" cm="1">
        <f t="array" ref="J140">IFERROR(_xlfn.IFS(B140="044 - BLEND TRADICION","BLEND",B140="113 - CAFÉ GOURMET","GOURMET",B140="114 - CAFÉ CONSUMO","CONSUMO",B140="112 - CAFÉ ORGANICO","GOURMET",B140="172 - CAFÉ COSECHA","ESPECIALES",B140="176 - CAFE DESCAFEINADO","GOURMET",B140="147 - CAPSULAS","CAPSULAS",B140="130 - GALLETAS CAFECITAS","DERIVADOS",B140="140 - MERENGUES","DERIVADOS",B140="100 - CAFÉ ESPECIAL","ESPECIALES",B140="141 - AREQUIPE","DERIVADOS",B140="142 - MERMELADA","DERIVADOS",B140="131 - GALLETAS AVENA","DERIVADOS",B140="160 - SOUVENIR","OTROS",B140="148 - CARAMELOS","DERIVADOS",B140="143 - CHOCOFFES","DERIVADOS",B140="162 - CONVENIOS Y DSC POS ","OTROS"),"OTROS")</f>
        <v>DERIVADOS</v>
      </c>
      <c r="L140" s="27">
        <f t="shared" si="21"/>
        <v>919914</v>
      </c>
      <c r="M140" s="27">
        <f t="shared" si="22"/>
        <v>919914</v>
      </c>
    </row>
    <row r="141" spans="1:13" ht="16.5" hidden="1" outlineLevel="1">
      <c r="A141" s="38"/>
      <c r="B141" s="39" t="s">
        <v>26</v>
      </c>
      <c r="C141" s="36">
        <v>238116</v>
      </c>
      <c r="D141" s="36">
        <v>0</v>
      </c>
      <c r="E141" s="36"/>
      <c r="F141" s="36">
        <v>866649.1</v>
      </c>
      <c r="G141" s="37">
        <f t="shared" si="20"/>
        <v>0.27475479983767365</v>
      </c>
      <c r="H141" s="23">
        <f t="shared" si="19"/>
        <v>0</v>
      </c>
      <c r="I141" s="24">
        <f t="shared" si="19"/>
        <v>0</v>
      </c>
      <c r="J141" s="32" t="str" cm="1">
        <f t="array" ref="J141">IFERROR(_xlfn.IFS(B141="044 - BLEND TRADICION","BLEND",B141="113 - CAFÉ GOURMET","GOURMET",B141="114 - CAFÉ CONSUMO","CONSUMO",B141="112 - CAFÉ ORGANICO","GOURMET",B141="172 - CAFÉ COSECHA","ESPECIALES",B141="176 - CAFE DESCAFEINADO","GOURMET",B141="147 - CAPSULAS","CAPSULAS",B141="130 - GALLETAS CAFECITAS","DERIVADOS",B141="140 - MERENGUES","DERIVADOS",B141="100 - CAFÉ ESPECIAL","ESPECIALES",B141="141 - AREQUIPE","DERIVADOS",B141="142 - MERMELADA","DERIVADOS",B141="131 - GALLETAS AVENA","DERIVADOS",B141="160 - SOUVENIR","OTROS",B141="148 - CARAMELOS","DERIVADOS",B141="143 - CHOCOFFES","DERIVADOS",B141="162 - CONVENIOS Y DSC POS ","OTROS"),"OTROS")</f>
        <v>CAPSULAS</v>
      </c>
      <c r="L141" s="27">
        <f t="shared" si="21"/>
        <v>238116</v>
      </c>
      <c r="M141" s="27">
        <f t="shared" si="22"/>
        <v>238116</v>
      </c>
    </row>
    <row r="142" spans="1:13" ht="16.5" hidden="1" outlineLevel="1">
      <c r="A142" s="38"/>
      <c r="B142" s="39" t="s">
        <v>27</v>
      </c>
      <c r="C142" s="36">
        <v>2894883</v>
      </c>
      <c r="D142" s="36">
        <v>0</v>
      </c>
      <c r="E142" s="36"/>
      <c r="F142" s="36">
        <v>6049716.3799999999</v>
      </c>
      <c r="G142" s="37">
        <f t="shared" si="20"/>
        <v>0.47851549034105301</v>
      </c>
      <c r="H142" s="23">
        <f t="shared" si="19"/>
        <v>0</v>
      </c>
      <c r="I142" s="24">
        <f t="shared" si="19"/>
        <v>0</v>
      </c>
      <c r="J142" s="32" t="str" cm="1">
        <f t="array" ref="J142">IFERROR(_xlfn.IFS(B142="044 - BLEND TRADICION","BLEND",B142="113 - CAFÉ GOURMET","GOURMET",B142="114 - CAFÉ CONSUMO","CONSUMO",B142="112 - CAFÉ ORGANICO","GOURMET",B142="172 - CAFÉ COSECHA","ESPECIALES",B142="176 - CAFE DESCAFEINADO","GOURMET",B142="147 - CAPSULAS","CAPSULAS",B142="130 - GALLETAS CAFECITAS","DERIVADOS",B142="140 - MERENGUES","DERIVADOS",B142="100 - CAFÉ ESPECIAL","ESPECIALES",B142="141 - AREQUIPE","DERIVADOS",B142="142 - MERMELADA","DERIVADOS",B142="131 - GALLETAS AVENA","DERIVADOS",B142="160 - SOUVENIR","OTROS",B142="148 - CARAMELOS","DERIVADOS",B142="143 - CHOCOFFES","DERIVADOS",B142="162 - CONVENIOS Y DSC POS ","OTROS"),"OTROS")</f>
        <v>DERIVADOS</v>
      </c>
      <c r="L142" s="27">
        <f t="shared" si="21"/>
        <v>2894883</v>
      </c>
      <c r="M142" s="27">
        <f t="shared" si="22"/>
        <v>2894883</v>
      </c>
    </row>
    <row r="143" spans="1:13" ht="16.5" hidden="1" outlineLevel="1">
      <c r="A143" s="38"/>
      <c r="B143" s="39" t="s">
        <v>28</v>
      </c>
      <c r="C143" s="36">
        <v>152142</v>
      </c>
      <c r="D143" s="36">
        <v>0</v>
      </c>
      <c r="E143" s="36"/>
      <c r="F143" s="36">
        <v>2122980.0499999998</v>
      </c>
      <c r="G143" s="37">
        <f t="shared" si="20"/>
        <v>7.1664356902458884E-2</v>
      </c>
      <c r="H143" s="23">
        <f t="shared" si="19"/>
        <v>0</v>
      </c>
      <c r="I143" s="24">
        <f t="shared" si="19"/>
        <v>0</v>
      </c>
      <c r="J143" s="32" t="str" cm="1">
        <f t="array" ref="J143">IFERROR(_xlfn.IFS(B143="044 - BLEND TRADICION","BLEND",B143="113 - CAFÉ GOURMET","GOURMET",B143="114 - CAFÉ CONSUMO","CONSUMO",B143="112 - CAFÉ ORGANICO","GOURMET",B143="172 - CAFÉ COSECHA","ESPECIALES",B143="176 - CAFE DESCAFEINADO","GOURMET",B143="147 - CAPSULAS","CAPSULAS",B143="130 - GALLETAS CAFECITAS","DERIVADOS",B143="140 - MERENGUES","DERIVADOS",B143="100 - CAFÉ ESPECIAL","ESPECIALES",B143="141 - AREQUIPE","DERIVADOS",B143="142 - MERMELADA","DERIVADOS",B143="131 - GALLETAS AVENA","DERIVADOS",B143="160 - SOUVENIR","OTROS",B143="148 - CARAMELOS","DERIVADOS",B143="143 - CHOCOFFES","DERIVADOS",B143="162 - CONVENIOS Y DSC POS ","OTROS"),"OTROS")</f>
        <v>OTROS</v>
      </c>
      <c r="L143" s="27">
        <f t="shared" si="21"/>
        <v>152142</v>
      </c>
      <c r="M143" s="27">
        <f t="shared" si="22"/>
        <v>152142</v>
      </c>
    </row>
    <row r="144" spans="1:13" ht="16.5" hidden="1" outlineLevel="1">
      <c r="A144" s="38"/>
      <c r="B144" s="39" t="s">
        <v>29</v>
      </c>
      <c r="C144" s="36">
        <v>467578</v>
      </c>
      <c r="D144" s="36">
        <v>0</v>
      </c>
      <c r="E144" s="36"/>
      <c r="F144" s="36">
        <v>6357550.9400000004</v>
      </c>
      <c r="G144" s="37">
        <f t="shared" si="20"/>
        <v>7.3546874325162701E-2</v>
      </c>
      <c r="H144" s="23">
        <f t="shared" ref="H144:I176" si="23">IFERROR(+D144/L144*100%,0)</f>
        <v>0</v>
      </c>
      <c r="I144" s="24">
        <f t="shared" si="23"/>
        <v>0</v>
      </c>
      <c r="J144" s="32" t="str" cm="1">
        <f t="array" ref="J144">IFERROR(_xlfn.IFS(B144="044 - BLEND TRADICION","BLEND",B144="113 - CAFÉ GOURMET","GOURMET",B144="114 - CAFÉ CONSUMO","CONSUMO",B144="112 - CAFÉ ORGANICO","GOURMET",B144="172 - CAFÉ COSECHA","ESPECIALES",B144="176 - CAFE DESCAFEINADO","GOURMET",B144="147 - CAPSULAS","CAPSULAS",B144="130 - GALLETAS CAFECITAS","DERIVADOS",B144="140 - MERENGUES","DERIVADOS",B144="100 - CAFÉ ESPECIAL","ESPECIALES",B144="141 - AREQUIPE","DERIVADOS",B144="142 - MERMELADA","DERIVADOS",B144="131 - GALLETAS AVENA","DERIVADOS",B144="160 - SOUVENIR","OTROS",B144="148 - CARAMELOS","DERIVADOS",B144="143 - CHOCOFFES","DERIVADOS",B144="162 - CONVENIOS Y DSC POS ","OTROS"),"OTROS")</f>
        <v>ESPECIALES</v>
      </c>
      <c r="L144" s="27">
        <f t="shared" si="21"/>
        <v>467578</v>
      </c>
      <c r="M144" s="27">
        <f t="shared" si="22"/>
        <v>467578</v>
      </c>
    </row>
    <row r="145" spans="1:13" ht="16.5" hidden="1" outlineLevel="1">
      <c r="A145" s="38"/>
      <c r="B145" s="61" t="s">
        <v>30</v>
      </c>
      <c r="C145" s="100">
        <v>0</v>
      </c>
      <c r="D145" s="36">
        <v>0</v>
      </c>
      <c r="E145" s="36"/>
      <c r="F145" s="36">
        <v>974571.04</v>
      </c>
      <c r="G145" s="37">
        <f t="shared" si="20"/>
        <v>0</v>
      </c>
      <c r="H145" s="23">
        <f t="shared" si="23"/>
        <v>0</v>
      </c>
      <c r="I145" s="24">
        <f t="shared" si="23"/>
        <v>0</v>
      </c>
      <c r="J145" s="32" t="str" cm="1">
        <f t="array" ref="J145">IFERROR(_xlfn.IFS(B145="044 - BLEND TRADICION","BLEND",B145="113 - CAFÉ GOURMET","GOURMET",B145="114 - CAFÉ CONSUMO","CONSUMO",B145="112 - CAFÉ ORGANICO","GOURMET",B145="172 - CAFÉ COSECHA","ESPECIALES",B145="176 - CAFE DESCAFEINADO","GOURMET",B145="147 - CAPSULAS","CAPSULAS",B145="130 - GALLETAS CAFECITAS","DERIVADOS",B145="140 - MERENGUES","DERIVADOS",B145="100 - CAFÉ ESPECIAL","ESPECIALES",B145="141 - AREQUIPE","DERIVADOS",B145="142 - MERMELADA","DERIVADOS",B145="131 - GALLETAS AVENA","DERIVADOS",B145="160 - SOUVENIR","OTROS",B145="148 - CARAMELOS","DERIVADOS",B145="143 - CHOCOFFES","DERIVADOS",B145="162 - CONVENIOS Y DSC POS ","OTROS"),"OTROS")</f>
        <v>GOURMET</v>
      </c>
      <c r="L145" s="27">
        <f t="shared" si="21"/>
        <v>0</v>
      </c>
      <c r="M145" s="27">
        <f t="shared" si="22"/>
        <v>0</v>
      </c>
    </row>
    <row r="146" spans="1:13" ht="16.5" hidden="1" outlineLevel="1">
      <c r="A146" s="52" t="s">
        <v>51</v>
      </c>
      <c r="B146" s="20" t="s">
        <v>32</v>
      </c>
      <c r="C146" s="21">
        <f>SUM(C133:C145)</f>
        <v>26971040</v>
      </c>
      <c r="D146" s="53">
        <f>SUM(D133:D145)</f>
        <v>0</v>
      </c>
      <c r="E146" s="54">
        <f>SUM(E133:E145)</f>
        <v>0</v>
      </c>
      <c r="F146" s="58">
        <f>SUM(F133:F145)</f>
        <v>89185849.329999968</v>
      </c>
      <c r="G146" s="55">
        <f>IFERROR(C146/F146*100%,"-")</f>
        <v>0.30241389416165587</v>
      </c>
      <c r="H146" s="23">
        <f t="shared" si="23"/>
        <v>0</v>
      </c>
      <c r="I146" s="24">
        <f t="shared" si="23"/>
        <v>0</v>
      </c>
      <c r="J146" s="32" t="str" cm="1">
        <f t="array" ref="J146">IFERROR(_xlfn.IFS(B146="044 - BLEND TRADICION","BLEND",B146="113 - CAFÉ GOURMET","GOURMET",B146="114 - CAFÉ CONSUMO","CONSUMO",B146="112 - CAFÉ ORGANICO","GOURMET",B146="172 - CAFÉ COSECHA","ESPECIALES",B146="176 - CAFE DESCAFEINADO","GOURMET",B146="147 - CAPSULAS","CAPSULAS",B146="130 - GALLETAS CAFECITAS","DERIVADOS",B146="140 - MERENGUES","DERIVADOS",B146="100 - CAFÉ ESPECIAL","ESPECIALES",B146="141 - AREQUIPE","DERIVADOS",B146="142 - MERMELADA","DERIVADOS",B146="131 - GALLETAS AVENA","DERIVADOS",B146="160 - SOUVENIR","OTROS",B146="148 - CARAMELOS","DERIVADOS",B146="143 - CHOCOFFES","DERIVADOS",B146="162 - CONVENIOS Y DSC POS ","OTROS"),"OTROS")</f>
        <v>OTROS</v>
      </c>
      <c r="L146" s="27">
        <f t="shared" si="21"/>
        <v>26971040</v>
      </c>
      <c r="M146" s="27">
        <f t="shared" si="22"/>
        <v>26971040</v>
      </c>
    </row>
    <row r="147" spans="1:13" ht="16.5" hidden="1" outlineLevel="1">
      <c r="A147" s="33"/>
      <c r="B147" s="45" t="s">
        <v>42</v>
      </c>
      <c r="C147" s="46">
        <v>40584</v>
      </c>
      <c r="D147" s="47">
        <v>0</v>
      </c>
      <c r="E147" s="36">
        <v>0</v>
      </c>
      <c r="F147" s="36">
        <v>0</v>
      </c>
      <c r="G147" s="37" t="str">
        <f t="shared" ref="G147:G215" si="24">IFERROR(C147/F147*100%,"-")</f>
        <v>-</v>
      </c>
      <c r="H147" s="23">
        <f t="shared" si="23"/>
        <v>0</v>
      </c>
      <c r="I147" s="24">
        <f t="shared" si="23"/>
        <v>0</v>
      </c>
      <c r="J147" s="32" t="str" cm="1">
        <f t="array" ref="J147">IFERROR(_xlfn.IFS(B147="044 - BLEND TRADICION","BLEND",B147="113 - CAFÉ GOURMET","GOURMET",B147="114 - CAFÉ CONSUMO","CONSUMO",B147="112 - CAFÉ ORGANICO","GOURMET",B147="172 - CAFÉ COSECHA","ESPECIALES",B147="176 - CAFE DESCAFEINADO","GOURMET",B147="147 - CAPSULAS","CAPSULAS",B147="130 - GALLETAS CAFECITAS","DERIVADOS",B147="140 - MERENGUES","DERIVADOS",B147="100 - CAFÉ ESPECIAL","ESPECIALES",B147="141 - AREQUIPE","DERIVADOS",B147="142 - MERMELADA","DERIVADOS",B147="131 - GALLETAS AVENA","DERIVADOS",B147="160 - SOUVENIR","OTROS",B147="148 - CARAMELOS","DERIVADOS",B147="143 - CHOCOFFES","DERIVADOS",B147="162 - CONVENIOS Y DSC POS ","OTROS"),"OTROS")</f>
        <v>OTROS</v>
      </c>
      <c r="L147" s="27">
        <f t="shared" si="21"/>
        <v>40584</v>
      </c>
      <c r="M147" s="27">
        <f t="shared" si="22"/>
        <v>40584</v>
      </c>
    </row>
    <row r="148" spans="1:13" ht="16.5" hidden="1" outlineLevel="1">
      <c r="A148" s="44"/>
      <c r="B148" s="45" t="s">
        <v>18</v>
      </c>
      <c r="C148" s="46">
        <v>4673536</v>
      </c>
      <c r="D148" s="47">
        <v>0</v>
      </c>
      <c r="E148" s="36">
        <v>0</v>
      </c>
      <c r="F148" s="36">
        <v>14379067.41</v>
      </c>
      <c r="G148" s="37">
        <f t="shared" si="24"/>
        <v>0.32502358231868111</v>
      </c>
      <c r="H148" s="23">
        <f t="shared" si="23"/>
        <v>0</v>
      </c>
      <c r="I148" s="24">
        <f t="shared" si="23"/>
        <v>0</v>
      </c>
      <c r="J148" s="32" t="str" cm="1">
        <f t="array" ref="J148">IFERROR(_xlfn.IFS(B148="044 - BLEND TRADICION","BLEND",B148="113 - CAFÉ GOURMET","GOURMET",B148="114 - CAFÉ CONSUMO","CONSUMO",B148="112 - CAFÉ ORGANICO","GOURMET",B148="172 - CAFÉ COSECHA","ESPECIALES",B148="176 - CAFE DESCAFEINADO","GOURMET",B148="147 - CAPSULAS","CAPSULAS",B148="130 - GALLETAS CAFECITAS","DERIVADOS",B148="140 - MERENGUES","DERIVADOS",B148="100 - CAFÉ ESPECIAL","ESPECIALES",B148="141 - AREQUIPE","DERIVADOS",B148="142 - MERMELADA","DERIVADOS",B148="131 - GALLETAS AVENA","DERIVADOS",B148="160 - SOUVENIR","OTROS",B148="148 - CARAMELOS","DERIVADOS",B148="143 - CHOCOFFES","DERIVADOS",B148="162 - CONVENIOS Y DSC POS ","OTROS"),"OTROS")</f>
        <v>BLEND</v>
      </c>
      <c r="L148" s="27">
        <f t="shared" si="21"/>
        <v>4673536</v>
      </c>
      <c r="M148" s="27">
        <f t="shared" si="22"/>
        <v>4673536</v>
      </c>
    </row>
    <row r="149" spans="1:13" ht="16.5" hidden="1" outlineLevel="1">
      <c r="A149" s="44"/>
      <c r="B149" s="45" t="s">
        <v>19</v>
      </c>
      <c r="C149" s="46">
        <v>1397676</v>
      </c>
      <c r="D149" s="47">
        <v>0</v>
      </c>
      <c r="E149" s="36">
        <v>0</v>
      </c>
      <c r="F149" s="36">
        <v>3909295.37</v>
      </c>
      <c r="G149" s="37">
        <f t="shared" si="24"/>
        <v>0.3575263232156336</v>
      </c>
      <c r="H149" s="23">
        <f t="shared" si="23"/>
        <v>0</v>
      </c>
      <c r="I149" s="24">
        <f t="shared" si="23"/>
        <v>0</v>
      </c>
      <c r="J149" s="32" t="str" cm="1">
        <f t="array" ref="J149">IFERROR(_xlfn.IFS(B149="044 - BLEND TRADICION","BLEND",B149="113 - CAFÉ GOURMET","GOURMET",B149="114 - CAFÉ CONSUMO","CONSUMO",B149="112 - CAFÉ ORGANICO","GOURMET",B149="172 - CAFÉ COSECHA","ESPECIALES",B149="176 - CAFE DESCAFEINADO","GOURMET",B149="147 - CAPSULAS","CAPSULAS",B149="130 - GALLETAS CAFECITAS","DERIVADOS",B149="140 - MERENGUES","DERIVADOS",B149="100 - CAFÉ ESPECIAL","ESPECIALES",B149="141 - AREQUIPE","DERIVADOS",B149="142 - MERMELADA","DERIVADOS",B149="131 - GALLETAS AVENA","DERIVADOS",B149="160 - SOUVENIR","OTROS",B149="148 - CARAMELOS","DERIVADOS",B149="143 - CHOCOFFES","DERIVADOS",B149="162 - CONVENIOS Y DSC POS ","OTROS"),"OTROS")</f>
        <v>ESPECIALES</v>
      </c>
      <c r="L149" s="27">
        <f t="shared" si="21"/>
        <v>1397676</v>
      </c>
      <c r="M149" s="27">
        <f t="shared" si="22"/>
        <v>1397676</v>
      </c>
    </row>
    <row r="150" spans="1:13" ht="16.5" hidden="1" outlineLevel="1">
      <c r="A150" s="44"/>
      <c r="B150" s="45" t="s">
        <v>20</v>
      </c>
      <c r="C150" s="46">
        <v>1535520</v>
      </c>
      <c r="D150" s="47">
        <v>0</v>
      </c>
      <c r="E150" s="36">
        <v>0</v>
      </c>
      <c r="F150" s="36">
        <v>4626025.21</v>
      </c>
      <c r="G150" s="37">
        <f t="shared" si="24"/>
        <v>0.3319307462226303</v>
      </c>
      <c r="H150" s="23">
        <f t="shared" si="23"/>
        <v>0</v>
      </c>
      <c r="I150" s="24">
        <f t="shared" si="23"/>
        <v>0</v>
      </c>
      <c r="J150" s="32" t="str" cm="1">
        <f t="array" ref="J150">IFERROR(_xlfn.IFS(B150="044 - BLEND TRADICION","BLEND",B150="113 - CAFÉ GOURMET","GOURMET",B150="114 - CAFÉ CONSUMO","CONSUMO",B150="112 - CAFÉ ORGANICO","GOURMET",B150="172 - CAFÉ COSECHA","ESPECIALES",B150="176 - CAFE DESCAFEINADO","GOURMET",B150="147 - CAPSULAS","CAPSULAS",B150="130 - GALLETAS CAFECITAS","DERIVADOS",B150="140 - MERENGUES","DERIVADOS",B150="100 - CAFÉ ESPECIAL","ESPECIALES",B150="141 - AREQUIPE","DERIVADOS",B150="142 - MERMELADA","DERIVADOS",B150="131 - GALLETAS AVENA","DERIVADOS",B150="160 - SOUVENIR","OTROS",B150="148 - CARAMELOS","DERIVADOS",B150="143 - CHOCOFFES","DERIVADOS",B150="162 - CONVENIOS Y DSC POS ","OTROS"),"OTROS")</f>
        <v>GOURMET</v>
      </c>
      <c r="L150" s="27">
        <f t="shared" si="21"/>
        <v>1535520</v>
      </c>
      <c r="M150" s="27">
        <f t="shared" si="22"/>
        <v>1535520</v>
      </c>
    </row>
    <row r="151" spans="1:13" ht="16.5" hidden="1" outlineLevel="1">
      <c r="A151" s="44"/>
      <c r="B151" s="45" t="s">
        <v>21</v>
      </c>
      <c r="C151" s="46">
        <v>30686646</v>
      </c>
      <c r="D151" s="47">
        <v>0</v>
      </c>
      <c r="E151" s="36"/>
      <c r="F151" s="36">
        <v>114747780.18000001</v>
      </c>
      <c r="G151" s="37">
        <f t="shared" si="24"/>
        <v>0.26742692496415316</v>
      </c>
      <c r="H151" s="23">
        <f t="shared" si="23"/>
        <v>0</v>
      </c>
      <c r="I151" s="24">
        <f t="shared" si="23"/>
        <v>0</v>
      </c>
      <c r="J151" s="32" t="str" cm="1">
        <f t="array" ref="J151">IFERROR(_xlfn.IFS(B151="044 - BLEND TRADICION","BLEND",B151="113 - CAFÉ GOURMET","GOURMET",B151="114 - CAFÉ CONSUMO","CONSUMO",B151="112 - CAFÉ ORGANICO","GOURMET",B151="172 - CAFÉ COSECHA","ESPECIALES",B151="176 - CAFE DESCAFEINADO","GOURMET",B151="147 - CAPSULAS","CAPSULAS",B151="130 - GALLETAS CAFECITAS","DERIVADOS",B151="140 - MERENGUES","DERIVADOS",B151="100 - CAFÉ ESPECIAL","ESPECIALES",B151="141 - AREQUIPE","DERIVADOS",B151="142 - MERMELADA","DERIVADOS",B151="131 - GALLETAS AVENA","DERIVADOS",B151="160 - SOUVENIR","OTROS",B151="148 - CARAMELOS","DERIVADOS",B151="143 - CHOCOFFES","DERIVADOS",B151="162 - CONVENIOS Y DSC POS ","OTROS"),"OTROS")</f>
        <v>GOURMET</v>
      </c>
      <c r="L151" s="27">
        <f t="shared" si="21"/>
        <v>30686646</v>
      </c>
      <c r="M151" s="27">
        <f t="shared" si="22"/>
        <v>30686646</v>
      </c>
    </row>
    <row r="152" spans="1:13" ht="16.5" hidden="1" outlineLevel="1">
      <c r="A152" s="38"/>
      <c r="B152" s="34" t="s">
        <v>38</v>
      </c>
      <c r="C152" s="35">
        <v>0</v>
      </c>
      <c r="D152" s="36">
        <v>0</v>
      </c>
      <c r="E152" s="36"/>
      <c r="F152" s="36">
        <v>353869.81</v>
      </c>
      <c r="G152" s="37">
        <f t="shared" si="24"/>
        <v>0</v>
      </c>
      <c r="H152" s="23">
        <f t="shared" si="23"/>
        <v>0</v>
      </c>
      <c r="I152" s="24">
        <f t="shared" si="23"/>
        <v>0</v>
      </c>
      <c r="J152" s="32" t="str" cm="1">
        <f t="array" ref="J152">IFERROR(_xlfn.IFS(B152="044 - BLEND TRADICION","BLEND",B152="113 - CAFÉ GOURMET","GOURMET",B152="114 - CAFÉ CONSUMO","CONSUMO",B152="112 - CAFÉ ORGANICO","GOURMET",B152="172 - CAFÉ COSECHA","ESPECIALES",B152="176 - CAFE DESCAFEINADO","GOURMET",B152="147 - CAPSULAS","CAPSULAS",B152="130 - GALLETAS CAFECITAS","DERIVADOS",B152="140 - MERENGUES","DERIVADOS",B152="100 - CAFÉ ESPECIAL","ESPECIALES",B152="141 - AREQUIPE","DERIVADOS",B152="142 - MERMELADA","DERIVADOS",B152="131 - GALLETAS AVENA","DERIVADOS",B152="160 - SOUVENIR","OTROS",B152="148 - CARAMELOS","DERIVADOS",B152="143 - CHOCOFFES","DERIVADOS",B152="162 - CONVENIOS Y DSC POS ","OTROS"),"OTROS")</f>
        <v>CONSUMO</v>
      </c>
      <c r="L152" s="27">
        <f t="shared" si="21"/>
        <v>0</v>
      </c>
      <c r="M152" s="27">
        <f t="shared" si="22"/>
        <v>0</v>
      </c>
    </row>
    <row r="153" spans="1:13" ht="16.5" hidden="1" outlineLevel="1">
      <c r="A153" s="38"/>
      <c r="B153" s="39" t="s">
        <v>22</v>
      </c>
      <c r="C153" s="36">
        <v>4319182</v>
      </c>
      <c r="D153" s="36">
        <v>0</v>
      </c>
      <c r="E153" s="36"/>
      <c r="F153" s="36">
        <v>21366443.850000001</v>
      </c>
      <c r="G153" s="37">
        <f t="shared" si="24"/>
        <v>0.2021479114784934</v>
      </c>
      <c r="H153" s="23">
        <f t="shared" si="23"/>
        <v>0</v>
      </c>
      <c r="I153" s="24">
        <f t="shared" si="23"/>
        <v>0</v>
      </c>
      <c r="J153" s="32" t="str" cm="1">
        <f t="array" ref="J153">IFERROR(_xlfn.IFS(B153="044 - BLEND TRADICION","BLEND",B153="113 - CAFÉ GOURMET","GOURMET",B153="114 - CAFÉ CONSUMO","CONSUMO",B153="112 - CAFÉ ORGANICO","GOURMET",B153="172 - CAFÉ COSECHA","ESPECIALES",B153="176 - CAFE DESCAFEINADO","GOURMET",B153="147 - CAPSULAS","CAPSULAS",B153="130 - GALLETAS CAFECITAS","DERIVADOS",B153="140 - MERENGUES","DERIVADOS",B153="100 - CAFÉ ESPECIAL","ESPECIALES",B153="141 - AREQUIPE","DERIVADOS",B153="142 - MERMELADA","DERIVADOS",B153="131 - GALLETAS AVENA","DERIVADOS",B153="160 - SOUVENIR","OTROS",B153="148 - CARAMELOS","DERIVADOS",B153="143 - CHOCOFFES","DERIVADOS",B153="162 - CONVENIOS Y DSC POS ","OTROS"),"OTROS")</f>
        <v>DERIVADOS</v>
      </c>
      <c r="L153" s="27">
        <f t="shared" si="21"/>
        <v>4319182</v>
      </c>
      <c r="M153" s="27">
        <f t="shared" si="22"/>
        <v>4319182</v>
      </c>
    </row>
    <row r="154" spans="1:13" ht="16.5" hidden="1" outlineLevel="1">
      <c r="A154" s="38"/>
      <c r="B154" s="39" t="s">
        <v>23</v>
      </c>
      <c r="C154" s="36">
        <v>59664</v>
      </c>
      <c r="D154" s="36">
        <v>0</v>
      </c>
      <c r="E154" s="36"/>
      <c r="F154" s="36">
        <v>227657.98</v>
      </c>
      <c r="G154" s="37">
        <f t="shared" si="24"/>
        <v>0.26207734953986678</v>
      </c>
      <c r="H154" s="23">
        <f t="shared" si="23"/>
        <v>0</v>
      </c>
      <c r="I154" s="24">
        <f t="shared" si="23"/>
        <v>0</v>
      </c>
      <c r="J154" s="32" t="str" cm="1">
        <f t="array" ref="J154">IFERROR(_xlfn.IFS(B154="044 - BLEND TRADICION","BLEND",B154="113 - CAFÉ GOURMET","GOURMET",B154="114 - CAFÉ CONSUMO","CONSUMO",B154="112 - CAFÉ ORGANICO","GOURMET",B154="172 - CAFÉ COSECHA","ESPECIALES",B154="176 - CAFE DESCAFEINADO","GOURMET",B154="147 - CAPSULAS","CAPSULAS",B154="130 - GALLETAS CAFECITAS","DERIVADOS",B154="140 - MERENGUES","DERIVADOS",B154="100 - CAFÉ ESPECIAL","ESPECIALES",B154="141 - AREQUIPE","DERIVADOS",B154="142 - MERMELADA","DERIVADOS",B154="131 - GALLETAS AVENA","DERIVADOS",B154="160 - SOUVENIR","OTROS",B154="148 - CARAMELOS","DERIVADOS",B154="143 - CHOCOFFES","DERIVADOS",B154="162 - CONVENIOS Y DSC POS ","OTROS"),"OTROS")</f>
        <v>DERIVADOS</v>
      </c>
      <c r="L154" s="27">
        <f t="shared" si="21"/>
        <v>59664</v>
      </c>
      <c r="M154" s="27">
        <f t="shared" si="22"/>
        <v>59664</v>
      </c>
    </row>
    <row r="155" spans="1:13" ht="16.5" hidden="1" outlineLevel="1">
      <c r="A155" s="38"/>
      <c r="B155" s="39" t="s">
        <v>24</v>
      </c>
      <c r="C155" s="36">
        <v>1113532</v>
      </c>
      <c r="D155" s="36">
        <v>0</v>
      </c>
      <c r="E155" s="36"/>
      <c r="F155" s="36">
        <v>2117327.71</v>
      </c>
      <c r="G155" s="37">
        <f t="shared" si="24"/>
        <v>0.52591386526557105</v>
      </c>
      <c r="H155" s="23">
        <f t="shared" si="23"/>
        <v>0</v>
      </c>
      <c r="I155" s="24">
        <f t="shared" si="23"/>
        <v>0</v>
      </c>
      <c r="J155" s="32" t="str" cm="1">
        <f t="array" ref="J155">IFERROR(_xlfn.IFS(B155="044 - BLEND TRADICION","BLEND",B155="113 - CAFÉ GOURMET","GOURMET",B155="114 - CAFÉ CONSUMO","CONSUMO",B155="112 - CAFÉ ORGANICO","GOURMET",B155="172 - CAFÉ COSECHA","ESPECIALES",B155="176 - CAFE DESCAFEINADO","GOURMET",B155="147 - CAPSULAS","CAPSULAS",B155="130 - GALLETAS CAFECITAS","DERIVADOS",B155="140 - MERENGUES","DERIVADOS",B155="100 - CAFÉ ESPECIAL","ESPECIALES",B155="141 - AREQUIPE","DERIVADOS",B155="142 - MERMELADA","DERIVADOS",B155="131 - GALLETAS AVENA","DERIVADOS",B155="160 - SOUVENIR","OTROS",B155="148 - CARAMELOS","DERIVADOS",B155="143 - CHOCOFFES","DERIVADOS",B155="162 - CONVENIOS Y DSC POS ","OTROS"),"OTROS")</f>
        <v>DERIVADOS</v>
      </c>
      <c r="L155" s="27">
        <f t="shared" si="21"/>
        <v>1113532</v>
      </c>
      <c r="M155" s="27">
        <f t="shared" si="22"/>
        <v>1113532</v>
      </c>
    </row>
    <row r="156" spans="1:13" ht="16.5" hidden="1" outlineLevel="1">
      <c r="A156" s="38"/>
      <c r="B156" s="39" t="s">
        <v>25</v>
      </c>
      <c r="C156" s="36">
        <v>3478745</v>
      </c>
      <c r="D156" s="36">
        <v>0</v>
      </c>
      <c r="E156" s="36"/>
      <c r="F156" s="36">
        <v>5087944.59</v>
      </c>
      <c r="G156" s="37">
        <f t="shared" si="24"/>
        <v>0.68372305131569844</v>
      </c>
      <c r="H156" s="23">
        <f t="shared" si="23"/>
        <v>0</v>
      </c>
      <c r="I156" s="24">
        <f t="shared" si="23"/>
        <v>0</v>
      </c>
      <c r="J156" s="32" t="str" cm="1">
        <f t="array" ref="J156">IFERROR(_xlfn.IFS(B156="044 - BLEND TRADICION","BLEND",B156="113 - CAFÉ GOURMET","GOURMET",B156="114 - CAFÉ CONSUMO","CONSUMO",B156="112 - CAFÉ ORGANICO","GOURMET",B156="172 - CAFÉ COSECHA","ESPECIALES",B156="176 - CAFE DESCAFEINADO","GOURMET",B156="147 - CAPSULAS","CAPSULAS",B156="130 - GALLETAS CAFECITAS","DERIVADOS",B156="140 - MERENGUES","DERIVADOS",B156="100 - CAFÉ ESPECIAL","ESPECIALES",B156="141 - AREQUIPE","DERIVADOS",B156="142 - MERMELADA","DERIVADOS",B156="131 - GALLETAS AVENA","DERIVADOS",B156="160 - SOUVENIR","OTROS",B156="148 - CARAMELOS","DERIVADOS",B156="143 - CHOCOFFES","DERIVADOS",B156="162 - CONVENIOS Y DSC POS ","OTROS"),"OTROS")</f>
        <v>DERIVADOS</v>
      </c>
      <c r="L156" s="27">
        <f t="shared" si="21"/>
        <v>3478745</v>
      </c>
      <c r="M156" s="27">
        <f t="shared" si="22"/>
        <v>3478745</v>
      </c>
    </row>
    <row r="157" spans="1:13" ht="16.5" hidden="1" outlineLevel="1">
      <c r="A157" s="38"/>
      <c r="B157" s="39" t="s">
        <v>26</v>
      </c>
      <c r="C157" s="36">
        <v>1688179</v>
      </c>
      <c r="D157" s="36">
        <v>-22687</v>
      </c>
      <c r="E157" s="36"/>
      <c r="F157" s="36">
        <v>4929036.9800000004</v>
      </c>
      <c r="G157" s="37">
        <f t="shared" si="24"/>
        <v>0.34249672032284079</v>
      </c>
      <c r="H157" s="23">
        <f t="shared" si="23"/>
        <v>-1.3260535892349254E-2</v>
      </c>
      <c r="I157" s="24">
        <f t="shared" si="23"/>
        <v>0</v>
      </c>
      <c r="J157" s="32" t="str" cm="1">
        <f t="array" ref="J157">IFERROR(_xlfn.IFS(B157="044 - BLEND TRADICION","BLEND",B157="113 - CAFÉ GOURMET","GOURMET",B157="114 - CAFÉ CONSUMO","CONSUMO",B157="112 - CAFÉ ORGANICO","GOURMET",B157="172 - CAFÉ COSECHA","ESPECIALES",B157="176 - CAFE DESCAFEINADO","GOURMET",B157="147 - CAPSULAS","CAPSULAS",B157="130 - GALLETAS CAFECITAS","DERIVADOS",B157="140 - MERENGUES","DERIVADOS",B157="100 - CAFÉ ESPECIAL","ESPECIALES",B157="141 - AREQUIPE","DERIVADOS",B157="142 - MERMELADA","DERIVADOS",B157="131 - GALLETAS AVENA","DERIVADOS",B157="160 - SOUVENIR","OTROS",B157="148 - CARAMELOS","DERIVADOS",B157="143 - CHOCOFFES","DERIVADOS",B157="162 - CONVENIOS Y DSC POS ","OTROS"),"OTROS")</f>
        <v>CAPSULAS</v>
      </c>
      <c r="L157" s="27">
        <f t="shared" si="21"/>
        <v>1710866</v>
      </c>
      <c r="M157" s="27">
        <f t="shared" si="22"/>
        <v>1710866</v>
      </c>
    </row>
    <row r="158" spans="1:13" ht="16.5" hidden="1" outlineLevel="1">
      <c r="A158" s="38"/>
      <c r="B158" s="39" t="s">
        <v>27</v>
      </c>
      <c r="C158" s="36">
        <v>1419838</v>
      </c>
      <c r="D158" s="36">
        <v>0</v>
      </c>
      <c r="E158" s="36"/>
      <c r="F158" s="36">
        <v>3748792.41</v>
      </c>
      <c r="G158" s="37">
        <f t="shared" si="24"/>
        <v>0.378745431785592</v>
      </c>
      <c r="H158" s="23">
        <f t="shared" si="23"/>
        <v>0</v>
      </c>
      <c r="I158" s="24">
        <f t="shared" si="23"/>
        <v>0</v>
      </c>
      <c r="J158" s="32" t="str" cm="1">
        <f t="array" ref="J158">IFERROR(_xlfn.IFS(B158="044 - BLEND TRADICION","BLEND",B158="113 - CAFÉ GOURMET","GOURMET",B158="114 - CAFÉ CONSUMO","CONSUMO",B158="112 - CAFÉ ORGANICO","GOURMET",B158="172 - CAFÉ COSECHA","ESPECIALES",B158="176 - CAFE DESCAFEINADO","GOURMET",B158="147 - CAPSULAS","CAPSULAS",B158="130 - GALLETAS CAFECITAS","DERIVADOS",B158="140 - MERENGUES","DERIVADOS",B158="100 - CAFÉ ESPECIAL","ESPECIALES",B158="141 - AREQUIPE","DERIVADOS",B158="142 - MERMELADA","DERIVADOS",B158="131 - GALLETAS AVENA","DERIVADOS",B158="160 - SOUVENIR","OTROS",B158="148 - CARAMELOS","DERIVADOS",B158="143 - CHOCOFFES","DERIVADOS",B158="162 - CONVENIOS Y DSC POS ","OTROS"),"OTROS")</f>
        <v>DERIVADOS</v>
      </c>
      <c r="L158" s="27">
        <f t="shared" si="21"/>
        <v>1419838</v>
      </c>
      <c r="M158" s="27">
        <f t="shared" si="22"/>
        <v>1419838</v>
      </c>
    </row>
    <row r="159" spans="1:13" ht="16.5" hidden="1" outlineLevel="1">
      <c r="A159" s="38"/>
      <c r="B159" s="39" t="s">
        <v>28</v>
      </c>
      <c r="C159" s="36">
        <v>551240</v>
      </c>
      <c r="D159" s="36">
        <v>0</v>
      </c>
      <c r="E159" s="36">
        <v>0</v>
      </c>
      <c r="F159" s="36">
        <v>3497038.66</v>
      </c>
      <c r="G159" s="37">
        <f t="shared" si="24"/>
        <v>0.15763051358431365</v>
      </c>
      <c r="H159" s="23">
        <f t="shared" si="23"/>
        <v>0</v>
      </c>
      <c r="I159" s="24">
        <f t="shared" si="23"/>
        <v>0</v>
      </c>
      <c r="J159" s="32" t="str" cm="1">
        <f t="array" ref="J159">IFERROR(_xlfn.IFS(B159="044 - BLEND TRADICION","BLEND",B159="113 - CAFÉ GOURMET","GOURMET",B159="114 - CAFÉ CONSUMO","CONSUMO",B159="112 - CAFÉ ORGANICO","GOURMET",B159="172 - CAFÉ COSECHA","ESPECIALES",B159="176 - CAFE DESCAFEINADO","GOURMET",B159="147 - CAPSULAS","CAPSULAS",B159="130 - GALLETAS CAFECITAS","DERIVADOS",B159="140 - MERENGUES","DERIVADOS",B159="100 - CAFÉ ESPECIAL","ESPECIALES",B159="141 - AREQUIPE","DERIVADOS",B159="142 - MERMELADA","DERIVADOS",B159="131 - GALLETAS AVENA","DERIVADOS",B159="160 - SOUVENIR","OTROS",B159="148 - CARAMELOS","DERIVADOS",B159="143 - CHOCOFFES","DERIVADOS",B159="162 - CONVENIOS Y DSC POS ","OTROS"),"OTROS")</f>
        <v>OTROS</v>
      </c>
      <c r="L159" s="27">
        <f t="shared" si="21"/>
        <v>551240</v>
      </c>
      <c r="M159" s="27">
        <f t="shared" si="22"/>
        <v>551240</v>
      </c>
    </row>
    <row r="160" spans="1:13" ht="16.5" hidden="1" outlineLevel="1">
      <c r="A160" s="38"/>
      <c r="B160" s="39" t="s">
        <v>50</v>
      </c>
      <c r="C160" s="36">
        <v>-52019</v>
      </c>
      <c r="D160" s="36"/>
      <c r="E160" s="36">
        <v>-52019</v>
      </c>
      <c r="F160" s="36">
        <v>0</v>
      </c>
      <c r="G160" s="37" t="str">
        <f t="shared" si="24"/>
        <v>-</v>
      </c>
      <c r="H160" s="23">
        <f t="shared" si="23"/>
        <v>0</v>
      </c>
      <c r="I160" s="24">
        <f t="shared" si="23"/>
        <v>0</v>
      </c>
      <c r="J160" s="32" t="str" cm="1">
        <f t="array" ref="J160">IFERROR(_xlfn.IFS(B160="044 - BLEND TRADICION","BLEND",B160="113 - CAFÉ GOURMET","GOURMET",B160="114 - CAFÉ CONSUMO","CONSUMO",B160="112 - CAFÉ ORGANICO","GOURMET",B160="172 - CAFÉ COSECHA","ESPECIALES",B160="176 - CAFE DESCAFEINADO","GOURMET",B160="147 - CAPSULAS","CAPSULAS",B160="130 - GALLETAS CAFECITAS","DERIVADOS",B160="140 - MERENGUES","DERIVADOS",B160="100 - CAFÉ ESPECIAL","ESPECIALES",B160="141 - AREQUIPE","DERIVADOS",B160="142 - MERMELADA","DERIVADOS",B160="131 - GALLETAS AVENA","DERIVADOS",B160="160 - SOUVENIR","OTROS",B160="148 - CARAMELOS","DERIVADOS",B160="143 - CHOCOFFES","DERIVADOS",B160="162 - CONVENIOS Y DSC POS ","OTROS"),"OTROS")</f>
        <v>OTROS</v>
      </c>
      <c r="L160" s="27">
        <f t="shared" si="21"/>
        <v>0</v>
      </c>
      <c r="M160" s="27">
        <f t="shared" si="22"/>
        <v>0</v>
      </c>
    </row>
    <row r="161" spans="1:13" ht="16.5" hidden="1" outlineLevel="1">
      <c r="A161" s="38"/>
      <c r="B161" s="39" t="s">
        <v>29</v>
      </c>
      <c r="C161" s="36">
        <v>1298184</v>
      </c>
      <c r="D161" s="36">
        <v>0</v>
      </c>
      <c r="E161" s="36">
        <v>0</v>
      </c>
      <c r="F161" s="36">
        <v>7182790.8499999996</v>
      </c>
      <c r="G161" s="37">
        <f t="shared" si="24"/>
        <v>0.18073531961465927</v>
      </c>
      <c r="H161" s="23">
        <f t="shared" si="23"/>
        <v>0</v>
      </c>
      <c r="I161" s="24">
        <f t="shared" si="23"/>
        <v>0</v>
      </c>
      <c r="J161" s="32" t="str" cm="1">
        <f t="array" ref="J161">IFERROR(_xlfn.IFS(B161="044 - BLEND TRADICION","BLEND",B161="113 - CAFÉ GOURMET","GOURMET",B161="114 - CAFÉ CONSUMO","CONSUMO",B161="112 - CAFÉ ORGANICO","GOURMET",B161="172 - CAFÉ COSECHA","ESPECIALES",B161="176 - CAFE DESCAFEINADO","GOURMET",B161="147 - CAPSULAS","CAPSULAS",B161="130 - GALLETAS CAFECITAS","DERIVADOS",B161="140 - MERENGUES","DERIVADOS",B161="100 - CAFÉ ESPECIAL","ESPECIALES",B161="141 - AREQUIPE","DERIVADOS",B161="142 - MERMELADA","DERIVADOS",B161="131 - GALLETAS AVENA","DERIVADOS",B161="160 - SOUVENIR","OTROS",B161="148 - CARAMELOS","DERIVADOS",B161="143 - CHOCOFFES","DERIVADOS",B161="162 - CONVENIOS Y DSC POS ","OTROS"),"OTROS")</f>
        <v>ESPECIALES</v>
      </c>
      <c r="L161" s="27">
        <f t="shared" si="21"/>
        <v>1298184</v>
      </c>
      <c r="M161" s="27">
        <f t="shared" si="22"/>
        <v>1298184</v>
      </c>
    </row>
    <row r="162" spans="1:13" ht="16.5" hidden="1" outlineLevel="1">
      <c r="A162" s="38"/>
      <c r="B162" s="39" t="s">
        <v>30</v>
      </c>
      <c r="C162" s="36">
        <v>379572</v>
      </c>
      <c r="D162" s="36">
        <v>0</v>
      </c>
      <c r="E162" s="36"/>
      <c r="F162" s="36">
        <v>1596976.67</v>
      </c>
      <c r="G162" s="37">
        <f t="shared" si="24"/>
        <v>0.23768161873022228</v>
      </c>
      <c r="H162" s="23">
        <f t="shared" si="23"/>
        <v>0</v>
      </c>
      <c r="I162" s="24">
        <f t="shared" si="23"/>
        <v>0</v>
      </c>
      <c r="J162" s="32" t="str" cm="1">
        <f t="array" ref="J162">IFERROR(_xlfn.IFS(B162="044 - BLEND TRADICION","BLEND",B162="113 - CAFÉ GOURMET","GOURMET",B162="114 - CAFÉ CONSUMO","CONSUMO",B162="112 - CAFÉ ORGANICO","GOURMET",B162="172 - CAFÉ COSECHA","ESPECIALES",B162="176 - CAFE DESCAFEINADO","GOURMET",B162="147 - CAPSULAS","CAPSULAS",B162="130 - GALLETAS CAFECITAS","DERIVADOS",B162="140 - MERENGUES","DERIVADOS",B162="100 - CAFÉ ESPECIAL","ESPECIALES",B162="141 - AREQUIPE","DERIVADOS",B162="142 - MERMELADA","DERIVADOS",B162="131 - GALLETAS AVENA","DERIVADOS",B162="160 - SOUVENIR","OTROS",B162="148 - CARAMELOS","DERIVADOS",B162="143 - CHOCOFFES","DERIVADOS",B162="162 - CONVENIOS Y DSC POS ","OTROS"),"OTROS")</f>
        <v>GOURMET</v>
      </c>
      <c r="L162" s="27">
        <f t="shared" si="21"/>
        <v>379572</v>
      </c>
      <c r="M162" s="27">
        <f t="shared" si="22"/>
        <v>379572</v>
      </c>
    </row>
    <row r="163" spans="1:13" ht="16.5" hidden="1" outlineLevel="1">
      <c r="A163" s="19" t="s">
        <v>52</v>
      </c>
      <c r="B163" s="56" t="s">
        <v>32</v>
      </c>
      <c r="C163" s="54">
        <f>SUM(C147:C162)</f>
        <v>52590079</v>
      </c>
      <c r="D163" s="54">
        <f>SUM(D147:D162)</f>
        <v>-22687</v>
      </c>
      <c r="E163" s="54">
        <f>SUM(E147:E162)</f>
        <v>-52019</v>
      </c>
      <c r="F163" s="58">
        <f>SUM(F147:F162)</f>
        <v>187770047.67999998</v>
      </c>
      <c r="G163" s="55">
        <f t="shared" si="24"/>
        <v>0.28007703917519722</v>
      </c>
      <c r="H163" s="23">
        <f t="shared" si="23"/>
        <v>-4.3078121367057703E-4</v>
      </c>
      <c r="I163" s="24">
        <f t="shared" si="23"/>
        <v>-9.8773782139241614E-4</v>
      </c>
      <c r="J163" s="32" t="str" cm="1">
        <f t="array" ref="J163">IFERROR(_xlfn.IFS(B163="044 - BLEND TRADICION","BLEND",B163="113 - CAFÉ GOURMET","GOURMET",B163="114 - CAFÉ CONSUMO","CONSUMO",B163="112 - CAFÉ ORGANICO","GOURMET",B163="172 - CAFÉ COSECHA","ESPECIALES",B163="176 - CAFE DESCAFEINADO","GOURMET",B163="147 - CAPSULAS","CAPSULAS",B163="130 - GALLETAS CAFECITAS","DERIVADOS",B163="140 - MERENGUES","DERIVADOS",B163="100 - CAFÉ ESPECIAL","ESPECIALES",B163="141 - AREQUIPE","DERIVADOS",B163="142 - MERMELADA","DERIVADOS",B163="131 - GALLETAS AVENA","DERIVADOS",B163="160 - SOUVENIR","OTROS",B163="148 - CARAMELOS","DERIVADOS",B163="143 - CHOCOFFES","DERIVADOS",B163="162 - CONVENIOS Y DSC POS ","OTROS"),"OTROS")</f>
        <v>OTROS</v>
      </c>
      <c r="L163" s="27">
        <f t="shared" si="21"/>
        <v>52664785</v>
      </c>
      <c r="M163" s="27">
        <f t="shared" si="22"/>
        <v>52664785</v>
      </c>
    </row>
    <row r="164" spans="1:13" ht="16.5" hidden="1" outlineLevel="1">
      <c r="A164" s="33"/>
      <c r="B164" s="39" t="s">
        <v>42</v>
      </c>
      <c r="C164" s="36">
        <v>6900</v>
      </c>
      <c r="D164" s="36">
        <v>0</v>
      </c>
      <c r="E164" s="36">
        <v>0</v>
      </c>
      <c r="F164" s="36">
        <v>0</v>
      </c>
      <c r="G164" s="37" t="str">
        <f t="shared" si="24"/>
        <v>-</v>
      </c>
      <c r="H164" s="23">
        <f t="shared" si="23"/>
        <v>0</v>
      </c>
      <c r="I164" s="24">
        <f t="shared" si="23"/>
        <v>0</v>
      </c>
      <c r="J164" s="32" t="str" cm="1">
        <f t="array" ref="J164">IFERROR(_xlfn.IFS(B164="044 - BLEND TRADICION","BLEND",B164="113 - CAFÉ GOURMET","GOURMET",B164="114 - CAFÉ CONSUMO","CONSUMO",B164="112 - CAFÉ ORGANICO","GOURMET",B164="172 - CAFÉ COSECHA","ESPECIALES",B164="176 - CAFE DESCAFEINADO","GOURMET",B164="147 - CAPSULAS","CAPSULAS",B164="130 - GALLETAS CAFECITAS","DERIVADOS",B164="140 - MERENGUES","DERIVADOS",B164="100 - CAFÉ ESPECIAL","ESPECIALES",B164="141 - AREQUIPE","DERIVADOS",B164="142 - MERMELADA","DERIVADOS",B164="131 - GALLETAS AVENA","DERIVADOS",B164="160 - SOUVENIR","OTROS",B164="148 - CARAMELOS","DERIVADOS",B164="143 - CHOCOFFES","DERIVADOS",B164="162 - CONVENIOS Y DSC POS ","OTROS"),"OTROS")</f>
        <v>OTROS</v>
      </c>
      <c r="L164" s="27">
        <f t="shared" si="21"/>
        <v>6900</v>
      </c>
      <c r="M164" s="27">
        <f t="shared" si="22"/>
        <v>6900</v>
      </c>
    </row>
    <row r="165" spans="1:13" ht="16.5" hidden="1" outlineLevel="1">
      <c r="A165" s="38"/>
      <c r="B165" s="39" t="s">
        <v>18</v>
      </c>
      <c r="C165" s="36">
        <v>2208324</v>
      </c>
      <c r="D165" s="36">
        <v>0</v>
      </c>
      <c r="E165" s="36">
        <v>0</v>
      </c>
      <c r="F165" s="36">
        <v>9645193.6699999999</v>
      </c>
      <c r="G165" s="37">
        <f t="shared" si="24"/>
        <v>0.22895590027068891</v>
      </c>
      <c r="H165" s="23">
        <f t="shared" si="23"/>
        <v>0</v>
      </c>
      <c r="I165" s="24">
        <f t="shared" si="23"/>
        <v>0</v>
      </c>
      <c r="J165" s="32" t="str" cm="1">
        <f t="array" ref="J165">IFERROR(_xlfn.IFS(B165="044 - BLEND TRADICION","BLEND",B165="113 - CAFÉ GOURMET","GOURMET",B165="114 - CAFÉ CONSUMO","CONSUMO",B165="112 - CAFÉ ORGANICO","GOURMET",B165="172 - CAFÉ COSECHA","ESPECIALES",B165="176 - CAFE DESCAFEINADO","GOURMET",B165="147 - CAPSULAS","CAPSULAS",B165="130 - GALLETAS CAFECITAS","DERIVADOS",B165="140 - MERENGUES","DERIVADOS",B165="100 - CAFÉ ESPECIAL","ESPECIALES",B165="141 - AREQUIPE","DERIVADOS",B165="142 - MERMELADA","DERIVADOS",B165="131 - GALLETAS AVENA","DERIVADOS",B165="160 - SOUVENIR","OTROS",B165="148 - CARAMELOS","DERIVADOS",B165="143 - CHOCOFFES","DERIVADOS",B165="162 - CONVENIOS Y DSC POS ","OTROS"),"OTROS")</f>
        <v>BLEND</v>
      </c>
      <c r="L165" s="27">
        <f t="shared" si="21"/>
        <v>2208324</v>
      </c>
      <c r="M165" s="27">
        <f t="shared" si="22"/>
        <v>2208324</v>
      </c>
    </row>
    <row r="166" spans="1:13" ht="16.5" hidden="1" outlineLevel="1">
      <c r="A166" s="38"/>
      <c r="B166" s="39" t="s">
        <v>19</v>
      </c>
      <c r="C166" s="36">
        <v>384438</v>
      </c>
      <c r="D166" s="36">
        <v>0</v>
      </c>
      <c r="E166" s="36"/>
      <c r="F166" s="36">
        <v>2739705.11</v>
      </c>
      <c r="G166" s="37">
        <f t="shared" si="24"/>
        <v>0.14032094132933892</v>
      </c>
      <c r="H166" s="23">
        <f t="shared" si="23"/>
        <v>0</v>
      </c>
      <c r="I166" s="24">
        <f t="shared" si="23"/>
        <v>0</v>
      </c>
      <c r="J166" s="32" t="str" cm="1">
        <f t="array" ref="J166">IFERROR(_xlfn.IFS(B166="044 - BLEND TRADICION","BLEND",B166="113 - CAFÉ GOURMET","GOURMET",B166="114 - CAFÉ CONSUMO","CONSUMO",B166="112 - CAFÉ ORGANICO","GOURMET",B166="172 - CAFÉ COSECHA","ESPECIALES",B166="176 - CAFE DESCAFEINADO","GOURMET",B166="147 - CAPSULAS","CAPSULAS",B166="130 - GALLETAS CAFECITAS","DERIVADOS",B166="140 - MERENGUES","DERIVADOS",B166="100 - CAFÉ ESPECIAL","ESPECIALES",B166="141 - AREQUIPE","DERIVADOS",B166="142 - MERMELADA","DERIVADOS",B166="131 - GALLETAS AVENA","DERIVADOS",B166="160 - SOUVENIR","OTROS",B166="148 - CARAMELOS","DERIVADOS",B166="143 - CHOCOFFES","DERIVADOS",B166="162 - CONVENIOS Y DSC POS ","OTROS"),"OTROS")</f>
        <v>ESPECIALES</v>
      </c>
      <c r="L166" s="27">
        <f t="shared" si="21"/>
        <v>384438</v>
      </c>
      <c r="M166" s="27">
        <f t="shared" si="22"/>
        <v>384438</v>
      </c>
    </row>
    <row r="167" spans="1:13" ht="16.5" hidden="1" outlineLevel="1">
      <c r="A167" s="38"/>
      <c r="B167" s="39" t="s">
        <v>20</v>
      </c>
      <c r="C167" s="36">
        <v>30710</v>
      </c>
      <c r="D167" s="36">
        <v>0</v>
      </c>
      <c r="E167" s="36">
        <v>0</v>
      </c>
      <c r="F167" s="36">
        <v>825254.9</v>
      </c>
      <c r="G167" s="37">
        <f t="shared" si="24"/>
        <v>3.7212744813753904E-2</v>
      </c>
      <c r="H167" s="23">
        <f t="shared" si="23"/>
        <v>0</v>
      </c>
      <c r="I167" s="24">
        <f t="shared" si="23"/>
        <v>0</v>
      </c>
      <c r="J167" s="32" t="str" cm="1">
        <f t="array" ref="J167">IFERROR(_xlfn.IFS(B167="044 - BLEND TRADICION","BLEND",B167="113 - CAFÉ GOURMET","GOURMET",B167="114 - CAFÉ CONSUMO","CONSUMO",B167="112 - CAFÉ ORGANICO","GOURMET",B167="172 - CAFÉ COSECHA","ESPECIALES",B167="176 - CAFE DESCAFEINADO","GOURMET",B167="147 - CAPSULAS","CAPSULAS",B167="130 - GALLETAS CAFECITAS","DERIVADOS",B167="140 - MERENGUES","DERIVADOS",B167="100 - CAFÉ ESPECIAL","ESPECIALES",B167="141 - AREQUIPE","DERIVADOS",B167="142 - MERMELADA","DERIVADOS",B167="131 - GALLETAS AVENA","DERIVADOS",B167="160 - SOUVENIR","OTROS",B167="148 - CARAMELOS","DERIVADOS",B167="143 - CHOCOFFES","DERIVADOS",B167="162 - CONVENIOS Y DSC POS ","OTROS"),"OTROS")</f>
        <v>GOURMET</v>
      </c>
      <c r="L167" s="27">
        <f t="shared" si="21"/>
        <v>30710</v>
      </c>
      <c r="M167" s="27">
        <f t="shared" si="22"/>
        <v>30710</v>
      </c>
    </row>
    <row r="168" spans="1:13" ht="16.5" hidden="1" outlineLevel="1">
      <c r="A168" s="38"/>
      <c r="B168" s="39" t="s">
        <v>21</v>
      </c>
      <c r="C168" s="36">
        <v>12921951</v>
      </c>
      <c r="D168" s="36">
        <v>0</v>
      </c>
      <c r="E168" s="36">
        <v>0</v>
      </c>
      <c r="F168" s="36">
        <v>43096072.049999997</v>
      </c>
      <c r="G168" s="37">
        <f t="shared" si="24"/>
        <v>0.29984057444975432</v>
      </c>
      <c r="H168" s="23">
        <f t="shared" si="23"/>
        <v>0</v>
      </c>
      <c r="I168" s="24">
        <f t="shared" si="23"/>
        <v>0</v>
      </c>
      <c r="J168" s="32" t="str" cm="1">
        <f t="array" ref="J168">IFERROR(_xlfn.IFS(B168="044 - BLEND TRADICION","BLEND",B168="113 - CAFÉ GOURMET","GOURMET",B168="114 - CAFÉ CONSUMO","CONSUMO",B168="112 - CAFÉ ORGANICO","GOURMET",B168="172 - CAFÉ COSECHA","ESPECIALES",B168="176 - CAFE DESCAFEINADO","GOURMET",B168="147 - CAPSULAS","CAPSULAS",B168="130 - GALLETAS CAFECITAS","DERIVADOS",B168="140 - MERENGUES","DERIVADOS",B168="100 - CAFÉ ESPECIAL","ESPECIALES",B168="141 - AREQUIPE","DERIVADOS",B168="142 - MERMELADA","DERIVADOS",B168="131 - GALLETAS AVENA","DERIVADOS",B168="160 - SOUVENIR","OTROS",B168="148 - CARAMELOS","DERIVADOS",B168="143 - CHOCOFFES","DERIVADOS",B168="162 - CONVENIOS Y DSC POS ","OTROS"),"OTROS")</f>
        <v>GOURMET</v>
      </c>
      <c r="L168" s="27">
        <f t="shared" si="21"/>
        <v>12921951</v>
      </c>
      <c r="M168" s="27">
        <f t="shared" si="22"/>
        <v>12921951</v>
      </c>
    </row>
    <row r="169" spans="1:13" ht="16.5" hidden="1" outlineLevel="1">
      <c r="A169" s="38"/>
      <c r="B169" s="39" t="s">
        <v>38</v>
      </c>
      <c r="C169" s="36">
        <v>6195845</v>
      </c>
      <c r="D169" s="36">
        <v>0</v>
      </c>
      <c r="E169" s="36">
        <v>0</v>
      </c>
      <c r="F169" s="36">
        <v>16145456.630000001</v>
      </c>
      <c r="G169" s="37">
        <f t="shared" si="24"/>
        <v>0.3837516114897272</v>
      </c>
      <c r="H169" s="23">
        <f t="shared" si="23"/>
        <v>0</v>
      </c>
      <c r="I169" s="24">
        <f t="shared" si="23"/>
        <v>0</v>
      </c>
      <c r="J169" s="32" t="str" cm="1">
        <f t="array" ref="J169">IFERROR(_xlfn.IFS(B169="044 - BLEND TRADICION","BLEND",B169="113 - CAFÉ GOURMET","GOURMET",B169="114 - CAFÉ CONSUMO","CONSUMO",B169="112 - CAFÉ ORGANICO","GOURMET",B169="172 - CAFÉ COSECHA","ESPECIALES",B169="176 - CAFE DESCAFEINADO","GOURMET",B169="147 - CAPSULAS","CAPSULAS",B169="130 - GALLETAS CAFECITAS","DERIVADOS",B169="140 - MERENGUES","DERIVADOS",B169="100 - CAFÉ ESPECIAL","ESPECIALES",B169="141 - AREQUIPE","DERIVADOS",B169="142 - MERMELADA","DERIVADOS",B169="131 - GALLETAS AVENA","DERIVADOS",B169="160 - SOUVENIR","OTROS",B169="148 - CARAMELOS","DERIVADOS",B169="143 - CHOCOFFES","DERIVADOS",B169="162 - CONVENIOS Y DSC POS ","OTROS"),"OTROS")</f>
        <v>CONSUMO</v>
      </c>
      <c r="L169" s="27">
        <f t="shared" si="21"/>
        <v>6195845</v>
      </c>
      <c r="M169" s="27">
        <f t="shared" si="22"/>
        <v>6195845</v>
      </c>
    </row>
    <row r="170" spans="1:13" ht="16.5" hidden="1" outlineLevel="1">
      <c r="A170" s="38"/>
      <c r="B170" s="39" t="s">
        <v>22</v>
      </c>
      <c r="C170" s="36">
        <v>7152026</v>
      </c>
      <c r="D170" s="36">
        <v>0</v>
      </c>
      <c r="E170" s="36"/>
      <c r="F170" s="36">
        <v>33513805.359999999</v>
      </c>
      <c r="G170" s="37">
        <f t="shared" si="24"/>
        <v>0.21340536901656101</v>
      </c>
      <c r="H170" s="23">
        <f t="shared" si="23"/>
        <v>0</v>
      </c>
      <c r="I170" s="24">
        <f t="shared" si="23"/>
        <v>0</v>
      </c>
      <c r="J170" s="32" t="str" cm="1">
        <f t="array" ref="J170">IFERROR(_xlfn.IFS(B170="044 - BLEND TRADICION","BLEND",B170="113 - CAFÉ GOURMET","GOURMET",B170="114 - CAFÉ CONSUMO","CONSUMO",B170="112 - CAFÉ ORGANICO","GOURMET",B170="172 - CAFÉ COSECHA","ESPECIALES",B170="176 - CAFE DESCAFEINADO","GOURMET",B170="147 - CAPSULAS","CAPSULAS",B170="130 - GALLETAS CAFECITAS","DERIVADOS",B170="140 - MERENGUES","DERIVADOS",B170="100 - CAFÉ ESPECIAL","ESPECIALES",B170="141 - AREQUIPE","DERIVADOS",B170="142 - MERMELADA","DERIVADOS",B170="131 - GALLETAS AVENA","DERIVADOS",B170="160 - SOUVENIR","OTROS",B170="148 - CARAMELOS","DERIVADOS",B170="143 - CHOCOFFES","DERIVADOS",B170="162 - CONVENIOS Y DSC POS ","OTROS"),"OTROS")</f>
        <v>DERIVADOS</v>
      </c>
      <c r="L170" s="27">
        <f t="shared" si="21"/>
        <v>7152026</v>
      </c>
      <c r="M170" s="27">
        <f t="shared" si="22"/>
        <v>7152026</v>
      </c>
    </row>
    <row r="171" spans="1:13" ht="16.5" hidden="1" outlineLevel="1">
      <c r="A171" s="38"/>
      <c r="B171" s="39" t="s">
        <v>23</v>
      </c>
      <c r="C171" s="36">
        <v>0</v>
      </c>
      <c r="D171" s="36">
        <v>0</v>
      </c>
      <c r="E171" s="36"/>
      <c r="F171" s="36">
        <v>174887.86</v>
      </c>
      <c r="G171" s="37">
        <f t="shared" si="24"/>
        <v>0</v>
      </c>
      <c r="H171" s="23">
        <f t="shared" si="23"/>
        <v>0</v>
      </c>
      <c r="I171" s="24">
        <f t="shared" si="23"/>
        <v>0</v>
      </c>
      <c r="J171" s="32" t="str" cm="1">
        <f t="array" ref="J171">IFERROR(_xlfn.IFS(B171="044 - BLEND TRADICION","BLEND",B171="113 - CAFÉ GOURMET","GOURMET",B171="114 - CAFÉ CONSUMO","CONSUMO",B171="112 - CAFÉ ORGANICO","GOURMET",B171="172 - CAFÉ COSECHA","ESPECIALES",B171="176 - CAFE DESCAFEINADO","GOURMET",B171="147 - CAPSULAS","CAPSULAS",B171="130 - GALLETAS CAFECITAS","DERIVADOS",B171="140 - MERENGUES","DERIVADOS",B171="100 - CAFÉ ESPECIAL","ESPECIALES",B171="141 - AREQUIPE","DERIVADOS",B171="142 - MERMELADA","DERIVADOS",B171="131 - GALLETAS AVENA","DERIVADOS",B171="160 - SOUVENIR","OTROS",B171="148 - CARAMELOS","DERIVADOS",B171="143 - CHOCOFFES","DERIVADOS",B171="162 - CONVENIOS Y DSC POS ","OTROS"),"OTROS")</f>
        <v>DERIVADOS</v>
      </c>
      <c r="L171" s="27">
        <f t="shared" si="21"/>
        <v>0</v>
      </c>
      <c r="M171" s="27">
        <f t="shared" si="22"/>
        <v>0</v>
      </c>
    </row>
    <row r="172" spans="1:13" ht="16.5" hidden="1" outlineLevel="1">
      <c r="A172" s="38"/>
      <c r="B172" s="39" t="s">
        <v>24</v>
      </c>
      <c r="C172" s="36">
        <v>370597</v>
      </c>
      <c r="D172" s="36">
        <v>0</v>
      </c>
      <c r="E172" s="36">
        <v>0</v>
      </c>
      <c r="F172" s="36">
        <v>2405932.35</v>
      </c>
      <c r="G172" s="37">
        <f t="shared" si="24"/>
        <v>0.15403467183938069</v>
      </c>
      <c r="H172" s="23">
        <f t="shared" si="23"/>
        <v>0</v>
      </c>
      <c r="I172" s="24">
        <f t="shared" si="23"/>
        <v>0</v>
      </c>
      <c r="J172" s="32" t="str" cm="1">
        <f t="array" ref="J172">IFERROR(_xlfn.IFS(B172="044 - BLEND TRADICION","BLEND",B172="113 - CAFÉ GOURMET","GOURMET",B172="114 - CAFÉ CONSUMO","CONSUMO",B172="112 - CAFÉ ORGANICO","GOURMET",B172="172 - CAFÉ COSECHA","ESPECIALES",B172="176 - CAFE DESCAFEINADO","GOURMET",B172="147 - CAPSULAS","CAPSULAS",B172="130 - GALLETAS CAFECITAS","DERIVADOS",B172="140 - MERENGUES","DERIVADOS",B172="100 - CAFÉ ESPECIAL","ESPECIALES",B172="141 - AREQUIPE","DERIVADOS",B172="142 - MERMELADA","DERIVADOS",B172="131 - GALLETAS AVENA","DERIVADOS",B172="160 - SOUVENIR","OTROS",B172="148 - CARAMELOS","DERIVADOS",B172="143 - CHOCOFFES","DERIVADOS",B172="162 - CONVENIOS Y DSC POS ","OTROS"),"OTROS")</f>
        <v>DERIVADOS</v>
      </c>
      <c r="L172" s="27">
        <f t="shared" si="21"/>
        <v>370597</v>
      </c>
      <c r="M172" s="27">
        <f t="shared" si="22"/>
        <v>370597</v>
      </c>
    </row>
    <row r="173" spans="1:13" ht="16.5" hidden="1" outlineLevel="1">
      <c r="A173" s="38"/>
      <c r="B173" s="39" t="s">
        <v>25</v>
      </c>
      <c r="C173" s="36">
        <v>2965361</v>
      </c>
      <c r="D173" s="36">
        <v>0</v>
      </c>
      <c r="E173" s="36"/>
      <c r="F173" s="36">
        <v>9395897.5299999993</v>
      </c>
      <c r="G173" s="37">
        <f t="shared" si="24"/>
        <v>0.31560167514938831</v>
      </c>
      <c r="H173" s="23">
        <f t="shared" si="23"/>
        <v>0</v>
      </c>
      <c r="I173" s="24">
        <f t="shared" si="23"/>
        <v>0</v>
      </c>
      <c r="J173" s="32" t="str" cm="1">
        <f t="array" ref="J173">IFERROR(_xlfn.IFS(B173="044 - BLEND TRADICION","BLEND",B173="113 - CAFÉ GOURMET","GOURMET",B173="114 - CAFÉ CONSUMO","CONSUMO",B173="112 - CAFÉ ORGANICO","GOURMET",B173="172 - CAFÉ COSECHA","ESPECIALES",B173="176 - CAFE DESCAFEINADO","GOURMET",B173="147 - CAPSULAS","CAPSULAS",B173="130 - GALLETAS CAFECITAS","DERIVADOS",B173="140 - MERENGUES","DERIVADOS",B173="100 - CAFÉ ESPECIAL","ESPECIALES",B173="141 - AREQUIPE","DERIVADOS",B173="142 - MERMELADA","DERIVADOS",B173="131 - GALLETAS AVENA","DERIVADOS",B173="160 - SOUVENIR","OTROS",B173="148 - CARAMELOS","DERIVADOS",B173="143 - CHOCOFFES","DERIVADOS",B173="162 - CONVENIOS Y DSC POS ","OTROS"),"OTROS")</f>
        <v>DERIVADOS</v>
      </c>
      <c r="L173" s="27">
        <f t="shared" si="21"/>
        <v>2965361</v>
      </c>
      <c r="M173" s="27">
        <f t="shared" si="22"/>
        <v>2965361</v>
      </c>
    </row>
    <row r="174" spans="1:13" ht="16.5" hidden="1" outlineLevel="1">
      <c r="A174" s="38"/>
      <c r="B174" s="39" t="s">
        <v>26</v>
      </c>
      <c r="C174" s="36">
        <v>227476</v>
      </c>
      <c r="D174" s="36">
        <v>0</v>
      </c>
      <c r="E174" s="36"/>
      <c r="F174" s="36">
        <v>297105.94</v>
      </c>
      <c r="G174" s="37">
        <f t="shared" si="24"/>
        <v>0.76563935409706041</v>
      </c>
      <c r="H174" s="23">
        <f t="shared" si="23"/>
        <v>0</v>
      </c>
      <c r="I174" s="24">
        <f t="shared" si="23"/>
        <v>0</v>
      </c>
      <c r="J174" s="32" t="str" cm="1">
        <f t="array" ref="J174">IFERROR(_xlfn.IFS(B174="044 - BLEND TRADICION","BLEND",B174="113 - CAFÉ GOURMET","GOURMET",B174="114 - CAFÉ CONSUMO","CONSUMO",B174="112 - CAFÉ ORGANICO","GOURMET",B174="172 - CAFÉ COSECHA","ESPECIALES",B174="176 - CAFE DESCAFEINADO","GOURMET",B174="147 - CAPSULAS","CAPSULAS",B174="130 - GALLETAS CAFECITAS","DERIVADOS",B174="140 - MERENGUES","DERIVADOS",B174="100 - CAFÉ ESPECIAL","ESPECIALES",B174="141 - AREQUIPE","DERIVADOS",B174="142 - MERMELADA","DERIVADOS",B174="131 - GALLETAS AVENA","DERIVADOS",B174="160 - SOUVENIR","OTROS",B174="148 - CARAMELOS","DERIVADOS",B174="143 - CHOCOFFES","DERIVADOS",B174="162 - CONVENIOS Y DSC POS ","OTROS"),"OTROS")</f>
        <v>CAPSULAS</v>
      </c>
      <c r="L174" s="27">
        <f t="shared" si="21"/>
        <v>227476</v>
      </c>
      <c r="M174" s="27">
        <f t="shared" si="22"/>
        <v>227476</v>
      </c>
    </row>
    <row r="175" spans="1:13" ht="16.5" hidden="1" outlineLevel="1">
      <c r="A175" s="38"/>
      <c r="B175" s="39" t="s">
        <v>27</v>
      </c>
      <c r="C175" s="36">
        <v>2727793</v>
      </c>
      <c r="D175" s="36">
        <v>0</v>
      </c>
      <c r="E175" s="36">
        <v>0</v>
      </c>
      <c r="F175" s="36">
        <v>18205206.140000001</v>
      </c>
      <c r="G175" s="37">
        <f t="shared" si="24"/>
        <v>0.14983587546457741</v>
      </c>
      <c r="H175" s="23">
        <f t="shared" si="23"/>
        <v>0</v>
      </c>
      <c r="I175" s="24">
        <f t="shared" si="23"/>
        <v>0</v>
      </c>
      <c r="J175" s="32" t="str" cm="1">
        <f t="array" ref="J175">IFERROR(_xlfn.IFS(B175="044 - BLEND TRADICION","BLEND",B175="113 - CAFÉ GOURMET","GOURMET",B175="114 - CAFÉ CONSUMO","CONSUMO",B175="112 - CAFÉ ORGANICO","GOURMET",B175="172 - CAFÉ COSECHA","ESPECIALES",B175="176 - CAFE DESCAFEINADO","GOURMET",B175="147 - CAPSULAS","CAPSULAS",B175="130 - GALLETAS CAFECITAS","DERIVADOS",B175="140 - MERENGUES","DERIVADOS",B175="100 - CAFÉ ESPECIAL","ESPECIALES",B175="141 - AREQUIPE","DERIVADOS",B175="142 - MERMELADA","DERIVADOS",B175="131 - GALLETAS AVENA","DERIVADOS",B175="160 - SOUVENIR","OTROS",B175="148 - CARAMELOS","DERIVADOS",B175="143 - CHOCOFFES","DERIVADOS",B175="162 - CONVENIOS Y DSC POS ","OTROS"),"OTROS")</f>
        <v>DERIVADOS</v>
      </c>
      <c r="L175" s="27">
        <f t="shared" si="21"/>
        <v>2727793</v>
      </c>
      <c r="M175" s="27">
        <f t="shared" si="22"/>
        <v>2727793</v>
      </c>
    </row>
    <row r="176" spans="1:13" ht="16.5" hidden="1" outlineLevel="1">
      <c r="A176" s="38"/>
      <c r="B176" s="39" t="s">
        <v>28</v>
      </c>
      <c r="C176" s="36">
        <v>764019</v>
      </c>
      <c r="D176" s="36">
        <v>0</v>
      </c>
      <c r="E176" s="36"/>
      <c r="F176" s="36">
        <v>6286220.4699999997</v>
      </c>
      <c r="G176" s="37">
        <f t="shared" si="24"/>
        <v>0.12153868984490136</v>
      </c>
      <c r="H176" s="23">
        <f t="shared" si="23"/>
        <v>0</v>
      </c>
      <c r="I176" s="24">
        <f t="shared" si="23"/>
        <v>0</v>
      </c>
      <c r="J176" s="32" t="str" cm="1">
        <f t="array" ref="J176">IFERROR(_xlfn.IFS(B176="044 - BLEND TRADICION","BLEND",B176="113 - CAFÉ GOURMET","GOURMET",B176="114 - CAFÉ CONSUMO","CONSUMO",B176="112 - CAFÉ ORGANICO","GOURMET",B176="172 - CAFÉ COSECHA","ESPECIALES",B176="176 - CAFE DESCAFEINADO","GOURMET",B176="147 - CAPSULAS","CAPSULAS",B176="130 - GALLETAS CAFECITAS","DERIVADOS",B176="140 - MERENGUES","DERIVADOS",B176="100 - CAFÉ ESPECIAL","ESPECIALES",B176="141 - AREQUIPE","DERIVADOS",B176="142 - MERMELADA","DERIVADOS",B176="131 - GALLETAS AVENA","DERIVADOS",B176="160 - SOUVENIR","OTROS",B176="148 - CARAMELOS","DERIVADOS",B176="143 - CHOCOFFES","DERIVADOS",B176="162 - CONVENIOS Y DSC POS ","OTROS"),"OTROS")</f>
        <v>OTROS</v>
      </c>
      <c r="L176" s="27">
        <f t="shared" si="21"/>
        <v>764019</v>
      </c>
      <c r="M176" s="27">
        <f t="shared" si="22"/>
        <v>764019</v>
      </c>
    </row>
    <row r="177" spans="1:13" ht="16.5" hidden="1" outlineLevel="1">
      <c r="A177" s="38"/>
      <c r="B177" s="39" t="s">
        <v>29</v>
      </c>
      <c r="C177" s="36">
        <v>358812</v>
      </c>
      <c r="D177" s="36">
        <v>0</v>
      </c>
      <c r="E177" s="36"/>
      <c r="F177" s="36">
        <v>2023867.68</v>
      </c>
      <c r="G177" s="37">
        <f t="shared" si="24"/>
        <v>0.17729024656394532</v>
      </c>
      <c r="H177" s="23">
        <f t="shared" ref="H177:I192" si="25">IFERROR(+D177/L177*100%,0)</f>
        <v>0</v>
      </c>
      <c r="I177" s="24">
        <f t="shared" si="25"/>
        <v>0</v>
      </c>
      <c r="J177" s="32" t="str" cm="1">
        <f t="array" ref="J177">IFERROR(_xlfn.IFS(B177="044 - BLEND TRADICION","BLEND",B177="113 - CAFÉ GOURMET","GOURMET",B177="114 - CAFÉ CONSUMO","CONSUMO",B177="112 - CAFÉ ORGANICO","GOURMET",B177="172 - CAFÉ COSECHA","ESPECIALES",B177="176 - CAFE DESCAFEINADO","GOURMET",B177="147 - CAPSULAS","CAPSULAS",B177="130 - GALLETAS CAFECITAS","DERIVADOS",B177="140 - MERENGUES","DERIVADOS",B177="100 - CAFÉ ESPECIAL","ESPECIALES",B177="141 - AREQUIPE","DERIVADOS",B177="142 - MERMELADA","DERIVADOS",B177="131 - GALLETAS AVENA","DERIVADOS",B177="160 - SOUVENIR","OTROS",B177="148 - CARAMELOS","DERIVADOS",B177="143 - CHOCOFFES","DERIVADOS",B177="162 - CONVENIOS Y DSC POS ","OTROS"),"OTROS")</f>
        <v>ESPECIALES</v>
      </c>
      <c r="L177" s="27">
        <f t="shared" si="21"/>
        <v>358812</v>
      </c>
      <c r="M177" s="27">
        <f t="shared" si="22"/>
        <v>358812</v>
      </c>
    </row>
    <row r="178" spans="1:13" ht="16.5" hidden="1" outlineLevel="1">
      <c r="A178" s="38"/>
      <c r="B178" s="39" t="s">
        <v>30</v>
      </c>
      <c r="C178" s="36">
        <v>126524</v>
      </c>
      <c r="D178" s="36">
        <v>0</v>
      </c>
      <c r="E178" s="36"/>
      <c r="F178" s="36">
        <v>160123.85</v>
      </c>
      <c r="G178" s="37">
        <f t="shared" si="24"/>
        <v>0.79016336417092137</v>
      </c>
      <c r="H178" s="23">
        <f t="shared" si="25"/>
        <v>0</v>
      </c>
      <c r="I178" s="24">
        <f t="shared" si="25"/>
        <v>0</v>
      </c>
      <c r="J178" s="32" t="str" cm="1">
        <f t="array" ref="J178">IFERROR(_xlfn.IFS(B178="044 - BLEND TRADICION","BLEND",B178="113 - CAFÉ GOURMET","GOURMET",B178="114 - CAFÉ CONSUMO","CONSUMO",B178="112 - CAFÉ ORGANICO","GOURMET",B178="172 - CAFÉ COSECHA","ESPECIALES",B178="176 - CAFE DESCAFEINADO","GOURMET",B178="147 - CAPSULAS","CAPSULAS",B178="130 - GALLETAS CAFECITAS","DERIVADOS",B178="140 - MERENGUES","DERIVADOS",B178="100 - CAFÉ ESPECIAL","ESPECIALES",B178="141 - AREQUIPE","DERIVADOS",B178="142 - MERMELADA","DERIVADOS",B178="131 - GALLETAS AVENA","DERIVADOS",B178="160 - SOUVENIR","OTROS",B178="148 - CARAMELOS","DERIVADOS",B178="143 - CHOCOFFES","DERIVADOS",B178="162 - CONVENIOS Y DSC POS ","OTROS"),"OTROS")</f>
        <v>GOURMET</v>
      </c>
      <c r="L178" s="27">
        <f t="shared" si="21"/>
        <v>126524</v>
      </c>
      <c r="M178" s="27">
        <f t="shared" si="22"/>
        <v>126524</v>
      </c>
    </row>
    <row r="179" spans="1:13" ht="16.5" hidden="1" outlineLevel="1">
      <c r="A179" s="19" t="s">
        <v>53</v>
      </c>
      <c r="B179" s="56" t="s">
        <v>32</v>
      </c>
      <c r="C179" s="54">
        <f>SUM(C164:C178)</f>
        <v>36440776</v>
      </c>
      <c r="D179" s="54">
        <f>SUM(D164:D178)</f>
        <v>0</v>
      </c>
      <c r="E179" s="54">
        <f>SUM(E164:E178)</f>
        <v>0</v>
      </c>
      <c r="F179" s="54">
        <f>SUM(F164:F178)</f>
        <v>144914729.53999999</v>
      </c>
      <c r="G179" s="55">
        <f t="shared" si="24"/>
        <v>0.25146357527404734</v>
      </c>
      <c r="H179" s="23">
        <f t="shared" si="25"/>
        <v>0</v>
      </c>
      <c r="I179" s="24">
        <f t="shared" si="25"/>
        <v>0</v>
      </c>
      <c r="J179" s="32" t="str" cm="1">
        <f t="array" ref="J179">IFERROR(_xlfn.IFS(B179="044 - BLEND TRADICION","BLEND",B179="113 - CAFÉ GOURMET","GOURMET",B179="114 - CAFÉ CONSUMO","CONSUMO",B179="112 - CAFÉ ORGANICO","GOURMET",B179="172 - CAFÉ COSECHA","ESPECIALES",B179="176 - CAFE DESCAFEINADO","GOURMET",B179="147 - CAPSULAS","CAPSULAS",B179="130 - GALLETAS CAFECITAS","DERIVADOS",B179="140 - MERENGUES","DERIVADOS",B179="100 - CAFÉ ESPECIAL","ESPECIALES",B179="141 - AREQUIPE","DERIVADOS",B179="142 - MERMELADA","DERIVADOS",B179="131 - GALLETAS AVENA","DERIVADOS",B179="160 - SOUVENIR","OTROS",B179="148 - CARAMELOS","DERIVADOS",B179="143 - CHOCOFFES","DERIVADOS",B179="162 - CONVENIOS Y DSC POS ","OTROS"),"OTROS")</f>
        <v>OTROS</v>
      </c>
      <c r="L179" s="27">
        <f t="shared" si="21"/>
        <v>36440776</v>
      </c>
      <c r="M179" s="27">
        <f t="shared" si="22"/>
        <v>36440776</v>
      </c>
    </row>
    <row r="180" spans="1:13" ht="16.5" hidden="1" outlineLevel="1">
      <c r="A180" s="33"/>
      <c r="B180" s="39" t="s">
        <v>42</v>
      </c>
      <c r="C180" s="36">
        <v>40584</v>
      </c>
      <c r="D180" s="36">
        <v>0</v>
      </c>
      <c r="E180" s="36">
        <v>0</v>
      </c>
      <c r="F180" s="36">
        <v>0</v>
      </c>
      <c r="G180" s="37" t="str">
        <f t="shared" si="24"/>
        <v>-</v>
      </c>
      <c r="H180" s="23">
        <f t="shared" si="25"/>
        <v>0</v>
      </c>
      <c r="I180" s="24">
        <f t="shared" si="25"/>
        <v>0</v>
      </c>
      <c r="J180" s="32" t="str" cm="1">
        <f t="array" ref="J180">IFERROR(_xlfn.IFS(B180="044 - BLEND TRADICION","BLEND",B180="113 - CAFÉ GOURMET","GOURMET",B180="114 - CAFÉ CONSUMO","CONSUMO",B180="112 - CAFÉ ORGANICO","GOURMET",B180="172 - CAFÉ COSECHA","ESPECIALES",B180="176 - CAFE DESCAFEINADO","GOURMET",B180="147 - CAPSULAS","CAPSULAS",B180="130 - GALLETAS CAFECITAS","DERIVADOS",B180="140 - MERENGUES","DERIVADOS",B180="100 - CAFÉ ESPECIAL","ESPECIALES",B180="141 - AREQUIPE","DERIVADOS",B180="142 - MERMELADA","DERIVADOS",B180="131 - GALLETAS AVENA","DERIVADOS",B180="160 - SOUVENIR","OTROS",B180="148 - CARAMELOS","DERIVADOS",B180="143 - CHOCOFFES","DERIVADOS",B180="162 - CONVENIOS Y DSC POS ","OTROS"),"OTROS")</f>
        <v>OTROS</v>
      </c>
      <c r="L180" s="27">
        <f t="shared" si="21"/>
        <v>40584</v>
      </c>
      <c r="M180" s="27">
        <f t="shared" si="22"/>
        <v>40584</v>
      </c>
    </row>
    <row r="181" spans="1:13" ht="16.5" hidden="1" outlineLevel="1">
      <c r="A181" s="33"/>
      <c r="B181" s="39" t="s">
        <v>18</v>
      </c>
      <c r="C181" s="36">
        <v>4807196</v>
      </c>
      <c r="D181" s="36">
        <v>0</v>
      </c>
      <c r="E181" s="36"/>
      <c r="F181" s="36">
        <v>10236889.550000001</v>
      </c>
      <c r="G181" s="37">
        <f t="shared" si="24"/>
        <v>0.46959537626348619</v>
      </c>
      <c r="H181" s="23">
        <f t="shared" si="25"/>
        <v>0</v>
      </c>
      <c r="I181" s="24">
        <f t="shared" si="25"/>
        <v>0</v>
      </c>
      <c r="J181" s="32" t="str" cm="1">
        <f t="array" ref="J181">IFERROR(_xlfn.IFS(B181="044 - BLEND TRADICION","BLEND",B181="113 - CAFÉ GOURMET","GOURMET",B181="114 - CAFÉ CONSUMO","CONSUMO",B181="112 - CAFÉ ORGANICO","GOURMET",B181="172 - CAFÉ COSECHA","ESPECIALES",B181="176 - CAFE DESCAFEINADO","GOURMET",B181="147 - CAPSULAS","CAPSULAS",B181="130 - GALLETAS CAFECITAS","DERIVADOS",B181="140 - MERENGUES","DERIVADOS",B181="100 - CAFÉ ESPECIAL","ESPECIALES",B181="141 - AREQUIPE","DERIVADOS",B181="142 - MERMELADA","DERIVADOS",B181="131 - GALLETAS AVENA","DERIVADOS",B181="160 - SOUVENIR","OTROS",B181="148 - CARAMELOS","DERIVADOS",B181="143 - CHOCOFFES","DERIVADOS",B181="162 - CONVENIOS Y DSC POS ","OTROS"),"OTROS")</f>
        <v>BLEND</v>
      </c>
      <c r="L181" s="27">
        <f t="shared" si="21"/>
        <v>4807196</v>
      </c>
      <c r="M181" s="27">
        <f t="shared" si="22"/>
        <v>4807196</v>
      </c>
    </row>
    <row r="182" spans="1:13" ht="16.5" hidden="1" outlineLevel="1">
      <c r="A182" s="38"/>
      <c r="B182" s="39" t="s">
        <v>19</v>
      </c>
      <c r="C182" s="36">
        <v>2994013</v>
      </c>
      <c r="D182" s="36">
        <v>0</v>
      </c>
      <c r="E182" s="36">
        <v>0</v>
      </c>
      <c r="F182" s="36">
        <v>6016526.7400000002</v>
      </c>
      <c r="G182" s="37">
        <f t="shared" si="24"/>
        <v>0.49763146236760514</v>
      </c>
      <c r="H182" s="23">
        <f t="shared" si="25"/>
        <v>0</v>
      </c>
      <c r="I182" s="24">
        <f t="shared" si="25"/>
        <v>0</v>
      </c>
      <c r="J182" s="32" t="str" cm="1">
        <f t="array" ref="J182">IFERROR(_xlfn.IFS(B182="044 - BLEND TRADICION","BLEND",B182="113 - CAFÉ GOURMET","GOURMET",B182="114 - CAFÉ CONSUMO","CONSUMO",B182="112 - CAFÉ ORGANICO","GOURMET",B182="172 - CAFÉ COSECHA","ESPECIALES",B182="176 - CAFE DESCAFEINADO","GOURMET",B182="147 - CAPSULAS","CAPSULAS",B182="130 - GALLETAS CAFECITAS","DERIVADOS",B182="140 - MERENGUES","DERIVADOS",B182="100 - CAFÉ ESPECIAL","ESPECIALES",B182="141 - AREQUIPE","DERIVADOS",B182="142 - MERMELADA","DERIVADOS",B182="131 - GALLETAS AVENA","DERIVADOS",B182="160 - SOUVENIR","OTROS",B182="148 - CARAMELOS","DERIVADOS",B182="143 - CHOCOFFES","DERIVADOS",B182="162 - CONVENIOS Y DSC POS ","OTROS"),"OTROS")</f>
        <v>ESPECIALES</v>
      </c>
      <c r="L182" s="27">
        <f t="shared" si="21"/>
        <v>2994013</v>
      </c>
      <c r="M182" s="27">
        <f t="shared" si="22"/>
        <v>2994013</v>
      </c>
    </row>
    <row r="183" spans="1:13" ht="16.5" hidden="1" outlineLevel="1">
      <c r="A183" s="38"/>
      <c r="B183" s="39" t="s">
        <v>20</v>
      </c>
      <c r="C183" s="36">
        <v>842618</v>
      </c>
      <c r="D183" s="36">
        <v>0</v>
      </c>
      <c r="E183" s="36">
        <v>0</v>
      </c>
      <c r="F183" s="36">
        <v>1636189.73</v>
      </c>
      <c r="G183" s="37">
        <f t="shared" si="24"/>
        <v>0.51498795313915091</v>
      </c>
      <c r="H183" s="23">
        <f t="shared" si="25"/>
        <v>0</v>
      </c>
      <c r="I183" s="24">
        <f t="shared" si="25"/>
        <v>0</v>
      </c>
      <c r="J183" s="32" t="str" cm="1">
        <f t="array" ref="J183">IFERROR(_xlfn.IFS(B183="044 - BLEND TRADICION","BLEND",B183="113 - CAFÉ GOURMET","GOURMET",B183="114 - CAFÉ CONSUMO","CONSUMO",B183="112 - CAFÉ ORGANICO","GOURMET",B183="172 - CAFÉ COSECHA","ESPECIALES",B183="176 - CAFE DESCAFEINADO","GOURMET",B183="147 - CAPSULAS","CAPSULAS",B183="130 - GALLETAS CAFECITAS","DERIVADOS",B183="140 - MERENGUES","DERIVADOS",B183="100 - CAFÉ ESPECIAL","ESPECIALES",B183="141 - AREQUIPE","DERIVADOS",B183="142 - MERMELADA","DERIVADOS",B183="131 - GALLETAS AVENA","DERIVADOS",B183="160 - SOUVENIR","OTROS",B183="148 - CARAMELOS","DERIVADOS",B183="143 - CHOCOFFES","DERIVADOS",B183="162 - CONVENIOS Y DSC POS ","OTROS"),"OTROS")</f>
        <v>GOURMET</v>
      </c>
      <c r="L183" s="27">
        <f t="shared" si="21"/>
        <v>842618</v>
      </c>
      <c r="M183" s="27">
        <f t="shared" si="22"/>
        <v>842618</v>
      </c>
    </row>
    <row r="184" spans="1:13" ht="16.5" hidden="1" outlineLevel="1">
      <c r="A184" s="38"/>
      <c r="B184" s="39" t="s">
        <v>21</v>
      </c>
      <c r="C184" s="36">
        <v>30488919</v>
      </c>
      <c r="D184" s="36">
        <v>0</v>
      </c>
      <c r="E184" s="36"/>
      <c r="F184" s="36">
        <v>64517931.119999997</v>
      </c>
      <c r="G184" s="37">
        <f t="shared" si="24"/>
        <v>0.47256504464304966</v>
      </c>
      <c r="H184" s="23">
        <f t="shared" si="25"/>
        <v>0</v>
      </c>
      <c r="I184" s="24">
        <f t="shared" si="25"/>
        <v>0</v>
      </c>
      <c r="J184" s="32" t="str" cm="1">
        <f t="array" ref="J184">IFERROR(_xlfn.IFS(B184="044 - BLEND TRADICION","BLEND",B184="113 - CAFÉ GOURMET","GOURMET",B184="114 - CAFÉ CONSUMO","CONSUMO",B184="112 - CAFÉ ORGANICO","GOURMET",B184="172 - CAFÉ COSECHA","ESPECIALES",B184="176 - CAFE DESCAFEINADO","GOURMET",B184="147 - CAPSULAS","CAPSULAS",B184="130 - GALLETAS CAFECITAS","DERIVADOS",B184="140 - MERENGUES","DERIVADOS",B184="100 - CAFÉ ESPECIAL","ESPECIALES",B184="141 - AREQUIPE","DERIVADOS",B184="142 - MERMELADA","DERIVADOS",B184="131 - GALLETAS AVENA","DERIVADOS",B184="160 - SOUVENIR","OTROS",B184="148 - CARAMELOS","DERIVADOS",B184="143 - CHOCOFFES","DERIVADOS",B184="162 - CONVENIOS Y DSC POS ","OTROS"),"OTROS")</f>
        <v>GOURMET</v>
      </c>
      <c r="L184" s="27">
        <f t="shared" si="21"/>
        <v>30488919</v>
      </c>
      <c r="M184" s="27">
        <f t="shared" si="22"/>
        <v>30488919</v>
      </c>
    </row>
    <row r="185" spans="1:13" ht="16.5" hidden="1" outlineLevel="1">
      <c r="A185" s="38"/>
      <c r="B185" s="39" t="s">
        <v>38</v>
      </c>
      <c r="C185" s="36">
        <v>5638771</v>
      </c>
      <c r="D185" s="36">
        <v>0</v>
      </c>
      <c r="E185" s="36"/>
      <c r="F185" s="36">
        <v>9597044.6699999999</v>
      </c>
      <c r="G185" s="37">
        <f t="shared" si="24"/>
        <v>0.58755285547712266</v>
      </c>
      <c r="H185" s="23">
        <f t="shared" si="25"/>
        <v>0</v>
      </c>
      <c r="I185" s="24">
        <f t="shared" si="25"/>
        <v>0</v>
      </c>
      <c r="J185" s="32" t="str" cm="1">
        <f t="array" ref="J185">IFERROR(_xlfn.IFS(B185="044 - BLEND TRADICION","BLEND",B185="113 - CAFÉ GOURMET","GOURMET",B185="114 - CAFÉ CONSUMO","CONSUMO",B185="112 - CAFÉ ORGANICO","GOURMET",B185="172 - CAFÉ COSECHA","ESPECIALES",B185="176 - CAFE DESCAFEINADO","GOURMET",B185="147 - CAPSULAS","CAPSULAS",B185="130 - GALLETAS CAFECITAS","DERIVADOS",B185="140 - MERENGUES","DERIVADOS",B185="100 - CAFÉ ESPECIAL","ESPECIALES",B185="141 - AREQUIPE","DERIVADOS",B185="142 - MERMELADA","DERIVADOS",B185="131 - GALLETAS AVENA","DERIVADOS",B185="160 - SOUVENIR","OTROS",B185="148 - CARAMELOS","DERIVADOS",B185="143 - CHOCOFFES","DERIVADOS",B185="162 - CONVENIOS Y DSC POS ","OTROS"),"OTROS")</f>
        <v>CONSUMO</v>
      </c>
      <c r="L185" s="27">
        <f t="shared" si="21"/>
        <v>5638771</v>
      </c>
      <c r="M185" s="27">
        <f t="shared" si="22"/>
        <v>5638771</v>
      </c>
    </row>
    <row r="186" spans="1:13" ht="16.5" hidden="1" outlineLevel="1">
      <c r="A186" s="38"/>
      <c r="B186" s="39" t="s">
        <v>22</v>
      </c>
      <c r="C186" s="36">
        <v>8118162</v>
      </c>
      <c r="D186" s="36">
        <v>-85117</v>
      </c>
      <c r="E186" s="36"/>
      <c r="F186" s="36">
        <v>25972256.75</v>
      </c>
      <c r="G186" s="37">
        <f t="shared" si="24"/>
        <v>0.31257052778057109</v>
      </c>
      <c r="H186" s="23">
        <f t="shared" si="25"/>
        <v>-1.0375972827451072E-2</v>
      </c>
      <c r="I186" s="24">
        <f t="shared" si="25"/>
        <v>0</v>
      </c>
      <c r="J186" s="32" t="str" cm="1">
        <f t="array" ref="J186">IFERROR(_xlfn.IFS(B186="044 - BLEND TRADICION","BLEND",B186="113 - CAFÉ GOURMET","GOURMET",B186="114 - CAFÉ CONSUMO","CONSUMO",B186="112 - CAFÉ ORGANICO","GOURMET",B186="172 - CAFÉ COSECHA","ESPECIALES",B186="176 - CAFE DESCAFEINADO","GOURMET",B186="147 - CAPSULAS","CAPSULAS",B186="130 - GALLETAS CAFECITAS","DERIVADOS",B186="140 - MERENGUES","DERIVADOS",B186="100 - CAFÉ ESPECIAL","ESPECIALES",B186="141 - AREQUIPE","DERIVADOS",B186="142 - MERMELADA","DERIVADOS",B186="131 - GALLETAS AVENA","DERIVADOS",B186="160 - SOUVENIR","OTROS",B186="148 - CARAMELOS","DERIVADOS",B186="143 - CHOCOFFES","DERIVADOS",B186="162 - CONVENIOS Y DSC POS ","OTROS"),"OTROS")</f>
        <v>DERIVADOS</v>
      </c>
      <c r="L186" s="27">
        <f t="shared" si="21"/>
        <v>8203279</v>
      </c>
      <c r="M186" s="27">
        <f t="shared" si="22"/>
        <v>8203279</v>
      </c>
    </row>
    <row r="187" spans="1:13" ht="16.5" hidden="1" outlineLevel="1">
      <c r="A187" s="38"/>
      <c r="B187" s="39" t="s">
        <v>24</v>
      </c>
      <c r="C187" s="36">
        <v>989878</v>
      </c>
      <c r="D187" s="36">
        <v>0</v>
      </c>
      <c r="E187" s="36"/>
      <c r="F187" s="36">
        <v>2464599.98</v>
      </c>
      <c r="G187" s="37">
        <f t="shared" si="24"/>
        <v>0.40163840299958131</v>
      </c>
      <c r="H187" s="23">
        <f t="shared" si="25"/>
        <v>0</v>
      </c>
      <c r="I187" s="24">
        <f t="shared" si="25"/>
        <v>0</v>
      </c>
      <c r="J187" s="32" t="str" cm="1">
        <f t="array" ref="J187">IFERROR(_xlfn.IFS(B187="044 - BLEND TRADICION","BLEND",B187="113 - CAFÉ GOURMET","GOURMET",B187="114 - CAFÉ CONSUMO","CONSUMO",B187="112 - CAFÉ ORGANICO","GOURMET",B187="172 - CAFÉ COSECHA","ESPECIALES",B187="176 - CAFE DESCAFEINADO","GOURMET",B187="147 - CAPSULAS","CAPSULAS",B187="130 - GALLETAS CAFECITAS","DERIVADOS",B187="140 - MERENGUES","DERIVADOS",B187="100 - CAFÉ ESPECIAL","ESPECIALES",B187="141 - AREQUIPE","DERIVADOS",B187="142 - MERMELADA","DERIVADOS",B187="131 - GALLETAS AVENA","DERIVADOS",B187="160 - SOUVENIR","OTROS",B187="148 - CARAMELOS","DERIVADOS",B187="143 - CHOCOFFES","DERIVADOS",B187="162 - CONVENIOS Y DSC POS ","OTROS"),"OTROS")</f>
        <v>DERIVADOS</v>
      </c>
      <c r="L187" s="27">
        <f t="shared" si="21"/>
        <v>989878</v>
      </c>
      <c r="M187" s="27">
        <f t="shared" si="22"/>
        <v>989878</v>
      </c>
    </row>
    <row r="188" spans="1:13" ht="16.5" hidden="1" outlineLevel="1">
      <c r="A188" s="38"/>
      <c r="B188" s="39" t="s">
        <v>25</v>
      </c>
      <c r="C188" s="36">
        <v>4348592</v>
      </c>
      <c r="D188" s="36">
        <v>-34401</v>
      </c>
      <c r="E188" s="36"/>
      <c r="F188" s="36">
        <v>12421685.26</v>
      </c>
      <c r="G188" s="37">
        <f t="shared" si="24"/>
        <v>0.35008067818327576</v>
      </c>
      <c r="H188" s="23">
        <f t="shared" si="25"/>
        <v>-7.8487462790837216E-3</v>
      </c>
      <c r="I188" s="24">
        <f t="shared" si="25"/>
        <v>0</v>
      </c>
      <c r="J188" s="32" t="str" cm="1">
        <f t="array" ref="J188">IFERROR(_xlfn.IFS(B188="044 - BLEND TRADICION","BLEND",B188="113 - CAFÉ GOURMET","GOURMET",B188="114 - CAFÉ CONSUMO","CONSUMO",B188="112 - CAFÉ ORGANICO","GOURMET",B188="172 - CAFÉ COSECHA","ESPECIALES",B188="176 - CAFE DESCAFEINADO","GOURMET",B188="147 - CAPSULAS","CAPSULAS",B188="130 - GALLETAS CAFECITAS","DERIVADOS",B188="140 - MERENGUES","DERIVADOS",B188="100 - CAFÉ ESPECIAL","ESPECIALES",B188="141 - AREQUIPE","DERIVADOS",B188="142 - MERMELADA","DERIVADOS",B188="131 - GALLETAS AVENA","DERIVADOS",B188="160 - SOUVENIR","OTROS",B188="148 - CARAMELOS","DERIVADOS",B188="143 - CHOCOFFES","DERIVADOS",B188="162 - CONVENIOS Y DSC POS ","OTROS"),"OTROS")</f>
        <v>DERIVADOS</v>
      </c>
      <c r="L188" s="27">
        <f t="shared" si="21"/>
        <v>4382993</v>
      </c>
      <c r="M188" s="27">
        <f t="shared" si="22"/>
        <v>4382993</v>
      </c>
    </row>
    <row r="189" spans="1:13" ht="16.5" hidden="1" outlineLevel="1">
      <c r="A189" s="38"/>
      <c r="B189" s="39" t="s">
        <v>26</v>
      </c>
      <c r="C189" s="36">
        <v>670016</v>
      </c>
      <c r="D189" s="36">
        <v>0</v>
      </c>
      <c r="E189" s="36"/>
      <c r="F189" s="36">
        <v>2257638.58</v>
      </c>
      <c r="G189" s="37">
        <f t="shared" si="24"/>
        <v>0.29677735220134305</v>
      </c>
      <c r="H189" s="23">
        <f t="shared" si="25"/>
        <v>0</v>
      </c>
      <c r="I189" s="24">
        <f t="shared" si="25"/>
        <v>0</v>
      </c>
      <c r="J189" s="32" t="str" cm="1">
        <f t="array" ref="J189">IFERROR(_xlfn.IFS(B189="044 - BLEND TRADICION","BLEND",B189="113 - CAFÉ GOURMET","GOURMET",B189="114 - CAFÉ CONSUMO","CONSUMO",B189="112 - CAFÉ ORGANICO","GOURMET",B189="172 - CAFÉ COSECHA","ESPECIALES",B189="176 - CAFE DESCAFEINADO","GOURMET",B189="147 - CAPSULAS","CAPSULAS",B189="130 - GALLETAS CAFECITAS","DERIVADOS",B189="140 - MERENGUES","DERIVADOS",B189="100 - CAFÉ ESPECIAL","ESPECIALES",B189="141 - AREQUIPE","DERIVADOS",B189="142 - MERMELADA","DERIVADOS",B189="131 - GALLETAS AVENA","DERIVADOS",B189="160 - SOUVENIR","OTROS",B189="148 - CARAMELOS","DERIVADOS",B189="143 - CHOCOFFES","DERIVADOS",B189="162 - CONVENIOS Y DSC POS ","OTROS"),"OTROS")</f>
        <v>CAPSULAS</v>
      </c>
      <c r="L189" s="27">
        <f t="shared" si="21"/>
        <v>670016</v>
      </c>
      <c r="M189" s="27">
        <f t="shared" si="22"/>
        <v>670016</v>
      </c>
    </row>
    <row r="190" spans="1:13" ht="16.5" hidden="1" outlineLevel="1">
      <c r="A190" s="38"/>
      <c r="B190" s="39" t="s">
        <v>27</v>
      </c>
      <c r="C190" s="36">
        <v>7203043</v>
      </c>
      <c r="D190" s="36">
        <v>0</v>
      </c>
      <c r="E190" s="36"/>
      <c r="F190" s="36">
        <v>20712565.039999999</v>
      </c>
      <c r="G190" s="37">
        <f t="shared" si="24"/>
        <v>0.34776199790269918</v>
      </c>
      <c r="H190" s="23">
        <f t="shared" si="25"/>
        <v>0</v>
      </c>
      <c r="I190" s="24">
        <f t="shared" si="25"/>
        <v>0</v>
      </c>
      <c r="J190" s="32" t="str" cm="1">
        <f t="array" ref="J190">IFERROR(_xlfn.IFS(B190="044 - BLEND TRADICION","BLEND",B190="113 - CAFÉ GOURMET","GOURMET",B190="114 - CAFÉ CONSUMO","CONSUMO",B190="112 - CAFÉ ORGANICO","GOURMET",B190="172 - CAFÉ COSECHA","ESPECIALES",B190="176 - CAFE DESCAFEINADO","GOURMET",B190="147 - CAPSULAS","CAPSULAS",B190="130 - GALLETAS CAFECITAS","DERIVADOS",B190="140 - MERENGUES","DERIVADOS",B190="100 - CAFÉ ESPECIAL","ESPECIALES",B190="141 - AREQUIPE","DERIVADOS",B190="142 - MERMELADA","DERIVADOS",B190="131 - GALLETAS AVENA","DERIVADOS",B190="160 - SOUVENIR","OTROS",B190="148 - CARAMELOS","DERIVADOS",B190="143 - CHOCOFFES","DERIVADOS",B190="162 - CONVENIOS Y DSC POS ","OTROS"),"OTROS")</f>
        <v>DERIVADOS</v>
      </c>
      <c r="L190" s="27">
        <f t="shared" si="21"/>
        <v>7203043</v>
      </c>
      <c r="M190" s="27">
        <f t="shared" si="22"/>
        <v>7203043</v>
      </c>
    </row>
    <row r="191" spans="1:13" ht="16.5" hidden="1" outlineLevel="1">
      <c r="A191" s="38"/>
      <c r="B191" s="39" t="s">
        <v>28</v>
      </c>
      <c r="C191" s="36">
        <v>3769663</v>
      </c>
      <c r="D191" s="36">
        <v>0</v>
      </c>
      <c r="E191" s="36"/>
      <c r="F191" s="36">
        <v>14886549.630000001</v>
      </c>
      <c r="G191" s="37">
        <f t="shared" si="24"/>
        <v>0.25322610636404402</v>
      </c>
      <c r="H191" s="23">
        <f t="shared" si="25"/>
        <v>0</v>
      </c>
      <c r="I191" s="24">
        <f t="shared" si="25"/>
        <v>0</v>
      </c>
      <c r="J191" s="32" t="str" cm="1">
        <f t="array" ref="J191">IFERROR(_xlfn.IFS(B191="044 - BLEND TRADICION","BLEND",B191="113 - CAFÉ GOURMET","GOURMET",B191="114 - CAFÉ CONSUMO","CONSUMO",B191="112 - CAFÉ ORGANICO","GOURMET",B191="172 - CAFÉ COSECHA","ESPECIALES",B191="176 - CAFE DESCAFEINADO","GOURMET",B191="147 - CAPSULAS","CAPSULAS",B191="130 - GALLETAS CAFECITAS","DERIVADOS",B191="140 - MERENGUES","DERIVADOS",B191="100 - CAFÉ ESPECIAL","ESPECIALES",B191="141 - AREQUIPE","DERIVADOS",B191="142 - MERMELADA","DERIVADOS",B191="131 - GALLETAS AVENA","DERIVADOS",B191="160 - SOUVENIR","OTROS",B191="148 - CARAMELOS","DERIVADOS",B191="143 - CHOCOFFES","DERIVADOS",B191="162 - CONVENIOS Y DSC POS ","OTROS"),"OTROS")</f>
        <v>OTROS</v>
      </c>
      <c r="L191" s="27">
        <f t="shared" si="21"/>
        <v>3769663</v>
      </c>
      <c r="M191" s="27">
        <f t="shared" si="22"/>
        <v>3769663</v>
      </c>
    </row>
    <row r="192" spans="1:13" ht="16.5" hidden="1" outlineLevel="1">
      <c r="A192" s="38"/>
      <c r="B192" s="39" t="s">
        <v>29</v>
      </c>
      <c r="C192" s="36">
        <v>2760914</v>
      </c>
      <c r="D192" s="36">
        <v>0</v>
      </c>
      <c r="E192" s="36"/>
      <c r="F192" s="36">
        <v>8209679.5599999996</v>
      </c>
      <c r="G192" s="37">
        <f t="shared" si="24"/>
        <v>0.33629984944260116</v>
      </c>
      <c r="H192" s="23">
        <f t="shared" si="25"/>
        <v>0</v>
      </c>
      <c r="I192" s="24">
        <f t="shared" si="25"/>
        <v>0</v>
      </c>
      <c r="J192" s="32" t="str" cm="1">
        <f t="array" ref="J192">IFERROR(_xlfn.IFS(B192="044 - BLEND TRADICION","BLEND",B192="113 - CAFÉ GOURMET","GOURMET",B192="114 - CAFÉ CONSUMO","CONSUMO",B192="112 - CAFÉ ORGANICO","GOURMET",B192="172 - CAFÉ COSECHA","ESPECIALES",B192="176 - CAFE DESCAFEINADO","GOURMET",B192="147 - CAPSULAS","CAPSULAS",B192="130 - GALLETAS CAFECITAS","DERIVADOS",B192="140 - MERENGUES","DERIVADOS",B192="100 - CAFÉ ESPECIAL","ESPECIALES",B192="141 - AREQUIPE","DERIVADOS",B192="142 - MERMELADA","DERIVADOS",B192="131 - GALLETAS AVENA","DERIVADOS",B192="160 - SOUVENIR","OTROS",B192="148 - CARAMELOS","DERIVADOS",B192="143 - CHOCOFFES","DERIVADOS",B192="162 - CONVENIOS Y DSC POS ","OTROS"),"OTROS")</f>
        <v>ESPECIALES</v>
      </c>
      <c r="L192" s="27">
        <f t="shared" si="21"/>
        <v>2760914</v>
      </c>
      <c r="M192" s="27">
        <f t="shared" si="22"/>
        <v>2760914</v>
      </c>
    </row>
    <row r="193" spans="1:13" ht="16.5" hidden="1" outlineLevel="1">
      <c r="A193" s="38"/>
      <c r="B193" s="39" t="s">
        <v>30</v>
      </c>
      <c r="C193" s="36">
        <v>363124</v>
      </c>
      <c r="D193" s="36">
        <v>0</v>
      </c>
      <c r="E193" s="36"/>
      <c r="F193" s="36">
        <v>1016149.79</v>
      </c>
      <c r="G193" s="37">
        <f t="shared" si="24"/>
        <v>0.35735282688982301</v>
      </c>
      <c r="H193" s="23">
        <f t="shared" ref="H193:I250" si="26">IFERROR(+D193/L193*100%,0)</f>
        <v>0</v>
      </c>
      <c r="I193" s="24">
        <f t="shared" si="26"/>
        <v>0</v>
      </c>
      <c r="J193" s="32" t="str" cm="1">
        <f t="array" ref="J193">IFERROR(_xlfn.IFS(B193="044 - BLEND TRADICION","BLEND",B193="113 - CAFÉ GOURMET","GOURMET",B193="114 - CAFÉ CONSUMO","CONSUMO",B193="112 - CAFÉ ORGANICO","GOURMET",B193="172 - CAFÉ COSECHA","ESPECIALES",B193="176 - CAFE DESCAFEINADO","GOURMET",B193="147 - CAPSULAS","CAPSULAS",B193="130 - GALLETAS CAFECITAS","DERIVADOS",B193="140 - MERENGUES","DERIVADOS",B193="100 - CAFÉ ESPECIAL","ESPECIALES",B193="141 - AREQUIPE","DERIVADOS",B193="142 - MERMELADA","DERIVADOS",B193="131 - GALLETAS AVENA","DERIVADOS",B193="160 - SOUVENIR","OTROS",B193="148 - CARAMELOS","DERIVADOS",B193="143 - CHOCOFFES","DERIVADOS",B193="162 - CONVENIOS Y DSC POS ","OTROS"),"OTROS")</f>
        <v>GOURMET</v>
      </c>
      <c r="L193" s="27">
        <f t="shared" si="21"/>
        <v>363124</v>
      </c>
      <c r="M193" s="27">
        <f t="shared" si="22"/>
        <v>363124</v>
      </c>
    </row>
    <row r="194" spans="1:13" ht="16.5" hidden="1" outlineLevel="1">
      <c r="A194" s="19" t="s">
        <v>54</v>
      </c>
      <c r="B194" s="56" t="s">
        <v>32</v>
      </c>
      <c r="C194" s="54">
        <f>SUM(C180:C193)</f>
        <v>73035493</v>
      </c>
      <c r="D194" s="54">
        <f>SUM(D180:D193)</f>
        <v>-119518</v>
      </c>
      <c r="E194" s="54">
        <f>SUM(E180:E193)</f>
        <v>0</v>
      </c>
      <c r="F194" s="58">
        <f>SUM(F180:F193)</f>
        <v>179945706.40000001</v>
      </c>
      <c r="G194" s="55">
        <f t="shared" si="24"/>
        <v>0.40587516346541735</v>
      </c>
      <c r="H194" s="23">
        <f t="shared" si="26"/>
        <v>-1.6337636802487801E-3</v>
      </c>
      <c r="I194" s="24">
        <f t="shared" si="26"/>
        <v>0</v>
      </c>
      <c r="J194" s="32" t="str" cm="1">
        <f t="array" ref="J194">IFERROR(_xlfn.IFS(B194="044 - BLEND TRADICION","BLEND",B194="113 - CAFÉ GOURMET","GOURMET",B194="114 - CAFÉ CONSUMO","CONSUMO",B194="112 - CAFÉ ORGANICO","GOURMET",B194="172 - CAFÉ COSECHA","ESPECIALES",B194="176 - CAFE DESCAFEINADO","GOURMET",B194="147 - CAPSULAS","CAPSULAS",B194="130 - GALLETAS CAFECITAS","DERIVADOS",B194="140 - MERENGUES","DERIVADOS",B194="100 - CAFÉ ESPECIAL","ESPECIALES",B194="141 - AREQUIPE","DERIVADOS",B194="142 - MERMELADA","DERIVADOS",B194="131 - GALLETAS AVENA","DERIVADOS",B194="160 - SOUVENIR","OTROS",B194="148 - CARAMELOS","DERIVADOS",B194="143 - CHOCOFFES","DERIVADOS",B194="162 - CONVENIOS Y DSC POS ","OTROS"),"OTROS")</f>
        <v>OTROS</v>
      </c>
      <c r="L194" s="27">
        <f t="shared" si="21"/>
        <v>73155011</v>
      </c>
      <c r="M194" s="27">
        <f t="shared" si="22"/>
        <v>73155011</v>
      </c>
    </row>
    <row r="195" spans="1:13" ht="16.5" collapsed="1">
      <c r="A195" s="28" t="s">
        <v>55</v>
      </c>
      <c r="B195" s="29" t="s">
        <v>17</v>
      </c>
      <c r="C195" s="30">
        <f>+C210</f>
        <v>130370206</v>
      </c>
      <c r="D195" s="30">
        <f t="shared" ref="D195:E195" si="27">+D210</f>
        <v>-767946</v>
      </c>
      <c r="E195" s="30">
        <f t="shared" si="27"/>
        <v>0</v>
      </c>
      <c r="F195" s="30">
        <f>+F210</f>
        <v>251466278.25</v>
      </c>
      <c r="G195" s="31">
        <f t="shared" si="24"/>
        <v>0.51844011414679614</v>
      </c>
      <c r="H195" s="23">
        <f t="shared" si="26"/>
        <v>-5.856007487432033E-3</v>
      </c>
      <c r="I195" s="24">
        <f t="shared" si="26"/>
        <v>0</v>
      </c>
      <c r="J195" s="32" t="str" cm="1">
        <f t="array" ref="J195">IFERROR(_xlfn.IFS(B195="044 - BLEND TRADICION","BLEND",B195="113 - CAFÉ GOURMET","GOURMET",B195="114 - CAFÉ CONSUMO","CONSUMO",B195="112 - CAFÉ ORGANICO","GOURMET",B195="172 - CAFÉ COSECHA","ESPECIALES",B195="176 - CAFE DESCAFEINADO","GOURMET",B195="147 - CAPSULAS","CAPSULAS",B195="130 - GALLETAS CAFECITAS","DERIVADOS",B195="140 - MERENGUES","DERIVADOS",B195="100 - CAFÉ ESPECIAL","ESPECIALES",B195="141 - AREQUIPE","DERIVADOS",B195="142 - MERMELADA","DERIVADOS",B195="131 - GALLETAS AVENA","DERIVADOS",B195="160 - SOUVENIR","OTROS",B195="148 - CARAMELOS","DERIVADOS",B195="143 - CHOCOFFES","DERIVADOS",B195="162 - CONVENIOS Y DSC POS ","OTROS"),"OTROS")</f>
        <v>OTROS</v>
      </c>
      <c r="L195" s="27">
        <f t="shared" si="21"/>
        <v>131138152</v>
      </c>
      <c r="M195" s="27">
        <f t="shared" si="22"/>
        <v>131138152</v>
      </c>
    </row>
    <row r="196" spans="1:13" ht="16.5" hidden="1" outlineLevel="1">
      <c r="A196" s="38"/>
      <c r="B196" s="39" t="s">
        <v>34</v>
      </c>
      <c r="C196" s="36">
        <v>2772654</v>
      </c>
      <c r="D196" s="36">
        <v>0</v>
      </c>
      <c r="E196" s="36">
        <v>0</v>
      </c>
      <c r="F196" s="36">
        <v>4405498.4400000004</v>
      </c>
      <c r="G196" s="37">
        <f t="shared" si="24"/>
        <v>0.62936215680512186</v>
      </c>
      <c r="H196" s="23">
        <f t="shared" si="26"/>
        <v>0</v>
      </c>
      <c r="I196" s="24">
        <f t="shared" si="26"/>
        <v>0</v>
      </c>
      <c r="J196" s="32" t="str" cm="1">
        <f t="array" ref="J196">IFERROR(_xlfn.IFS(B196="044 - BLEND TRADICION","BLEND",B196="113 - CAFÉ GOURMET","GOURMET",B196="114 - CAFÉ CONSUMO","CONSUMO",B196="112 - CAFÉ ORGANICO","GOURMET",B196="172 - CAFÉ COSECHA","ESPECIALES",B196="176 - CAFE DESCAFEINADO","GOURMET",B196="147 - CAPSULAS","CAPSULAS",B196="130 - GALLETAS CAFECITAS","DERIVADOS",B196="140 - MERENGUES","DERIVADOS",B196="100 - CAFÉ ESPECIAL","ESPECIALES",B196="141 - AREQUIPE","DERIVADOS",B196="142 - MERMELADA","DERIVADOS",B196="131 - GALLETAS AVENA","DERIVADOS",B196="160 - SOUVENIR","OTROS",B196="148 - CARAMELOS","DERIVADOS",B196="143 - CHOCOFFES","DERIVADOS",B196="162 - CONVENIOS Y DSC POS ","OTROS"),"OTROS")</f>
        <v>OTROS</v>
      </c>
      <c r="K196" s="62"/>
      <c r="L196" s="27">
        <f t="shared" si="21"/>
        <v>2772654</v>
      </c>
      <c r="M196" s="27">
        <f t="shared" si="22"/>
        <v>2772654</v>
      </c>
    </row>
    <row r="197" spans="1:13" ht="16.5" hidden="1" outlineLevel="1">
      <c r="A197" s="38"/>
      <c r="B197" s="39" t="s">
        <v>18</v>
      </c>
      <c r="C197" s="36">
        <v>523500</v>
      </c>
      <c r="D197" s="36">
        <v>0</v>
      </c>
      <c r="E197" s="36"/>
      <c r="F197" s="36">
        <v>1752263.11</v>
      </c>
      <c r="G197" s="37">
        <f t="shared" si="24"/>
        <v>0.29875650352531818</v>
      </c>
      <c r="H197" s="23">
        <f t="shared" si="26"/>
        <v>0</v>
      </c>
      <c r="I197" s="24">
        <f t="shared" si="26"/>
        <v>0</v>
      </c>
      <c r="J197" s="32" t="str" cm="1">
        <f t="array" ref="J197">IFERROR(_xlfn.IFS(B197="044 - BLEND TRADICION","BLEND",B197="113 - CAFÉ GOURMET","GOURMET",B197="114 - CAFÉ CONSUMO","CONSUMO",B197="112 - CAFÉ ORGANICO","GOURMET",B197="172 - CAFÉ COSECHA","ESPECIALES",B197="176 - CAFE DESCAFEINADO","GOURMET",B197="147 - CAPSULAS","CAPSULAS",B197="130 - GALLETAS CAFECITAS","DERIVADOS",B197="140 - MERENGUES","DERIVADOS",B197="100 - CAFÉ ESPECIAL","ESPECIALES",B197="141 - AREQUIPE","DERIVADOS",B197="142 - MERMELADA","DERIVADOS",B197="131 - GALLETAS AVENA","DERIVADOS",B197="160 - SOUVENIR","OTROS",B197="148 - CARAMELOS","DERIVADOS",B197="143 - CHOCOFFES","DERIVADOS",B197="162 - CONVENIOS Y DSC POS ","OTROS"),"OTROS")</f>
        <v>BLEND</v>
      </c>
      <c r="K197" s="62"/>
      <c r="L197" s="27">
        <f t="shared" si="21"/>
        <v>523500</v>
      </c>
      <c r="M197" s="27">
        <f t="shared" si="22"/>
        <v>523500</v>
      </c>
    </row>
    <row r="198" spans="1:13" ht="16.5" hidden="1" outlineLevel="1">
      <c r="A198" s="38"/>
      <c r="B198" s="39" t="s">
        <v>19</v>
      </c>
      <c r="C198" s="36">
        <v>3323573</v>
      </c>
      <c r="D198" s="36">
        <v>0</v>
      </c>
      <c r="E198" s="36"/>
      <c r="F198" s="36">
        <v>5187386.37</v>
      </c>
      <c r="G198" s="37">
        <f t="shared" si="24"/>
        <v>0.64070280540911395</v>
      </c>
      <c r="H198" s="23">
        <f t="shared" si="26"/>
        <v>0</v>
      </c>
      <c r="I198" s="24">
        <f t="shared" si="26"/>
        <v>0</v>
      </c>
      <c r="J198" s="32" t="str" cm="1">
        <f t="array" ref="J198">IFERROR(_xlfn.IFS(B198="044 - BLEND TRADICION","BLEND",B198="113 - CAFÉ GOURMET","GOURMET",B198="114 - CAFÉ CONSUMO","CONSUMO",B198="112 - CAFÉ ORGANICO","GOURMET",B198="172 - CAFÉ COSECHA","ESPECIALES",B198="176 - CAFE DESCAFEINADO","GOURMET",B198="147 - CAPSULAS","CAPSULAS",B198="130 - GALLETAS CAFECITAS","DERIVADOS",B198="140 - MERENGUES","DERIVADOS",B198="100 - CAFÉ ESPECIAL","ESPECIALES",B198="141 - AREQUIPE","DERIVADOS",B198="142 - MERMELADA","DERIVADOS",B198="131 - GALLETAS AVENA","DERIVADOS",B198="160 - SOUVENIR","OTROS",B198="148 - CARAMELOS","DERIVADOS",B198="143 - CHOCOFFES","DERIVADOS",B198="162 - CONVENIOS Y DSC POS ","OTROS"),"OTROS")</f>
        <v>ESPECIALES</v>
      </c>
      <c r="K198" s="62"/>
      <c r="L198" s="27">
        <f t="shared" si="21"/>
        <v>3323573</v>
      </c>
      <c r="M198" s="27">
        <f t="shared" si="22"/>
        <v>3323573</v>
      </c>
    </row>
    <row r="199" spans="1:13" ht="16.5" hidden="1" outlineLevel="1">
      <c r="A199" s="38"/>
      <c r="B199" s="39" t="s">
        <v>20</v>
      </c>
      <c r="C199" s="36">
        <v>4210289</v>
      </c>
      <c r="D199" s="36">
        <v>0</v>
      </c>
      <c r="E199" s="36"/>
      <c r="F199" s="36">
        <v>7440163.29</v>
      </c>
      <c r="G199" s="37">
        <f t="shared" si="24"/>
        <v>0.5658866392971329</v>
      </c>
      <c r="H199" s="23">
        <f t="shared" si="26"/>
        <v>0</v>
      </c>
      <c r="I199" s="24">
        <f t="shared" si="26"/>
        <v>0</v>
      </c>
      <c r="J199" s="32" t="str" cm="1">
        <f t="array" ref="J199">IFERROR(_xlfn.IFS(B199="044 - BLEND TRADICION","BLEND",B199="113 - CAFÉ GOURMET","GOURMET",B199="114 - CAFÉ CONSUMO","CONSUMO",B199="112 - CAFÉ ORGANICO","GOURMET",B199="172 - CAFÉ COSECHA","ESPECIALES",B199="176 - CAFE DESCAFEINADO","GOURMET",B199="147 - CAPSULAS","CAPSULAS",B199="130 - GALLETAS CAFECITAS","DERIVADOS",B199="140 - MERENGUES","DERIVADOS",B199="100 - CAFÉ ESPECIAL","ESPECIALES",B199="141 - AREQUIPE","DERIVADOS",B199="142 - MERMELADA","DERIVADOS",B199="131 - GALLETAS AVENA","DERIVADOS",B199="160 - SOUVENIR","OTROS",B199="148 - CARAMELOS","DERIVADOS",B199="143 - CHOCOFFES","DERIVADOS",B199="162 - CONVENIOS Y DSC POS ","OTROS"),"OTROS")</f>
        <v>GOURMET</v>
      </c>
      <c r="K199" s="62"/>
      <c r="L199" s="27">
        <f t="shared" si="21"/>
        <v>4210289</v>
      </c>
      <c r="M199" s="27">
        <f t="shared" si="22"/>
        <v>4210289</v>
      </c>
    </row>
    <row r="200" spans="1:13" ht="16.5" hidden="1" outlineLevel="1">
      <c r="A200" s="38"/>
      <c r="B200" s="39" t="s">
        <v>21</v>
      </c>
      <c r="C200" s="36">
        <v>67706120</v>
      </c>
      <c r="D200" s="36">
        <v>-654102</v>
      </c>
      <c r="E200" s="36"/>
      <c r="F200" s="36">
        <v>142013899.65000001</v>
      </c>
      <c r="G200" s="37">
        <f t="shared" si="24"/>
        <v>0.47675699468055555</v>
      </c>
      <c r="H200" s="23">
        <f t="shared" si="26"/>
        <v>-9.5684592715336702E-3</v>
      </c>
      <c r="I200" s="24">
        <f t="shared" si="26"/>
        <v>0</v>
      </c>
      <c r="J200" s="32" t="str" cm="1">
        <f t="array" ref="J200">IFERROR(_xlfn.IFS(B200="044 - BLEND TRADICION","BLEND",B200="113 - CAFÉ GOURMET","GOURMET",B200="114 - CAFÉ CONSUMO","CONSUMO",B200="112 - CAFÉ ORGANICO","GOURMET",B200="172 - CAFÉ COSECHA","ESPECIALES",B200="176 - CAFE DESCAFEINADO","GOURMET",B200="147 - CAPSULAS","CAPSULAS",B200="130 - GALLETAS CAFECITAS","DERIVADOS",B200="140 - MERENGUES","DERIVADOS",B200="100 - CAFÉ ESPECIAL","ESPECIALES",B200="141 - AREQUIPE","DERIVADOS",B200="142 - MERMELADA","DERIVADOS",B200="131 - GALLETAS AVENA","DERIVADOS",B200="160 - SOUVENIR","OTROS",B200="148 - CARAMELOS","DERIVADOS",B200="143 - CHOCOFFES","DERIVADOS",B200="162 - CONVENIOS Y DSC POS ","OTROS"),"OTROS")</f>
        <v>GOURMET</v>
      </c>
      <c r="K200" s="62"/>
      <c r="L200" s="27">
        <f t="shared" ref="L200:L240" si="28">C200-(D200+E200)</f>
        <v>68360222</v>
      </c>
      <c r="M200" s="27">
        <f t="shared" ref="M200:M250" si="29">L200</f>
        <v>68360222</v>
      </c>
    </row>
    <row r="201" spans="1:13" ht="16.5" hidden="1" outlineLevel="1">
      <c r="A201" s="38"/>
      <c r="B201" s="39" t="s">
        <v>22</v>
      </c>
      <c r="C201" s="36">
        <v>565154</v>
      </c>
      <c r="D201" s="36">
        <v>-113844</v>
      </c>
      <c r="E201" s="36"/>
      <c r="F201" s="36">
        <v>2033308.06</v>
      </c>
      <c r="G201" s="37">
        <f t="shared" si="24"/>
        <v>0.27794804492143704</v>
      </c>
      <c r="H201" s="23">
        <f t="shared" si="26"/>
        <v>-0.16766470593433264</v>
      </c>
      <c r="I201" s="24">
        <f t="shared" si="26"/>
        <v>0</v>
      </c>
      <c r="J201" s="32" t="str" cm="1">
        <f t="array" ref="J201">IFERROR(_xlfn.IFS(B201="044 - BLEND TRADICION","BLEND",B201="113 - CAFÉ GOURMET","GOURMET",B201="114 - CAFÉ CONSUMO","CONSUMO",B201="112 - CAFÉ ORGANICO","GOURMET",B201="172 - CAFÉ COSECHA","ESPECIALES",B201="176 - CAFE DESCAFEINADO","GOURMET",B201="147 - CAPSULAS","CAPSULAS",B201="130 - GALLETAS CAFECITAS","DERIVADOS",B201="140 - MERENGUES","DERIVADOS",B201="100 - CAFÉ ESPECIAL","ESPECIALES",B201="141 - AREQUIPE","DERIVADOS",B201="142 - MERMELADA","DERIVADOS",B201="131 - GALLETAS AVENA","DERIVADOS",B201="160 - SOUVENIR","OTROS",B201="148 - CARAMELOS","DERIVADOS",B201="143 - CHOCOFFES","DERIVADOS",B201="162 - CONVENIOS Y DSC POS ","OTROS"),"OTROS")</f>
        <v>DERIVADOS</v>
      </c>
      <c r="K201" s="62"/>
      <c r="L201" s="27">
        <f t="shared" si="28"/>
        <v>678998</v>
      </c>
      <c r="M201" s="27">
        <f t="shared" si="29"/>
        <v>678998</v>
      </c>
    </row>
    <row r="202" spans="1:13" ht="16.5" hidden="1" outlineLevel="1">
      <c r="A202" s="38"/>
      <c r="B202" s="39" t="s">
        <v>24</v>
      </c>
      <c r="C202" s="36">
        <v>0</v>
      </c>
      <c r="D202" s="36">
        <v>0</v>
      </c>
      <c r="E202" s="36"/>
      <c r="F202" s="36">
        <v>5794.52</v>
      </c>
      <c r="G202" s="37">
        <f t="shared" si="24"/>
        <v>0</v>
      </c>
      <c r="H202" s="23">
        <f t="shared" si="26"/>
        <v>0</v>
      </c>
      <c r="I202" s="24">
        <f t="shared" si="26"/>
        <v>0</v>
      </c>
      <c r="J202" s="32" t="str" cm="1">
        <f t="array" ref="J202">IFERROR(_xlfn.IFS(B202="044 - BLEND TRADICION","BLEND",B202="113 - CAFÉ GOURMET","GOURMET",B202="114 - CAFÉ CONSUMO","CONSUMO",B202="112 - CAFÉ ORGANICO","GOURMET",B202="172 - CAFÉ COSECHA","ESPECIALES",B202="176 - CAFE DESCAFEINADO","GOURMET",B202="147 - CAPSULAS","CAPSULAS",B202="130 - GALLETAS CAFECITAS","DERIVADOS",B202="140 - MERENGUES","DERIVADOS",B202="100 - CAFÉ ESPECIAL","ESPECIALES",B202="141 - AREQUIPE","DERIVADOS",B202="142 - MERMELADA","DERIVADOS",B202="131 - GALLETAS AVENA","DERIVADOS",B202="160 - SOUVENIR","OTROS",B202="148 - CARAMELOS","DERIVADOS",B202="143 - CHOCOFFES","DERIVADOS",B202="162 - CONVENIOS Y DSC POS ","OTROS"),"OTROS")</f>
        <v>DERIVADOS</v>
      </c>
      <c r="K202" s="62"/>
      <c r="L202" s="27">
        <f t="shared" si="28"/>
        <v>0</v>
      </c>
      <c r="M202" s="27">
        <f t="shared" si="29"/>
        <v>0</v>
      </c>
    </row>
    <row r="203" spans="1:13" ht="16.5" hidden="1" outlineLevel="1">
      <c r="A203" s="38"/>
      <c r="B203" s="39" t="s">
        <v>25</v>
      </c>
      <c r="C203" s="36">
        <v>1196930</v>
      </c>
      <c r="D203" s="36">
        <v>0</v>
      </c>
      <c r="E203" s="36"/>
      <c r="F203" s="36">
        <v>3644356.83</v>
      </c>
      <c r="G203" s="37">
        <f t="shared" si="24"/>
        <v>0.32843381036318553</v>
      </c>
      <c r="H203" s="23">
        <f t="shared" si="26"/>
        <v>0</v>
      </c>
      <c r="I203" s="24">
        <f t="shared" si="26"/>
        <v>0</v>
      </c>
      <c r="J203" s="32" t="str" cm="1">
        <f t="array" ref="J203">IFERROR(_xlfn.IFS(B203="044 - BLEND TRADICION","BLEND",B203="113 - CAFÉ GOURMET","GOURMET",B203="114 - CAFÉ CONSUMO","CONSUMO",B203="112 - CAFÉ ORGANICO","GOURMET",B203="172 - CAFÉ COSECHA","ESPECIALES",B203="176 - CAFE DESCAFEINADO","GOURMET",B203="147 - CAPSULAS","CAPSULAS",B203="130 - GALLETAS CAFECITAS","DERIVADOS",B203="140 - MERENGUES","DERIVADOS",B203="100 - CAFÉ ESPECIAL","ESPECIALES",B203="141 - AREQUIPE","DERIVADOS",B203="142 - MERMELADA","DERIVADOS",B203="131 - GALLETAS AVENA","DERIVADOS",B203="160 - SOUVENIR","OTROS",B203="148 - CARAMELOS","DERIVADOS",B203="143 - CHOCOFFES","DERIVADOS",B203="162 - CONVENIOS Y DSC POS ","OTROS"),"OTROS")</f>
        <v>DERIVADOS</v>
      </c>
      <c r="K203" s="62"/>
      <c r="L203" s="27">
        <f t="shared" si="28"/>
        <v>1196930</v>
      </c>
      <c r="M203" s="27">
        <f t="shared" si="29"/>
        <v>1196930</v>
      </c>
    </row>
    <row r="204" spans="1:13" ht="16.5" hidden="1" outlineLevel="1">
      <c r="A204" s="38"/>
      <c r="B204" s="39" t="s">
        <v>26</v>
      </c>
      <c r="C204" s="36">
        <v>41268449</v>
      </c>
      <c r="D204" s="36">
        <v>0</v>
      </c>
      <c r="E204" s="36"/>
      <c r="F204" s="36">
        <v>59490908.259999998</v>
      </c>
      <c r="G204" s="37">
        <f t="shared" si="24"/>
        <v>0.69369337613135307</v>
      </c>
      <c r="H204" s="23">
        <f t="shared" si="26"/>
        <v>0</v>
      </c>
      <c r="I204" s="24">
        <f t="shared" si="26"/>
        <v>0</v>
      </c>
      <c r="J204" s="32" t="str" cm="1">
        <f t="array" ref="J204">IFERROR(_xlfn.IFS(B204="044 - BLEND TRADICION","BLEND",B204="113 - CAFÉ GOURMET","GOURMET",B204="114 - CAFÉ CONSUMO","CONSUMO",B204="112 - CAFÉ ORGANICO","GOURMET",B204="172 - CAFÉ COSECHA","ESPECIALES",B204="176 - CAFE DESCAFEINADO","GOURMET",B204="147 - CAPSULAS","CAPSULAS",B204="130 - GALLETAS CAFECITAS","DERIVADOS",B204="140 - MERENGUES","DERIVADOS",B204="100 - CAFÉ ESPECIAL","ESPECIALES",B204="141 - AREQUIPE","DERIVADOS",B204="142 - MERMELADA","DERIVADOS",B204="131 - GALLETAS AVENA","DERIVADOS",B204="160 - SOUVENIR","OTROS",B204="148 - CARAMELOS","DERIVADOS",B204="143 - CHOCOFFES","DERIVADOS",B204="162 - CONVENIOS Y DSC POS ","OTROS"),"OTROS")</f>
        <v>CAPSULAS</v>
      </c>
      <c r="K204" s="62"/>
      <c r="L204" s="27">
        <f t="shared" si="28"/>
        <v>41268449</v>
      </c>
      <c r="M204" s="27">
        <f t="shared" si="29"/>
        <v>41268449</v>
      </c>
    </row>
    <row r="205" spans="1:13" ht="16.5" hidden="1" outlineLevel="1">
      <c r="A205" s="38"/>
      <c r="B205" s="39" t="s">
        <v>27</v>
      </c>
      <c r="C205" s="36">
        <v>477738</v>
      </c>
      <c r="D205" s="36">
        <v>0</v>
      </c>
      <c r="E205" s="36"/>
      <c r="F205" s="36">
        <v>3108564.42</v>
      </c>
      <c r="G205" s="37">
        <f t="shared" si="24"/>
        <v>0.15368444576097928</v>
      </c>
      <c r="H205" s="23">
        <f t="shared" si="26"/>
        <v>0</v>
      </c>
      <c r="I205" s="24">
        <f t="shared" si="26"/>
        <v>0</v>
      </c>
      <c r="J205" s="32" t="str" cm="1">
        <f t="array" ref="J205">IFERROR(_xlfn.IFS(B205="044 - BLEND TRADICION","BLEND",B205="113 - CAFÉ GOURMET","GOURMET",B205="114 - CAFÉ CONSUMO","CONSUMO",B205="112 - CAFÉ ORGANICO","GOURMET",B205="172 - CAFÉ COSECHA","ESPECIALES",B205="176 - CAFE DESCAFEINADO","GOURMET",B205="147 - CAPSULAS","CAPSULAS",B205="130 - GALLETAS CAFECITAS","DERIVADOS",B205="140 - MERENGUES","DERIVADOS",B205="100 - CAFÉ ESPECIAL","ESPECIALES",B205="141 - AREQUIPE","DERIVADOS",B205="142 - MERMELADA","DERIVADOS",B205="131 - GALLETAS AVENA","DERIVADOS",B205="160 - SOUVENIR","OTROS",B205="148 - CARAMELOS","DERIVADOS",B205="143 - CHOCOFFES","DERIVADOS",B205="162 - CONVENIOS Y DSC POS ","OTROS"),"OTROS")</f>
        <v>DERIVADOS</v>
      </c>
      <c r="K205" s="62"/>
      <c r="L205" s="27">
        <f t="shared" si="28"/>
        <v>477738</v>
      </c>
      <c r="M205" s="27">
        <f t="shared" si="29"/>
        <v>477738</v>
      </c>
    </row>
    <row r="206" spans="1:13" ht="16.5" hidden="1" outlineLevel="1">
      <c r="A206" s="38"/>
      <c r="B206" s="39" t="s">
        <v>28</v>
      </c>
      <c r="C206" s="36">
        <v>1506126</v>
      </c>
      <c r="D206" s="36">
        <v>0</v>
      </c>
      <c r="E206" s="36"/>
      <c r="F206" s="36">
        <v>7821246.9800000004</v>
      </c>
      <c r="G206" s="37">
        <f t="shared" si="24"/>
        <v>0.19256852569051591</v>
      </c>
      <c r="H206" s="23">
        <f t="shared" si="26"/>
        <v>0</v>
      </c>
      <c r="I206" s="24">
        <f t="shared" si="26"/>
        <v>0</v>
      </c>
      <c r="J206" s="32" t="str" cm="1">
        <f t="array" ref="J206">IFERROR(_xlfn.IFS(B206="044 - BLEND TRADICION","BLEND",B206="113 - CAFÉ GOURMET","GOURMET",B206="114 - CAFÉ CONSUMO","CONSUMO",B206="112 - CAFÉ ORGANICO","GOURMET",B206="172 - CAFÉ COSECHA","ESPECIALES",B206="176 - CAFE DESCAFEINADO","GOURMET",B206="147 - CAPSULAS","CAPSULAS",B206="130 - GALLETAS CAFECITAS","DERIVADOS",B206="140 - MERENGUES","DERIVADOS",B206="100 - CAFÉ ESPECIAL","ESPECIALES",B206="141 - AREQUIPE","DERIVADOS",B206="142 - MERMELADA","DERIVADOS",B206="131 - GALLETAS AVENA","DERIVADOS",B206="160 - SOUVENIR","OTROS",B206="148 - CARAMELOS","DERIVADOS",B206="143 - CHOCOFFES","DERIVADOS",B206="162 - CONVENIOS Y DSC POS ","OTROS"),"OTROS")</f>
        <v>OTROS</v>
      </c>
      <c r="K206" s="62"/>
      <c r="L206" s="27">
        <f t="shared" si="28"/>
        <v>1506126</v>
      </c>
      <c r="M206" s="27">
        <f t="shared" si="29"/>
        <v>1506126</v>
      </c>
    </row>
    <row r="207" spans="1:13" ht="16.5" hidden="1" outlineLevel="1">
      <c r="A207" s="38"/>
      <c r="B207" s="39" t="s">
        <v>29</v>
      </c>
      <c r="C207" s="36">
        <v>4960071</v>
      </c>
      <c r="D207" s="36">
        <v>0</v>
      </c>
      <c r="E207" s="36"/>
      <c r="F207" s="36">
        <v>12404965.970000001</v>
      </c>
      <c r="G207" s="37">
        <f t="shared" si="24"/>
        <v>0.39984559506212008</v>
      </c>
      <c r="H207" s="23">
        <f t="shared" si="26"/>
        <v>0</v>
      </c>
      <c r="I207" s="24">
        <f t="shared" si="26"/>
        <v>0</v>
      </c>
      <c r="J207" s="32" t="str" cm="1">
        <f t="array" ref="J207">IFERROR(_xlfn.IFS(B207="044 - BLEND TRADICION","BLEND",B207="113 - CAFÉ GOURMET","GOURMET",B207="114 - CAFÉ CONSUMO","CONSUMO",B207="112 - CAFÉ ORGANICO","GOURMET",B207="172 - CAFÉ COSECHA","ESPECIALES",B207="176 - CAFE DESCAFEINADO","GOURMET",B207="147 - CAPSULAS","CAPSULAS",B207="130 - GALLETAS CAFECITAS","DERIVADOS",B207="140 - MERENGUES","DERIVADOS",B207="100 - CAFÉ ESPECIAL","ESPECIALES",B207="141 - AREQUIPE","DERIVADOS",B207="142 - MERMELADA","DERIVADOS",B207="131 - GALLETAS AVENA","DERIVADOS",B207="160 - SOUVENIR","OTROS",B207="148 - CARAMELOS","DERIVADOS",B207="143 - CHOCOFFES","DERIVADOS",B207="162 - CONVENIOS Y DSC POS ","OTROS"),"OTROS")</f>
        <v>ESPECIALES</v>
      </c>
      <c r="K207" s="62"/>
      <c r="L207" s="27">
        <f t="shared" si="28"/>
        <v>4960071</v>
      </c>
      <c r="M207" s="27">
        <f t="shared" si="29"/>
        <v>4960071</v>
      </c>
    </row>
    <row r="208" spans="1:13" ht="16.5" hidden="1" outlineLevel="1">
      <c r="A208" s="38"/>
      <c r="B208" s="39" t="s">
        <v>30</v>
      </c>
      <c r="C208" s="36">
        <v>1834602</v>
      </c>
      <c r="D208" s="36">
        <v>0</v>
      </c>
      <c r="E208" s="36"/>
      <c r="F208" s="36">
        <v>2157922.35</v>
      </c>
      <c r="G208" s="37">
        <f t="shared" si="24"/>
        <v>0.8501705355616711</v>
      </c>
      <c r="H208" s="23">
        <f t="shared" si="26"/>
        <v>0</v>
      </c>
      <c r="I208" s="24">
        <f t="shared" si="26"/>
        <v>0</v>
      </c>
      <c r="J208" s="32" t="str" cm="1">
        <f t="array" ref="J208">IFERROR(_xlfn.IFS(B208="044 - BLEND TRADICION","BLEND",B208="113 - CAFÉ GOURMET","GOURMET",B208="114 - CAFÉ CONSUMO","CONSUMO",B208="112 - CAFÉ ORGANICO","GOURMET",B208="172 - CAFÉ COSECHA","ESPECIALES",B208="176 - CAFE DESCAFEINADO","GOURMET",B208="147 - CAPSULAS","CAPSULAS",B208="130 - GALLETAS CAFECITAS","DERIVADOS",B208="140 - MERENGUES","DERIVADOS",B208="100 - CAFÉ ESPECIAL","ESPECIALES",B208="141 - AREQUIPE","DERIVADOS",B208="142 - MERMELADA","DERIVADOS",B208="131 - GALLETAS AVENA","DERIVADOS",B208="160 - SOUVENIR","OTROS",B208="148 - CARAMELOS","DERIVADOS",B208="143 - CHOCOFFES","DERIVADOS",B208="162 - CONVENIOS Y DSC POS ","OTROS"),"OTROS")</f>
        <v>GOURMET</v>
      </c>
      <c r="K208" s="62"/>
      <c r="L208" s="27">
        <f t="shared" si="28"/>
        <v>1834602</v>
      </c>
      <c r="M208" s="27">
        <f t="shared" si="29"/>
        <v>1834602</v>
      </c>
    </row>
    <row r="209" spans="1:13" ht="16.5" hidden="1" outlineLevel="1">
      <c r="A209" s="38"/>
      <c r="B209" s="39" t="s">
        <v>31</v>
      </c>
      <c r="C209" s="36">
        <v>25000</v>
      </c>
      <c r="D209" s="36">
        <v>0</v>
      </c>
      <c r="E209" s="36"/>
      <c r="F209" s="36">
        <v>0</v>
      </c>
      <c r="G209" s="37" t="str">
        <f t="shared" si="24"/>
        <v>-</v>
      </c>
      <c r="H209" s="23">
        <f t="shared" si="26"/>
        <v>0</v>
      </c>
      <c r="I209" s="24">
        <f t="shared" si="26"/>
        <v>0</v>
      </c>
      <c r="J209" s="32" t="str" cm="1">
        <f t="array" ref="J209">IFERROR(_xlfn.IFS(B209="044 - BLEND TRADICION","BLEND",B209="113 - CAFÉ GOURMET","GOURMET",B209="114 - CAFÉ CONSUMO","CONSUMO",B209="112 - CAFÉ ORGANICO","GOURMET",B209="172 - CAFÉ COSECHA","ESPECIALES",B209="176 - CAFE DESCAFEINADO","GOURMET",B209="147 - CAPSULAS","CAPSULAS",B209="130 - GALLETAS CAFECITAS","DERIVADOS",B209="140 - MERENGUES","DERIVADOS",B209="100 - CAFÉ ESPECIAL","ESPECIALES",B209="141 - AREQUIPE","DERIVADOS",B209="142 - MERMELADA","DERIVADOS",B209="131 - GALLETAS AVENA","DERIVADOS",B209="160 - SOUVENIR","OTROS",B209="148 - CARAMELOS","DERIVADOS",B209="143 - CHOCOFFES","DERIVADOS",B209="162 - CONVENIOS Y DSC POS ","OTROS"),"OTROS")</f>
        <v>OTROS</v>
      </c>
      <c r="K209" s="62"/>
      <c r="L209" s="27">
        <f t="shared" si="28"/>
        <v>25000</v>
      </c>
      <c r="M209" s="27">
        <f t="shared" si="29"/>
        <v>25000</v>
      </c>
    </row>
    <row r="210" spans="1:13" ht="16.5" hidden="1" outlineLevel="1">
      <c r="A210" s="19" t="s">
        <v>56</v>
      </c>
      <c r="B210" s="56" t="s">
        <v>32</v>
      </c>
      <c r="C210" s="54">
        <f>SUM(C196:C209)</f>
        <v>130370206</v>
      </c>
      <c r="D210" s="54">
        <f>SUM(D196:D209)</f>
        <v>-767946</v>
      </c>
      <c r="E210" s="54">
        <f>SUM(E196:E209)</f>
        <v>0</v>
      </c>
      <c r="F210" s="58">
        <f>SUM(F196:F209)</f>
        <v>251466278.25</v>
      </c>
      <c r="G210" s="55">
        <f t="shared" si="24"/>
        <v>0.51844011414679614</v>
      </c>
      <c r="H210" s="23">
        <f t="shared" si="26"/>
        <v>-5.856007487432033E-3</v>
      </c>
      <c r="I210" s="24">
        <f t="shared" si="26"/>
        <v>0</v>
      </c>
      <c r="J210" s="32" t="str" cm="1">
        <f t="array" ref="J210">IFERROR(_xlfn.IFS(B210="044 - BLEND TRADICION","BLEND",B210="113 - CAFÉ GOURMET","GOURMET",B210="114 - CAFÉ CONSUMO","CONSUMO",B210="112 - CAFÉ ORGANICO","GOURMET",B210="172 - CAFÉ COSECHA","ESPECIALES",B210="176 - CAFE DESCAFEINADO","GOURMET",B210="147 - CAPSULAS","CAPSULAS",B210="130 - GALLETAS CAFECITAS","DERIVADOS",B210="140 - MERENGUES","DERIVADOS",B210="100 - CAFÉ ESPECIAL","ESPECIALES",B210="141 - AREQUIPE","DERIVADOS",B210="142 - MERMELADA","DERIVADOS",B210="131 - GALLETAS AVENA","DERIVADOS",B210="160 - SOUVENIR","OTROS",B210="148 - CARAMELOS","DERIVADOS",B210="143 - CHOCOFFES","DERIVADOS",B210="162 - CONVENIOS Y DSC POS ","OTROS"),"OTROS")</f>
        <v>OTROS</v>
      </c>
      <c r="K210" s="62">
        <f>C210-E210</f>
        <v>130370206</v>
      </c>
      <c r="L210" s="27">
        <f t="shared" si="28"/>
        <v>131138152</v>
      </c>
      <c r="M210" s="27">
        <f t="shared" si="29"/>
        <v>131138152</v>
      </c>
    </row>
    <row r="211" spans="1:13" ht="16.5" collapsed="1">
      <c r="A211" s="28" t="s">
        <v>57</v>
      </c>
      <c r="B211" s="29" t="s">
        <v>17</v>
      </c>
      <c r="C211" s="30">
        <f>+C227</f>
        <v>87173545</v>
      </c>
      <c r="D211" s="30">
        <f>+D227</f>
        <v>0</v>
      </c>
      <c r="E211" s="30">
        <f>+E227</f>
        <v>0</v>
      </c>
      <c r="F211" s="30">
        <f>+F227</f>
        <v>242185563.47000003</v>
      </c>
      <c r="G211" s="31">
        <f t="shared" si="24"/>
        <v>0.35994525747525968</v>
      </c>
      <c r="H211" s="23">
        <f t="shared" si="26"/>
        <v>0</v>
      </c>
      <c r="I211" s="24">
        <f t="shared" si="26"/>
        <v>0</v>
      </c>
      <c r="J211" s="32" t="str" cm="1">
        <f t="array" ref="J211">IFERROR(_xlfn.IFS(B211="044 - BLEND TRADICION","BLEND",B211="113 - CAFÉ GOURMET","GOURMET",B211="114 - CAFÉ CONSUMO","CONSUMO",B211="112 - CAFÉ ORGANICO","GOURMET",B211="172 - CAFÉ COSECHA","ESPECIALES",B211="176 - CAFE DESCAFEINADO","GOURMET",B211="147 - CAPSULAS","CAPSULAS",B211="130 - GALLETAS CAFECITAS","DERIVADOS",B211="140 - MERENGUES","DERIVADOS",B211="100 - CAFÉ ESPECIAL","ESPECIALES",B211="141 - AREQUIPE","DERIVADOS",B211="142 - MERMELADA","DERIVADOS",B211="131 - GALLETAS AVENA","DERIVADOS",B211="160 - SOUVENIR","OTROS",B211="148 - CARAMELOS","DERIVADOS",B211="143 - CHOCOFFES","DERIVADOS",B211="162 - CONVENIOS Y DSC POS ","OTROS"),"OTROS")</f>
        <v>OTROS</v>
      </c>
      <c r="K211" s="62">
        <f>C211-E211</f>
        <v>87173545</v>
      </c>
      <c r="L211" s="27">
        <f t="shared" si="28"/>
        <v>87173545</v>
      </c>
      <c r="M211" s="27">
        <f t="shared" si="29"/>
        <v>87173545</v>
      </c>
    </row>
    <row r="212" spans="1:13" ht="15.75" hidden="1" customHeight="1" outlineLevel="1">
      <c r="A212" s="44"/>
      <c r="B212" s="45" t="s">
        <v>34</v>
      </c>
      <c r="C212" s="46">
        <v>71575</v>
      </c>
      <c r="D212" s="46">
        <v>0</v>
      </c>
      <c r="E212" s="46"/>
      <c r="F212" s="46">
        <v>183711.31</v>
      </c>
      <c r="G212" s="37">
        <f t="shared" si="24"/>
        <v>0.38960584408221793</v>
      </c>
      <c r="H212" s="23">
        <f t="shared" si="26"/>
        <v>0</v>
      </c>
      <c r="I212" s="24">
        <f t="shared" si="26"/>
        <v>0</v>
      </c>
      <c r="J212" s="32" t="str" cm="1">
        <f t="array" ref="J212">IFERROR(_xlfn.IFS(B212="044 - BLEND TRADICION","BLEND",B212="113 - CAFÉ GOURMET","GOURMET",B212="114 - CAFÉ CONSUMO","CONSUMO",B212="112 - CAFÉ ORGANICO","GOURMET",B212="172 - CAFÉ COSECHA","ESPECIALES",B212="176 - CAFE DESCAFEINADO","GOURMET",B212="147 - CAPSULAS","CAPSULAS",B212="130 - GALLETAS CAFECITAS","DERIVADOS",B212="140 - MERENGUES","DERIVADOS",B212="100 - CAFÉ ESPECIAL","ESPECIALES",B212="141 - AREQUIPE","DERIVADOS",B212="142 - MERMELADA","DERIVADOS",B212="131 - GALLETAS AVENA","DERIVADOS",B212="160 - SOUVENIR","OTROS",B212="148 - CARAMELOS","DERIVADOS",B212="143 - CHOCOFFES","DERIVADOS",B212="162 - CONVENIOS Y DSC POS ","OTROS"),"OTROS")</f>
        <v>OTROS</v>
      </c>
      <c r="K212" s="62">
        <f>C212-E212</f>
        <v>71575</v>
      </c>
      <c r="L212" s="27">
        <f t="shared" si="28"/>
        <v>71575</v>
      </c>
      <c r="M212" s="27">
        <f t="shared" si="29"/>
        <v>71575</v>
      </c>
    </row>
    <row r="213" spans="1:13" ht="15.75" hidden="1" customHeight="1" outlineLevel="1">
      <c r="A213" s="44"/>
      <c r="B213" s="45" t="s">
        <v>18</v>
      </c>
      <c r="C213" s="46">
        <v>2736800</v>
      </c>
      <c r="D213" s="46">
        <v>0</v>
      </c>
      <c r="E213" s="46"/>
      <c r="F213" s="46">
        <v>22057449.760000002</v>
      </c>
      <c r="G213" s="37">
        <f t="shared" si="24"/>
        <v>0.1240759938151617</v>
      </c>
      <c r="H213" s="23">
        <f t="shared" si="26"/>
        <v>0</v>
      </c>
      <c r="I213" s="24">
        <f t="shared" si="26"/>
        <v>0</v>
      </c>
      <c r="J213" s="32" t="str" cm="1">
        <f t="array" ref="J213">IFERROR(_xlfn.IFS(B213="044 - BLEND TRADICION","BLEND",B213="113 - CAFÉ GOURMET","GOURMET",B213="114 - CAFÉ CONSUMO","CONSUMO",B213="112 - CAFÉ ORGANICO","GOURMET",B213="172 - CAFÉ COSECHA","ESPECIALES",B213="176 - CAFE DESCAFEINADO","GOURMET",B213="147 - CAPSULAS","CAPSULAS",B213="130 - GALLETAS CAFECITAS","DERIVADOS",B213="140 - MERENGUES","DERIVADOS",B213="100 - CAFÉ ESPECIAL","ESPECIALES",B213="141 - AREQUIPE","DERIVADOS",B213="142 - MERMELADA","DERIVADOS",B213="131 - GALLETAS AVENA","DERIVADOS",B213="160 - SOUVENIR","OTROS",B213="148 - CARAMELOS","DERIVADOS",B213="143 - CHOCOFFES","DERIVADOS",B213="162 - CONVENIOS Y DSC POS ","OTROS"),"OTROS")</f>
        <v>BLEND</v>
      </c>
      <c r="K213" s="62">
        <f>C213-E213</f>
        <v>2736800</v>
      </c>
      <c r="L213" s="27">
        <f t="shared" si="28"/>
        <v>2736800</v>
      </c>
      <c r="M213" s="27">
        <f t="shared" si="29"/>
        <v>2736800</v>
      </c>
    </row>
    <row r="214" spans="1:13" ht="15.75" hidden="1" customHeight="1" outlineLevel="1">
      <c r="A214" s="44"/>
      <c r="B214" s="45" t="s">
        <v>19</v>
      </c>
      <c r="C214" s="46">
        <v>2292547</v>
      </c>
      <c r="D214" s="46">
        <v>0</v>
      </c>
      <c r="E214" s="46"/>
      <c r="F214" s="46">
        <v>4724786.33</v>
      </c>
      <c r="G214" s="37">
        <f t="shared" si="24"/>
        <v>0.48521707435603761</v>
      </c>
      <c r="H214" s="23">
        <f t="shared" si="26"/>
        <v>0</v>
      </c>
      <c r="I214" s="24">
        <f t="shared" si="26"/>
        <v>0</v>
      </c>
      <c r="J214" s="32" t="str" cm="1">
        <f t="array" ref="J214">IFERROR(_xlfn.IFS(B214="044 - BLEND TRADICION","BLEND",B214="113 - CAFÉ GOURMET","GOURMET",B214="114 - CAFÉ CONSUMO","CONSUMO",B214="112 - CAFÉ ORGANICO","GOURMET",B214="172 - CAFÉ COSECHA","ESPECIALES",B214="176 - CAFE DESCAFEINADO","GOURMET",B214="147 - CAPSULAS","CAPSULAS",B214="130 - GALLETAS CAFECITAS","DERIVADOS",B214="140 - MERENGUES","DERIVADOS",B214="100 - CAFÉ ESPECIAL","ESPECIALES",B214="141 - AREQUIPE","DERIVADOS",B214="142 - MERMELADA","DERIVADOS",B214="131 - GALLETAS AVENA","DERIVADOS",B214="160 - SOUVENIR","OTROS",B214="148 - CARAMELOS","DERIVADOS",B214="143 - CHOCOFFES","DERIVADOS",B214="162 - CONVENIOS Y DSC POS ","OTROS"),"OTROS")</f>
        <v>ESPECIALES</v>
      </c>
      <c r="K214" s="62"/>
      <c r="L214" s="27">
        <f t="shared" si="28"/>
        <v>2292547</v>
      </c>
      <c r="M214" s="27">
        <f t="shared" si="29"/>
        <v>2292547</v>
      </c>
    </row>
    <row r="215" spans="1:13" ht="15.75" hidden="1" customHeight="1" outlineLevel="1">
      <c r="A215" s="44"/>
      <c r="B215" s="45" t="s">
        <v>20</v>
      </c>
      <c r="C215" s="46">
        <v>2464560</v>
      </c>
      <c r="D215" s="46">
        <v>0</v>
      </c>
      <c r="E215" s="46"/>
      <c r="F215" s="46">
        <v>4267385.9800000004</v>
      </c>
      <c r="G215" s="37">
        <f t="shared" si="24"/>
        <v>0.57753388410391693</v>
      </c>
      <c r="H215" s="23">
        <f t="shared" si="26"/>
        <v>0</v>
      </c>
      <c r="I215" s="24">
        <f t="shared" si="26"/>
        <v>0</v>
      </c>
      <c r="J215" s="32" t="str" cm="1">
        <f t="array" ref="J215">IFERROR(_xlfn.IFS(B215="044 - BLEND TRADICION","BLEND",B215="113 - CAFÉ GOURMET","GOURMET",B215="114 - CAFÉ CONSUMO","CONSUMO",B215="112 - CAFÉ ORGANICO","GOURMET",B215="172 - CAFÉ COSECHA","ESPECIALES",B215="176 - CAFE DESCAFEINADO","GOURMET",B215="147 - CAPSULAS","CAPSULAS",B215="130 - GALLETAS CAFECITAS","DERIVADOS",B215="140 - MERENGUES","DERIVADOS",B215="100 - CAFÉ ESPECIAL","ESPECIALES",B215="141 - AREQUIPE","DERIVADOS",B215="142 - MERMELADA","DERIVADOS",B215="131 - GALLETAS AVENA","DERIVADOS",B215="160 - SOUVENIR","OTROS",B215="148 - CARAMELOS","DERIVADOS",B215="143 - CHOCOFFES","DERIVADOS",B215="162 - CONVENIOS Y DSC POS ","OTROS"),"OTROS")</f>
        <v>GOURMET</v>
      </c>
      <c r="K215" s="62"/>
      <c r="L215" s="27">
        <f t="shared" si="28"/>
        <v>2464560</v>
      </c>
      <c r="M215" s="27">
        <f t="shared" si="29"/>
        <v>2464560</v>
      </c>
    </row>
    <row r="216" spans="1:13" ht="15.75" hidden="1" customHeight="1" outlineLevel="1">
      <c r="A216" s="44"/>
      <c r="B216" s="45" t="s">
        <v>21</v>
      </c>
      <c r="C216" s="46">
        <v>52113886</v>
      </c>
      <c r="D216" s="46">
        <v>0</v>
      </c>
      <c r="E216" s="46"/>
      <c r="F216" s="46">
        <v>156321504.86000001</v>
      </c>
      <c r="G216" s="37">
        <f t="shared" ref="G216:G250" si="30">IFERROR(C216/F216*100%,"-")</f>
        <v>0.33337630703256521</v>
      </c>
      <c r="H216" s="23">
        <f t="shared" si="26"/>
        <v>0</v>
      </c>
      <c r="I216" s="24">
        <f t="shared" si="26"/>
        <v>0</v>
      </c>
      <c r="J216" s="32" t="str" cm="1">
        <f t="array" ref="J216">IFERROR(_xlfn.IFS(B216="044 - BLEND TRADICION","BLEND",B216="113 - CAFÉ GOURMET","GOURMET",B216="114 - CAFÉ CONSUMO","CONSUMO",B216="112 - CAFÉ ORGANICO","GOURMET",B216="172 - CAFÉ COSECHA","ESPECIALES",B216="176 - CAFE DESCAFEINADO","GOURMET",B216="147 - CAPSULAS","CAPSULAS",B216="130 - GALLETAS CAFECITAS","DERIVADOS",B216="140 - MERENGUES","DERIVADOS",B216="100 - CAFÉ ESPECIAL","ESPECIALES",B216="141 - AREQUIPE","DERIVADOS",B216="142 - MERMELADA","DERIVADOS",B216="131 - GALLETAS AVENA","DERIVADOS",B216="160 - SOUVENIR","OTROS",B216="148 - CARAMELOS","DERIVADOS",B216="143 - CHOCOFFES","DERIVADOS",B216="162 - CONVENIOS Y DSC POS ","OTROS"),"OTROS")</f>
        <v>GOURMET</v>
      </c>
      <c r="K216" s="62">
        <f t="shared" ref="K216" si="31">C216-E216</f>
        <v>52113886</v>
      </c>
      <c r="L216" s="27">
        <f t="shared" si="28"/>
        <v>52113886</v>
      </c>
      <c r="M216" s="27">
        <f t="shared" si="29"/>
        <v>52113886</v>
      </c>
    </row>
    <row r="217" spans="1:13" ht="15.75" hidden="1" customHeight="1" outlineLevel="1">
      <c r="A217" s="44"/>
      <c r="B217" s="45" t="s">
        <v>22</v>
      </c>
      <c r="C217" s="46">
        <v>2363345</v>
      </c>
      <c r="D217" s="46">
        <v>0</v>
      </c>
      <c r="E217" s="46"/>
      <c r="F217" s="46">
        <v>7161969.0599999996</v>
      </c>
      <c r="G217" s="37">
        <f t="shared" si="30"/>
        <v>0.32998536857683664</v>
      </c>
      <c r="H217" s="23">
        <f t="shared" ref="H217:H218" si="32">IFERROR(+D217/L217*100%,0)</f>
        <v>0</v>
      </c>
      <c r="I217" s="24">
        <f t="shared" ref="I217:I218" si="33">IFERROR(+E217/M217*100%,0)</f>
        <v>0</v>
      </c>
      <c r="J217" s="32" t="str" cm="1">
        <f t="array" ref="J217">IFERROR(_xlfn.IFS(B217="044 - BLEND TRADICION","BLEND",B217="113 - CAFÉ GOURMET","GOURMET",B217="114 - CAFÉ CONSUMO","CONSUMO",B217="112 - CAFÉ ORGANICO","GOURMET",B217="172 - CAFÉ COSECHA","ESPECIALES",B217="176 - CAFE DESCAFEINADO","GOURMET",B217="147 - CAPSULAS","CAPSULAS",B217="130 - GALLETAS CAFECITAS","DERIVADOS",B217="140 - MERENGUES","DERIVADOS",B217="100 - CAFÉ ESPECIAL","ESPECIALES",B217="141 - AREQUIPE","DERIVADOS",B217="142 - MERMELADA","DERIVADOS",B217="131 - GALLETAS AVENA","DERIVADOS",B217="160 - SOUVENIR","OTROS",B217="148 - CARAMELOS","DERIVADOS",B217="143 - CHOCOFFES","DERIVADOS",B217="162 - CONVENIOS Y DSC POS ","OTROS"),"OTROS")</f>
        <v>DERIVADOS</v>
      </c>
      <c r="K217" s="62"/>
      <c r="L217" s="27">
        <f t="shared" ref="L217:L218" si="34">C217-(D217+E217)</f>
        <v>2363345</v>
      </c>
      <c r="M217" s="27">
        <f t="shared" ref="M217:M218" si="35">L217</f>
        <v>2363345</v>
      </c>
    </row>
    <row r="218" spans="1:13" ht="15.75" hidden="1" customHeight="1" outlineLevel="1">
      <c r="A218" s="44"/>
      <c r="B218" s="45" t="s">
        <v>23</v>
      </c>
      <c r="C218" s="46">
        <v>0</v>
      </c>
      <c r="D218" s="46">
        <v>0</v>
      </c>
      <c r="E218" s="46"/>
      <c r="F218" s="46">
        <v>19945.96</v>
      </c>
      <c r="G218" s="37">
        <f t="shared" ref="G218" si="36">IFERROR(C218/F218*100%,"-")</f>
        <v>0</v>
      </c>
      <c r="H218" s="23">
        <f t="shared" si="32"/>
        <v>0</v>
      </c>
      <c r="I218" s="24">
        <f t="shared" si="33"/>
        <v>0</v>
      </c>
      <c r="J218" s="32" t="str" cm="1">
        <f t="array" ref="J218">IFERROR(_xlfn.IFS(B218="044 - BLEND TRADICION","BLEND",B218="113 - CAFÉ GOURMET","GOURMET",B218="114 - CAFÉ CONSUMO","CONSUMO",B218="112 - CAFÉ ORGANICO","GOURMET",B218="172 - CAFÉ COSECHA","ESPECIALES",B218="176 - CAFE DESCAFEINADO","GOURMET",B218="147 - CAPSULAS","CAPSULAS",B218="130 - GALLETAS CAFECITAS","DERIVADOS",B218="140 - MERENGUES","DERIVADOS",B218="100 - CAFÉ ESPECIAL","ESPECIALES",B218="141 - AREQUIPE","DERIVADOS",B218="142 - MERMELADA","DERIVADOS",B218="131 - GALLETAS AVENA","DERIVADOS",B218="160 - SOUVENIR","OTROS",B218="148 - CARAMELOS","DERIVADOS",B218="143 - CHOCOFFES","DERIVADOS",B218="162 - CONVENIOS Y DSC POS ","OTROS"),"OTROS")</f>
        <v>DERIVADOS</v>
      </c>
      <c r="K218" s="62">
        <f t="shared" ref="K218" si="37">C218-E218</f>
        <v>0</v>
      </c>
      <c r="L218" s="27">
        <f t="shared" si="34"/>
        <v>0</v>
      </c>
      <c r="M218" s="27">
        <f t="shared" si="35"/>
        <v>0</v>
      </c>
    </row>
    <row r="219" spans="1:13" ht="15.75" hidden="1" customHeight="1" outlineLevel="1">
      <c r="A219" s="44"/>
      <c r="B219" s="45" t="s">
        <v>24</v>
      </c>
      <c r="C219" s="46">
        <v>495911</v>
      </c>
      <c r="D219" s="46">
        <v>0</v>
      </c>
      <c r="E219" s="46"/>
      <c r="F219" s="46">
        <v>1393477.12</v>
      </c>
      <c r="G219" s="37">
        <f t="shared" si="30"/>
        <v>0.355880260165305</v>
      </c>
      <c r="H219" s="23">
        <f t="shared" si="26"/>
        <v>0</v>
      </c>
      <c r="I219" s="24">
        <f t="shared" si="26"/>
        <v>0</v>
      </c>
      <c r="J219" s="32" t="str" cm="1">
        <f t="array" ref="J219">IFERROR(_xlfn.IFS(B219="044 - BLEND TRADICION","BLEND",B219="113 - CAFÉ GOURMET","GOURMET",B219="114 - CAFÉ CONSUMO","CONSUMO",B219="112 - CAFÉ ORGANICO","GOURMET",B219="172 - CAFÉ COSECHA","ESPECIALES",B219="176 - CAFE DESCAFEINADO","GOURMET",B219="147 - CAPSULAS","CAPSULAS",B219="130 - GALLETAS CAFECITAS","DERIVADOS",B219="140 - MERENGUES","DERIVADOS",B219="100 - CAFÉ ESPECIAL","ESPECIALES",B219="141 - AREQUIPE","DERIVADOS",B219="142 - MERMELADA","DERIVADOS",B219="131 - GALLETAS AVENA","DERIVADOS",B219="160 - SOUVENIR","OTROS",B219="148 - CARAMELOS","DERIVADOS",B219="143 - CHOCOFFES","DERIVADOS",B219="162 - CONVENIOS Y DSC POS ","OTROS"),"OTROS")</f>
        <v>DERIVADOS</v>
      </c>
      <c r="K219" s="62"/>
      <c r="L219" s="27">
        <f t="shared" si="28"/>
        <v>495911</v>
      </c>
      <c r="M219" s="27">
        <f t="shared" si="29"/>
        <v>495911</v>
      </c>
    </row>
    <row r="220" spans="1:13" ht="15.75" hidden="1" customHeight="1" outlineLevel="1">
      <c r="A220" s="44"/>
      <c r="B220" s="45" t="s">
        <v>25</v>
      </c>
      <c r="C220" s="46">
        <v>1268309</v>
      </c>
      <c r="D220" s="46">
        <v>0</v>
      </c>
      <c r="E220" s="46"/>
      <c r="F220" s="46">
        <v>2683173.4900000002</v>
      </c>
      <c r="G220" s="37">
        <f t="shared" si="30"/>
        <v>0.47268989676847167</v>
      </c>
      <c r="H220" s="23">
        <f t="shared" si="26"/>
        <v>0</v>
      </c>
      <c r="I220" s="24">
        <f t="shared" si="26"/>
        <v>0</v>
      </c>
      <c r="J220" s="32" t="str" cm="1">
        <f t="array" ref="J220">IFERROR(_xlfn.IFS(B220="044 - BLEND TRADICION","BLEND",B220="113 - CAFÉ GOURMET","GOURMET",B220="114 - CAFÉ CONSUMO","CONSUMO",B220="112 - CAFÉ ORGANICO","GOURMET",B220="172 - CAFÉ COSECHA","ESPECIALES",B220="176 - CAFE DESCAFEINADO","GOURMET",B220="147 - CAPSULAS","CAPSULAS",B220="130 - GALLETAS CAFECITAS","DERIVADOS",B220="140 - MERENGUES","DERIVADOS",B220="100 - CAFÉ ESPECIAL","ESPECIALES",B220="141 - AREQUIPE","DERIVADOS",B220="142 - MERMELADA","DERIVADOS",B220="131 - GALLETAS AVENA","DERIVADOS",B220="160 - SOUVENIR","OTROS",B220="148 - CARAMELOS","DERIVADOS",B220="143 - CHOCOFFES","DERIVADOS",B220="162 - CONVENIOS Y DSC POS ","OTROS"),"OTROS")</f>
        <v>DERIVADOS</v>
      </c>
      <c r="K220" s="62">
        <f t="shared" ref="K220" si="38">C220-E220</f>
        <v>1268309</v>
      </c>
      <c r="L220" s="27">
        <f t="shared" si="28"/>
        <v>1268309</v>
      </c>
      <c r="M220" s="27">
        <f t="shared" si="29"/>
        <v>1268309</v>
      </c>
    </row>
    <row r="221" spans="1:13" ht="15.75" hidden="1" customHeight="1" outlineLevel="1">
      <c r="A221" s="44"/>
      <c r="B221" s="45" t="s">
        <v>26</v>
      </c>
      <c r="C221" s="46">
        <v>10320034</v>
      </c>
      <c r="D221" s="46">
        <v>0</v>
      </c>
      <c r="E221" s="46"/>
      <c r="F221" s="46">
        <v>14923818.029999999</v>
      </c>
      <c r="G221" s="37">
        <f t="shared" si="30"/>
        <v>0.6915143282539743</v>
      </c>
      <c r="H221" s="23">
        <f t="shared" si="26"/>
        <v>0</v>
      </c>
      <c r="I221" s="24">
        <f t="shared" si="26"/>
        <v>0</v>
      </c>
      <c r="J221" s="32" t="str" cm="1">
        <f t="array" ref="J221">IFERROR(_xlfn.IFS(B221="044 - BLEND TRADICION","BLEND",B221="113 - CAFÉ GOURMET","GOURMET",B221="114 - CAFÉ CONSUMO","CONSUMO",B221="112 - CAFÉ ORGANICO","GOURMET",B221="172 - CAFÉ COSECHA","ESPECIALES",B221="176 - CAFE DESCAFEINADO","GOURMET",B221="147 - CAPSULAS","CAPSULAS",B221="130 - GALLETAS CAFECITAS","DERIVADOS",B221="140 - MERENGUES","DERIVADOS",B221="100 - CAFÉ ESPECIAL","ESPECIALES",B221="141 - AREQUIPE","DERIVADOS",B221="142 - MERMELADA","DERIVADOS",B221="131 - GALLETAS AVENA","DERIVADOS",B221="160 - SOUVENIR","OTROS",B221="148 - CARAMELOS","DERIVADOS",B221="143 - CHOCOFFES","DERIVADOS",B221="162 - CONVENIOS Y DSC POS ","OTROS"),"OTROS")</f>
        <v>CAPSULAS</v>
      </c>
      <c r="K221" s="62"/>
      <c r="L221" s="27">
        <f t="shared" si="28"/>
        <v>10320034</v>
      </c>
      <c r="M221" s="27">
        <f t="shared" si="29"/>
        <v>10320034</v>
      </c>
    </row>
    <row r="222" spans="1:13" ht="15.75" hidden="1" customHeight="1" outlineLevel="1">
      <c r="A222" s="44"/>
      <c r="B222" s="45" t="s">
        <v>27</v>
      </c>
      <c r="C222" s="46">
        <v>1316788</v>
      </c>
      <c r="D222" s="46">
        <v>0</v>
      </c>
      <c r="E222" s="46"/>
      <c r="F222" s="46">
        <v>3692134.82</v>
      </c>
      <c r="G222" s="37">
        <f t="shared" si="30"/>
        <v>0.35664678138703504</v>
      </c>
      <c r="H222" s="23">
        <f t="shared" si="26"/>
        <v>0</v>
      </c>
      <c r="I222" s="24">
        <f t="shared" si="26"/>
        <v>0</v>
      </c>
      <c r="J222" s="32" t="str" cm="1">
        <f t="array" ref="J222">IFERROR(_xlfn.IFS(B222="044 - BLEND TRADICION","BLEND",B222="113 - CAFÉ GOURMET","GOURMET",B222="114 - CAFÉ CONSUMO","CONSUMO",B222="112 - CAFÉ ORGANICO","GOURMET",B222="172 - CAFÉ COSECHA","ESPECIALES",B222="176 - CAFE DESCAFEINADO","GOURMET",B222="147 - CAPSULAS","CAPSULAS",B222="130 - GALLETAS CAFECITAS","DERIVADOS",B222="140 - MERENGUES","DERIVADOS",B222="100 - CAFÉ ESPECIAL","ESPECIALES",B222="141 - AREQUIPE","DERIVADOS",B222="142 - MERMELADA","DERIVADOS",B222="131 - GALLETAS AVENA","DERIVADOS",B222="160 - SOUVENIR","OTROS",B222="148 - CARAMELOS","DERIVADOS",B222="143 - CHOCOFFES","DERIVADOS",B222="162 - CONVENIOS Y DSC POS ","OTROS"),"OTROS")</f>
        <v>DERIVADOS</v>
      </c>
      <c r="K222" s="62"/>
      <c r="L222" s="27">
        <f t="shared" si="28"/>
        <v>1316788</v>
      </c>
      <c r="M222" s="27">
        <f t="shared" si="29"/>
        <v>1316788</v>
      </c>
    </row>
    <row r="223" spans="1:13" ht="15.75" hidden="1" customHeight="1" outlineLevel="1">
      <c r="A223" s="44"/>
      <c r="B223" s="45" t="s">
        <v>28</v>
      </c>
      <c r="C223" s="46">
        <v>5327699</v>
      </c>
      <c r="D223" s="46">
        <v>0</v>
      </c>
      <c r="E223" s="46"/>
      <c r="F223" s="46">
        <v>11283255.869999999</v>
      </c>
      <c r="G223" s="37">
        <f t="shared" si="30"/>
        <v>0.4721774513830998</v>
      </c>
      <c r="H223" s="23">
        <f t="shared" si="26"/>
        <v>0</v>
      </c>
      <c r="I223" s="24">
        <f t="shared" si="26"/>
        <v>0</v>
      </c>
      <c r="J223" s="32" t="str" cm="1">
        <f t="array" ref="J223">IFERROR(_xlfn.IFS(B223="044 - BLEND TRADICION","BLEND",B223="113 - CAFÉ GOURMET","GOURMET",B223="114 - CAFÉ CONSUMO","CONSUMO",B223="112 - CAFÉ ORGANICO","GOURMET",B223="172 - CAFÉ COSECHA","ESPECIALES",B223="176 - CAFE DESCAFEINADO","GOURMET",B223="147 - CAPSULAS","CAPSULAS",B223="130 - GALLETAS CAFECITAS","DERIVADOS",B223="140 - MERENGUES","DERIVADOS",B223="100 - CAFÉ ESPECIAL","ESPECIALES",B223="141 - AREQUIPE","DERIVADOS",B223="142 - MERMELADA","DERIVADOS",B223="131 - GALLETAS AVENA","DERIVADOS",B223="160 - SOUVENIR","OTROS",B223="148 - CARAMELOS","DERIVADOS",B223="143 - CHOCOFFES","DERIVADOS",B223="162 - CONVENIOS Y DSC POS ","OTROS"),"OTROS")</f>
        <v>OTROS</v>
      </c>
      <c r="K223" s="62">
        <f t="shared" ref="K223" si="39">C223-E223</f>
        <v>5327699</v>
      </c>
      <c r="L223" s="27">
        <f t="shared" si="28"/>
        <v>5327699</v>
      </c>
      <c r="M223" s="27">
        <f t="shared" si="29"/>
        <v>5327699</v>
      </c>
    </row>
    <row r="224" spans="1:13" ht="15.75" hidden="1" customHeight="1" outlineLevel="1">
      <c r="A224" s="44"/>
      <c r="B224" s="45" t="s">
        <v>29</v>
      </c>
      <c r="C224" s="46">
        <v>6366091</v>
      </c>
      <c r="D224" s="46">
        <v>0</v>
      </c>
      <c r="E224" s="46"/>
      <c r="F224" s="46">
        <v>12790414.619999999</v>
      </c>
      <c r="G224" s="37">
        <f t="shared" si="30"/>
        <v>0.49772358356902119</v>
      </c>
      <c r="H224" s="23">
        <f t="shared" si="26"/>
        <v>0</v>
      </c>
      <c r="I224" s="24">
        <f t="shared" si="26"/>
        <v>0</v>
      </c>
      <c r="J224" s="32" t="str" cm="1">
        <f t="array" ref="J224">IFERROR(_xlfn.IFS(B224="044 - BLEND TRADICION","BLEND",B224="113 - CAFÉ GOURMET","GOURMET",B224="114 - CAFÉ CONSUMO","CONSUMO",B224="112 - CAFÉ ORGANICO","GOURMET",B224="172 - CAFÉ COSECHA","ESPECIALES",B224="176 - CAFE DESCAFEINADO","GOURMET",B224="147 - CAPSULAS","CAPSULAS",B224="130 - GALLETAS CAFECITAS","DERIVADOS",B224="140 - MERENGUES","DERIVADOS",B224="100 - CAFÉ ESPECIAL","ESPECIALES",B224="141 - AREQUIPE","DERIVADOS",B224="142 - MERMELADA","DERIVADOS",B224="131 - GALLETAS AVENA","DERIVADOS",B224="160 - SOUVENIR","OTROS",B224="148 - CARAMELOS","DERIVADOS",B224="143 - CHOCOFFES","DERIVADOS",B224="162 - CONVENIOS Y DSC POS ","OTROS"),"OTROS")</f>
        <v>ESPECIALES</v>
      </c>
      <c r="K224" s="62"/>
      <c r="L224" s="27">
        <f t="shared" si="28"/>
        <v>6366091</v>
      </c>
      <c r="M224" s="27">
        <f t="shared" si="29"/>
        <v>6366091</v>
      </c>
    </row>
    <row r="225" spans="1:13" ht="15.75" hidden="1" customHeight="1" outlineLevel="1">
      <c r="A225" s="44"/>
      <c r="B225" s="45" t="s">
        <v>30</v>
      </c>
      <c r="C225" s="46">
        <v>0</v>
      </c>
      <c r="D225" s="46">
        <v>0</v>
      </c>
      <c r="E225" s="46"/>
      <c r="F225" s="46">
        <v>682536.26</v>
      </c>
      <c r="G225" s="37">
        <f t="shared" si="30"/>
        <v>0</v>
      </c>
      <c r="H225" s="23">
        <f t="shared" si="26"/>
        <v>0</v>
      </c>
      <c r="I225" s="24">
        <f t="shared" si="26"/>
        <v>0</v>
      </c>
      <c r="J225" s="32" t="str" cm="1">
        <f t="array" ref="J225">IFERROR(_xlfn.IFS(B225="044 - BLEND TRADICION","BLEND",B225="113 - CAFÉ GOURMET","GOURMET",B225="114 - CAFÉ CONSUMO","CONSUMO",B225="112 - CAFÉ ORGANICO","GOURMET",B225="172 - CAFÉ COSECHA","ESPECIALES",B225="176 - CAFE DESCAFEINADO","GOURMET",B225="147 - CAPSULAS","CAPSULAS",B225="130 - GALLETAS CAFECITAS","DERIVADOS",B225="140 - MERENGUES","DERIVADOS",B225="100 - CAFÉ ESPECIAL","ESPECIALES",B225="141 - AREQUIPE","DERIVADOS",B225="142 - MERMELADA","DERIVADOS",B225="131 - GALLETAS AVENA","DERIVADOS",B225="160 - SOUVENIR","OTROS",B225="148 - CARAMELOS","DERIVADOS",B225="143 - CHOCOFFES","DERIVADOS",B225="162 - CONVENIOS Y DSC POS ","OTROS"),"OTROS")</f>
        <v>GOURMET</v>
      </c>
      <c r="K225" s="62"/>
      <c r="L225" s="27">
        <f t="shared" si="28"/>
        <v>0</v>
      </c>
      <c r="M225" s="27">
        <f t="shared" si="29"/>
        <v>0</v>
      </c>
    </row>
    <row r="226" spans="1:13" ht="15.75" hidden="1" customHeight="1" outlineLevel="1">
      <c r="A226" s="44"/>
      <c r="B226" s="45" t="s">
        <v>31</v>
      </c>
      <c r="C226" s="46">
        <v>36000</v>
      </c>
      <c r="D226" s="46">
        <v>0</v>
      </c>
      <c r="E226" s="46"/>
      <c r="F226" s="46">
        <v>0</v>
      </c>
      <c r="G226" s="37" t="str">
        <f t="shared" si="30"/>
        <v>-</v>
      </c>
      <c r="H226" s="23">
        <f t="shared" si="26"/>
        <v>0</v>
      </c>
      <c r="I226" s="24">
        <f t="shared" si="26"/>
        <v>0</v>
      </c>
      <c r="J226" s="32" t="str" cm="1">
        <f t="array" ref="J226">IFERROR(_xlfn.IFS(B226="044 - BLEND TRADICION","BLEND",B226="113 - CAFÉ GOURMET","GOURMET",B226="114 - CAFÉ CONSUMO","CONSUMO",B226="112 - CAFÉ ORGANICO","GOURMET",B226="172 - CAFÉ COSECHA","ESPECIALES",B226="176 - CAFE DESCAFEINADO","GOURMET",B226="147 - CAPSULAS","CAPSULAS",B226="130 - GALLETAS CAFECITAS","DERIVADOS",B226="140 - MERENGUES","DERIVADOS",B226="100 - CAFÉ ESPECIAL","ESPECIALES",B226="141 - AREQUIPE","DERIVADOS",B226="142 - MERMELADA","DERIVADOS",B226="131 - GALLETAS AVENA","DERIVADOS",B226="160 - SOUVENIR","OTROS",B226="148 - CARAMELOS","DERIVADOS",B226="143 - CHOCOFFES","DERIVADOS",B226="162 - CONVENIOS Y DSC POS ","OTROS"),"OTROS")</f>
        <v>OTROS</v>
      </c>
      <c r="K226" s="62">
        <f t="shared" ref="K226" si="40">C226-E226</f>
        <v>36000</v>
      </c>
      <c r="L226" s="27">
        <f t="shared" si="28"/>
        <v>36000</v>
      </c>
      <c r="M226" s="27">
        <f t="shared" si="29"/>
        <v>36000</v>
      </c>
    </row>
    <row r="227" spans="1:13" ht="15.75" hidden="1" customHeight="1" outlineLevel="1">
      <c r="A227" s="19" t="s">
        <v>58</v>
      </c>
      <c r="B227" s="40" t="s">
        <v>32</v>
      </c>
      <c r="C227" s="41">
        <f>SUM(C212:C226)</f>
        <v>87173545</v>
      </c>
      <c r="D227" s="41">
        <f>SUM(D212:D226)</f>
        <v>0</v>
      </c>
      <c r="E227" s="41">
        <f>SUM(E212:E226)</f>
        <v>0</v>
      </c>
      <c r="F227" s="41">
        <f>SUM(F212:F226)</f>
        <v>242185563.47000003</v>
      </c>
      <c r="G227" s="42">
        <f t="shared" si="30"/>
        <v>0.35994525747525968</v>
      </c>
      <c r="H227" s="43">
        <f t="shared" si="26"/>
        <v>0</v>
      </c>
      <c r="I227" s="24">
        <f t="shared" si="26"/>
        <v>0</v>
      </c>
      <c r="J227" s="32" t="str" cm="1">
        <f t="array" ref="J227">IFERROR(_xlfn.IFS(B227="044 - BLEND TRADICION","BLEND",B227="113 - CAFÉ GOURMET","GOURMET",B227="114 - CAFÉ CONSUMO","CONSUMO",B227="112 - CAFÉ ORGANICO","GOURMET",B227="172 - CAFÉ COSECHA","ESPECIALES",B227="176 - CAFE DESCAFEINADO","GOURMET",B227="147 - CAPSULAS","CAPSULAS",B227="130 - GALLETAS CAFECITAS","DERIVADOS",B227="140 - MERENGUES","DERIVADOS",B227="100 - CAFÉ ESPECIAL","ESPECIALES",B227="141 - AREQUIPE","DERIVADOS",B227="142 - MERMELADA","DERIVADOS",B227="131 - GALLETAS AVENA","DERIVADOS",B227="160 - SOUVENIR","OTROS",B227="148 - CARAMELOS","DERIVADOS",B227="143 - CHOCOFFES","DERIVADOS",B227="162 - CONVENIOS Y DSC POS ","OTROS"),"OTROS")</f>
        <v>OTROS</v>
      </c>
      <c r="L227" s="27">
        <f t="shared" si="28"/>
        <v>87173545</v>
      </c>
      <c r="M227" s="27">
        <f t="shared" si="29"/>
        <v>87173545</v>
      </c>
    </row>
    <row r="228" spans="1:13" ht="16.5" collapsed="1">
      <c r="A228" s="28" t="s">
        <v>59</v>
      </c>
      <c r="B228" s="29" t="s">
        <v>17</v>
      </c>
      <c r="C228" s="30">
        <f>+C242</f>
        <v>80950370</v>
      </c>
      <c r="D228" s="30">
        <f>+D242</f>
        <v>-793064</v>
      </c>
      <c r="E228" s="30">
        <f>+E242</f>
        <v>0</v>
      </c>
      <c r="F228" s="30">
        <f>+F242</f>
        <v>278548044.25999999</v>
      </c>
      <c r="G228" s="31">
        <f t="shared" si="30"/>
        <v>0.29061546712724351</v>
      </c>
      <c r="H228" s="23">
        <f t="shared" si="26"/>
        <v>-9.7018679200582634E-3</v>
      </c>
      <c r="I228" s="24">
        <f t="shared" si="26"/>
        <v>0</v>
      </c>
      <c r="J228" s="32" t="str" cm="1">
        <f t="array" ref="J228">IFERROR(_xlfn.IFS(B228="044 - BLEND TRADICION","BLEND",B228="113 - CAFÉ GOURMET","GOURMET",B228="114 - CAFÉ CONSUMO","CONSUMO",B228="112 - CAFÉ ORGANICO","GOURMET",B228="172 - CAFÉ COSECHA","ESPECIALES",B228="176 - CAFE DESCAFEINADO","GOURMET",B228="147 - CAPSULAS","CAPSULAS",B228="130 - GALLETAS CAFECITAS","DERIVADOS",B228="140 - MERENGUES","DERIVADOS",B228="100 - CAFÉ ESPECIAL","ESPECIALES",B228="141 - AREQUIPE","DERIVADOS",B228="142 - MERMELADA","DERIVADOS",B228="131 - GALLETAS AVENA","DERIVADOS",B228="160 - SOUVENIR","OTROS",B228="148 - CARAMELOS","DERIVADOS",B228="143 - CHOCOFFES","DERIVADOS",B228="162 - CONVENIOS Y DSC POS ","OTROS"),"OTROS")</f>
        <v>OTROS</v>
      </c>
      <c r="K228" s="6"/>
      <c r="L228" s="27">
        <f t="shared" si="28"/>
        <v>81743434</v>
      </c>
      <c r="M228" s="27">
        <f t="shared" si="29"/>
        <v>81743434</v>
      </c>
    </row>
    <row r="229" spans="1:13" ht="15.75" hidden="1" customHeight="1" outlineLevel="2">
      <c r="A229" s="33"/>
      <c r="B229" s="45" t="s">
        <v>18</v>
      </c>
      <c r="C229" s="46">
        <v>3912000</v>
      </c>
      <c r="D229" s="46">
        <v>0</v>
      </c>
      <c r="E229" s="46">
        <v>0</v>
      </c>
      <c r="F229" s="35">
        <v>12548768.83</v>
      </c>
      <c r="G229" s="37">
        <f t="shared" si="30"/>
        <v>0.3117437298428582</v>
      </c>
      <c r="H229" s="23">
        <f t="shared" si="26"/>
        <v>0</v>
      </c>
      <c r="I229" s="24">
        <f t="shared" si="26"/>
        <v>0</v>
      </c>
      <c r="J229" s="32" t="str" cm="1">
        <f t="array" ref="J229">IFERROR(_xlfn.IFS(B229="044 - BLEND TRADICION","BLEND",B229="113 - CAFÉ GOURMET","GOURMET",B229="114 - CAFÉ CONSUMO","CONSUMO",B229="112 - CAFÉ ORGANICO","GOURMET",B229="172 - CAFÉ COSECHA","ESPECIALES",B229="176 - CAFE DESCAFEINADO","GOURMET",B229="147 - CAPSULAS","CAPSULAS",B229="130 - GALLETAS CAFECITAS","DERIVADOS",B229="140 - MERENGUES","DERIVADOS",B229="100 - CAFÉ ESPECIAL","ESPECIALES",B229="141 - AREQUIPE","DERIVADOS",B229="142 - MERMELADA","DERIVADOS",B229="131 - GALLETAS AVENA","DERIVADOS",B229="160 - SOUVENIR","OTROS",B229="148 - CARAMELOS","DERIVADOS",B229="143 - CHOCOFFES","DERIVADOS",B229="162 - CONVENIOS Y DSC POS ","OTROS"),"OTROS")</f>
        <v>BLEND</v>
      </c>
      <c r="K229" s="6"/>
      <c r="L229" s="27">
        <f t="shared" si="28"/>
        <v>3912000</v>
      </c>
      <c r="M229" s="27">
        <f t="shared" si="29"/>
        <v>3912000</v>
      </c>
    </row>
    <row r="230" spans="1:13" ht="15.75" hidden="1" customHeight="1" outlineLevel="2">
      <c r="A230" s="33"/>
      <c r="B230" s="45" t="s">
        <v>19</v>
      </c>
      <c r="C230" s="46">
        <v>9329840</v>
      </c>
      <c r="D230" s="46">
        <v>-171144</v>
      </c>
      <c r="E230" s="46"/>
      <c r="F230" s="35">
        <v>15024939.119999999</v>
      </c>
      <c r="G230" s="37">
        <f t="shared" si="30"/>
        <v>0.62095692538153857</v>
      </c>
      <c r="H230" s="23">
        <f t="shared" si="26"/>
        <v>-1.8013292096902805E-2</v>
      </c>
      <c r="I230" s="24">
        <f t="shared" si="26"/>
        <v>0</v>
      </c>
      <c r="J230" s="32" t="str" cm="1">
        <f t="array" ref="J230">IFERROR(_xlfn.IFS(B230="044 - BLEND TRADICION","BLEND",B230="113 - CAFÉ GOURMET","GOURMET",B230="114 - CAFÉ CONSUMO","CONSUMO",B230="112 - CAFÉ ORGANICO","GOURMET",B230="172 - CAFÉ COSECHA","ESPECIALES",B230="176 - CAFE DESCAFEINADO","GOURMET",B230="147 - CAPSULAS","CAPSULAS",B230="130 - GALLETAS CAFECITAS","DERIVADOS",B230="140 - MERENGUES","DERIVADOS",B230="100 - CAFÉ ESPECIAL","ESPECIALES",B230="141 - AREQUIPE","DERIVADOS",B230="142 - MERMELADA","DERIVADOS",B230="131 - GALLETAS AVENA","DERIVADOS",B230="160 - SOUVENIR","OTROS",B230="148 - CARAMELOS","DERIVADOS",B230="143 - CHOCOFFES","DERIVADOS",B230="162 - CONVENIOS Y DSC POS ","OTROS"),"OTROS")</f>
        <v>ESPECIALES</v>
      </c>
      <c r="K230" s="6"/>
      <c r="L230" s="27">
        <f t="shared" si="28"/>
        <v>9500984</v>
      </c>
      <c r="M230" s="27">
        <f t="shared" si="29"/>
        <v>9500984</v>
      </c>
    </row>
    <row r="231" spans="1:13" ht="15.75" hidden="1" customHeight="1" outlineLevel="2">
      <c r="A231" s="38"/>
      <c r="B231" s="45" t="s">
        <v>20</v>
      </c>
      <c r="C231" s="46">
        <v>4244437</v>
      </c>
      <c r="D231" s="46">
        <v>0</v>
      </c>
      <c r="E231" s="46">
        <v>0</v>
      </c>
      <c r="F231" s="36">
        <v>16967408.859999999</v>
      </c>
      <c r="G231" s="37">
        <f t="shared" si="30"/>
        <v>0.2501523382280304</v>
      </c>
      <c r="H231" s="23">
        <f t="shared" si="26"/>
        <v>0</v>
      </c>
      <c r="I231" s="24">
        <f t="shared" si="26"/>
        <v>0</v>
      </c>
      <c r="J231" s="32" t="str" cm="1">
        <f t="array" ref="J231">IFERROR(_xlfn.IFS(B231="044 - BLEND TRADICION","BLEND",B231="113 - CAFÉ GOURMET","GOURMET",B231="114 - CAFÉ CONSUMO","CONSUMO",B231="112 - CAFÉ ORGANICO","GOURMET",B231="172 - CAFÉ COSECHA","ESPECIALES",B231="176 - CAFE DESCAFEINADO","GOURMET",B231="147 - CAPSULAS","CAPSULAS",B231="130 - GALLETAS CAFECITAS","DERIVADOS",B231="140 - MERENGUES","DERIVADOS",B231="100 - CAFÉ ESPECIAL","ESPECIALES",B231="141 - AREQUIPE","DERIVADOS",B231="142 - MERMELADA","DERIVADOS",B231="131 - GALLETAS AVENA","DERIVADOS",B231="160 - SOUVENIR","OTROS",B231="148 - CARAMELOS","DERIVADOS",B231="143 - CHOCOFFES","DERIVADOS",B231="162 - CONVENIOS Y DSC POS ","OTROS"),"OTROS")</f>
        <v>GOURMET</v>
      </c>
      <c r="K231" s="6"/>
      <c r="L231" s="27">
        <f t="shared" si="28"/>
        <v>4244437</v>
      </c>
      <c r="M231" s="27">
        <f t="shared" si="29"/>
        <v>4244437</v>
      </c>
    </row>
    <row r="232" spans="1:13" ht="15.75" hidden="1" customHeight="1" outlineLevel="2">
      <c r="A232" s="38"/>
      <c r="B232" s="45" t="s">
        <v>21</v>
      </c>
      <c r="C232" s="46">
        <v>47782632</v>
      </c>
      <c r="D232" s="46">
        <v>0</v>
      </c>
      <c r="E232" s="46">
        <v>0</v>
      </c>
      <c r="F232" s="36">
        <v>189138509.15000001</v>
      </c>
      <c r="G232" s="37">
        <f t="shared" si="30"/>
        <v>0.25263301595607401</v>
      </c>
      <c r="H232" s="23">
        <f t="shared" si="26"/>
        <v>0</v>
      </c>
      <c r="I232" s="24">
        <f t="shared" si="26"/>
        <v>0</v>
      </c>
      <c r="J232" s="32" t="str" cm="1">
        <f t="array" ref="J232">IFERROR(_xlfn.IFS(B232="044 - BLEND TRADICION","BLEND",B232="113 - CAFÉ GOURMET","GOURMET",B232="114 - CAFÉ CONSUMO","CONSUMO",B232="112 - CAFÉ ORGANICO","GOURMET",B232="172 - CAFÉ COSECHA","ESPECIALES",B232="176 - CAFE DESCAFEINADO","GOURMET",B232="147 - CAPSULAS","CAPSULAS",B232="130 - GALLETAS CAFECITAS","DERIVADOS",B232="140 - MERENGUES","DERIVADOS",B232="100 - CAFÉ ESPECIAL","ESPECIALES",B232="141 - AREQUIPE","DERIVADOS",B232="142 - MERMELADA","DERIVADOS",B232="131 - GALLETAS AVENA","DERIVADOS",B232="160 - SOUVENIR","OTROS",B232="148 - CARAMELOS","DERIVADOS",B232="143 - CHOCOFFES","DERIVADOS",B232="162 - CONVENIOS Y DSC POS ","OTROS"),"OTROS")</f>
        <v>GOURMET</v>
      </c>
      <c r="K232" s="6"/>
      <c r="L232" s="27">
        <f t="shared" si="28"/>
        <v>47782632</v>
      </c>
      <c r="M232" s="27">
        <f t="shared" si="29"/>
        <v>47782632</v>
      </c>
    </row>
    <row r="233" spans="1:13" ht="15.75" hidden="1" customHeight="1" outlineLevel="2">
      <c r="A233" s="38"/>
      <c r="B233" s="45" t="s">
        <v>38</v>
      </c>
      <c r="C233" s="46">
        <v>0</v>
      </c>
      <c r="D233" s="46">
        <v>0</v>
      </c>
      <c r="E233" s="46">
        <v>0</v>
      </c>
      <c r="F233" s="36">
        <v>1194829.97</v>
      </c>
      <c r="G233" s="37">
        <f t="shared" si="30"/>
        <v>0</v>
      </c>
      <c r="H233" s="23">
        <f t="shared" si="26"/>
        <v>0</v>
      </c>
      <c r="I233" s="24">
        <f t="shared" si="26"/>
        <v>0</v>
      </c>
      <c r="J233" s="32" t="str" cm="1">
        <f t="array" ref="J233">IFERROR(_xlfn.IFS(B233="044 - BLEND TRADICION","BLEND",B233="113 - CAFÉ GOURMET","GOURMET",B233="114 - CAFÉ CONSUMO","CONSUMO",B233="112 - CAFÉ ORGANICO","GOURMET",B233="172 - CAFÉ COSECHA","ESPECIALES",B233="176 - CAFE DESCAFEINADO","GOURMET",B233="147 - CAPSULAS","CAPSULAS",B233="130 - GALLETAS CAFECITAS","DERIVADOS",B233="140 - MERENGUES","DERIVADOS",B233="100 - CAFÉ ESPECIAL","ESPECIALES",B233="141 - AREQUIPE","DERIVADOS",B233="142 - MERMELADA","DERIVADOS",B233="131 - GALLETAS AVENA","DERIVADOS",B233="160 - SOUVENIR","OTROS",B233="148 - CARAMELOS","DERIVADOS",B233="143 - CHOCOFFES","DERIVADOS",B233="162 - CONVENIOS Y DSC POS ","OTROS"),"OTROS")</f>
        <v>CONSUMO</v>
      </c>
      <c r="K233" s="6"/>
      <c r="L233" s="27">
        <f t="shared" si="28"/>
        <v>0</v>
      </c>
      <c r="M233" s="27">
        <f t="shared" si="29"/>
        <v>0</v>
      </c>
    </row>
    <row r="234" spans="1:13" ht="15.75" hidden="1" customHeight="1" outlineLevel="2">
      <c r="A234" s="38"/>
      <c r="B234" s="45" t="s">
        <v>22</v>
      </c>
      <c r="C234" s="46">
        <v>1935347</v>
      </c>
      <c r="D234" s="46">
        <v>-10640</v>
      </c>
      <c r="E234" s="46"/>
      <c r="F234" s="36">
        <v>4066253.4</v>
      </c>
      <c r="G234" s="37">
        <f t="shared" si="30"/>
        <v>0.47595336778568698</v>
      </c>
      <c r="H234" s="23">
        <f t="shared" si="26"/>
        <v>-5.4676624252885551E-3</v>
      </c>
      <c r="I234" s="24">
        <f t="shared" si="26"/>
        <v>0</v>
      </c>
      <c r="J234" s="32" t="str" cm="1">
        <f t="array" ref="J234">IFERROR(_xlfn.IFS(B234="044 - BLEND TRADICION","BLEND",B234="113 - CAFÉ GOURMET","GOURMET",B234="114 - CAFÉ CONSUMO","CONSUMO",B234="112 - CAFÉ ORGANICO","GOURMET",B234="172 - CAFÉ COSECHA","ESPECIALES",B234="176 - CAFE DESCAFEINADO","GOURMET",B234="147 - CAPSULAS","CAPSULAS",B234="130 - GALLETAS CAFECITAS","DERIVADOS",B234="140 - MERENGUES","DERIVADOS",B234="100 - CAFÉ ESPECIAL","ESPECIALES",B234="141 - AREQUIPE","DERIVADOS",B234="142 - MERMELADA","DERIVADOS",B234="131 - GALLETAS AVENA","DERIVADOS",B234="160 - SOUVENIR","OTROS",B234="148 - CARAMELOS","DERIVADOS",B234="143 - CHOCOFFES","DERIVADOS",B234="162 - CONVENIOS Y DSC POS ","OTROS"),"OTROS")</f>
        <v>DERIVADOS</v>
      </c>
      <c r="K234" s="6"/>
      <c r="L234" s="27">
        <f t="shared" si="28"/>
        <v>1945987</v>
      </c>
      <c r="M234" s="27">
        <f t="shared" si="29"/>
        <v>1945987</v>
      </c>
    </row>
    <row r="235" spans="1:13" ht="15.75" hidden="1" customHeight="1" outlineLevel="2">
      <c r="A235" s="38"/>
      <c r="B235" s="45" t="s">
        <v>24</v>
      </c>
      <c r="C235" s="46">
        <v>51477</v>
      </c>
      <c r="D235" s="46">
        <v>0</v>
      </c>
      <c r="E235" s="46"/>
      <c r="F235" s="36">
        <v>552955.56000000006</v>
      </c>
      <c r="G235" s="37">
        <f t="shared" si="30"/>
        <v>9.3094280487929254E-2</v>
      </c>
      <c r="H235" s="23">
        <f t="shared" si="26"/>
        <v>0</v>
      </c>
      <c r="I235" s="24">
        <f t="shared" si="26"/>
        <v>0</v>
      </c>
      <c r="J235" s="32" t="str" cm="1">
        <f t="array" ref="J235">IFERROR(_xlfn.IFS(B235="044 - BLEND TRADICION","BLEND",B235="113 - CAFÉ GOURMET","GOURMET",B235="114 - CAFÉ CONSUMO","CONSUMO",B235="112 - CAFÉ ORGANICO","GOURMET",B235="172 - CAFÉ COSECHA","ESPECIALES",B235="176 - CAFE DESCAFEINADO","GOURMET",B235="147 - CAPSULAS","CAPSULAS",B235="130 - GALLETAS CAFECITAS","DERIVADOS",B235="140 - MERENGUES","DERIVADOS",B235="100 - CAFÉ ESPECIAL","ESPECIALES",B235="141 - AREQUIPE","DERIVADOS",B235="142 - MERMELADA","DERIVADOS",B235="131 - GALLETAS AVENA","DERIVADOS",B235="160 - SOUVENIR","OTROS",B235="148 - CARAMELOS","DERIVADOS",B235="143 - CHOCOFFES","DERIVADOS",B235="162 - CONVENIOS Y DSC POS ","OTROS"),"OTROS")</f>
        <v>DERIVADOS</v>
      </c>
      <c r="K235" s="6"/>
      <c r="L235" s="27">
        <f t="shared" si="28"/>
        <v>51477</v>
      </c>
      <c r="M235" s="27">
        <f t="shared" si="29"/>
        <v>51477</v>
      </c>
    </row>
    <row r="236" spans="1:13" ht="15.75" hidden="1" customHeight="1" outlineLevel="2">
      <c r="A236" s="38"/>
      <c r="B236" s="45" t="s">
        <v>25</v>
      </c>
      <c r="C236" s="46">
        <v>773360</v>
      </c>
      <c r="D236" s="46">
        <v>0</v>
      </c>
      <c r="E236" s="46"/>
      <c r="F236" s="36">
        <v>2361213.7599999998</v>
      </c>
      <c r="G236" s="37">
        <f t="shared" si="30"/>
        <v>0.3275264667270108</v>
      </c>
      <c r="H236" s="23">
        <f t="shared" si="26"/>
        <v>0</v>
      </c>
      <c r="I236" s="24">
        <f t="shared" si="26"/>
        <v>0</v>
      </c>
      <c r="J236" s="32" t="str" cm="1">
        <f t="array" ref="J236">IFERROR(_xlfn.IFS(B236="044 - BLEND TRADICION","BLEND",B236="113 - CAFÉ GOURMET","GOURMET",B236="114 - CAFÉ CONSUMO","CONSUMO",B236="112 - CAFÉ ORGANICO","GOURMET",B236="172 - CAFÉ COSECHA","ESPECIALES",B236="176 - CAFE DESCAFEINADO","GOURMET",B236="147 - CAPSULAS","CAPSULAS",B236="130 - GALLETAS CAFECITAS","DERIVADOS",B236="140 - MERENGUES","DERIVADOS",B236="100 - CAFÉ ESPECIAL","ESPECIALES",B236="141 - AREQUIPE","DERIVADOS",B236="142 - MERMELADA","DERIVADOS",B236="131 - GALLETAS AVENA","DERIVADOS",B236="160 - SOUVENIR","OTROS",B236="148 - CARAMELOS","DERIVADOS",B236="143 - CHOCOFFES","DERIVADOS",B236="162 - CONVENIOS Y DSC POS ","OTROS"),"OTROS")</f>
        <v>DERIVADOS</v>
      </c>
      <c r="K236" s="6"/>
      <c r="L236" s="27">
        <f t="shared" si="28"/>
        <v>773360</v>
      </c>
      <c r="M236" s="27">
        <f t="shared" si="29"/>
        <v>773360</v>
      </c>
    </row>
    <row r="237" spans="1:13" ht="15.75" hidden="1" customHeight="1" outlineLevel="2">
      <c r="A237" s="38"/>
      <c r="B237" s="45" t="s">
        <v>26</v>
      </c>
      <c r="C237" s="46">
        <v>1605381</v>
      </c>
      <c r="D237" s="46">
        <v>0</v>
      </c>
      <c r="E237" s="46"/>
      <c r="F237" s="36">
        <v>4996182.5999999996</v>
      </c>
      <c r="G237" s="37">
        <f t="shared" si="30"/>
        <v>0.32132152255604113</v>
      </c>
      <c r="H237" s="23">
        <f t="shared" si="26"/>
        <v>0</v>
      </c>
      <c r="I237" s="24">
        <f t="shared" si="26"/>
        <v>0</v>
      </c>
      <c r="J237" s="32" t="str" cm="1">
        <f t="array" ref="J237">IFERROR(_xlfn.IFS(B237="044 - BLEND TRADICION","BLEND",B237="113 - CAFÉ GOURMET","GOURMET",B237="114 - CAFÉ CONSUMO","CONSUMO",B237="112 - CAFÉ ORGANICO","GOURMET",B237="172 - CAFÉ COSECHA","ESPECIALES",B237="176 - CAFE DESCAFEINADO","GOURMET",B237="147 - CAPSULAS","CAPSULAS",B237="130 - GALLETAS CAFECITAS","DERIVADOS",B237="140 - MERENGUES","DERIVADOS",B237="100 - CAFÉ ESPECIAL","ESPECIALES",B237="141 - AREQUIPE","DERIVADOS",B237="142 - MERMELADA","DERIVADOS",B237="131 - GALLETAS AVENA","DERIVADOS",B237="160 - SOUVENIR","OTROS",B237="148 - CARAMELOS","DERIVADOS",B237="143 - CHOCOFFES","DERIVADOS",B237="162 - CONVENIOS Y DSC POS ","OTROS"),"OTROS")</f>
        <v>CAPSULAS</v>
      </c>
      <c r="K237" s="6"/>
      <c r="L237" s="27">
        <f t="shared" si="28"/>
        <v>1605381</v>
      </c>
      <c r="M237" s="27">
        <f t="shared" si="29"/>
        <v>1605381</v>
      </c>
    </row>
    <row r="238" spans="1:13" ht="15.75" hidden="1" customHeight="1" outlineLevel="2">
      <c r="A238" s="38"/>
      <c r="B238" s="45" t="s">
        <v>27</v>
      </c>
      <c r="C238" s="46">
        <v>89298</v>
      </c>
      <c r="D238" s="46">
        <v>0</v>
      </c>
      <c r="E238" s="46">
        <v>0</v>
      </c>
      <c r="F238" s="36">
        <v>1098154.5900000001</v>
      </c>
      <c r="G238" s="37">
        <f t="shared" si="30"/>
        <v>8.1316420122598584E-2</v>
      </c>
      <c r="H238" s="23">
        <f t="shared" si="26"/>
        <v>0</v>
      </c>
      <c r="I238" s="24">
        <f t="shared" si="26"/>
        <v>0</v>
      </c>
      <c r="J238" s="32" t="str" cm="1">
        <f t="array" ref="J238">IFERROR(_xlfn.IFS(B238="044 - BLEND TRADICION","BLEND",B238="113 - CAFÉ GOURMET","GOURMET",B238="114 - CAFÉ CONSUMO","CONSUMO",B238="112 - CAFÉ ORGANICO","GOURMET",B238="172 - CAFÉ COSECHA","ESPECIALES",B238="176 - CAFE DESCAFEINADO","GOURMET",B238="147 - CAPSULAS","CAPSULAS",B238="130 - GALLETAS CAFECITAS","DERIVADOS",B238="140 - MERENGUES","DERIVADOS",B238="100 - CAFÉ ESPECIAL","ESPECIALES",B238="141 - AREQUIPE","DERIVADOS",B238="142 - MERMELADA","DERIVADOS",B238="131 - GALLETAS AVENA","DERIVADOS",B238="160 - SOUVENIR","OTROS",B238="148 - CARAMELOS","DERIVADOS",B238="143 - CHOCOFFES","DERIVADOS",B238="162 - CONVENIOS Y DSC POS ","OTROS"),"OTROS")</f>
        <v>DERIVADOS</v>
      </c>
      <c r="K238" s="6"/>
      <c r="L238" s="27">
        <f t="shared" si="28"/>
        <v>89298</v>
      </c>
      <c r="M238" s="27">
        <f t="shared" si="29"/>
        <v>89298</v>
      </c>
    </row>
    <row r="239" spans="1:13" ht="15.75" hidden="1" customHeight="1" outlineLevel="2">
      <c r="A239" s="38"/>
      <c r="B239" s="45" t="s">
        <v>28</v>
      </c>
      <c r="C239" s="46">
        <v>3419443</v>
      </c>
      <c r="D239" s="46">
        <v>0</v>
      </c>
      <c r="E239" s="46"/>
      <c r="F239" s="36">
        <v>4332933.07</v>
      </c>
      <c r="G239" s="37">
        <f t="shared" si="30"/>
        <v>0.78917512566147252</v>
      </c>
      <c r="H239" s="23">
        <f t="shared" si="26"/>
        <v>0</v>
      </c>
      <c r="I239" s="24">
        <f t="shared" si="26"/>
        <v>0</v>
      </c>
      <c r="J239" s="32" t="str" cm="1">
        <f t="array" ref="J239">IFERROR(_xlfn.IFS(B239="044 - BLEND TRADICION","BLEND",B239="113 - CAFÉ GOURMET","GOURMET",B239="114 - CAFÉ CONSUMO","CONSUMO",B239="112 - CAFÉ ORGANICO","GOURMET",B239="172 - CAFÉ COSECHA","ESPECIALES",B239="176 - CAFE DESCAFEINADO","GOURMET",B239="147 - CAPSULAS","CAPSULAS",B239="130 - GALLETAS CAFECITAS","DERIVADOS",B239="140 - MERENGUES","DERIVADOS",B239="100 - CAFÉ ESPECIAL","ESPECIALES",B239="141 - AREQUIPE","DERIVADOS",B239="142 - MERMELADA","DERIVADOS",B239="131 - GALLETAS AVENA","DERIVADOS",B239="160 - SOUVENIR","OTROS",B239="148 - CARAMELOS","DERIVADOS",B239="143 - CHOCOFFES","DERIVADOS",B239="162 - CONVENIOS Y DSC POS ","OTROS"),"OTROS")</f>
        <v>OTROS</v>
      </c>
      <c r="K239" s="6"/>
      <c r="L239" s="27">
        <f t="shared" si="28"/>
        <v>3419443</v>
      </c>
      <c r="M239" s="27">
        <f t="shared" si="29"/>
        <v>3419443</v>
      </c>
    </row>
    <row r="240" spans="1:13" ht="15.75" hidden="1" customHeight="1" outlineLevel="2">
      <c r="A240" s="38"/>
      <c r="B240" s="45" t="s">
        <v>29</v>
      </c>
      <c r="C240" s="46">
        <v>6099081</v>
      </c>
      <c r="D240" s="46">
        <v>-611280</v>
      </c>
      <c r="E240" s="46"/>
      <c r="F240" s="36">
        <v>19696186.350000001</v>
      </c>
      <c r="G240" s="37">
        <f t="shared" si="30"/>
        <v>0.30965796584271249</v>
      </c>
      <c r="H240" s="23">
        <f t="shared" si="26"/>
        <v>-9.1094950033239641E-2</v>
      </c>
      <c r="I240" s="24">
        <f t="shared" si="26"/>
        <v>0</v>
      </c>
      <c r="J240" s="32" t="str" cm="1">
        <f t="array" ref="J240">IFERROR(_xlfn.IFS(B240="044 - BLEND TRADICION","BLEND",B240="113 - CAFÉ GOURMET","GOURMET",B240="114 - CAFÉ CONSUMO","CONSUMO",B240="112 - CAFÉ ORGANICO","GOURMET",B240="172 - CAFÉ COSECHA","ESPECIALES",B240="176 - CAFE DESCAFEINADO","GOURMET",B240="147 - CAPSULAS","CAPSULAS",B240="130 - GALLETAS CAFECITAS","DERIVADOS",B240="140 - MERENGUES","DERIVADOS",B240="100 - CAFÉ ESPECIAL","ESPECIALES",B240="141 - AREQUIPE","DERIVADOS",B240="142 - MERMELADA","DERIVADOS",B240="131 - GALLETAS AVENA","DERIVADOS",B240="160 - SOUVENIR","OTROS",B240="148 - CARAMELOS","DERIVADOS",B240="143 - CHOCOFFES","DERIVADOS",B240="162 - CONVENIOS Y DSC POS ","OTROS"),"OTROS")</f>
        <v>ESPECIALES</v>
      </c>
      <c r="K240" s="6"/>
      <c r="L240" s="27">
        <f t="shared" si="28"/>
        <v>6710361</v>
      </c>
      <c r="M240" s="27">
        <f t="shared" si="29"/>
        <v>6710361</v>
      </c>
    </row>
    <row r="241" spans="1:13" ht="15.75" hidden="1" customHeight="1" outlineLevel="2">
      <c r="A241" s="38"/>
      <c r="B241" s="45" t="s">
        <v>30</v>
      </c>
      <c r="C241" s="46">
        <v>1708074</v>
      </c>
      <c r="D241" s="46">
        <v>0</v>
      </c>
      <c r="E241" s="46"/>
      <c r="F241" s="36">
        <v>6569709</v>
      </c>
      <c r="G241" s="37">
        <f t="shared" si="30"/>
        <v>0.25999233756015677</v>
      </c>
      <c r="H241" s="23">
        <f t="shared" si="26"/>
        <v>0</v>
      </c>
      <c r="I241" s="24">
        <f>IFERROR(+E241/M241*100%,0)</f>
        <v>0</v>
      </c>
      <c r="J241" s="32" t="str" cm="1">
        <f t="array" ref="J241">IFERROR(_xlfn.IFS(B241="044 - BLEND TRADICION","BLEND",B241="113 - CAFÉ GOURMET","GOURMET",B241="114 - CAFÉ CONSUMO","CONSUMO",B241="112 - CAFÉ ORGANICO","GOURMET",B241="172 - CAFÉ COSECHA","ESPECIALES",B241="176 - CAFE DESCAFEINADO","GOURMET",B241="147 - CAPSULAS","CAPSULAS",B241="130 - GALLETAS CAFECITAS","DERIVADOS",B241="140 - MERENGUES","DERIVADOS",B241="100 - CAFÉ ESPECIAL","ESPECIALES",B241="141 - AREQUIPE","DERIVADOS",B241="142 - MERMELADA","DERIVADOS",B241="131 - GALLETAS AVENA","DERIVADOS",B241="160 - SOUVENIR","OTROS",B241="148 - CARAMELOS","DERIVADOS",B241="143 - CHOCOFFES","DERIVADOS",B241="162 - CONVENIOS Y DSC POS ","OTROS"),"OTROS")</f>
        <v>GOURMET</v>
      </c>
      <c r="K241" s="6"/>
      <c r="L241" s="27">
        <f>C241-(D241+E241)</f>
        <v>1708074</v>
      </c>
      <c r="M241" s="27">
        <f t="shared" si="29"/>
        <v>1708074</v>
      </c>
    </row>
    <row r="242" spans="1:13" ht="15.75" hidden="1" customHeight="1" outlineLevel="2">
      <c r="A242" s="19" t="s">
        <v>60</v>
      </c>
      <c r="B242" s="56" t="s">
        <v>32</v>
      </c>
      <c r="C242" s="54">
        <f>SUM(C229:C241)</f>
        <v>80950370</v>
      </c>
      <c r="D242" s="54">
        <f>SUM(D229:D241)</f>
        <v>-793064</v>
      </c>
      <c r="E242" s="54">
        <f>SUM(E229:E241)</f>
        <v>0</v>
      </c>
      <c r="F242" s="58">
        <f>SUM(F229:F241)</f>
        <v>278548044.25999999</v>
      </c>
      <c r="G242" s="55">
        <f t="shared" si="30"/>
        <v>0.29061546712724351</v>
      </c>
      <c r="H242" s="23">
        <f t="shared" si="26"/>
        <v>-9.7018679200582634E-3</v>
      </c>
      <c r="I242" s="24">
        <f>IFERROR(+E242/M242*100%,0)</f>
        <v>0</v>
      </c>
      <c r="J242" s="32" t="str" cm="1">
        <f t="array" ref="J242">IFERROR(_xlfn.IFS(B242="044 - BLEND TRADICION","BLEND",B242="113 - CAFÉ GOURMET","GOURMET",B242="114 - CAFÉ CONSUMO","CONSUMO",B242="112 - CAFÉ ORGANICO","GOURMET",B242="172 - CAFÉ COSECHA","ESPECIALES",B242="176 - CAFE DESCAFEINADO","GOURMET",B242="147 - CAPSULAS","CAPSULAS",B242="130 - GALLETAS CAFECITAS","DERIVADOS",B242="140 - MERENGUES","DERIVADOS",B242="100 - CAFÉ ESPECIAL","ESPECIALES",B242="141 - AREQUIPE","DERIVADOS",B242="142 - MERMELADA","DERIVADOS",B242="131 - GALLETAS AVENA","DERIVADOS",B242="160 - SOUVENIR","OTROS",B242="148 - CARAMELOS","DERIVADOS",B242="143 - CHOCOFFES","DERIVADOS",B242="162 - CONVENIOS Y DSC POS ","OTROS"),"OTROS")</f>
        <v>OTROS</v>
      </c>
      <c r="K242" s="6"/>
      <c r="L242" s="27">
        <f>C242-(D242+E242)</f>
        <v>81743434</v>
      </c>
      <c r="M242" s="27">
        <f t="shared" si="29"/>
        <v>81743434</v>
      </c>
    </row>
    <row r="243" spans="1:13" ht="16.5" collapsed="1">
      <c r="A243" s="28" t="s">
        <v>61</v>
      </c>
      <c r="B243" s="29" t="s">
        <v>17</v>
      </c>
      <c r="C243" s="30">
        <f>+C246+C254+C258</f>
        <v>164225419</v>
      </c>
      <c r="D243" s="30"/>
      <c r="E243" s="30">
        <f>+E246+E254+E258</f>
        <v>-185271</v>
      </c>
      <c r="F243" s="30">
        <f>+F246+F254+F258</f>
        <v>468781637.60000002</v>
      </c>
      <c r="G243" s="31">
        <f t="shared" si="30"/>
        <v>0.35032391592976508</v>
      </c>
      <c r="H243" s="23">
        <f t="shared" si="26"/>
        <v>0</v>
      </c>
      <c r="I243" s="24">
        <f t="shared" si="26"/>
        <v>-1.1268792801733269E-3</v>
      </c>
      <c r="J243" s="32" t="str" cm="1">
        <f t="array" ref="J243">IFERROR(_xlfn.IFS(B243="044 - BLEND TRADICION","BLEND",B243="113 - CAFÉ GOURMET","GOURMET",B243="114 - CAFÉ CONSUMO","CONSUMO",B243="112 - CAFÉ ORGANICO","GOURMET",B243="172 - CAFÉ COSECHA","ESPECIALES",B243="176 - CAFE DESCAFEINADO","GOURMET",B243="147 - CAPSULAS","CAPSULAS",B243="130 - GALLETAS CAFECITAS","DERIVADOS",B243="140 - MERENGUES","DERIVADOS",B243="100 - CAFÉ ESPECIAL","ESPECIALES",B243="141 - AREQUIPE","DERIVADOS",B243="142 - MERMELADA","DERIVADOS",B243="131 - GALLETAS AVENA","DERIVADOS",B243="160 - SOUVENIR","OTROS",B243="148 - CARAMELOS","DERIVADOS",B243="143 - CHOCOFFES","DERIVADOS",B243="162 - CONVENIOS Y DSC POS ","OTROS"),"OTROS")</f>
        <v>OTROS</v>
      </c>
      <c r="K243" s="6"/>
      <c r="L243" s="27">
        <f t="shared" ref="L243:L250" si="41">C243-(D243+E243)</f>
        <v>164410690</v>
      </c>
      <c r="M243" s="27">
        <f t="shared" si="29"/>
        <v>164410690</v>
      </c>
    </row>
    <row r="244" spans="1:13" ht="15.75" hidden="1" customHeight="1" outlineLevel="1">
      <c r="A244" s="33"/>
      <c r="B244" s="45" t="s">
        <v>62</v>
      </c>
      <c r="C244" s="46">
        <v>39351</v>
      </c>
      <c r="D244" s="46">
        <v>0</v>
      </c>
      <c r="E244" s="46">
        <v>0</v>
      </c>
      <c r="F244" s="46">
        <v>0</v>
      </c>
      <c r="G244" s="37" t="str">
        <f t="shared" si="30"/>
        <v>-</v>
      </c>
      <c r="H244" s="23">
        <f t="shared" si="26"/>
        <v>0</v>
      </c>
      <c r="I244" s="24">
        <f t="shared" si="26"/>
        <v>0</v>
      </c>
      <c r="J244" s="32" t="str" cm="1">
        <f t="array" ref="J244">IFERROR(_xlfn.IFS(B244="044 - BLEND TRADICION","BLEND",B244="113 - CAFÉ GOURMET","GOURMET",B244="114 - CAFÉ CONSUMO","CONSUMO",B244="112 - CAFÉ ORGANICO","GOURMET",B244="172 - CAFÉ COSECHA","ESPECIALES",B244="176 - CAFE DESCAFEINADO","GOURMET",B244="147 - CAPSULAS","CAPSULAS",B244="130 - GALLETAS CAFECITAS","DERIVADOS",B244="140 - MERENGUES","DERIVADOS",B244="100 - CAFÉ ESPECIAL","ESPECIALES",B244="141 - AREQUIPE","DERIVADOS",B244="142 - MERMELADA","DERIVADOS",B244="131 - GALLETAS AVENA","DERIVADOS",B244="160 - SOUVENIR","OTROS",B244="148 - CARAMELOS","DERIVADOS",B244="143 - CHOCOFFES","DERIVADOS",B244="162 - CONVENIOS Y DSC POS ","OTROS"),"OTROS")</f>
        <v>OTROS</v>
      </c>
      <c r="K244" s="6"/>
      <c r="L244" s="27">
        <f t="shared" si="41"/>
        <v>39351</v>
      </c>
      <c r="M244" s="27">
        <f t="shared" si="29"/>
        <v>39351</v>
      </c>
    </row>
    <row r="245" spans="1:13" ht="15.75" hidden="1" customHeight="1" outlineLevel="1">
      <c r="A245" s="33"/>
      <c r="B245" s="45" t="s">
        <v>39</v>
      </c>
      <c r="C245" s="46">
        <v>11800000</v>
      </c>
      <c r="D245" s="46">
        <v>0</v>
      </c>
      <c r="E245" s="46"/>
      <c r="F245" s="46">
        <v>0</v>
      </c>
      <c r="G245" s="37" t="str">
        <f t="shared" si="30"/>
        <v>-</v>
      </c>
      <c r="H245" s="23">
        <f t="shared" si="26"/>
        <v>0</v>
      </c>
      <c r="I245" s="24">
        <f t="shared" si="26"/>
        <v>0</v>
      </c>
      <c r="J245" s="32" t="str" cm="1">
        <f t="array" ref="J245">IFERROR(_xlfn.IFS(B245="044 - BLEND TRADICION","BLEND",B245="113 - CAFÉ GOURMET","GOURMET",B245="114 - CAFÉ CONSUMO","CONSUMO",B245="112 - CAFÉ ORGANICO","GOURMET",B245="172 - CAFÉ COSECHA","ESPECIALES",B245="176 - CAFE DESCAFEINADO","GOURMET",B245="147 - CAPSULAS","CAPSULAS",B245="130 - GALLETAS CAFECITAS","DERIVADOS",B245="140 - MERENGUES","DERIVADOS",B245="100 - CAFÉ ESPECIAL","ESPECIALES",B245="141 - AREQUIPE","DERIVADOS",B245="142 - MERMELADA","DERIVADOS",B245="131 - GALLETAS AVENA","DERIVADOS",B245="160 - SOUVENIR","OTROS",B245="148 - CARAMELOS","DERIVADOS",B245="143 - CHOCOFFES","DERIVADOS",B245="162 - CONVENIOS Y DSC POS ","OTROS"),"OTROS")</f>
        <v>OTROS</v>
      </c>
      <c r="K245" s="6"/>
      <c r="L245" s="27">
        <f t="shared" si="41"/>
        <v>11800000</v>
      </c>
      <c r="M245" s="27">
        <f t="shared" si="29"/>
        <v>11800000</v>
      </c>
    </row>
    <row r="246" spans="1:13" ht="15.75" hidden="1" customHeight="1" outlineLevel="1">
      <c r="A246" s="52" t="s">
        <v>63</v>
      </c>
      <c r="B246" s="20" t="s">
        <v>32</v>
      </c>
      <c r="C246" s="21">
        <f>SUM(C244:C245)</f>
        <v>11839351</v>
      </c>
      <c r="D246" s="21"/>
      <c r="E246" s="21">
        <v>0</v>
      </c>
      <c r="F246" s="21">
        <v>0</v>
      </c>
      <c r="G246" s="55" t="str">
        <f t="shared" si="30"/>
        <v>-</v>
      </c>
      <c r="H246" s="23">
        <f t="shared" si="26"/>
        <v>0</v>
      </c>
      <c r="I246" s="24">
        <f t="shared" si="26"/>
        <v>0</v>
      </c>
      <c r="J246" s="32" t="str" cm="1">
        <f t="array" ref="J246">IFERROR(_xlfn.IFS(B246="044 - BLEND TRADICION","BLEND",B246="113 - CAFÉ GOURMET","GOURMET",B246="114 - CAFÉ CONSUMO","CONSUMO",B246="112 - CAFÉ ORGANICO","GOURMET",B246="172 - CAFÉ COSECHA","ESPECIALES",B246="176 - CAFE DESCAFEINADO","GOURMET",B246="147 - CAPSULAS","CAPSULAS",B246="130 - GALLETAS CAFECITAS","DERIVADOS",B246="140 - MERENGUES","DERIVADOS",B246="100 - CAFÉ ESPECIAL","ESPECIALES",B246="141 - AREQUIPE","DERIVADOS",B246="142 - MERMELADA","DERIVADOS",B246="131 - GALLETAS AVENA","DERIVADOS",B246="160 - SOUVENIR","OTROS",B246="148 - CARAMELOS","DERIVADOS",B246="143 - CHOCOFFES","DERIVADOS",B246="162 - CONVENIOS Y DSC POS ","OTROS"),"OTROS")</f>
        <v>OTROS</v>
      </c>
      <c r="K246" s="6"/>
      <c r="L246" s="27">
        <f t="shared" si="41"/>
        <v>11839351</v>
      </c>
      <c r="M246" s="27">
        <f t="shared" si="29"/>
        <v>11839351</v>
      </c>
    </row>
    <row r="247" spans="1:13" ht="15.75" hidden="1" customHeight="1" outlineLevel="1">
      <c r="A247" s="33"/>
      <c r="B247" s="45" t="s">
        <v>18</v>
      </c>
      <c r="C247" s="151">
        <v>130739200</v>
      </c>
      <c r="D247" s="152">
        <v>0</v>
      </c>
      <c r="E247" s="36"/>
      <c r="F247" s="36">
        <v>413971911.05000001</v>
      </c>
      <c r="G247" s="37">
        <f t="shared" si="30"/>
        <v>0.31581659651349914</v>
      </c>
      <c r="H247" s="23">
        <f t="shared" si="26"/>
        <v>0</v>
      </c>
      <c r="I247" s="24">
        <f t="shared" si="26"/>
        <v>0</v>
      </c>
      <c r="J247" s="32" t="str" cm="1">
        <f t="array" ref="J247">IFERROR(_xlfn.IFS(B247="044 - BLEND TRADICION","BLEND",B247="113 - CAFÉ GOURMET","GOURMET",B247="114 - CAFÉ CONSUMO","CONSUMO",B247="112 - CAFÉ ORGANICO","GOURMET",B247="172 - CAFÉ COSECHA","ESPECIALES",B247="176 - CAFE DESCAFEINADO","GOURMET",B247="147 - CAPSULAS","CAPSULAS",B247="130 - GALLETAS CAFECITAS","DERIVADOS",B247="140 - MERENGUES","DERIVADOS",B247="100 - CAFÉ ESPECIAL","ESPECIALES",B247="141 - AREQUIPE","DERIVADOS",B247="142 - MERMELADA","DERIVADOS",B247="131 - GALLETAS AVENA","DERIVADOS",B247="160 - SOUVENIR","OTROS",B247="148 - CARAMELOS","DERIVADOS",B247="143 - CHOCOFFES","DERIVADOS",B247="162 - CONVENIOS Y DSC POS ","OTROS"),"OTROS")</f>
        <v>BLEND</v>
      </c>
      <c r="K247" s="6"/>
      <c r="L247" s="27">
        <f t="shared" si="41"/>
        <v>130739200</v>
      </c>
      <c r="M247" s="27">
        <f t="shared" si="29"/>
        <v>130739200</v>
      </c>
    </row>
    <row r="248" spans="1:13" ht="15.75" hidden="1" customHeight="1" outlineLevel="1">
      <c r="A248" s="33"/>
      <c r="B248" s="45" t="s">
        <v>20</v>
      </c>
      <c r="C248" s="151">
        <v>2053771</v>
      </c>
      <c r="D248" s="152">
        <v>0</v>
      </c>
      <c r="E248" s="36"/>
      <c r="F248" s="36">
        <v>4542701.25</v>
      </c>
      <c r="G248" s="37">
        <f t="shared" si="30"/>
        <v>0.45210347037459264</v>
      </c>
      <c r="H248" s="23">
        <f t="shared" si="26"/>
        <v>0</v>
      </c>
      <c r="I248" s="24">
        <f t="shared" si="26"/>
        <v>0</v>
      </c>
      <c r="J248" s="32" t="str" cm="1">
        <f t="array" ref="J248">IFERROR(_xlfn.IFS(B248="044 - BLEND TRADICION","BLEND",B248="113 - CAFÉ GOURMET","GOURMET",B248="114 - CAFÉ CONSUMO","CONSUMO",B248="112 - CAFÉ ORGANICO","GOURMET",B248="172 - CAFÉ COSECHA","ESPECIALES",B248="176 - CAFE DESCAFEINADO","GOURMET",B248="147 - CAPSULAS","CAPSULAS",B248="130 - GALLETAS CAFECITAS","DERIVADOS",B248="140 - MERENGUES","DERIVADOS",B248="100 - CAFÉ ESPECIAL","ESPECIALES",B248="141 - AREQUIPE","DERIVADOS",B248="142 - MERMELADA","DERIVADOS",B248="131 - GALLETAS AVENA","DERIVADOS",B248="160 - SOUVENIR","OTROS",B248="148 - CARAMELOS","DERIVADOS",B248="143 - CHOCOFFES","DERIVADOS",B248="162 - CONVENIOS Y DSC POS ","OTROS"),"OTROS")</f>
        <v>GOURMET</v>
      </c>
      <c r="K248" s="6"/>
      <c r="L248" s="27">
        <f t="shared" si="41"/>
        <v>2053771</v>
      </c>
      <c r="M248" s="27">
        <f t="shared" si="29"/>
        <v>2053771</v>
      </c>
    </row>
    <row r="249" spans="1:13" ht="15.75" hidden="1" customHeight="1" outlineLevel="1">
      <c r="A249" s="33"/>
      <c r="B249" s="45" t="s">
        <v>21</v>
      </c>
      <c r="C249" s="151">
        <v>11134326</v>
      </c>
      <c r="D249" s="152">
        <v>0</v>
      </c>
      <c r="E249" s="36"/>
      <c r="F249" s="36">
        <v>25938878.649999999</v>
      </c>
      <c r="G249" s="37">
        <f t="shared" si="30"/>
        <v>0.42925240332237724</v>
      </c>
      <c r="H249" s="23">
        <f t="shared" si="26"/>
        <v>0</v>
      </c>
      <c r="I249" s="24">
        <f t="shared" si="26"/>
        <v>0</v>
      </c>
      <c r="J249" s="32" t="str" cm="1">
        <f t="array" ref="J249">IFERROR(_xlfn.IFS(B249="044 - BLEND TRADICION","BLEND",B249="113 - CAFÉ GOURMET","GOURMET",B249="114 - CAFÉ CONSUMO","CONSUMO",B249="112 - CAFÉ ORGANICO","GOURMET",B249="172 - CAFÉ COSECHA","ESPECIALES",B249="176 - CAFE DESCAFEINADO","GOURMET",B249="147 - CAPSULAS","CAPSULAS",B249="130 - GALLETAS CAFECITAS","DERIVADOS",B249="140 - MERENGUES","DERIVADOS",B249="100 - CAFÉ ESPECIAL","ESPECIALES",B249="141 - AREQUIPE","DERIVADOS",B249="142 - MERMELADA","DERIVADOS",B249="131 - GALLETAS AVENA","DERIVADOS",B249="160 - SOUVENIR","OTROS",B249="148 - CARAMELOS","DERIVADOS",B249="143 - CHOCOFFES","DERIVADOS",B249="162 - CONVENIOS Y DSC POS ","OTROS"),"OTROS")</f>
        <v>GOURMET</v>
      </c>
      <c r="K249" s="6"/>
      <c r="L249" s="27">
        <f t="shared" si="41"/>
        <v>11134326</v>
      </c>
      <c r="M249" s="27">
        <f t="shared" si="29"/>
        <v>11134326</v>
      </c>
    </row>
    <row r="250" spans="1:13" ht="15.75" hidden="1" customHeight="1" outlineLevel="1">
      <c r="A250" s="33"/>
      <c r="B250" s="45" t="s">
        <v>22</v>
      </c>
      <c r="C250" s="151">
        <v>3510432</v>
      </c>
      <c r="D250" s="152">
        <v>0</v>
      </c>
      <c r="E250" s="36"/>
      <c r="F250" s="36">
        <v>21964513.23</v>
      </c>
      <c r="G250" s="37">
        <f t="shared" si="30"/>
        <v>0.1598228908257941</v>
      </c>
      <c r="H250" s="23">
        <f t="shared" si="26"/>
        <v>0</v>
      </c>
      <c r="I250" s="24">
        <f t="shared" si="26"/>
        <v>0</v>
      </c>
      <c r="J250" s="32" t="str" cm="1">
        <f t="array" ref="J250">IFERROR(_xlfn.IFS(B250="044 - BLEND TRADICION","BLEND",B250="113 - CAFÉ GOURMET","GOURMET",B250="114 - CAFÉ CONSUMO","CONSUMO",B250="112 - CAFÉ ORGANICO","GOURMET",B250="172 - CAFÉ COSECHA","ESPECIALES",B250="176 - CAFE DESCAFEINADO","GOURMET",B250="147 - CAPSULAS","CAPSULAS",B250="130 - GALLETAS CAFECITAS","DERIVADOS",B250="140 - MERENGUES","DERIVADOS",B250="100 - CAFÉ ESPECIAL","ESPECIALES",B250="141 - AREQUIPE","DERIVADOS",B250="142 - MERMELADA","DERIVADOS",B250="131 - GALLETAS AVENA","DERIVADOS",B250="160 - SOUVENIR","OTROS",B250="148 - CARAMELOS","DERIVADOS",B250="143 - CHOCOFFES","DERIVADOS",B250="162 - CONVENIOS Y DSC POS ","OTROS"),"OTROS")</f>
        <v>DERIVADOS</v>
      </c>
      <c r="K250" s="6"/>
      <c r="L250" s="27">
        <f t="shared" si="41"/>
        <v>3510432</v>
      </c>
      <c r="M250" s="27">
        <f t="shared" si="29"/>
        <v>3510432</v>
      </c>
    </row>
    <row r="251" spans="1:13" ht="15.75" hidden="1" customHeight="1" outlineLevel="1">
      <c r="A251" s="33"/>
      <c r="B251" s="45" t="s">
        <v>50</v>
      </c>
      <c r="C251" s="151">
        <v>-185271</v>
      </c>
      <c r="D251" s="152"/>
      <c r="E251" s="152">
        <v>-185271</v>
      </c>
      <c r="F251" s="36"/>
      <c r="G251" s="37"/>
      <c r="H251" s="23"/>
      <c r="I251" s="24"/>
      <c r="J251" s="32"/>
      <c r="K251" s="6"/>
      <c r="L251" s="27"/>
      <c r="M251" s="27"/>
    </row>
    <row r="252" spans="1:13" ht="15.75" hidden="1" customHeight="1" outlineLevel="1">
      <c r="A252" s="33"/>
      <c r="B252" s="45" t="s">
        <v>29</v>
      </c>
      <c r="C252" s="151">
        <v>0</v>
      </c>
      <c r="D252" s="152">
        <v>0</v>
      </c>
      <c r="E252" s="36">
        <v>0</v>
      </c>
      <c r="F252" s="36">
        <v>2363633.42</v>
      </c>
      <c r="G252" s="37">
        <f t="shared" ref="G252:G273" si="42">IFERROR(C252/F252*100%,"-")</f>
        <v>0</v>
      </c>
      <c r="H252" s="23">
        <f t="shared" ref="H252:I274" si="43">IFERROR(+D252/L252*100%,0)</f>
        <v>0</v>
      </c>
      <c r="I252" s="24">
        <f t="shared" si="43"/>
        <v>0</v>
      </c>
      <c r="J252" s="32" t="str" cm="1">
        <f t="array" ref="J252">IFERROR(_xlfn.IFS(B252="044 - BLEND TRADICION","BLEND",B252="113 - CAFÉ GOURMET","GOURMET",B252="114 - CAFÉ CONSUMO","CONSUMO",B252="112 - CAFÉ ORGANICO","GOURMET",B252="172 - CAFÉ COSECHA","ESPECIALES",B252="176 - CAFE DESCAFEINADO","GOURMET",B252="147 - CAPSULAS","CAPSULAS",B252="130 - GALLETAS CAFECITAS","DERIVADOS",B252="140 - MERENGUES","DERIVADOS",B252="100 - CAFÉ ESPECIAL","ESPECIALES",B252="141 - AREQUIPE","DERIVADOS",B252="142 - MERMELADA","DERIVADOS",B252="131 - GALLETAS AVENA","DERIVADOS",B252="160 - SOUVENIR","OTROS",B252="148 - CARAMELOS","DERIVADOS",B252="143 - CHOCOFFES","DERIVADOS",B252="162 - CONVENIOS Y DSC POS ","OTROS"),"OTROS")</f>
        <v>ESPECIALES</v>
      </c>
      <c r="K252" s="6"/>
      <c r="L252" s="27">
        <f t="shared" ref="L252:L255" si="44">C252-(D252+E252)</f>
        <v>0</v>
      </c>
      <c r="M252" s="27">
        <f t="shared" ref="M252:M273" si="45">L252</f>
        <v>0</v>
      </c>
    </row>
    <row r="253" spans="1:13" ht="15.75" hidden="1" customHeight="1" outlineLevel="1">
      <c r="A253" s="44"/>
      <c r="B253" s="45" t="s">
        <v>92</v>
      </c>
      <c r="C253" s="151">
        <v>5127360</v>
      </c>
      <c r="D253" s="152">
        <v>0</v>
      </c>
      <c r="E253" s="36">
        <v>0</v>
      </c>
      <c r="F253" s="36">
        <v>0</v>
      </c>
      <c r="G253" s="37" t="str">
        <f t="shared" si="42"/>
        <v>-</v>
      </c>
      <c r="H253" s="23">
        <f t="shared" si="43"/>
        <v>0</v>
      </c>
      <c r="I253" s="24">
        <f t="shared" si="43"/>
        <v>0</v>
      </c>
      <c r="J253" s="32" t="str" cm="1">
        <f t="array" ref="J253">IFERROR(_xlfn.IFS(B253="044 - BLEND TRADICION","BLEND",B253="113 - CAFÉ GOURMET","GOURMET",B253="114 - CAFÉ CONSUMO","CONSUMO",B253="112 - CAFÉ ORGANICO","GOURMET",B253="172 - CAFÉ COSECHA","ESPECIALES",B253="176 - CAFE DESCAFEINADO","GOURMET",B253="147 - CAPSULAS","CAPSULAS",B253="130 - GALLETAS CAFECITAS","DERIVADOS",B253="140 - MERENGUES","DERIVADOS",B253="100 - CAFÉ ESPECIAL","ESPECIALES",B253="141 - AREQUIPE","DERIVADOS",B253="142 - MERMELADA","DERIVADOS",B253="131 - GALLETAS AVENA","DERIVADOS",B253="160 - SOUVENIR","OTROS",B253="148 - CARAMELOS","DERIVADOS",B253="143 - CHOCOFFES","DERIVADOS",B253="162 - CONVENIOS Y DSC POS ","OTROS"),"OTROS")</f>
        <v>OTROS</v>
      </c>
      <c r="K253" s="6"/>
      <c r="L253" s="27">
        <f t="shared" si="44"/>
        <v>5127360</v>
      </c>
      <c r="M253" s="27">
        <f t="shared" si="45"/>
        <v>5127360</v>
      </c>
    </row>
    <row r="254" spans="1:13" ht="15.75" hidden="1" customHeight="1" outlineLevel="1">
      <c r="A254" s="19" t="s">
        <v>64</v>
      </c>
      <c r="B254" s="40" t="s">
        <v>32</v>
      </c>
      <c r="C254" s="54">
        <f>SUM(C247:C253)</f>
        <v>152379818</v>
      </c>
      <c r="D254" s="54">
        <f>SUM(D247:D253)</f>
        <v>0</v>
      </c>
      <c r="E254" s="54">
        <f>SUM(E247:E253)</f>
        <v>-185271</v>
      </c>
      <c r="F254" s="54">
        <f>SUM(F247:F253)</f>
        <v>468781637.60000002</v>
      </c>
      <c r="G254" s="55">
        <f t="shared" si="42"/>
        <v>0.32505500595145326</v>
      </c>
      <c r="H254" s="23">
        <f t="shared" si="43"/>
        <v>0</v>
      </c>
      <c r="I254" s="24">
        <f t="shared" si="43"/>
        <v>-1.2143734927457749E-3</v>
      </c>
      <c r="J254" s="32" t="str" cm="1">
        <f t="array" ref="J254">IFERROR(_xlfn.IFS(B254="044 - BLEND TRADICION","BLEND",B254="113 - CAFÉ GOURMET","GOURMET",B254="114 - CAFÉ CONSUMO","CONSUMO",B254="112 - CAFÉ ORGANICO","GOURMET",B254="172 - CAFÉ COSECHA","ESPECIALES",B254="176 - CAFE DESCAFEINADO","GOURMET",B254="147 - CAPSULAS","CAPSULAS",B254="130 - GALLETAS CAFECITAS","DERIVADOS",B254="140 - MERENGUES","DERIVADOS",B254="100 - CAFÉ ESPECIAL","ESPECIALES",B254="141 - AREQUIPE","DERIVADOS",B254="142 - MERMELADA","DERIVADOS",B254="131 - GALLETAS AVENA","DERIVADOS",B254="160 - SOUVENIR","OTROS",B254="148 - CARAMELOS","DERIVADOS",B254="143 - CHOCOFFES","DERIVADOS",B254="162 - CONVENIOS Y DSC POS ","OTROS"),"OTROS")</f>
        <v>OTROS</v>
      </c>
      <c r="L254" s="27">
        <f t="shared" si="44"/>
        <v>152565089</v>
      </c>
      <c r="M254" s="27">
        <f t="shared" si="45"/>
        <v>152565089</v>
      </c>
    </row>
    <row r="255" spans="1:13" ht="15.75" hidden="1" customHeight="1" outlineLevel="1">
      <c r="A255" s="33"/>
      <c r="B255" s="39" t="s">
        <v>24</v>
      </c>
      <c r="C255" s="36">
        <v>4250</v>
      </c>
      <c r="D255" s="36"/>
      <c r="E255" s="36">
        <v>0</v>
      </c>
      <c r="F255" s="36">
        <v>0</v>
      </c>
      <c r="G255" s="37" t="str">
        <f t="shared" si="42"/>
        <v>-</v>
      </c>
      <c r="H255" s="23">
        <f t="shared" si="43"/>
        <v>0</v>
      </c>
      <c r="I255" s="24">
        <f t="shared" si="43"/>
        <v>0</v>
      </c>
      <c r="J255" s="32" t="str" cm="1">
        <f t="array" ref="J255">IFERROR(_xlfn.IFS(B255="044 - BLEND TRADICION","BLEND",B255="113 - CAFÉ GOURMET","GOURMET",B255="114 - CAFÉ CONSUMO","CONSUMO",B255="112 - CAFÉ ORGANICO","GOURMET",B255="172 - CAFÉ COSECHA","ESPECIALES",B255="176 - CAFE DESCAFEINADO","GOURMET",B255="147 - CAPSULAS","CAPSULAS",B255="130 - GALLETAS CAFECITAS","DERIVADOS",B255="140 - MERENGUES","DERIVADOS",B255="100 - CAFÉ ESPECIAL","ESPECIALES",B255="141 - AREQUIPE","DERIVADOS",B255="142 - MERMELADA","DERIVADOS",B255="131 - GALLETAS AVENA","DERIVADOS",B255="160 - SOUVENIR","OTROS",B255="148 - CARAMELOS","DERIVADOS",B255="143 - CHOCOFFES","DERIVADOS",B255="162 - CONVENIOS Y DSC POS ","OTROS"),"OTROS")</f>
        <v>DERIVADOS</v>
      </c>
      <c r="L255" s="27">
        <f t="shared" si="44"/>
        <v>4250</v>
      </c>
      <c r="M255" s="27">
        <f t="shared" si="45"/>
        <v>4250</v>
      </c>
    </row>
    <row r="256" spans="1:13" ht="15.75" hidden="1" customHeight="1" outlineLevel="1">
      <c r="A256" s="33"/>
      <c r="B256" s="39" t="s">
        <v>25</v>
      </c>
      <c r="C256" s="36">
        <v>2000</v>
      </c>
      <c r="D256" s="36">
        <v>0</v>
      </c>
      <c r="E256" s="36"/>
      <c r="F256" s="36">
        <v>0</v>
      </c>
      <c r="G256" s="37" t="str">
        <f t="shared" si="42"/>
        <v>-</v>
      </c>
      <c r="H256" s="23">
        <f t="shared" si="43"/>
        <v>0</v>
      </c>
      <c r="I256" s="24">
        <f t="shared" si="43"/>
        <v>0</v>
      </c>
      <c r="J256" s="32" t="str" cm="1">
        <f t="array" ref="J256">IFERROR(_xlfn.IFS(B256="044 - BLEND TRADICION","BLEND",B256="113 - CAFÉ GOURMET","GOURMET",B256="114 - CAFÉ CONSUMO","CONSUMO",B256="112 - CAFÉ ORGANICO","GOURMET",B256="172 - CAFÉ COSECHA","ESPECIALES",B256="176 - CAFE DESCAFEINADO","GOURMET",B256="147 - CAPSULAS","CAPSULAS",B256="130 - GALLETAS CAFECITAS","DERIVADOS",B256="140 - MERENGUES","DERIVADOS",B256="100 - CAFÉ ESPECIAL","ESPECIALES",B256="141 - AREQUIPE","DERIVADOS",B256="142 - MERMELADA","DERIVADOS",B256="131 - GALLETAS AVENA","DERIVADOS",B256="160 - SOUVENIR","OTROS",B256="148 - CARAMELOS","DERIVADOS",B256="143 - CHOCOFFES","DERIVADOS",B256="162 - CONVENIOS Y DSC POS ","OTROS"),"OTROS")</f>
        <v>DERIVADOS</v>
      </c>
      <c r="K256" s="6"/>
      <c r="L256" s="27">
        <f>C256-(D256+E256)</f>
        <v>2000</v>
      </c>
      <c r="M256" s="27">
        <f t="shared" si="45"/>
        <v>2000</v>
      </c>
    </row>
    <row r="257" spans="1:13" ht="15.75" hidden="1" customHeight="1" outlineLevel="1">
      <c r="A257" s="38"/>
      <c r="B257" s="39" t="s">
        <v>29</v>
      </c>
      <c r="C257" s="36">
        <v>0</v>
      </c>
      <c r="D257" s="36">
        <v>0</v>
      </c>
      <c r="E257" s="36">
        <v>0</v>
      </c>
      <c r="F257" s="36">
        <v>0</v>
      </c>
      <c r="G257" s="37" t="str">
        <f t="shared" si="42"/>
        <v>-</v>
      </c>
      <c r="H257" s="23">
        <f t="shared" si="43"/>
        <v>0</v>
      </c>
      <c r="I257" s="24">
        <f t="shared" si="43"/>
        <v>0</v>
      </c>
      <c r="J257" s="32" t="str" cm="1">
        <f t="array" ref="J257">IFERROR(_xlfn.IFS(B257="044 - BLEND TRADICION","BLEND",B257="113 - CAFÉ GOURMET","GOURMET",B257="114 - CAFÉ CONSUMO","CONSUMO",B257="112 - CAFÉ ORGANICO","GOURMET",B257="172 - CAFÉ COSECHA","ESPECIALES",B257="176 - CAFE DESCAFEINADO","GOURMET",B257="147 - CAPSULAS","CAPSULAS",B257="130 - GALLETAS CAFECITAS","DERIVADOS",B257="140 - MERENGUES","DERIVADOS",B257="100 - CAFÉ ESPECIAL","ESPECIALES",B257="141 - AREQUIPE","DERIVADOS",B257="142 - MERMELADA","DERIVADOS",B257="131 - GALLETAS AVENA","DERIVADOS",B257="160 - SOUVENIR","OTROS",B257="148 - CARAMELOS","DERIVADOS",B257="143 - CHOCOFFES","DERIVADOS",B257="162 - CONVENIOS Y DSC POS ","OTROS"),"OTROS")</f>
        <v>ESPECIALES</v>
      </c>
      <c r="K257" s="6"/>
      <c r="L257" s="27">
        <f t="shared" ref="L257:L274" si="46">C257-(D257+E257)</f>
        <v>0</v>
      </c>
      <c r="M257" s="27">
        <f t="shared" si="45"/>
        <v>0</v>
      </c>
    </row>
    <row r="258" spans="1:13" ht="15.75" hidden="1" customHeight="1" outlineLevel="1">
      <c r="A258" s="19" t="s">
        <v>65</v>
      </c>
      <c r="B258" s="56" t="s">
        <v>32</v>
      </c>
      <c r="C258" s="54">
        <f>SUM(C255:C257)</f>
        <v>6250</v>
      </c>
      <c r="D258" s="54">
        <f>SUM(D255:D257)</f>
        <v>0</v>
      </c>
      <c r="E258" s="57">
        <v>0</v>
      </c>
      <c r="F258" s="58">
        <v>0</v>
      </c>
      <c r="G258" s="55" t="str">
        <f t="shared" si="42"/>
        <v>-</v>
      </c>
      <c r="H258" s="23">
        <f t="shared" si="43"/>
        <v>0</v>
      </c>
      <c r="I258" s="24">
        <f t="shared" si="43"/>
        <v>0</v>
      </c>
      <c r="J258" s="32" t="str" cm="1">
        <f t="array" ref="J258">IFERROR(_xlfn.IFS(B258="044 - BLEND TRADICION","BLEND",B258="113 - CAFÉ GOURMET","GOURMET",B258="114 - CAFÉ CONSUMO","CONSUMO",B258="112 - CAFÉ ORGANICO","GOURMET",B258="172 - CAFÉ COSECHA","ESPECIALES",B258="176 - CAFE DESCAFEINADO","GOURMET",B258="147 - CAPSULAS","CAPSULAS",B258="130 - GALLETAS CAFECITAS","DERIVADOS",B258="140 - MERENGUES","DERIVADOS",B258="100 - CAFÉ ESPECIAL","ESPECIALES",B258="141 - AREQUIPE","DERIVADOS",B258="142 - MERMELADA","DERIVADOS",B258="131 - GALLETAS AVENA","DERIVADOS",B258="160 - SOUVENIR","OTROS",B258="148 - CARAMELOS","DERIVADOS",B258="143 - CHOCOFFES","DERIVADOS",B258="162 - CONVENIOS Y DSC POS ","OTROS"),"OTROS")</f>
        <v>OTROS</v>
      </c>
      <c r="K258" s="6"/>
      <c r="L258" s="27">
        <f t="shared" si="46"/>
        <v>6250</v>
      </c>
      <c r="M258" s="27">
        <f t="shared" si="45"/>
        <v>6250</v>
      </c>
    </row>
    <row r="259" spans="1:13" ht="17" collapsed="1" thickBot="1">
      <c r="A259" s="63" t="s">
        <v>66</v>
      </c>
      <c r="B259" s="64" t="s">
        <v>17</v>
      </c>
      <c r="C259" s="65">
        <f>+C273</f>
        <v>491258205</v>
      </c>
      <c r="D259" s="65">
        <f>+D273</f>
        <v>-61908290</v>
      </c>
      <c r="E259" s="65">
        <f>+E273</f>
        <v>0</v>
      </c>
      <c r="F259" s="65">
        <f>+F273</f>
        <v>3060120402.4200006</v>
      </c>
      <c r="G259" s="66">
        <f t="shared" si="42"/>
        <v>0.1605355804338626</v>
      </c>
      <c r="H259" s="23">
        <f t="shared" si="43"/>
        <v>-0.1119161962258759</v>
      </c>
      <c r="I259" s="24">
        <f t="shared" si="43"/>
        <v>0</v>
      </c>
      <c r="J259" s="32" t="str" cm="1">
        <f t="array" ref="J259">IFERROR(_xlfn.IFS(B259="044 - BLEND TRADICION","BLEND",B259="113 - CAFÉ GOURMET","GOURMET",B259="114 - CAFÉ CONSUMO","CONSUMO",B259="112 - CAFÉ ORGANICO","GOURMET",B259="172 - CAFÉ COSECHA","ESPECIALES",B259="176 - CAFE DESCAFEINADO","GOURMET",B259="147 - CAPSULAS","CAPSULAS",B259="130 - GALLETAS CAFECITAS","DERIVADOS",B259="140 - MERENGUES","DERIVADOS",B259="100 - CAFÉ ESPECIAL","ESPECIALES",B259="141 - AREQUIPE","DERIVADOS",B259="142 - MERMELADA","DERIVADOS",B259="131 - GALLETAS AVENA","DERIVADOS",B259="160 - SOUVENIR","OTROS",B259="148 - CARAMELOS","DERIVADOS",B259="143 - CHOCOFFES","DERIVADOS",B259="162 - CONVENIOS Y DSC POS ","OTROS"),"OTROS")</f>
        <v>OTROS</v>
      </c>
      <c r="K259" s="6"/>
      <c r="L259" s="27">
        <f t="shared" si="46"/>
        <v>553166495</v>
      </c>
      <c r="M259" s="27">
        <f t="shared" si="45"/>
        <v>553166495</v>
      </c>
    </row>
    <row r="260" spans="1:13" s="26" customFormat="1" ht="15.75" hidden="1" customHeight="1" outlineLevel="1">
      <c r="A260" s="67"/>
      <c r="B260" s="34" t="s">
        <v>18</v>
      </c>
      <c r="C260" s="68">
        <v>521600</v>
      </c>
      <c r="D260" s="68">
        <v>0</v>
      </c>
      <c r="E260" s="35">
        <v>0</v>
      </c>
      <c r="F260" s="35">
        <v>4301469.12</v>
      </c>
      <c r="G260" s="49">
        <f t="shared" si="42"/>
        <v>0.12126089609124056</v>
      </c>
      <c r="H260" s="23">
        <f t="shared" si="43"/>
        <v>0</v>
      </c>
      <c r="I260" s="24">
        <f t="shared" si="43"/>
        <v>0</v>
      </c>
      <c r="J260" s="32" t="str" cm="1">
        <f t="array" ref="J260">IFERROR(_xlfn.IFS(B260="044 - BLEND TRADICION","BLEND",B260="113 - CAFÉ GOURMET","GOURMET",B260="114 - CAFÉ CONSUMO","CONSUMO",B260="112 - CAFÉ ORGANICO","GOURMET",B260="172 - CAFÉ COSECHA","ESPECIALES",B260="176 - CAFE DESCAFEINADO","GOURMET",B260="147 - CAPSULAS","CAPSULAS",B260="130 - GALLETAS CAFECITAS","DERIVADOS",B260="140 - MERENGUES","DERIVADOS",B260="100 - CAFÉ ESPECIAL","ESPECIALES",B260="141 - AREQUIPE","DERIVADOS",B260="142 - MERMELADA","DERIVADOS",B260="131 - GALLETAS AVENA","DERIVADOS",B260="160 - SOUVENIR","OTROS",B260="148 - CARAMELOS","DERIVADOS",B260="143 - CHOCOFFES","DERIVADOS",B260="162 - CONVENIOS Y DSC POS ","OTROS"),"OTROS")</f>
        <v>BLEND</v>
      </c>
      <c r="L260" s="27">
        <f t="shared" si="46"/>
        <v>521600</v>
      </c>
      <c r="M260" s="27">
        <f t="shared" si="45"/>
        <v>521600</v>
      </c>
    </row>
    <row r="261" spans="1:13" s="26" customFormat="1" ht="15.75" hidden="1" customHeight="1" outlineLevel="1">
      <c r="A261" s="67"/>
      <c r="B261" s="39" t="s">
        <v>19</v>
      </c>
      <c r="C261" s="60">
        <v>50189762</v>
      </c>
      <c r="D261" s="60">
        <v>-7848862</v>
      </c>
      <c r="E261" s="36"/>
      <c r="F261" s="35">
        <v>133747007.69</v>
      </c>
      <c r="G261" s="37">
        <f t="shared" si="42"/>
        <v>0.37525895245694224</v>
      </c>
      <c r="H261" s="23">
        <f t="shared" si="43"/>
        <v>-0.13523514961347119</v>
      </c>
      <c r="I261" s="24">
        <f t="shared" si="43"/>
        <v>0</v>
      </c>
      <c r="J261" s="32" t="str" cm="1">
        <f t="array" ref="J261">IFERROR(_xlfn.IFS(B261="044 - BLEND TRADICION","BLEND",B261="113 - CAFÉ GOURMET","GOURMET",B261="114 - CAFÉ CONSUMO","CONSUMO",B261="112 - CAFÉ ORGANICO","GOURMET",B261="172 - CAFÉ COSECHA","ESPECIALES",B261="176 - CAFE DESCAFEINADO","GOURMET",B261="147 - CAPSULAS","CAPSULAS",B261="130 - GALLETAS CAFECITAS","DERIVADOS",B261="140 - MERENGUES","DERIVADOS",B261="100 - CAFÉ ESPECIAL","ESPECIALES",B261="141 - AREQUIPE","DERIVADOS",B261="142 - MERMELADA","DERIVADOS",B261="131 - GALLETAS AVENA","DERIVADOS",B261="160 - SOUVENIR","OTROS",B261="148 - CARAMELOS","DERIVADOS",B261="143 - CHOCOFFES","DERIVADOS",B261="162 - CONVENIOS Y DSC POS ","OTROS"),"OTROS")</f>
        <v>ESPECIALES</v>
      </c>
      <c r="L261" s="27">
        <f t="shared" si="46"/>
        <v>58038624</v>
      </c>
      <c r="M261" s="27">
        <f t="shared" si="45"/>
        <v>58038624</v>
      </c>
    </row>
    <row r="262" spans="1:13" s="26" customFormat="1" ht="15.75" hidden="1" customHeight="1" outlineLevel="1">
      <c r="A262" s="69"/>
      <c r="B262" s="39" t="s">
        <v>20</v>
      </c>
      <c r="C262" s="60">
        <v>23638411</v>
      </c>
      <c r="D262" s="60">
        <v>-927728</v>
      </c>
      <c r="E262" s="36">
        <v>0</v>
      </c>
      <c r="F262" s="36">
        <v>166140099.77000001</v>
      </c>
      <c r="G262" s="37">
        <f t="shared" si="42"/>
        <v>0.14227998558279667</v>
      </c>
      <c r="H262" s="23">
        <f t="shared" si="43"/>
        <v>-3.776450178027569E-2</v>
      </c>
      <c r="I262" s="24">
        <f t="shared" si="43"/>
        <v>0</v>
      </c>
      <c r="J262" s="32" t="str" cm="1">
        <f t="array" ref="J262">IFERROR(_xlfn.IFS(B262="044 - BLEND TRADICION","BLEND",B262="113 - CAFÉ GOURMET","GOURMET",B262="114 - CAFÉ CONSUMO","CONSUMO",B262="112 - CAFÉ ORGANICO","GOURMET",B262="172 - CAFÉ COSECHA","ESPECIALES",B262="176 - CAFE DESCAFEINADO","GOURMET",B262="147 - CAPSULAS","CAPSULAS",B262="130 - GALLETAS CAFECITAS","DERIVADOS",B262="140 - MERENGUES","DERIVADOS",B262="100 - CAFÉ ESPECIAL","ESPECIALES",B262="141 - AREQUIPE","DERIVADOS",B262="142 - MERMELADA","DERIVADOS",B262="131 - GALLETAS AVENA","DERIVADOS",B262="160 - SOUVENIR","OTROS",B262="148 - CARAMELOS","DERIVADOS",B262="143 - CHOCOFFES","DERIVADOS",B262="162 - CONVENIOS Y DSC POS ","OTROS"),"OTROS")</f>
        <v>GOURMET</v>
      </c>
      <c r="L262" s="27">
        <f t="shared" si="46"/>
        <v>24566139</v>
      </c>
      <c r="M262" s="27">
        <f t="shared" si="45"/>
        <v>24566139</v>
      </c>
    </row>
    <row r="263" spans="1:13" s="26" customFormat="1" ht="15.75" hidden="1" customHeight="1" outlineLevel="1">
      <c r="A263" s="69"/>
      <c r="B263" s="39" t="s">
        <v>21</v>
      </c>
      <c r="C263" s="60">
        <v>377263735</v>
      </c>
      <c r="D263" s="60">
        <v>-15339248</v>
      </c>
      <c r="E263" s="36">
        <v>0</v>
      </c>
      <c r="F263" s="35">
        <v>2016617010.9000001</v>
      </c>
      <c r="G263" s="37">
        <f t="shared" si="42"/>
        <v>0.18707753279916556</v>
      </c>
      <c r="H263" s="23">
        <f t="shared" si="43"/>
        <v>-3.9070635385365884E-2</v>
      </c>
      <c r="I263" s="24">
        <f t="shared" si="43"/>
        <v>0</v>
      </c>
      <c r="J263" s="32" t="str" cm="1">
        <f t="array" ref="J263">IFERROR(_xlfn.IFS(B263="044 - BLEND TRADICION","BLEND",B263="113 - CAFÉ GOURMET","GOURMET",B263="114 - CAFÉ CONSUMO","CONSUMO",B263="112 - CAFÉ ORGANICO","GOURMET",B263="172 - CAFÉ COSECHA","ESPECIALES",B263="176 - CAFE DESCAFEINADO","GOURMET",B263="147 - CAPSULAS","CAPSULAS",B263="130 - GALLETAS CAFECITAS","DERIVADOS",B263="140 - MERENGUES","DERIVADOS",B263="100 - CAFÉ ESPECIAL","ESPECIALES",B263="141 - AREQUIPE","DERIVADOS",B263="142 - MERMELADA","DERIVADOS",B263="131 - GALLETAS AVENA","DERIVADOS",B263="160 - SOUVENIR","OTROS",B263="148 - CARAMELOS","DERIVADOS",B263="143 - CHOCOFFES","DERIVADOS",B263="162 - CONVENIOS Y DSC POS ","OTROS"),"OTROS")</f>
        <v>GOURMET</v>
      </c>
      <c r="L263" s="27">
        <f t="shared" si="46"/>
        <v>392602983</v>
      </c>
      <c r="M263" s="27">
        <f t="shared" si="45"/>
        <v>392602983</v>
      </c>
    </row>
    <row r="264" spans="1:13" s="26" customFormat="1" ht="15.75" hidden="1" customHeight="1" outlineLevel="1">
      <c r="A264" s="69"/>
      <c r="B264" s="39" t="s">
        <v>38</v>
      </c>
      <c r="C264" s="60">
        <v>-85592</v>
      </c>
      <c r="D264" s="60">
        <v>-85592</v>
      </c>
      <c r="E264" s="36">
        <v>0</v>
      </c>
      <c r="F264" s="36">
        <v>0</v>
      </c>
      <c r="G264" s="37" t="str">
        <f t="shared" si="42"/>
        <v>-</v>
      </c>
      <c r="H264" s="23">
        <f t="shared" si="43"/>
        <v>0</v>
      </c>
      <c r="I264" s="24">
        <f t="shared" si="43"/>
        <v>0</v>
      </c>
      <c r="J264" s="32" t="str" cm="1">
        <f t="array" ref="J264">IFERROR(_xlfn.IFS(B264="044 - BLEND TRADICION","BLEND",B264="113 - CAFÉ GOURMET","GOURMET",B264="114 - CAFÉ CONSUMO","CONSUMO",B264="112 - CAFÉ ORGANICO","GOURMET",B264="172 - CAFÉ COSECHA","ESPECIALES",B264="176 - CAFE DESCAFEINADO","GOURMET",B264="147 - CAPSULAS","CAPSULAS",B264="130 - GALLETAS CAFECITAS","DERIVADOS",B264="140 - MERENGUES","DERIVADOS",B264="100 - CAFÉ ESPECIAL","ESPECIALES",B264="141 - AREQUIPE","DERIVADOS",B264="142 - MERMELADA","DERIVADOS",B264="131 - GALLETAS AVENA","DERIVADOS",B264="160 - SOUVENIR","OTROS",B264="148 - CARAMELOS","DERIVADOS",B264="143 - CHOCOFFES","DERIVADOS",B264="162 - CONVENIOS Y DSC POS ","OTROS"),"OTROS")</f>
        <v>CONSUMO</v>
      </c>
      <c r="L264" s="27">
        <f t="shared" si="46"/>
        <v>0</v>
      </c>
      <c r="M264" s="27">
        <f t="shared" si="45"/>
        <v>0</v>
      </c>
    </row>
    <row r="265" spans="1:13" s="26" customFormat="1" ht="15.75" hidden="1" customHeight="1" outlineLevel="1">
      <c r="A265" s="69"/>
      <c r="B265" s="39" t="s">
        <v>22</v>
      </c>
      <c r="C265" s="60">
        <v>18108095</v>
      </c>
      <c r="D265" s="60">
        <v>-2367734</v>
      </c>
      <c r="E265" s="36"/>
      <c r="F265" s="35">
        <v>61087901.090000004</v>
      </c>
      <c r="G265" s="37">
        <f t="shared" si="42"/>
        <v>0.2964268648438515</v>
      </c>
      <c r="H265" s="23">
        <f t="shared" si="43"/>
        <v>-0.11563556230128705</v>
      </c>
      <c r="I265" s="24">
        <f t="shared" si="43"/>
        <v>0</v>
      </c>
      <c r="J265" s="32" t="str" cm="1">
        <f t="array" ref="J265">IFERROR(_xlfn.IFS(B265="044 - BLEND TRADICION","BLEND",B265="113 - CAFÉ GOURMET","GOURMET",B265="114 - CAFÉ CONSUMO","CONSUMO",B265="112 - CAFÉ ORGANICO","GOURMET",B265="172 - CAFÉ COSECHA","ESPECIALES",B265="176 - CAFE DESCAFEINADO","GOURMET",B265="147 - CAPSULAS","CAPSULAS",B265="130 - GALLETAS CAFECITAS","DERIVADOS",B265="140 - MERENGUES","DERIVADOS",B265="100 - CAFÉ ESPECIAL","ESPECIALES",B265="141 - AREQUIPE","DERIVADOS",B265="142 - MERMELADA","DERIVADOS",B265="131 - GALLETAS AVENA","DERIVADOS",B265="160 - SOUVENIR","OTROS",B265="148 - CARAMELOS","DERIVADOS",B265="143 - CHOCOFFES","DERIVADOS",B265="162 - CONVENIOS Y DSC POS ","OTROS"),"OTROS")</f>
        <v>DERIVADOS</v>
      </c>
      <c r="L265" s="27">
        <f t="shared" si="46"/>
        <v>20475829</v>
      </c>
      <c r="M265" s="27">
        <f t="shared" si="45"/>
        <v>20475829</v>
      </c>
    </row>
    <row r="266" spans="1:13" s="26" customFormat="1" ht="15.75" hidden="1" customHeight="1" outlineLevel="1">
      <c r="A266" s="69"/>
      <c r="B266" s="39" t="s">
        <v>24</v>
      </c>
      <c r="C266" s="60">
        <v>4472247</v>
      </c>
      <c r="D266" s="60">
        <v>-557241</v>
      </c>
      <c r="E266" s="36"/>
      <c r="F266" s="35">
        <v>7233101.0300000003</v>
      </c>
      <c r="G266" s="37">
        <f t="shared" si="42"/>
        <v>0.61830285260096796</v>
      </c>
      <c r="H266" s="23">
        <f t="shared" si="43"/>
        <v>-0.11079477672478789</v>
      </c>
      <c r="I266" s="24">
        <f t="shared" si="43"/>
        <v>0</v>
      </c>
      <c r="J266" s="32" t="str" cm="1">
        <f t="array" ref="J266">IFERROR(_xlfn.IFS(B266="044 - BLEND TRADICION","BLEND",B266="113 - CAFÉ GOURMET","GOURMET",B266="114 - CAFÉ CONSUMO","CONSUMO",B266="112 - CAFÉ ORGANICO","GOURMET",B266="172 - CAFÉ COSECHA","ESPECIALES",B266="176 - CAFE DESCAFEINADO","GOURMET",B266="147 - CAPSULAS","CAPSULAS",B266="130 - GALLETAS CAFECITAS","DERIVADOS",B266="140 - MERENGUES","DERIVADOS",B266="100 - CAFÉ ESPECIAL","ESPECIALES",B266="141 - AREQUIPE","DERIVADOS",B266="142 - MERMELADA","DERIVADOS",B266="131 - GALLETAS AVENA","DERIVADOS",B266="160 - SOUVENIR","OTROS",B266="148 - CARAMELOS","DERIVADOS",B266="143 - CHOCOFFES","DERIVADOS",B266="162 - CONVENIOS Y DSC POS ","OTROS"),"OTROS")</f>
        <v>DERIVADOS</v>
      </c>
      <c r="L266" s="27">
        <f t="shared" si="46"/>
        <v>5029488</v>
      </c>
      <c r="M266" s="27">
        <f t="shared" si="45"/>
        <v>5029488</v>
      </c>
    </row>
    <row r="267" spans="1:13" s="26" customFormat="1" ht="15.75" hidden="1" customHeight="1" outlineLevel="1">
      <c r="A267" s="69"/>
      <c r="B267" s="39" t="s">
        <v>25</v>
      </c>
      <c r="C267" s="60">
        <v>1536508</v>
      </c>
      <c r="D267" s="60">
        <v>-149012</v>
      </c>
      <c r="E267" s="36"/>
      <c r="F267" s="35">
        <v>8769038.3300000001</v>
      </c>
      <c r="G267" s="37">
        <f t="shared" si="42"/>
        <v>0.17521966972631536</v>
      </c>
      <c r="H267" s="23">
        <f t="shared" si="43"/>
        <v>-8.8407138449855233E-2</v>
      </c>
      <c r="I267" s="24">
        <f t="shared" si="43"/>
        <v>0</v>
      </c>
      <c r="J267" s="32" t="str" cm="1">
        <f t="array" ref="J267">IFERROR(_xlfn.IFS(B267="044 - BLEND TRADICION","BLEND",B267="113 - CAFÉ GOURMET","GOURMET",B267="114 - CAFÉ CONSUMO","CONSUMO",B267="112 - CAFÉ ORGANICO","GOURMET",B267="172 - CAFÉ COSECHA","ESPECIALES",B267="176 - CAFE DESCAFEINADO","GOURMET",B267="147 - CAPSULAS","CAPSULAS",B267="130 - GALLETAS CAFECITAS","DERIVADOS",B267="140 - MERENGUES","DERIVADOS",B267="100 - CAFÉ ESPECIAL","ESPECIALES",B267="141 - AREQUIPE","DERIVADOS",B267="142 - MERMELADA","DERIVADOS",B267="131 - GALLETAS AVENA","DERIVADOS",B267="160 - SOUVENIR","OTROS",B267="148 - CARAMELOS","DERIVADOS",B267="143 - CHOCOFFES","DERIVADOS",B267="162 - CONVENIOS Y DSC POS ","OTROS"),"OTROS")</f>
        <v>DERIVADOS</v>
      </c>
      <c r="L267" s="27">
        <f t="shared" si="46"/>
        <v>1685520</v>
      </c>
      <c r="M267" s="27">
        <f t="shared" si="45"/>
        <v>1685520</v>
      </c>
    </row>
    <row r="268" spans="1:13" s="26" customFormat="1" ht="15.75" hidden="1" customHeight="1" outlineLevel="1">
      <c r="A268" s="69"/>
      <c r="B268" s="39" t="s">
        <v>26</v>
      </c>
      <c r="C268" s="60">
        <v>-11607577</v>
      </c>
      <c r="D268" s="60">
        <v>-27042597</v>
      </c>
      <c r="E268" s="36">
        <v>0</v>
      </c>
      <c r="F268" s="36">
        <v>155253232.08000001</v>
      </c>
      <c r="G268" s="37">
        <f t="shared" si="42"/>
        <v>-7.4765445102094638E-2</v>
      </c>
      <c r="H268" s="23">
        <f t="shared" si="43"/>
        <v>-1.7520286335877764</v>
      </c>
      <c r="I268" s="24">
        <f t="shared" si="43"/>
        <v>0</v>
      </c>
      <c r="J268" s="32" t="str" cm="1">
        <f t="array" ref="J268">IFERROR(_xlfn.IFS(B268="044 - BLEND TRADICION","BLEND",B268="113 - CAFÉ GOURMET","GOURMET",B268="114 - CAFÉ CONSUMO","CONSUMO",B268="112 - CAFÉ ORGANICO","GOURMET",B268="172 - CAFÉ COSECHA","ESPECIALES",B268="176 - CAFE DESCAFEINADO","GOURMET",B268="147 - CAPSULAS","CAPSULAS",B268="130 - GALLETAS CAFECITAS","DERIVADOS",B268="140 - MERENGUES","DERIVADOS",B268="100 - CAFÉ ESPECIAL","ESPECIALES",B268="141 - AREQUIPE","DERIVADOS",B268="142 - MERMELADA","DERIVADOS",B268="131 - GALLETAS AVENA","DERIVADOS",B268="160 - SOUVENIR","OTROS",B268="148 - CARAMELOS","DERIVADOS",B268="143 - CHOCOFFES","DERIVADOS",B268="162 - CONVENIOS Y DSC POS ","OTROS"),"OTROS")</f>
        <v>CAPSULAS</v>
      </c>
      <c r="L268" s="27">
        <f t="shared" si="46"/>
        <v>15435020</v>
      </c>
      <c r="M268" s="27">
        <f t="shared" si="45"/>
        <v>15435020</v>
      </c>
    </row>
    <row r="269" spans="1:13" s="26" customFormat="1" ht="15.75" hidden="1" customHeight="1" outlineLevel="1">
      <c r="A269" s="69"/>
      <c r="B269" s="39" t="s">
        <v>27</v>
      </c>
      <c r="C269" s="60">
        <v>1068749</v>
      </c>
      <c r="D269" s="60">
        <v>0</v>
      </c>
      <c r="E269" s="36">
        <v>0</v>
      </c>
      <c r="F269" s="35">
        <v>5439026.3600000003</v>
      </c>
      <c r="G269" s="37">
        <f t="shared" si="42"/>
        <v>0.1964963817531489</v>
      </c>
      <c r="H269" s="23">
        <f t="shared" si="43"/>
        <v>0</v>
      </c>
      <c r="I269" s="24">
        <f t="shared" si="43"/>
        <v>0</v>
      </c>
      <c r="J269" s="32" t="str" cm="1">
        <f t="array" ref="J269">IFERROR(_xlfn.IFS(B269="044 - BLEND TRADICION","BLEND",B269="113 - CAFÉ GOURMET","GOURMET",B269="114 - CAFÉ CONSUMO","CONSUMO",B269="112 - CAFÉ ORGANICO","GOURMET",B269="172 - CAFÉ COSECHA","ESPECIALES",B269="176 - CAFE DESCAFEINADO","GOURMET",B269="147 - CAPSULAS","CAPSULAS",B269="130 - GALLETAS CAFECITAS","DERIVADOS",B269="140 - MERENGUES","DERIVADOS",B269="100 - CAFÉ ESPECIAL","ESPECIALES",B269="141 - AREQUIPE","DERIVADOS",B269="142 - MERMELADA","DERIVADOS",B269="131 - GALLETAS AVENA","DERIVADOS",B269="160 - SOUVENIR","OTROS",B269="148 - CARAMELOS","DERIVADOS",B269="143 - CHOCOFFES","DERIVADOS",B269="162 - CONVENIOS Y DSC POS ","OTROS"),"OTROS")</f>
        <v>DERIVADOS</v>
      </c>
      <c r="L269" s="27">
        <f t="shared" si="46"/>
        <v>1068749</v>
      </c>
      <c r="M269" s="27">
        <f t="shared" si="45"/>
        <v>1068749</v>
      </c>
    </row>
    <row r="270" spans="1:13" s="26" customFormat="1" ht="15.75" hidden="1" customHeight="1" outlineLevel="1">
      <c r="A270" s="69"/>
      <c r="B270" s="39" t="s">
        <v>28</v>
      </c>
      <c r="C270" s="60">
        <v>13223568</v>
      </c>
      <c r="D270" s="60">
        <v>-1217631</v>
      </c>
      <c r="E270" s="36">
        <v>0</v>
      </c>
      <c r="F270" s="36">
        <v>137373469.31999999</v>
      </c>
      <c r="G270" s="37">
        <f t="shared" si="42"/>
        <v>9.6259984300147552E-2</v>
      </c>
      <c r="H270" s="23">
        <f t="shared" si="43"/>
        <v>-8.4316475384073025E-2</v>
      </c>
      <c r="I270" s="24">
        <f t="shared" si="43"/>
        <v>0</v>
      </c>
      <c r="J270" s="32" t="str" cm="1">
        <f t="array" ref="J270">IFERROR(_xlfn.IFS(B270="044 - BLEND TRADICION","BLEND",B270="113 - CAFÉ GOURMET","GOURMET",B270="114 - CAFÉ CONSUMO","CONSUMO",B270="112 - CAFÉ ORGANICO","GOURMET",B270="172 - CAFÉ COSECHA","ESPECIALES",B270="176 - CAFE DESCAFEINADO","GOURMET",B270="147 - CAPSULAS","CAPSULAS",B270="130 - GALLETAS CAFECITAS","DERIVADOS",B270="140 - MERENGUES","DERIVADOS",B270="100 - CAFÉ ESPECIAL","ESPECIALES",B270="141 - AREQUIPE","DERIVADOS",B270="142 - MERMELADA","DERIVADOS",B270="131 - GALLETAS AVENA","DERIVADOS",B270="160 - SOUVENIR","OTROS",B270="148 - CARAMELOS","DERIVADOS",B270="143 - CHOCOFFES","DERIVADOS",B270="162 - CONVENIOS Y DSC POS ","OTROS"),"OTROS")</f>
        <v>OTROS</v>
      </c>
      <c r="L270" s="27">
        <f t="shared" si="46"/>
        <v>14441199</v>
      </c>
      <c r="M270" s="27">
        <f t="shared" si="45"/>
        <v>14441199</v>
      </c>
    </row>
    <row r="271" spans="1:13" s="26" customFormat="1" ht="15.75" hidden="1" customHeight="1" outlineLevel="1">
      <c r="A271" s="69"/>
      <c r="B271" s="39" t="s">
        <v>29</v>
      </c>
      <c r="C271" s="60">
        <v>9965888</v>
      </c>
      <c r="D271" s="60">
        <v>-6274188</v>
      </c>
      <c r="E271" s="36">
        <v>0</v>
      </c>
      <c r="F271" s="36">
        <v>320749097.20999998</v>
      </c>
      <c r="G271" s="37">
        <f t="shared" si="42"/>
        <v>3.107066578421314E-2</v>
      </c>
      <c r="H271" s="23">
        <f t="shared" si="43"/>
        <v>-0.38633981762154312</v>
      </c>
      <c r="I271" s="24">
        <f t="shared" si="43"/>
        <v>0</v>
      </c>
      <c r="J271" s="32" t="str" cm="1">
        <f t="array" ref="J271">IFERROR(_xlfn.IFS(B271="044 - BLEND TRADICION","BLEND",B271="113 - CAFÉ GOURMET","GOURMET",B271="114 - CAFÉ CONSUMO","CONSUMO",B271="112 - CAFÉ ORGANICO","GOURMET",B271="172 - CAFÉ COSECHA","ESPECIALES",B271="176 - CAFE DESCAFEINADO","GOURMET",B271="147 - CAPSULAS","CAPSULAS",B271="130 - GALLETAS CAFECITAS","DERIVADOS",B271="140 - MERENGUES","DERIVADOS",B271="100 - CAFÉ ESPECIAL","ESPECIALES",B271="141 - AREQUIPE","DERIVADOS",B271="142 - MERMELADA","DERIVADOS",B271="131 - GALLETAS AVENA","DERIVADOS",B271="160 - SOUVENIR","OTROS",B271="148 - CARAMELOS","DERIVADOS",B271="143 - CHOCOFFES","DERIVADOS",B271="162 - CONVENIOS Y DSC POS ","OTROS"),"OTROS")</f>
        <v>ESPECIALES</v>
      </c>
      <c r="L271" s="27">
        <f t="shared" si="46"/>
        <v>16240076</v>
      </c>
      <c r="M271" s="27">
        <f t="shared" si="45"/>
        <v>16240076</v>
      </c>
    </row>
    <row r="272" spans="1:13" s="26" customFormat="1" ht="15.75" hidden="1" customHeight="1" outlineLevel="1">
      <c r="A272" s="69"/>
      <c r="B272" s="39" t="s">
        <v>30</v>
      </c>
      <c r="C272" s="60">
        <v>2962811</v>
      </c>
      <c r="D272" s="60">
        <v>-98457</v>
      </c>
      <c r="E272" s="60">
        <v>0</v>
      </c>
      <c r="F272" s="36">
        <v>43409949.520000003</v>
      </c>
      <c r="G272" s="37">
        <f t="shared" si="42"/>
        <v>6.8251887706871489E-2</v>
      </c>
      <c r="H272" s="23">
        <f t="shared" si="43"/>
        <v>-3.2162162868458431E-2</v>
      </c>
      <c r="I272" s="24">
        <f t="shared" si="43"/>
        <v>0</v>
      </c>
      <c r="J272" s="32" t="str" cm="1">
        <f t="array" ref="J272">IFERROR(_xlfn.IFS(B272="044 - BLEND TRADICION","BLEND",B272="113 - CAFÉ GOURMET","GOURMET",B272="114 - CAFÉ CONSUMO","CONSUMO",B272="112 - CAFÉ ORGANICO","GOURMET",B272="172 - CAFÉ COSECHA","ESPECIALES",B272="176 - CAFE DESCAFEINADO","GOURMET",B272="147 - CAPSULAS","CAPSULAS",B272="130 - GALLETAS CAFECITAS","DERIVADOS",B272="140 - MERENGUES","DERIVADOS",B272="100 - CAFÉ ESPECIAL","ESPECIALES",B272="141 - AREQUIPE","DERIVADOS",B272="142 - MERMELADA","DERIVADOS",B272="131 - GALLETAS AVENA","DERIVADOS",B272="160 - SOUVENIR","OTROS",B272="148 - CARAMELOS","DERIVADOS",B272="143 - CHOCOFFES","DERIVADOS",B272="162 - CONVENIOS Y DSC POS ","OTROS"),"OTROS")</f>
        <v>GOURMET</v>
      </c>
      <c r="L272" s="27">
        <f t="shared" si="46"/>
        <v>3061268</v>
      </c>
      <c r="M272" s="27">
        <f t="shared" si="45"/>
        <v>3061268</v>
      </c>
    </row>
    <row r="273" spans="1:13" s="26" customFormat="1" ht="15.75" hidden="1" customHeight="1" outlineLevel="1" thickBot="1">
      <c r="A273" s="70" t="s">
        <v>66</v>
      </c>
      <c r="B273" s="56" t="s">
        <v>32</v>
      </c>
      <c r="C273" s="54">
        <f>SUM(C260:C272)</f>
        <v>491258205</v>
      </c>
      <c r="D273" s="54">
        <f>SUM(D260:D272)</f>
        <v>-61908290</v>
      </c>
      <c r="E273" s="54">
        <f>SUM(E260:E272)</f>
        <v>0</v>
      </c>
      <c r="F273" s="71">
        <f>SUM(F260:F272)</f>
        <v>3060120402.4200006</v>
      </c>
      <c r="G273" s="72">
        <f t="shared" si="42"/>
        <v>0.1605355804338626</v>
      </c>
      <c r="H273" s="73">
        <f t="shared" si="43"/>
        <v>-0.1119161962258759</v>
      </c>
      <c r="I273" s="74">
        <f t="shared" si="43"/>
        <v>0</v>
      </c>
      <c r="J273" s="32"/>
      <c r="L273" s="27">
        <f t="shared" si="46"/>
        <v>553166495</v>
      </c>
      <c r="M273" s="27">
        <f t="shared" si="45"/>
        <v>553166495</v>
      </c>
    </row>
    <row r="274" spans="1:13" s="26" customFormat="1" ht="17" collapsed="1" thickBot="1">
      <c r="A274" s="181" t="s">
        <v>67</v>
      </c>
      <c r="B274" s="182"/>
      <c r="C274" s="75">
        <f>+C62+C111+C195+C211+C243+C5+C228+C259+C21</f>
        <v>1542858896</v>
      </c>
      <c r="D274" s="75">
        <f>+D62+D111+D195+D211+D243+D5+D228+D259+D21</f>
        <v>-80163291</v>
      </c>
      <c r="E274" s="75">
        <f>+E62+E111+E195+E211+E243+E5+E228+E259+E21</f>
        <v>-2584562</v>
      </c>
      <c r="F274" s="75">
        <f>+F62+F111+F195+F211+F243+F5+F228+F259+F21</f>
        <v>6068096467.1400003</v>
      </c>
      <c r="G274" s="76">
        <f>IFERROR(C274/F274*100%,"-")</f>
        <v>0.25425747668233367</v>
      </c>
      <c r="H274" s="76">
        <f t="shared" si="43"/>
        <v>-4.9312843373289908E-2</v>
      </c>
      <c r="I274" s="77">
        <f t="shared" si="43"/>
        <v>-1.5899060468283035E-3</v>
      </c>
      <c r="J274" s="32"/>
      <c r="L274" s="27">
        <f t="shared" si="46"/>
        <v>1625606749</v>
      </c>
      <c r="M274" s="27">
        <f>L274</f>
        <v>1625606749</v>
      </c>
    </row>
    <row r="275" spans="1:13" s="26" customFormat="1" ht="16.5">
      <c r="A275" s="6" t="s">
        <v>68</v>
      </c>
      <c r="B275" s="6" t="s">
        <v>68</v>
      </c>
      <c r="C275" s="78"/>
      <c r="D275" s="78"/>
      <c r="E275" s="78"/>
      <c r="F275" s="79"/>
      <c r="G275" s="79"/>
      <c r="H275" s="6"/>
      <c r="I275" s="6"/>
      <c r="J275" s="32"/>
    </row>
    <row r="276" spans="1:13" s="26" customFormat="1" ht="16.5">
      <c r="A276" s="183" t="s">
        <v>69</v>
      </c>
      <c r="B276" s="184"/>
      <c r="C276" s="187"/>
      <c r="D276" s="187"/>
      <c r="E276" s="187"/>
      <c r="F276" s="188"/>
      <c r="G276" s="79"/>
      <c r="H276" s="6"/>
      <c r="I276" s="6"/>
      <c r="J276" s="32"/>
    </row>
    <row r="277" spans="1:13" s="26" customFormat="1" ht="16.5">
      <c r="A277" s="185"/>
      <c r="B277" s="186"/>
      <c r="C277" s="171"/>
      <c r="D277" s="171"/>
      <c r="E277" s="171"/>
      <c r="F277" s="172"/>
      <c r="G277" s="79"/>
      <c r="H277" s="6"/>
      <c r="I277" s="6"/>
      <c r="J277" s="32"/>
    </row>
    <row r="278" spans="1:13" s="26" customFormat="1" ht="16.5">
      <c r="A278" s="80"/>
      <c r="B278" s="12" t="s">
        <v>2</v>
      </c>
      <c r="C278" s="13" t="s">
        <v>3</v>
      </c>
      <c r="D278" s="13" t="s">
        <v>4</v>
      </c>
      <c r="E278" s="13" t="s">
        <v>6</v>
      </c>
      <c r="F278" s="15" t="s">
        <v>7</v>
      </c>
      <c r="G278" s="81" t="s">
        <v>8</v>
      </c>
      <c r="H278" s="6"/>
      <c r="I278" s="6"/>
      <c r="J278" s="32"/>
    </row>
    <row r="279" spans="1:13" s="26" customFormat="1" ht="16.5">
      <c r="A279" s="82"/>
      <c r="B279" s="83" t="s">
        <v>62</v>
      </c>
      <c r="C279" s="84">
        <v>18333</v>
      </c>
      <c r="D279" s="84">
        <v>0</v>
      </c>
      <c r="E279" s="84">
        <v>0</v>
      </c>
      <c r="F279" s="85" t="str">
        <f>IFERROR(C279/E279*100%,"-")</f>
        <v>-</v>
      </c>
      <c r="G279" s="85">
        <f t="shared" ref="G279:G301" si="47">IFERROR((D279/C279)*100%,"-")</f>
        <v>0</v>
      </c>
      <c r="H279" s="6"/>
      <c r="I279" s="6"/>
      <c r="J279" s="32"/>
    </row>
    <row r="280" spans="1:13" s="26" customFormat="1" ht="16.5">
      <c r="A280" s="82"/>
      <c r="B280" s="83" t="s">
        <v>34</v>
      </c>
      <c r="C280" s="84">
        <v>31792189</v>
      </c>
      <c r="D280" s="84">
        <v>-2726312</v>
      </c>
      <c r="E280" s="84">
        <v>54501464.539999999</v>
      </c>
      <c r="F280" s="85">
        <f t="shared" ref="F280:F301" si="48">IFERROR(C280/E280*100%,"-")</f>
        <v>0.58332724209029119</v>
      </c>
      <c r="G280" s="85">
        <f t="shared" si="47"/>
        <v>-8.575414546006882E-2</v>
      </c>
      <c r="H280" s="6"/>
      <c r="I280" s="6"/>
      <c r="J280" s="32"/>
    </row>
    <row r="281" spans="1:13" s="26" customFormat="1" ht="16.5">
      <c r="A281" s="82"/>
      <c r="B281" s="83" t="s">
        <v>95</v>
      </c>
      <c r="C281" s="84">
        <v>82845</v>
      </c>
      <c r="D281" s="84">
        <v>-82846</v>
      </c>
      <c r="E281" s="84">
        <v>0</v>
      </c>
      <c r="F281" s="85" t="str">
        <f t="shared" si="48"/>
        <v>-</v>
      </c>
      <c r="G281" s="85">
        <f t="shared" si="47"/>
        <v>-1.0000120707345042</v>
      </c>
      <c r="H281" s="6"/>
      <c r="I281" s="6"/>
      <c r="J281" s="32"/>
    </row>
    <row r="282" spans="1:13" s="26" customFormat="1" ht="16.5">
      <c r="A282" s="82"/>
      <c r="B282" s="83" t="s">
        <v>42</v>
      </c>
      <c r="C282" s="84">
        <v>436199</v>
      </c>
      <c r="D282" s="84">
        <v>0</v>
      </c>
      <c r="E282" s="84">
        <v>0</v>
      </c>
      <c r="F282" s="85" t="str">
        <f t="shared" si="48"/>
        <v>-</v>
      </c>
      <c r="G282" s="85">
        <f t="shared" si="47"/>
        <v>0</v>
      </c>
      <c r="H282" s="6"/>
      <c r="I282" s="6"/>
      <c r="J282" s="32"/>
    </row>
    <row r="283" spans="1:13" s="26" customFormat="1" ht="16.5">
      <c r="A283" s="82"/>
      <c r="B283" s="83" t="s">
        <v>18</v>
      </c>
      <c r="C283" s="84">
        <v>153760316</v>
      </c>
      <c r="D283" s="84">
        <v>0</v>
      </c>
      <c r="E283" s="84">
        <v>507299188.97000003</v>
      </c>
      <c r="F283" s="85">
        <f t="shared" si="48"/>
        <v>0.30309592316161355</v>
      </c>
      <c r="G283" s="85">
        <f t="shared" si="47"/>
        <v>0</v>
      </c>
      <c r="H283" s="6"/>
      <c r="I283" s="6"/>
      <c r="J283" s="32"/>
    </row>
    <row r="284" spans="1:13" s="26" customFormat="1" ht="16.5">
      <c r="A284" s="82"/>
      <c r="B284" s="83" t="s">
        <v>36</v>
      </c>
      <c r="C284" s="84">
        <v>38539</v>
      </c>
      <c r="D284" s="84">
        <v>0</v>
      </c>
      <c r="E284" s="84">
        <v>0</v>
      </c>
      <c r="F284" s="85" t="str">
        <f t="shared" si="48"/>
        <v>-</v>
      </c>
      <c r="G284" s="85">
        <f t="shared" si="47"/>
        <v>0</v>
      </c>
      <c r="H284" s="6"/>
      <c r="I284" s="6"/>
      <c r="J284" s="32"/>
    </row>
    <row r="285" spans="1:13" s="26" customFormat="1" ht="16.5">
      <c r="A285" s="82"/>
      <c r="B285" s="83" t="s">
        <v>19</v>
      </c>
      <c r="C285" s="84">
        <v>77340929</v>
      </c>
      <c r="D285" s="84">
        <v>-8020006</v>
      </c>
      <c r="E285" s="84">
        <v>191019804.03</v>
      </c>
      <c r="F285" s="85">
        <f t="shared" si="48"/>
        <v>0.40488434899584269</v>
      </c>
      <c r="G285" s="85">
        <f t="shared" si="47"/>
        <v>-0.1036967890571886</v>
      </c>
      <c r="H285" s="6"/>
      <c r="I285" s="6"/>
      <c r="J285" s="32"/>
    </row>
    <row r="286" spans="1:13" s="26" customFormat="1" ht="16.5">
      <c r="A286" s="82"/>
      <c r="B286" s="83" t="s">
        <v>20</v>
      </c>
      <c r="C286" s="84">
        <v>43571839</v>
      </c>
      <c r="D286" s="84">
        <v>-927728</v>
      </c>
      <c r="E286" s="84">
        <v>223501100.75</v>
      </c>
      <c r="F286" s="85">
        <f t="shared" si="48"/>
        <v>0.19495133963003536</v>
      </c>
      <c r="G286" s="85">
        <f t="shared" si="47"/>
        <v>-2.1291917469905275E-2</v>
      </c>
      <c r="H286" s="6"/>
      <c r="I286" s="6"/>
      <c r="J286" s="32"/>
    </row>
    <row r="287" spans="1:13" s="26" customFormat="1" ht="16.5">
      <c r="A287" s="82"/>
      <c r="B287" s="83" t="s">
        <v>21</v>
      </c>
      <c r="C287" s="84">
        <v>922512819</v>
      </c>
      <c r="D287" s="84">
        <v>-27064336</v>
      </c>
      <c r="E287" s="84">
        <v>3601471598.6100001</v>
      </c>
      <c r="F287" s="85">
        <f t="shared" si="48"/>
        <v>0.25614885297333645</v>
      </c>
      <c r="G287" s="85">
        <f t="shared" si="47"/>
        <v>-2.933762593059425E-2</v>
      </c>
      <c r="H287" s="6"/>
      <c r="I287" s="6"/>
      <c r="J287" s="32"/>
    </row>
    <row r="288" spans="1:13" s="26" customFormat="1" ht="16.5">
      <c r="A288" s="82"/>
      <c r="B288" s="83" t="s">
        <v>38</v>
      </c>
      <c r="C288" s="84">
        <v>28878472</v>
      </c>
      <c r="D288" s="84">
        <v>-85592</v>
      </c>
      <c r="E288" s="84">
        <v>53476353.159999996</v>
      </c>
      <c r="F288" s="85">
        <f t="shared" si="48"/>
        <v>0.54002321200917136</v>
      </c>
      <c r="G288" s="85">
        <f t="shared" si="47"/>
        <v>-2.9638687254644222E-3</v>
      </c>
      <c r="H288" s="6"/>
      <c r="I288" s="6"/>
      <c r="J288" s="32"/>
    </row>
    <row r="289" spans="1:31" s="26" customFormat="1" ht="16.5">
      <c r="A289" s="82"/>
      <c r="B289" s="83" t="s">
        <v>22</v>
      </c>
      <c r="C289" s="84">
        <v>59050221</v>
      </c>
      <c r="D289" s="84">
        <v>-2577335</v>
      </c>
      <c r="E289" s="84">
        <v>217515060.65000001</v>
      </c>
      <c r="F289" s="85">
        <f t="shared" si="48"/>
        <v>0.27147647074892328</v>
      </c>
      <c r="G289" s="85">
        <f t="shared" si="47"/>
        <v>-4.3646492025830014E-2</v>
      </c>
      <c r="H289" s="6"/>
      <c r="I289" s="6"/>
      <c r="J289" s="32"/>
    </row>
    <row r="290" spans="1:31" s="26" customFormat="1" ht="16.5">
      <c r="A290" s="82"/>
      <c r="B290" s="83" t="s">
        <v>23</v>
      </c>
      <c r="C290" s="84">
        <v>190109</v>
      </c>
      <c r="D290" s="84">
        <v>-343068</v>
      </c>
      <c r="E290" s="84">
        <v>2178053.21</v>
      </c>
      <c r="F290" s="85">
        <f t="shared" si="48"/>
        <v>8.7283909836160523E-2</v>
      </c>
      <c r="G290" s="85">
        <f t="shared" si="47"/>
        <v>-1.8045857902571683</v>
      </c>
      <c r="H290" s="6"/>
      <c r="I290" s="6"/>
      <c r="J290" s="32"/>
    </row>
    <row r="291" spans="1:31" s="26" customFormat="1" ht="16.5">
      <c r="A291" s="82"/>
      <c r="B291" s="83" t="s">
        <v>24</v>
      </c>
      <c r="C291" s="84">
        <v>10375340</v>
      </c>
      <c r="D291" s="84">
        <v>-557241</v>
      </c>
      <c r="E291" s="84">
        <v>22254856.469999999</v>
      </c>
      <c r="F291" s="85">
        <f t="shared" si="48"/>
        <v>0.4662056578071474</v>
      </c>
      <c r="G291" s="85">
        <f t="shared" si="47"/>
        <v>-5.3708215827143975E-2</v>
      </c>
      <c r="H291" s="6"/>
      <c r="I291" s="6"/>
      <c r="J291" s="32"/>
    </row>
    <row r="292" spans="1:31" s="26" customFormat="1" ht="16.5">
      <c r="A292" s="82"/>
      <c r="B292" s="83" t="s">
        <v>25</v>
      </c>
      <c r="C292" s="84">
        <v>25672990</v>
      </c>
      <c r="D292" s="84">
        <v>-183413</v>
      </c>
      <c r="E292" s="84">
        <v>73446237.840000004</v>
      </c>
      <c r="F292" s="85">
        <f t="shared" si="48"/>
        <v>0.34954806066347044</v>
      </c>
      <c r="G292" s="85">
        <f t="shared" si="47"/>
        <v>-7.1442009676317402E-3</v>
      </c>
      <c r="H292" s="6"/>
      <c r="I292" s="6"/>
      <c r="J292" s="32"/>
    </row>
    <row r="293" spans="1:31" s="26" customFormat="1" ht="16.5">
      <c r="A293" s="82"/>
      <c r="B293" s="83" t="s">
        <v>26</v>
      </c>
      <c r="C293" s="84">
        <v>60762962</v>
      </c>
      <c r="D293" s="84">
        <v>-28885122</v>
      </c>
      <c r="E293" s="84">
        <v>283274900.44</v>
      </c>
      <c r="F293" s="85">
        <f t="shared" si="48"/>
        <v>0.21450175043965855</v>
      </c>
      <c r="G293" s="85">
        <f t="shared" si="47"/>
        <v>-0.47537383052524662</v>
      </c>
      <c r="H293" s="6"/>
      <c r="I293" s="6"/>
      <c r="J293" s="32"/>
    </row>
    <row r="294" spans="1:31" s="26" customFormat="1" ht="16.5">
      <c r="A294" s="82"/>
      <c r="B294" s="83" t="s">
        <v>27</v>
      </c>
      <c r="C294" s="84">
        <v>28821586</v>
      </c>
      <c r="D294" s="84">
        <v>0</v>
      </c>
      <c r="E294" s="84">
        <v>86150297.260000005</v>
      </c>
      <c r="F294" s="85">
        <f t="shared" si="48"/>
        <v>0.33455004703021496</v>
      </c>
      <c r="G294" s="85">
        <f t="shared" si="47"/>
        <v>0</v>
      </c>
      <c r="H294" s="6"/>
      <c r="I294" s="6"/>
      <c r="J294" s="32"/>
    </row>
    <row r="295" spans="1:31" s="26" customFormat="1" ht="16.5">
      <c r="A295" s="82"/>
      <c r="B295" s="83" t="s">
        <v>28</v>
      </c>
      <c r="C295" s="84">
        <v>37690409</v>
      </c>
      <c r="D295" s="84">
        <v>-1217631</v>
      </c>
      <c r="E295" s="84">
        <v>247793209.88999999</v>
      </c>
      <c r="F295" s="85">
        <f t="shared" si="48"/>
        <v>0.15210428492665909</v>
      </c>
      <c r="G295" s="85">
        <f t="shared" si="47"/>
        <v>-3.2306123289879925E-2</v>
      </c>
      <c r="H295" s="6"/>
      <c r="I295" s="6"/>
      <c r="J295" s="32"/>
    </row>
    <row r="296" spans="1:31" s="26" customFormat="1" ht="16.5">
      <c r="A296" s="82"/>
      <c r="B296" s="83" t="s">
        <v>39</v>
      </c>
      <c r="C296" s="84">
        <v>81408</v>
      </c>
      <c r="D296" s="84">
        <v>0</v>
      </c>
      <c r="E296" s="84">
        <v>0</v>
      </c>
      <c r="F296" s="85" t="str">
        <f t="shared" si="48"/>
        <v>-</v>
      </c>
      <c r="G296" s="85">
        <f t="shared" si="47"/>
        <v>0</v>
      </c>
      <c r="H296" s="6"/>
      <c r="I296" s="6"/>
      <c r="J296" s="32"/>
    </row>
    <row r="297" spans="1:31" s="26" customFormat="1" ht="16.5">
      <c r="A297" s="82"/>
      <c r="B297" s="83" t="s">
        <v>50</v>
      </c>
      <c r="C297" s="84">
        <v>9215438</v>
      </c>
      <c r="D297" s="84">
        <v>-2584562</v>
      </c>
      <c r="E297" s="84">
        <v>0</v>
      </c>
      <c r="F297" s="85" t="str">
        <f t="shared" si="48"/>
        <v>-</v>
      </c>
      <c r="G297" s="85">
        <f t="shared" si="47"/>
        <v>-0.28046002805292597</v>
      </c>
      <c r="H297" s="6"/>
      <c r="I297" s="6"/>
      <c r="J297" s="32"/>
    </row>
    <row r="298" spans="1:31" s="26" customFormat="1" ht="16.5">
      <c r="A298" s="82"/>
      <c r="B298" s="83" t="s">
        <v>29</v>
      </c>
      <c r="C298" s="84">
        <v>37594218</v>
      </c>
      <c r="D298" s="84">
        <v>-6885468</v>
      </c>
      <c r="E298" s="84">
        <v>442463603.77999997</v>
      </c>
      <c r="F298" s="85">
        <f t="shared" si="48"/>
        <v>8.4965673286638177E-2</v>
      </c>
      <c r="G298" s="85">
        <f t="shared" si="47"/>
        <v>-0.18315231347543923</v>
      </c>
      <c r="H298" s="6"/>
      <c r="I298" s="6"/>
      <c r="J298" s="32"/>
    </row>
    <row r="299" spans="1:31" s="26" customFormat="1">
      <c r="A299" s="82"/>
      <c r="B299" s="83" t="s">
        <v>30</v>
      </c>
      <c r="C299" s="84">
        <v>9556611</v>
      </c>
      <c r="D299" s="84">
        <v>-98457</v>
      </c>
      <c r="E299" s="84">
        <v>61750737.539999999</v>
      </c>
      <c r="F299" s="85">
        <f t="shared" si="48"/>
        <v>0.15476108271272965</v>
      </c>
      <c r="G299" s="85">
        <f t="shared" si="47"/>
        <v>-1.0302501587644406E-2</v>
      </c>
      <c r="H299" s="6"/>
      <c r="I299" s="6"/>
    </row>
    <row r="300" spans="1:31" s="26" customFormat="1">
      <c r="A300" s="82"/>
      <c r="B300" s="83" t="s">
        <v>92</v>
      </c>
      <c r="C300" s="84">
        <v>5127360</v>
      </c>
      <c r="D300" s="84">
        <v>0</v>
      </c>
      <c r="E300" s="84">
        <v>0</v>
      </c>
      <c r="F300" s="85" t="str">
        <f t="shared" si="48"/>
        <v>-</v>
      </c>
      <c r="G300" s="85">
        <f t="shared" si="47"/>
        <v>0</v>
      </c>
      <c r="H300" s="6"/>
      <c r="I300" s="6"/>
    </row>
    <row r="301" spans="1:31" s="26" customFormat="1" ht="16.5">
      <c r="A301" s="82"/>
      <c r="B301" s="83" t="s">
        <v>31</v>
      </c>
      <c r="C301" s="84">
        <v>287764</v>
      </c>
      <c r="D301" s="84">
        <v>-508736</v>
      </c>
      <c r="E301" s="84">
        <v>0</v>
      </c>
      <c r="F301" s="85" t="str">
        <f t="shared" si="48"/>
        <v>-</v>
      </c>
      <c r="G301" s="85">
        <f t="shared" si="47"/>
        <v>-1.7678931346520066</v>
      </c>
      <c r="H301" s="6"/>
      <c r="I301" s="6"/>
      <c r="J301" s="32"/>
    </row>
    <row r="302" spans="1:31" s="79" customFormat="1" ht="16.5">
      <c r="A302" s="82"/>
      <c r="B302" s="86" t="s">
        <v>32</v>
      </c>
      <c r="C302" s="87">
        <f>SUM(C279:C301)</f>
        <v>1542858896</v>
      </c>
      <c r="D302" s="87">
        <f>SUM(D279:D301)</f>
        <v>-82747853</v>
      </c>
      <c r="E302" s="87">
        <f>SUM(E279:E301)</f>
        <v>6068096467.1399994</v>
      </c>
      <c r="F302" s="88">
        <f>C302/E302*100%</f>
        <v>0.25425747668233373</v>
      </c>
      <c r="G302" s="88">
        <v>2.1700000000000001E-2</v>
      </c>
      <c r="H302" s="6"/>
      <c r="I302" s="27"/>
      <c r="J302" s="32"/>
      <c r="K302" s="26"/>
      <c r="L302" s="26"/>
      <c r="M302" s="26"/>
      <c r="O302" s="26"/>
      <c r="P302" s="26"/>
      <c r="R302" s="26"/>
      <c r="S302" s="26"/>
      <c r="U302" s="26"/>
      <c r="V302" s="26"/>
      <c r="X302" s="26"/>
      <c r="Y302" s="26"/>
      <c r="Z302" s="26"/>
      <c r="AA302" s="26"/>
      <c r="AB302" s="26"/>
      <c r="AC302" s="26"/>
      <c r="AD302" s="26"/>
      <c r="AE302" s="26"/>
    </row>
    <row r="303" spans="1:31" s="79" customFormat="1">
      <c r="A303" s="89"/>
      <c r="B303" s="90"/>
      <c r="C303" s="91"/>
      <c r="D303" s="91"/>
      <c r="E303" s="91"/>
      <c r="F303" s="92"/>
      <c r="H303" s="6"/>
      <c r="I303" s="6"/>
      <c r="J303" s="83" t="s">
        <v>50</v>
      </c>
      <c r="K303" s="26"/>
      <c r="L303" s="93"/>
      <c r="M303" s="26"/>
      <c r="O303" s="26"/>
      <c r="P303" s="26"/>
      <c r="R303" s="26"/>
      <c r="S303" s="26"/>
      <c r="X303" s="26"/>
      <c r="Y303" s="26"/>
      <c r="Z303" s="26"/>
      <c r="AA303" s="26"/>
      <c r="AB303" s="26"/>
      <c r="AD303" s="26"/>
      <c r="AE303" s="26"/>
    </row>
    <row r="304" spans="1:31" s="79" customFormat="1" ht="16.5">
      <c r="A304" s="165">
        <f>+A1</f>
        <v>46246</v>
      </c>
      <c r="B304" s="166"/>
      <c r="C304" s="169"/>
      <c r="D304" s="169"/>
      <c r="E304" s="169"/>
      <c r="F304" s="170"/>
      <c r="H304" s="6"/>
      <c r="I304" s="6"/>
      <c r="J304" s="32"/>
      <c r="K304" s="26"/>
      <c r="L304" s="27"/>
      <c r="M304" s="26"/>
      <c r="O304" s="26"/>
      <c r="P304" s="26"/>
      <c r="R304" s="26"/>
      <c r="S304" s="26"/>
      <c r="X304" s="26"/>
      <c r="Y304" s="26"/>
      <c r="Z304" s="26"/>
      <c r="AA304" s="26"/>
      <c r="AB304" s="26"/>
      <c r="AD304" s="26"/>
      <c r="AE304" s="26"/>
    </row>
    <row r="305" spans="1:31" s="78" customFormat="1">
      <c r="A305" s="167"/>
      <c r="B305" s="168"/>
      <c r="C305" s="171"/>
      <c r="D305" s="171"/>
      <c r="E305" s="171"/>
      <c r="F305" s="172"/>
      <c r="G305" s="94">
        <f>+H2</f>
        <v>0.33333333333333337</v>
      </c>
      <c r="H305" s="6"/>
      <c r="I305" s="6"/>
      <c r="J305" s="27"/>
      <c r="K305" s="26"/>
      <c r="L305" s="26"/>
      <c r="M305" s="26"/>
      <c r="O305" s="26"/>
      <c r="P305" s="26"/>
      <c r="R305" s="26"/>
      <c r="S305" s="26"/>
      <c r="U305" s="79"/>
      <c r="V305" s="79"/>
      <c r="X305" s="26"/>
      <c r="Y305" s="26"/>
      <c r="Z305" s="26"/>
      <c r="AA305" s="26"/>
      <c r="AB305" s="26"/>
      <c r="AC305" s="79"/>
      <c r="AD305" s="26"/>
      <c r="AE305" s="26"/>
    </row>
    <row r="306" spans="1:31">
      <c r="A306" s="95" t="s">
        <v>1</v>
      </c>
      <c r="B306" s="12" t="s">
        <v>2</v>
      </c>
      <c r="C306" s="13" t="s">
        <v>3</v>
      </c>
      <c r="D306" s="13" t="s">
        <v>4</v>
      </c>
      <c r="E306" s="13" t="s">
        <v>6</v>
      </c>
      <c r="F306" s="15" t="s">
        <v>7</v>
      </c>
      <c r="G306" s="81" t="s">
        <v>8</v>
      </c>
      <c r="O306" s="26"/>
      <c r="P306" s="26"/>
      <c r="R306" s="26"/>
      <c r="S306" s="26"/>
      <c r="U306" s="78"/>
      <c r="V306" s="78"/>
      <c r="X306" s="26"/>
      <c r="Y306" s="26"/>
      <c r="Z306" s="79"/>
      <c r="AA306" s="26"/>
      <c r="AB306" s="26"/>
      <c r="AC306" s="78"/>
      <c r="AD306" s="79"/>
      <c r="AE306" s="79"/>
    </row>
    <row r="307" spans="1:31">
      <c r="A307" s="173" t="s">
        <v>69</v>
      </c>
      <c r="B307" s="174"/>
      <c r="C307" s="96">
        <f>+C5+C62+C111+C195+C211+C228+C243+C259+C21</f>
        <v>1542858896</v>
      </c>
      <c r="D307" s="96">
        <f>+D5+D62+D111+D195+D211+D228+D243+D259+D21</f>
        <v>-80163291</v>
      </c>
      <c r="E307" s="97">
        <f>+F62+F111+F195+F211+F5+F243+F228+F259+F21</f>
        <v>6068096467.1400003</v>
      </c>
      <c r="F307" s="31">
        <f>C307/E307*100%</f>
        <v>0.25425747668233367</v>
      </c>
      <c r="G307" s="31">
        <f>D307/C307*100%</f>
        <v>-5.1957629571849066E-2</v>
      </c>
      <c r="L307" s="98"/>
      <c r="M307" s="98"/>
      <c r="O307" s="26"/>
      <c r="P307" s="26"/>
      <c r="R307" s="26"/>
      <c r="S307" s="26"/>
      <c r="X307" s="79"/>
      <c r="Y307" s="79"/>
      <c r="Z307" s="79"/>
      <c r="AA307" s="26"/>
      <c r="AB307" s="26"/>
      <c r="AD307" s="79"/>
      <c r="AE307" s="79"/>
    </row>
    <row r="308" spans="1:31" s="26" customFormat="1">
      <c r="A308" s="99"/>
      <c r="B308" s="6"/>
      <c r="C308" s="78"/>
      <c r="D308" s="6"/>
      <c r="E308" s="6"/>
      <c r="F308" s="6"/>
      <c r="G308" s="6"/>
      <c r="H308" s="6"/>
      <c r="I308" s="6"/>
      <c r="J308" s="6"/>
      <c r="L308" s="98"/>
      <c r="M308" s="98"/>
      <c r="U308" s="6"/>
      <c r="V308" s="6"/>
      <c r="X308" s="79"/>
      <c r="Y308" s="79"/>
      <c r="Z308" s="79"/>
      <c r="AC308" s="6"/>
      <c r="AD308" s="79"/>
      <c r="AE308" s="79"/>
    </row>
    <row r="309" spans="1:31">
      <c r="J309" s="78"/>
      <c r="O309" s="26"/>
      <c r="P309" s="26"/>
      <c r="R309" s="26"/>
      <c r="S309" s="26"/>
      <c r="X309" s="26"/>
      <c r="Y309" s="26"/>
      <c r="Z309" s="26"/>
      <c r="AA309" s="26"/>
      <c r="AB309" s="26"/>
      <c r="AD309" s="26"/>
      <c r="AE309" s="26"/>
    </row>
    <row r="310" spans="1:31">
      <c r="O310" s="26"/>
      <c r="P310" s="26"/>
      <c r="R310" s="26"/>
      <c r="S310" s="26"/>
      <c r="X310" s="26"/>
      <c r="Y310" s="26"/>
      <c r="Z310" s="26"/>
      <c r="AA310" s="26"/>
      <c r="AB310" s="26"/>
      <c r="AD310" s="26"/>
      <c r="AE310" s="26"/>
    </row>
    <row r="311" spans="1:31">
      <c r="O311" s="26"/>
      <c r="P311" s="26"/>
      <c r="R311" s="26"/>
      <c r="S311" s="26"/>
      <c r="X311" s="26"/>
      <c r="Y311" s="26"/>
      <c r="Z311" s="26"/>
      <c r="AA311" s="26"/>
      <c r="AB311" s="26"/>
      <c r="AD311" s="26"/>
      <c r="AE311" s="26"/>
    </row>
    <row r="312" spans="1:31">
      <c r="O312" s="26"/>
      <c r="P312" s="26"/>
      <c r="R312" s="26"/>
      <c r="S312" s="26"/>
      <c r="X312" s="26"/>
      <c r="Y312" s="26"/>
      <c r="AA312" s="26"/>
      <c r="AB312" s="26"/>
    </row>
    <row r="313" spans="1:31">
      <c r="O313" s="26"/>
      <c r="P313" s="26"/>
      <c r="R313" s="26"/>
      <c r="S313" s="26"/>
      <c r="AA313" s="26"/>
      <c r="AB313" s="26"/>
    </row>
    <row r="314" spans="1:31">
      <c r="O314" s="26"/>
      <c r="P314" s="26"/>
      <c r="R314" s="26"/>
      <c r="S314" s="26"/>
      <c r="AA314" s="26"/>
      <c r="AB314" s="26"/>
    </row>
  </sheetData>
  <mergeCells count="10">
    <mergeCell ref="A304:B305"/>
    <mergeCell ref="C304:F304"/>
    <mergeCell ref="C305:F305"/>
    <mergeCell ref="A307:B307"/>
    <mergeCell ref="A1:B2"/>
    <mergeCell ref="C2:G2"/>
    <mergeCell ref="A274:B274"/>
    <mergeCell ref="A276:B277"/>
    <mergeCell ref="C276:F276"/>
    <mergeCell ref="C277:F277"/>
  </mergeCells>
  <conditionalFormatting sqref="F279:F301">
    <cfRule type="top10" dxfId="7" priority="1" bottom="1" rank="3"/>
    <cfRule type="top10" dxfId="6" priority="2" rank="3"/>
  </conditionalFormatting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4BF9E-7C2A-4B87-963F-FA3342F9716E}">
  <dimension ref="A1:AE314"/>
  <sheetViews>
    <sheetView showGridLines="0" zoomScale="70" zoomScaleNormal="70" zoomScaleSheetLayoutView="70" workbookViewId="0">
      <selection activeCell="M284" sqref="M284"/>
    </sheetView>
  </sheetViews>
  <sheetFormatPr baseColWidth="10" defaultColWidth="11.453125" defaultRowHeight="15.5" outlineLevelRow="2"/>
  <cols>
    <col min="1" max="1" width="36.7265625" style="6" customWidth="1"/>
    <col min="2" max="2" width="30.7265625" style="6" customWidth="1"/>
    <col min="3" max="3" width="18.81640625" style="78" bestFit="1" customWidth="1"/>
    <col min="4" max="4" width="18" style="78" customWidth="1"/>
    <col min="5" max="5" width="28.7265625" style="78" customWidth="1"/>
    <col min="6" max="6" width="22.26953125" style="79" bestFit="1" customWidth="1"/>
    <col min="7" max="7" width="18.7265625" style="79" bestFit="1" customWidth="1"/>
    <col min="8" max="8" width="11.81640625" style="6" customWidth="1"/>
    <col min="9" max="9" width="13.1796875" style="6" bestFit="1" customWidth="1"/>
    <col min="10" max="10" width="13.81640625" style="6" customWidth="1"/>
    <col min="11" max="11" width="3.26953125" style="26" customWidth="1"/>
    <col min="12" max="12" width="19.54296875" style="26" customWidth="1"/>
    <col min="13" max="13" width="18.81640625" style="26" customWidth="1"/>
    <col min="14" max="14" width="11.453125" style="6"/>
    <col min="15" max="15" width="21.7265625" style="6" bestFit="1" customWidth="1"/>
    <col min="16" max="16" width="13" style="6" bestFit="1" customWidth="1"/>
    <col min="17" max="17" width="11.453125" style="6"/>
    <col min="18" max="18" width="21.7265625" style="6" bestFit="1" customWidth="1"/>
    <col min="19" max="19" width="13" style="6" bestFit="1" customWidth="1"/>
    <col min="20" max="20" width="11.453125" style="6"/>
    <col min="21" max="21" width="22.26953125" style="6" bestFit="1" customWidth="1"/>
    <col min="22" max="22" width="13.54296875" style="6" bestFit="1" customWidth="1"/>
    <col min="23" max="23" width="11.453125" style="6"/>
    <col min="24" max="24" width="22.26953125" style="6" bestFit="1" customWidth="1"/>
    <col min="25" max="25" width="14.26953125" style="6" bestFit="1" customWidth="1"/>
    <col min="26" max="26" width="11.453125" style="6"/>
    <col min="27" max="27" width="22.26953125" style="6" bestFit="1" customWidth="1"/>
    <col min="28" max="28" width="13" style="6" bestFit="1" customWidth="1"/>
    <col min="29" max="29" width="11.453125" style="6"/>
    <col min="30" max="30" width="26.54296875" style="6" bestFit="1" customWidth="1"/>
    <col min="31" max="31" width="14.26953125" style="6" bestFit="1" customWidth="1"/>
    <col min="32" max="16384" width="11.453125" style="6"/>
  </cols>
  <sheetData>
    <row r="1" spans="1:13">
      <c r="A1" s="175">
        <v>46247</v>
      </c>
      <c r="B1" s="176"/>
      <c r="C1" s="1"/>
      <c r="D1" s="1"/>
      <c r="E1" s="1"/>
      <c r="F1" s="2"/>
      <c r="G1" s="2"/>
      <c r="H1" s="3"/>
      <c r="I1" s="4" t="s">
        <v>0</v>
      </c>
      <c r="J1" s="5"/>
      <c r="K1" s="6"/>
      <c r="L1" s="6"/>
      <c r="M1" s="6"/>
    </row>
    <row r="2" spans="1:13">
      <c r="A2" s="177"/>
      <c r="B2" s="178"/>
      <c r="C2" s="179"/>
      <c r="D2" s="179"/>
      <c r="E2" s="179"/>
      <c r="F2" s="179"/>
      <c r="G2" s="180"/>
      <c r="H2" s="7">
        <f>+M2/100</f>
        <v>0.38095238095238093</v>
      </c>
      <c r="I2" s="8">
        <v>8</v>
      </c>
      <c r="J2" s="9"/>
      <c r="K2" s="6"/>
      <c r="L2" s="10">
        <f>100/21</f>
        <v>4.7619047619047619</v>
      </c>
      <c r="M2" s="10">
        <f>L2*I2</f>
        <v>38.095238095238095</v>
      </c>
    </row>
    <row r="3" spans="1:13" ht="31">
      <c r="A3" s="11" t="s">
        <v>1</v>
      </c>
      <c r="B3" s="12" t="s">
        <v>2</v>
      </c>
      <c r="C3" s="13" t="s">
        <v>3</v>
      </c>
      <c r="D3" s="13" t="s">
        <v>4</v>
      </c>
      <c r="E3" s="14" t="s">
        <v>5</v>
      </c>
      <c r="F3" s="13" t="s">
        <v>6</v>
      </c>
      <c r="G3" s="15" t="s">
        <v>7</v>
      </c>
      <c r="H3" s="16" t="s">
        <v>8</v>
      </c>
      <c r="I3" s="17" t="s">
        <v>9</v>
      </c>
      <c r="J3" s="18" t="s">
        <v>10</v>
      </c>
      <c r="K3" s="6"/>
      <c r="L3" s="6"/>
      <c r="M3" s="6"/>
    </row>
    <row r="4" spans="1:13" ht="18.75" hidden="1" customHeight="1" outlineLevel="1">
      <c r="A4" s="19" t="s">
        <v>11</v>
      </c>
      <c r="B4" s="20" t="s">
        <v>12</v>
      </c>
      <c r="C4" s="21" t="s">
        <v>13</v>
      </c>
      <c r="D4" s="21" t="s">
        <v>14</v>
      </c>
      <c r="E4" s="14" t="s">
        <v>5</v>
      </c>
      <c r="F4" s="21" t="s">
        <v>6</v>
      </c>
      <c r="G4" s="22" t="s">
        <v>15</v>
      </c>
      <c r="H4" s="23">
        <f t="shared" ref="H4:I19" si="0">IFERROR(+D4/L4*100%,0)</f>
        <v>0</v>
      </c>
      <c r="I4" s="24">
        <f t="shared" si="0"/>
        <v>0</v>
      </c>
      <c r="J4" s="25"/>
      <c r="L4" s="27"/>
      <c r="M4" s="27"/>
    </row>
    <row r="5" spans="1:13" ht="16.5" collapsed="1">
      <c r="A5" s="28" t="s">
        <v>16</v>
      </c>
      <c r="B5" s="29" t="s">
        <v>17</v>
      </c>
      <c r="C5" s="30">
        <f>+C20</f>
        <v>38904963</v>
      </c>
      <c r="D5" s="30">
        <f>+D20</f>
        <v>-1160236</v>
      </c>
      <c r="E5" s="30">
        <f>+E20</f>
        <v>0</v>
      </c>
      <c r="F5" s="30">
        <f>+F20</f>
        <v>132391087.09</v>
      </c>
      <c r="G5" s="31">
        <f t="shared" ref="G5" si="1">IFERROR(C5/F5*100%,"-")</f>
        <v>0.2938639137659792</v>
      </c>
      <c r="H5" s="23">
        <f t="shared" si="0"/>
        <v>-2.8958698046152222E-2</v>
      </c>
      <c r="I5" s="24">
        <f t="shared" si="0"/>
        <v>0</v>
      </c>
      <c r="J5" s="32"/>
      <c r="L5" s="27">
        <f t="shared" ref="L5:L71" si="2">C5-(D5+E5)</f>
        <v>40065199</v>
      </c>
      <c r="M5" s="27">
        <f t="shared" ref="M5:M71" si="3">L5</f>
        <v>40065199</v>
      </c>
    </row>
    <row r="6" spans="1:13" ht="16.5" hidden="1" outlineLevel="1">
      <c r="A6" s="33"/>
      <c r="B6" s="34" t="s">
        <v>18</v>
      </c>
      <c r="C6" s="35">
        <v>0</v>
      </c>
      <c r="D6" s="36">
        <v>0</v>
      </c>
      <c r="E6" s="36">
        <v>0</v>
      </c>
      <c r="F6" s="35">
        <v>2190251</v>
      </c>
      <c r="G6" s="37">
        <f>IFERROR(C6/F6*100%,"-")</f>
        <v>0</v>
      </c>
      <c r="H6" s="23">
        <f t="shared" si="0"/>
        <v>0</v>
      </c>
      <c r="I6" s="24">
        <f t="shared" si="0"/>
        <v>0</v>
      </c>
      <c r="J6" s="32" t="str" cm="1">
        <f t="array" ref="J6">IFERROR(_xlfn.IFS(B6="044 - BLEND TRADICION","BLEND",B6="113 - CAFÉ GOURMET","GOURMET",B6="114 - CAFÉ CONSUMO","CONSUMO",B6="112 - CAFÉ ORGANICO","GOURMET",B6="172 - CAFÉ COSECHA","ESPECIALES",B6="176 - CAFE DESCAFEINADO","GOURMET",B6="147 - CAPSULAS","CAPSULAS",B6="130 - GALLETAS CAFECITAS","DERIVADOS",B6="140 - MERENGUES","DERIVADOS",B6="100 - CAFÉ ESPECIAL","ESPECIALES",B6="141 - AREQUIPE","DERIVADOS",B6="142 - MERMELADA","DERIVADOS",B6="131 - GALLETAS AVENA","DERIVADOS",B6="160 - SOUVENIR","OTROS",B6="148 - CARAMELOS","DERIVADOS",B6="143 - CHOCOFFES","DERIVADOS",B6="162 - CONVENIOS Y DSC POS ","OTROS"),"OTROS")</f>
        <v>BLEND</v>
      </c>
      <c r="L6" s="27">
        <f t="shared" si="2"/>
        <v>0</v>
      </c>
      <c r="M6" s="27">
        <f t="shared" si="3"/>
        <v>0</v>
      </c>
    </row>
    <row r="7" spans="1:13" ht="16.5" hidden="1" outlineLevel="1">
      <c r="A7" s="33"/>
      <c r="B7" s="34" t="s">
        <v>19</v>
      </c>
      <c r="C7" s="35">
        <v>122080</v>
      </c>
      <c r="D7" s="36">
        <v>0</v>
      </c>
      <c r="E7" s="36"/>
      <c r="F7" s="35">
        <v>3013430.38</v>
      </c>
      <c r="G7" s="37">
        <f t="shared" ref="G7:G18" si="4">IFERROR(C7/F7*100%,"-")</f>
        <v>4.0511969617828041E-2</v>
      </c>
      <c r="H7" s="23">
        <f t="shared" si="0"/>
        <v>0</v>
      </c>
      <c r="I7" s="24">
        <f t="shared" si="0"/>
        <v>0</v>
      </c>
      <c r="J7" s="32" t="str" cm="1">
        <f t="array" ref="J7">IFERROR(_xlfn.IFS(B7="044 - BLEND TRADICION","BLEND",B7="113 - CAFÉ GOURMET","GOURMET",B7="114 - CAFÉ CONSUMO","CONSUMO",B7="112 - CAFÉ ORGANICO","GOURMET",B7="172 - CAFÉ COSECHA","ESPECIALES",B7="176 - CAFE DESCAFEINADO","GOURMET",B7="147 - CAPSULAS","CAPSULAS",B7="130 - GALLETAS CAFECITAS","DERIVADOS",B7="140 - MERENGUES","DERIVADOS",B7="100 - CAFÉ ESPECIAL","ESPECIALES",B7="141 - AREQUIPE","DERIVADOS",B7="142 - MERMELADA","DERIVADOS",B7="131 - GALLETAS AVENA","DERIVADOS",B7="160 - SOUVENIR","OTROS",B7="148 - CARAMELOS","DERIVADOS",B7="143 - CHOCOFFES","DERIVADOS",B7="162 - CONVENIOS Y DSC POS ","OTROS"),"OTROS")</f>
        <v>ESPECIALES</v>
      </c>
      <c r="L7" s="27">
        <f t="shared" si="2"/>
        <v>122080</v>
      </c>
      <c r="M7" s="27">
        <f t="shared" si="3"/>
        <v>122080</v>
      </c>
    </row>
    <row r="8" spans="1:13" ht="16.5" hidden="1" outlineLevel="1">
      <c r="A8" s="38"/>
      <c r="B8" s="39" t="s">
        <v>20</v>
      </c>
      <c r="C8" s="36">
        <v>136918</v>
      </c>
      <c r="D8" s="36">
        <v>0</v>
      </c>
      <c r="E8" s="36">
        <v>0</v>
      </c>
      <c r="F8" s="36">
        <v>2838463.33</v>
      </c>
      <c r="G8" s="37">
        <f t="shared" si="4"/>
        <v>4.8236663321629028E-2</v>
      </c>
      <c r="H8" s="23">
        <f t="shared" si="0"/>
        <v>0</v>
      </c>
      <c r="I8" s="24">
        <f t="shared" si="0"/>
        <v>0</v>
      </c>
      <c r="J8" s="32" t="str" cm="1">
        <f t="array" ref="J8">IFERROR(_xlfn.IFS(B8="044 - BLEND TRADICION","BLEND",B8="113 - CAFÉ GOURMET","GOURMET",B8="114 - CAFÉ CONSUMO","CONSUMO",B8="112 - CAFÉ ORGANICO","GOURMET",B8="172 - CAFÉ COSECHA","ESPECIALES",B8="176 - CAFE DESCAFEINADO","GOURMET",B8="147 - CAPSULAS","CAPSULAS",B8="130 - GALLETAS CAFECITAS","DERIVADOS",B8="140 - MERENGUES","DERIVADOS",B8="100 - CAFÉ ESPECIAL","ESPECIALES",B8="141 - AREQUIPE","DERIVADOS",B8="142 - MERMELADA","DERIVADOS",B8="131 - GALLETAS AVENA","DERIVADOS",B8="160 - SOUVENIR","OTROS",B8="148 - CARAMELOS","DERIVADOS",B8="143 - CHOCOFFES","DERIVADOS",B8="162 - CONVENIOS Y DSC POS ","OTROS"),"OTROS")</f>
        <v>GOURMET</v>
      </c>
      <c r="L8" s="27">
        <f t="shared" si="2"/>
        <v>136918</v>
      </c>
      <c r="M8" s="27">
        <f t="shared" si="3"/>
        <v>136918</v>
      </c>
    </row>
    <row r="9" spans="1:13" ht="16.5" hidden="1" outlineLevel="1">
      <c r="A9" s="38"/>
      <c r="B9" s="39" t="s">
        <v>21</v>
      </c>
      <c r="C9" s="36">
        <v>27107303</v>
      </c>
      <c r="D9" s="36">
        <v>0</v>
      </c>
      <c r="E9" s="36">
        <v>0</v>
      </c>
      <c r="F9" s="36">
        <v>87912157.530000001</v>
      </c>
      <c r="G9" s="37">
        <f t="shared" si="4"/>
        <v>0.3083453274451789</v>
      </c>
      <c r="H9" s="23">
        <f t="shared" si="0"/>
        <v>0</v>
      </c>
      <c r="I9" s="24">
        <f t="shared" si="0"/>
        <v>0</v>
      </c>
      <c r="J9" s="32" t="str" cm="1">
        <f t="array" ref="J9">IFERROR(_xlfn.IFS(B9="044 - BLEND TRADICION","BLEND",B9="113 - CAFÉ GOURMET","GOURMET",B9="114 - CAFÉ CONSUMO","CONSUMO",B9="112 - CAFÉ ORGANICO","GOURMET",B9="172 - CAFÉ COSECHA","ESPECIALES",B9="176 - CAFE DESCAFEINADO","GOURMET",B9="147 - CAPSULAS","CAPSULAS",B9="130 - GALLETAS CAFECITAS","DERIVADOS",B9="140 - MERENGUES","DERIVADOS",B9="100 - CAFÉ ESPECIAL","ESPECIALES",B9="141 - AREQUIPE","DERIVADOS",B9="142 - MERMELADA","DERIVADOS",B9="131 - GALLETAS AVENA","DERIVADOS",B9="160 - SOUVENIR","OTROS",B9="148 - CARAMELOS","DERIVADOS",B9="143 - CHOCOFFES","DERIVADOS",B9="162 - CONVENIOS Y DSC POS ","OTROS"),"OTROS")</f>
        <v>GOURMET</v>
      </c>
      <c r="L9" s="27">
        <f t="shared" si="2"/>
        <v>27107303</v>
      </c>
      <c r="M9" s="27">
        <f t="shared" si="3"/>
        <v>27107303</v>
      </c>
    </row>
    <row r="10" spans="1:13" ht="16.5" hidden="1" outlineLevel="1">
      <c r="A10" s="38"/>
      <c r="B10" s="39" t="s">
        <v>22</v>
      </c>
      <c r="C10" s="36">
        <v>616017</v>
      </c>
      <c r="D10" s="36">
        <v>0</v>
      </c>
      <c r="E10" s="36">
        <v>0</v>
      </c>
      <c r="F10" s="36">
        <v>4458765.92</v>
      </c>
      <c r="G10" s="37">
        <f t="shared" si="4"/>
        <v>0.13815863201896905</v>
      </c>
      <c r="H10" s="23">
        <f t="shared" si="0"/>
        <v>0</v>
      </c>
      <c r="I10" s="24">
        <f t="shared" si="0"/>
        <v>0</v>
      </c>
      <c r="J10" s="32" t="str" cm="1">
        <f t="array" ref="J10">IFERROR(_xlfn.IFS(B10="044 - BLEND TRADICION","BLEND",B10="113 - CAFÉ GOURMET","GOURMET",B10="114 - CAFÉ CONSUMO","CONSUMO",B10="112 - CAFÉ ORGANICO","GOURMET",B10="172 - CAFÉ COSECHA","ESPECIALES",B10="176 - CAFE DESCAFEINADO","GOURMET",B10="147 - CAPSULAS","CAPSULAS",B10="130 - GALLETAS CAFECITAS","DERIVADOS",B10="140 - MERENGUES","DERIVADOS",B10="100 - CAFÉ ESPECIAL","ESPECIALES",B10="141 - AREQUIPE","DERIVADOS",B10="142 - MERMELADA","DERIVADOS",B10="131 - GALLETAS AVENA","DERIVADOS",B10="160 - SOUVENIR","OTROS",B10="148 - CARAMELOS","DERIVADOS",B10="143 - CHOCOFFES","DERIVADOS",B10="162 - CONVENIOS Y DSC POS ","OTROS"),"OTROS")</f>
        <v>DERIVADOS</v>
      </c>
      <c r="L10" s="27">
        <f t="shared" si="2"/>
        <v>616017</v>
      </c>
      <c r="M10" s="27">
        <f t="shared" si="3"/>
        <v>616017</v>
      </c>
    </row>
    <row r="11" spans="1:13" ht="16.5" hidden="1" outlineLevel="1">
      <c r="A11" s="38"/>
      <c r="B11" s="39" t="s">
        <v>23</v>
      </c>
      <c r="C11" s="36">
        <v>63836</v>
      </c>
      <c r="D11" s="36">
        <v>0</v>
      </c>
      <c r="E11" s="36">
        <v>0</v>
      </c>
      <c r="F11" s="36">
        <v>347556.62</v>
      </c>
      <c r="G11" s="37">
        <f t="shared" si="4"/>
        <v>0.18367079297755859</v>
      </c>
      <c r="H11" s="23">
        <f t="shared" si="0"/>
        <v>0</v>
      </c>
      <c r="I11" s="24">
        <f t="shared" si="0"/>
        <v>0</v>
      </c>
      <c r="J11" s="32" t="str" cm="1">
        <f t="array" ref="J11">IFERROR(_xlfn.IFS(B11="044 - BLEND TRADICION","BLEND",B11="113 - CAFÉ GOURMET","GOURMET",B11="114 - CAFÉ CONSUMO","CONSUMO",B11="112 - CAFÉ ORGANICO","GOURMET",B11="172 - CAFÉ COSECHA","ESPECIALES",B11="176 - CAFE DESCAFEINADO","GOURMET",B11="147 - CAPSULAS","CAPSULAS",B11="130 - GALLETAS CAFECITAS","DERIVADOS",B11="140 - MERENGUES","DERIVADOS",B11="100 - CAFÉ ESPECIAL","ESPECIALES",B11="141 - AREQUIPE","DERIVADOS",B11="142 - MERMELADA","DERIVADOS",B11="131 - GALLETAS AVENA","DERIVADOS",B11="160 - SOUVENIR","OTROS",B11="148 - CARAMELOS","DERIVADOS",B11="143 - CHOCOFFES","DERIVADOS",B11="162 - CONVENIOS Y DSC POS ","OTROS"),"OTROS")</f>
        <v>DERIVADOS</v>
      </c>
      <c r="L11" s="27">
        <f t="shared" si="2"/>
        <v>63836</v>
      </c>
      <c r="M11" s="27">
        <f t="shared" si="3"/>
        <v>63836</v>
      </c>
    </row>
    <row r="12" spans="1:13" ht="16.5" hidden="1" outlineLevel="1">
      <c r="A12" s="38"/>
      <c r="B12" s="39" t="s">
        <v>24</v>
      </c>
      <c r="C12" s="36">
        <v>48741</v>
      </c>
      <c r="D12" s="36">
        <v>0</v>
      </c>
      <c r="E12" s="36"/>
      <c r="F12" s="36">
        <v>1108552.25</v>
      </c>
      <c r="G12" s="37">
        <f t="shared" si="4"/>
        <v>4.3968157567674415E-2</v>
      </c>
      <c r="H12" s="23">
        <f t="shared" si="0"/>
        <v>0</v>
      </c>
      <c r="I12" s="24">
        <f t="shared" si="0"/>
        <v>0</v>
      </c>
      <c r="J12" s="32" t="str" cm="1">
        <f t="array" ref="J12">IFERROR(_xlfn.IFS(B12="044 - BLEND TRADICION","BLEND",B12="113 - CAFÉ GOURMET","GOURMET",B12="114 - CAFÉ CONSUMO","CONSUMO",B12="112 - CAFÉ ORGANICO","GOURMET",B12="172 - CAFÉ COSECHA","ESPECIALES",B12="176 - CAFE DESCAFEINADO","GOURMET",B12="147 - CAPSULAS","CAPSULAS",B12="130 - GALLETAS CAFECITAS","DERIVADOS",B12="140 - MERENGUES","DERIVADOS",B12="100 - CAFÉ ESPECIAL","ESPECIALES",B12="141 - AREQUIPE","DERIVADOS",B12="142 - MERMELADA","DERIVADOS",B12="131 - GALLETAS AVENA","DERIVADOS",B12="160 - SOUVENIR","OTROS",B12="148 - CARAMELOS","DERIVADOS",B12="143 - CHOCOFFES","DERIVADOS",B12="162 - CONVENIOS Y DSC POS ","OTROS"),"OTROS")</f>
        <v>DERIVADOS</v>
      </c>
      <c r="L12" s="27">
        <f t="shared" si="2"/>
        <v>48741</v>
      </c>
      <c r="M12" s="27">
        <f t="shared" si="3"/>
        <v>48741</v>
      </c>
    </row>
    <row r="13" spans="1:13" ht="16.5" hidden="1" outlineLevel="1">
      <c r="A13" s="38"/>
      <c r="B13" s="39" t="s">
        <v>25</v>
      </c>
      <c r="C13" s="36">
        <v>140478</v>
      </c>
      <c r="D13" s="36">
        <v>0</v>
      </c>
      <c r="E13" s="36"/>
      <c r="F13" s="36">
        <v>5164325.42</v>
      </c>
      <c r="G13" s="37">
        <f t="shared" si="4"/>
        <v>2.7201616585966419E-2</v>
      </c>
      <c r="H13" s="23">
        <f t="shared" si="0"/>
        <v>0</v>
      </c>
      <c r="I13" s="24">
        <f t="shared" si="0"/>
        <v>0</v>
      </c>
      <c r="J13" s="32" t="str" cm="1">
        <f t="array" ref="J13">IFERROR(_xlfn.IFS(B13="044 - BLEND TRADICION","BLEND",B13="113 - CAFÉ GOURMET","GOURMET",B13="114 - CAFÉ CONSUMO","CONSUMO",B13="112 - CAFÉ ORGANICO","GOURMET",B13="172 - CAFÉ COSECHA","ESPECIALES",B13="176 - CAFE DESCAFEINADO","GOURMET",B13="147 - CAPSULAS","CAPSULAS",B13="130 - GALLETAS CAFECITAS","DERIVADOS",B13="140 - MERENGUES","DERIVADOS",B13="100 - CAFÉ ESPECIAL","ESPECIALES",B13="141 - AREQUIPE","DERIVADOS",B13="142 - MERMELADA","DERIVADOS",B13="131 - GALLETAS AVENA","DERIVADOS",B13="160 - SOUVENIR","OTROS",B13="148 - CARAMELOS","DERIVADOS",B13="143 - CHOCOFFES","DERIVADOS",B13="162 - CONVENIOS Y DSC POS ","OTROS"),"OTROS")</f>
        <v>DERIVADOS</v>
      </c>
      <c r="L13" s="27">
        <f t="shared" si="2"/>
        <v>140478</v>
      </c>
      <c r="M13" s="27">
        <f t="shared" si="3"/>
        <v>140478</v>
      </c>
    </row>
    <row r="14" spans="1:13" ht="16.5" hidden="1" outlineLevel="1">
      <c r="A14" s="38"/>
      <c r="B14" s="39" t="s">
        <v>26</v>
      </c>
      <c r="C14" s="36">
        <v>0</v>
      </c>
      <c r="D14" s="36">
        <v>0</v>
      </c>
      <c r="E14" s="36"/>
      <c r="F14" s="36">
        <v>2621339.7000000002</v>
      </c>
      <c r="G14" s="37">
        <f t="shared" si="4"/>
        <v>0</v>
      </c>
      <c r="H14" s="23">
        <f t="shared" si="0"/>
        <v>0</v>
      </c>
      <c r="I14" s="24">
        <f t="shared" si="0"/>
        <v>0</v>
      </c>
      <c r="J14" s="32" t="str" cm="1">
        <f t="array" ref="J14">IFERROR(_xlfn.IFS(B14="044 - BLEND TRADICION","BLEND",B14="113 - CAFÉ GOURMET","GOURMET",B14="114 - CAFÉ CONSUMO","CONSUMO",B14="112 - CAFÉ ORGANICO","GOURMET",B14="172 - CAFÉ COSECHA","ESPECIALES",B14="176 - CAFE DESCAFEINADO","GOURMET",B14="147 - CAPSULAS","CAPSULAS",B14="130 - GALLETAS CAFECITAS","DERIVADOS",B14="140 - MERENGUES","DERIVADOS",B14="100 - CAFÉ ESPECIAL","ESPECIALES",B14="141 - AREQUIPE","DERIVADOS",B14="142 - MERMELADA","DERIVADOS",B14="131 - GALLETAS AVENA","DERIVADOS",B14="160 - SOUVENIR","OTROS",B14="148 - CARAMELOS","DERIVADOS",B14="143 - CHOCOFFES","DERIVADOS",B14="162 - CONVENIOS Y DSC POS ","OTROS"),"OTROS")</f>
        <v>CAPSULAS</v>
      </c>
      <c r="L14" s="27">
        <f t="shared" si="2"/>
        <v>0</v>
      </c>
      <c r="M14" s="27">
        <f t="shared" si="3"/>
        <v>0</v>
      </c>
    </row>
    <row r="15" spans="1:13" ht="16.5" hidden="1" outlineLevel="1">
      <c r="A15" s="38"/>
      <c r="B15" s="39" t="s">
        <v>27</v>
      </c>
      <c r="C15" s="36">
        <v>187764</v>
      </c>
      <c r="D15" s="36">
        <v>0</v>
      </c>
      <c r="E15" s="36"/>
      <c r="F15" s="36">
        <v>4581829.2699999996</v>
      </c>
      <c r="G15" s="37">
        <f t="shared" si="4"/>
        <v>4.0980138921675714E-2</v>
      </c>
      <c r="H15" s="23">
        <f t="shared" si="0"/>
        <v>0</v>
      </c>
      <c r="I15" s="24">
        <f t="shared" si="0"/>
        <v>0</v>
      </c>
      <c r="J15" s="32" t="str" cm="1">
        <f t="array" ref="J15">IFERROR(_xlfn.IFS(B15="044 - BLEND TRADICION","BLEND",B15="113 - CAFÉ GOURMET","GOURMET",B15="114 - CAFÉ CONSUMO","CONSUMO",B15="112 - CAFÉ ORGANICO","GOURMET",B15="172 - CAFÉ COSECHA","ESPECIALES",B15="176 - CAFE DESCAFEINADO","GOURMET",B15="147 - CAPSULAS","CAPSULAS",B15="130 - GALLETAS CAFECITAS","DERIVADOS",B15="140 - MERENGUES","DERIVADOS",B15="100 - CAFÉ ESPECIAL","ESPECIALES",B15="141 - AREQUIPE","DERIVADOS",B15="142 - MERMELADA","DERIVADOS",B15="131 - GALLETAS AVENA","DERIVADOS",B15="160 - SOUVENIR","OTROS",B15="148 - CARAMELOS","DERIVADOS",B15="143 - CHOCOFFES","DERIVADOS",B15="162 - CONVENIOS Y DSC POS ","OTROS"),"OTROS")</f>
        <v>DERIVADOS</v>
      </c>
      <c r="L15" s="27">
        <f t="shared" si="2"/>
        <v>187764</v>
      </c>
      <c r="M15" s="27">
        <f t="shared" si="3"/>
        <v>187764</v>
      </c>
    </row>
    <row r="16" spans="1:13" ht="16.5" hidden="1" outlineLevel="1">
      <c r="A16" s="38"/>
      <c r="B16" s="39" t="s">
        <v>28</v>
      </c>
      <c r="C16" s="36">
        <v>10598690</v>
      </c>
      <c r="D16" s="36">
        <v>0</v>
      </c>
      <c r="E16" s="36"/>
      <c r="F16" s="36">
        <v>11251446.380000001</v>
      </c>
      <c r="G16" s="37">
        <f t="shared" si="4"/>
        <v>0.94198466953010529</v>
      </c>
      <c r="H16" s="23">
        <f t="shared" si="0"/>
        <v>0</v>
      </c>
      <c r="I16" s="24">
        <f t="shared" si="0"/>
        <v>0</v>
      </c>
      <c r="J16" s="32" t="str" cm="1">
        <f t="array" ref="J16">IFERROR(_xlfn.IFS(B16="044 - BLEND TRADICION","BLEND",B16="113 - CAFÉ GOURMET","GOURMET",B16="114 - CAFÉ CONSUMO","CONSUMO",B16="112 - CAFÉ ORGANICO","GOURMET",B16="172 - CAFÉ COSECHA","ESPECIALES",B16="176 - CAFE DESCAFEINADO","GOURMET",B16="147 - CAPSULAS","CAPSULAS",B16="130 - GALLETAS CAFECITAS","DERIVADOS",B16="140 - MERENGUES","DERIVADOS",B16="100 - CAFÉ ESPECIAL","ESPECIALES",B16="141 - AREQUIPE","DERIVADOS",B16="142 - MERMELADA","DERIVADOS",B16="131 - GALLETAS AVENA","DERIVADOS",B16="160 - SOUVENIR","OTROS",B16="148 - CARAMELOS","DERIVADOS",B16="143 - CHOCOFFES","DERIVADOS",B16="162 - CONVENIOS Y DSC POS ","OTROS"),"OTROS")</f>
        <v>OTROS</v>
      </c>
      <c r="L16" s="27">
        <f t="shared" si="2"/>
        <v>10598690</v>
      </c>
      <c r="M16" s="27">
        <f t="shared" si="3"/>
        <v>10598690</v>
      </c>
    </row>
    <row r="17" spans="1:13" ht="16.5" hidden="1" outlineLevel="1">
      <c r="A17" s="38"/>
      <c r="B17" s="39" t="s">
        <v>29</v>
      </c>
      <c r="C17" s="36">
        <v>163521</v>
      </c>
      <c r="D17" s="36">
        <v>0</v>
      </c>
      <c r="E17" s="36"/>
      <c r="F17" s="36">
        <v>6227226.4500000002</v>
      </c>
      <c r="G17" s="37">
        <f t="shared" si="4"/>
        <v>2.625904185642711E-2</v>
      </c>
      <c r="H17" s="23">
        <f t="shared" si="0"/>
        <v>0</v>
      </c>
      <c r="I17" s="24">
        <f t="shared" si="0"/>
        <v>0</v>
      </c>
      <c r="J17" s="32" t="str" cm="1">
        <f t="array" ref="J17">IFERROR(_xlfn.IFS(B17="044 - BLEND TRADICION","BLEND",B17="113 - CAFÉ GOURMET","GOURMET",B17="114 - CAFÉ CONSUMO","CONSUMO",B17="112 - CAFÉ ORGANICO","GOURMET",B17="172 - CAFÉ COSECHA","ESPECIALES",B17="176 - CAFE DESCAFEINADO","GOURMET",B17="147 - CAPSULAS","CAPSULAS",B17="130 - GALLETAS CAFECITAS","DERIVADOS",B17="140 - MERENGUES","DERIVADOS",B17="100 - CAFÉ ESPECIAL","ESPECIALES",B17="141 - AREQUIPE","DERIVADOS",B17="142 - MERMELADA","DERIVADOS",B17="131 - GALLETAS AVENA","DERIVADOS",B17="160 - SOUVENIR","OTROS",B17="148 - CARAMELOS","DERIVADOS",B17="143 - CHOCOFFES","DERIVADOS",B17="162 - CONVENIOS Y DSC POS ","OTROS"),"OTROS")</f>
        <v>ESPECIALES</v>
      </c>
      <c r="L17" s="27">
        <f t="shared" si="2"/>
        <v>163521</v>
      </c>
      <c r="M17" s="27">
        <f t="shared" si="3"/>
        <v>163521</v>
      </c>
    </row>
    <row r="18" spans="1:13" ht="16.5" hidden="1" outlineLevel="1">
      <c r="A18" s="38"/>
      <c r="B18" s="39" t="s">
        <v>30</v>
      </c>
      <c r="C18" s="36">
        <v>216351</v>
      </c>
      <c r="D18" s="36">
        <v>0</v>
      </c>
      <c r="E18" s="36"/>
      <c r="F18" s="36">
        <v>675742.84</v>
      </c>
      <c r="G18" s="37">
        <f t="shared" si="4"/>
        <v>0.32016765431062505</v>
      </c>
      <c r="H18" s="23">
        <f t="shared" si="0"/>
        <v>0</v>
      </c>
      <c r="I18" s="24">
        <f t="shared" si="0"/>
        <v>0</v>
      </c>
      <c r="J18" s="32" t="str" cm="1">
        <f t="array" ref="J18">IFERROR(_xlfn.IFS(B18="044 - BLEND TRADICION","BLEND",B18="113 - CAFÉ GOURMET","GOURMET",B18="114 - CAFÉ CONSUMO","CONSUMO",B18="112 - CAFÉ ORGANICO","GOURMET",B18="172 - CAFÉ COSECHA","ESPECIALES",B18="176 - CAFE DESCAFEINADO","GOURMET",B18="147 - CAPSULAS","CAPSULAS",B18="130 - GALLETAS CAFECITAS","DERIVADOS",B18="140 - MERENGUES","DERIVADOS",B18="100 - CAFÉ ESPECIAL","ESPECIALES",B18="141 - AREQUIPE","DERIVADOS",B18="142 - MERMELADA","DERIVADOS",B18="131 - GALLETAS AVENA","DERIVADOS",B18="160 - SOUVENIR","OTROS",B18="148 - CARAMELOS","DERIVADOS",B18="143 - CHOCOFFES","DERIVADOS",B18="162 - CONVENIOS Y DSC POS ","OTROS"),"OTROS")</f>
        <v>GOURMET</v>
      </c>
      <c r="L18" s="27">
        <f t="shared" si="2"/>
        <v>216351</v>
      </c>
      <c r="M18" s="27">
        <f t="shared" si="3"/>
        <v>216351</v>
      </c>
    </row>
    <row r="19" spans="1:13" ht="16.5" hidden="1" outlineLevel="1">
      <c r="A19" s="38"/>
      <c r="B19" s="39" t="s">
        <v>31</v>
      </c>
      <c r="C19" s="36">
        <v>-496736</v>
      </c>
      <c r="D19" s="36">
        <v>-1160236</v>
      </c>
      <c r="E19" s="36"/>
      <c r="F19" s="36"/>
      <c r="G19" s="37"/>
      <c r="H19" s="23">
        <f t="shared" si="0"/>
        <v>-1.7486601356443106</v>
      </c>
      <c r="I19" s="24">
        <f t="shared" si="0"/>
        <v>0</v>
      </c>
      <c r="J19" s="32" t="str" cm="1">
        <f t="array" ref="J19">IFERROR(_xlfn.IFS(B19="044 - BLEND TRADICION","BLEND",B19="113 - CAFÉ GOURMET","GOURMET",B19="114 - CAFÉ CONSUMO","CONSUMO",B19="112 - CAFÉ ORGANICO","GOURMET",B19="172 - CAFÉ COSECHA","ESPECIALES",B19="176 - CAFE DESCAFEINADO","GOURMET",B19="147 - CAPSULAS","CAPSULAS",B19="130 - GALLETAS CAFECITAS","DERIVADOS",B19="140 - MERENGUES","DERIVADOS",B19="100 - CAFÉ ESPECIAL","ESPECIALES",B19="141 - AREQUIPE","DERIVADOS",B19="142 - MERMELADA","DERIVADOS",B19="131 - GALLETAS AVENA","DERIVADOS",B19="160 - SOUVENIR","OTROS",B19="148 - CARAMELOS","DERIVADOS",B19="143 - CHOCOFFES","DERIVADOS",B19="162 - CONVENIOS Y DSC POS ","OTROS"),"OTROS")</f>
        <v>OTROS</v>
      </c>
      <c r="L19" s="27">
        <f t="shared" si="2"/>
        <v>663500</v>
      </c>
      <c r="M19" s="27">
        <f t="shared" si="3"/>
        <v>663500</v>
      </c>
    </row>
    <row r="20" spans="1:13" ht="16.5" hidden="1" outlineLevel="1">
      <c r="A20" s="19" t="s">
        <v>16</v>
      </c>
      <c r="B20" s="40" t="s">
        <v>32</v>
      </c>
      <c r="C20" s="41">
        <f>SUM(C6:C19)</f>
        <v>38904963</v>
      </c>
      <c r="D20" s="41">
        <f>SUM(D6:D19)</f>
        <v>-1160236</v>
      </c>
      <c r="E20" s="41">
        <f>SUM(E6:E19)</f>
        <v>0</v>
      </c>
      <c r="F20" s="41">
        <f>SUM(F6:F19)</f>
        <v>132391087.09</v>
      </c>
      <c r="G20" s="42">
        <f t="shared" ref="G20:G90" si="5">IFERROR(C20/F20*100%,"-")</f>
        <v>0.2938639137659792</v>
      </c>
      <c r="H20" s="43">
        <f t="shared" ref="H20:I36" si="6">IFERROR(+D20/L20*100%,0)</f>
        <v>-2.8958698046152222E-2</v>
      </c>
      <c r="I20" s="24">
        <f t="shared" si="6"/>
        <v>0</v>
      </c>
      <c r="J20" s="32" t="str" cm="1">
        <f t="array" ref="J20">IFERROR(_xlfn.IFS(B20="044 - BLEND TRADICION","BLEND",B20="113 - CAFÉ GOURMET","GOURMET",B20="114 - CAFÉ CONSUMO","CONSUMO",B20="112 - CAFÉ ORGANICO","GOURMET",B20="172 - CAFÉ COSECHA","ESPECIALES",B20="176 - CAFE DESCAFEINADO","GOURMET",B20="147 - CAPSULAS","CAPSULAS",B20="130 - GALLETAS CAFECITAS","DERIVADOS",B20="140 - MERENGUES","DERIVADOS",B20="100 - CAFÉ ESPECIAL","ESPECIALES",B20="141 - AREQUIPE","DERIVADOS",B20="142 - MERMELADA","DERIVADOS",B20="131 - GALLETAS AVENA","DERIVADOS",B20="160 - SOUVENIR","OTROS",B20="148 - CARAMELOS","DERIVADOS",B20="143 - CHOCOFFES","DERIVADOS",B20="162 - CONVENIOS Y DSC POS ","OTROS"),"OTROS")</f>
        <v>OTROS</v>
      </c>
      <c r="L20" s="27">
        <f t="shared" si="2"/>
        <v>40065199</v>
      </c>
      <c r="M20" s="27">
        <f t="shared" si="3"/>
        <v>40065199</v>
      </c>
    </row>
    <row r="21" spans="1:13" ht="16.5" collapsed="1">
      <c r="A21" s="28" t="s">
        <v>33</v>
      </c>
      <c r="B21" s="29" t="s">
        <v>17</v>
      </c>
      <c r="C21" s="30">
        <f>+C26+C61+C42</f>
        <v>208437298</v>
      </c>
      <c r="D21" s="30">
        <f>+D26+D61+D42</f>
        <v>-13844750</v>
      </c>
      <c r="E21" s="30">
        <f>+E26+E61+E42</f>
        <v>0</v>
      </c>
      <c r="F21" s="30">
        <f>+F26+F61+F42</f>
        <v>482062133.13</v>
      </c>
      <c r="G21" s="31">
        <f t="shared" si="5"/>
        <v>0.43238678932657365</v>
      </c>
      <c r="H21" s="43">
        <f t="shared" si="6"/>
        <v>-6.228460698724532E-2</v>
      </c>
      <c r="I21" s="24">
        <f t="shared" si="6"/>
        <v>0</v>
      </c>
      <c r="J21" s="32" t="str" cm="1">
        <f t="array" ref="J21">IFERROR(_xlfn.IFS(B21="044 - BLEND TRADICION","BLEND",B21="113 - CAFÉ GOURMET","GOURMET",B21="114 - CAFÉ CONSUMO","CONSUMO",B21="112 - CAFÉ ORGANICO","GOURMET",B21="172 - CAFÉ COSECHA","ESPECIALES",B21="176 - CAFE DESCAFEINADO","GOURMET",B21="147 - CAPSULAS","CAPSULAS",B21="130 - GALLETAS CAFECITAS","DERIVADOS",B21="140 - MERENGUES","DERIVADOS",B21="100 - CAFÉ ESPECIAL","ESPECIALES",B21="141 - AREQUIPE","DERIVADOS",B21="142 - MERMELADA","DERIVADOS",B21="131 - GALLETAS AVENA","DERIVADOS",B21="160 - SOUVENIR","OTROS",B21="148 - CARAMELOS","DERIVADOS",B21="143 - CHOCOFFES","DERIVADOS",B21="162 - CONVENIOS Y DSC POS ","OTROS"),"OTROS")</f>
        <v>OTROS</v>
      </c>
      <c r="L21" s="27">
        <f t="shared" si="2"/>
        <v>222282048</v>
      </c>
      <c r="M21" s="27">
        <f t="shared" si="3"/>
        <v>222282048</v>
      </c>
    </row>
    <row r="22" spans="1:13" ht="16.5" hidden="1" outlineLevel="1">
      <c r="A22" s="44"/>
      <c r="B22" s="45" t="s">
        <v>34</v>
      </c>
      <c r="C22" s="46">
        <v>26048700</v>
      </c>
      <c r="D22" s="47">
        <v>0</v>
      </c>
      <c r="E22" s="48"/>
      <c r="F22" s="48">
        <v>43207145.729999997</v>
      </c>
      <c r="G22" s="49">
        <f t="shared" si="5"/>
        <v>0.60287944412661398</v>
      </c>
      <c r="H22" s="43">
        <f t="shared" si="6"/>
        <v>0</v>
      </c>
      <c r="I22" s="24">
        <f t="shared" si="6"/>
        <v>0</v>
      </c>
      <c r="J22" s="32" t="str" cm="1">
        <f t="array" ref="J22">IFERROR(_xlfn.IFS(B22="044 - BLEND TRADICION","BLEND",B22="113 - CAFÉ GOURMET","GOURMET",B22="114 - CAFÉ CONSUMO","CONSUMO",B22="112 - CAFÉ ORGANICO","GOURMET",B22="172 - CAFÉ COSECHA","ESPECIALES",B22="176 - CAFE DESCAFEINADO","GOURMET",B22="147 - CAPSULAS","CAPSULAS",B22="130 - GALLETAS CAFECITAS","DERIVADOS",B22="140 - MERENGUES","DERIVADOS",B22="100 - CAFÉ ESPECIAL","ESPECIALES",B22="141 - AREQUIPE","DERIVADOS",B22="142 - MERMELADA","DERIVADOS",B22="131 - GALLETAS AVENA","DERIVADOS",B22="160 - SOUVENIR","OTROS",B22="148 - CARAMELOS","DERIVADOS",B22="143 - CHOCOFFES","DERIVADOS",B22="162 - CONVENIOS Y DSC POS ","OTROS"),"OTROS")</f>
        <v>OTROS</v>
      </c>
      <c r="L22" s="27">
        <f t="shared" si="2"/>
        <v>26048700</v>
      </c>
      <c r="M22" s="27">
        <f t="shared" si="3"/>
        <v>26048700</v>
      </c>
    </row>
    <row r="23" spans="1:13" ht="16.5" hidden="1" outlineLevel="1">
      <c r="A23" s="44"/>
      <c r="B23" s="45" t="s">
        <v>21</v>
      </c>
      <c r="C23" s="46">
        <v>17902500</v>
      </c>
      <c r="D23" s="50">
        <v>0</v>
      </c>
      <c r="E23" s="51"/>
      <c r="F23" s="51">
        <v>40827157.719999999</v>
      </c>
      <c r="G23" s="49">
        <f t="shared" si="5"/>
        <v>0.43849488918083812</v>
      </c>
      <c r="H23" s="43">
        <f t="shared" si="6"/>
        <v>0</v>
      </c>
      <c r="I23" s="24">
        <f t="shared" si="6"/>
        <v>0</v>
      </c>
      <c r="J23" s="32" t="str" cm="1">
        <f t="array" ref="J23">IFERROR(_xlfn.IFS(B23="044 - BLEND TRADICION","BLEND",B23="113 - CAFÉ GOURMET","GOURMET",B23="114 - CAFÉ CONSUMO","CONSUMO",B23="112 - CAFÉ ORGANICO","GOURMET",B23="172 - CAFÉ COSECHA","ESPECIALES",B23="176 - CAFE DESCAFEINADO","GOURMET",B23="147 - CAPSULAS","CAPSULAS",B23="130 - GALLETAS CAFECITAS","DERIVADOS",B23="140 - MERENGUES","DERIVADOS",B23="100 - CAFÉ ESPECIAL","ESPECIALES",B23="141 - AREQUIPE","DERIVADOS",B23="142 - MERMELADA","DERIVADOS",B23="131 - GALLETAS AVENA","DERIVADOS",B23="160 - SOUVENIR","OTROS",B23="148 - CARAMELOS","DERIVADOS",B23="143 - CHOCOFFES","DERIVADOS",B23="162 - CONVENIOS Y DSC POS ","OTROS"),"OTROS")</f>
        <v>GOURMET</v>
      </c>
      <c r="L23" s="27">
        <f t="shared" si="2"/>
        <v>17902500</v>
      </c>
      <c r="M23" s="27">
        <f t="shared" si="3"/>
        <v>17902500</v>
      </c>
    </row>
    <row r="24" spans="1:13" ht="16.5" hidden="1" outlineLevel="1">
      <c r="A24" s="44"/>
      <c r="B24" s="45" t="s">
        <v>26</v>
      </c>
      <c r="C24" s="46">
        <v>0</v>
      </c>
      <c r="D24" s="50">
        <v>0</v>
      </c>
      <c r="E24" s="51"/>
      <c r="F24" s="51">
        <v>72407.34</v>
      </c>
      <c r="G24" s="49">
        <f t="shared" si="5"/>
        <v>0</v>
      </c>
      <c r="H24" s="43">
        <f t="shared" si="6"/>
        <v>0</v>
      </c>
      <c r="I24" s="24">
        <f t="shared" si="6"/>
        <v>0</v>
      </c>
      <c r="J24" s="32" t="str" cm="1">
        <f t="array" ref="J24">IFERROR(_xlfn.IFS(B24="044 - BLEND TRADICION","BLEND",B24="113 - CAFÉ GOURMET","GOURMET",B24="114 - CAFÉ CONSUMO","CONSUMO",B24="112 - CAFÉ ORGANICO","GOURMET",B24="172 - CAFÉ COSECHA","ESPECIALES",B24="176 - CAFE DESCAFEINADO","GOURMET",B24="147 - CAPSULAS","CAPSULAS",B24="130 - GALLETAS CAFECITAS","DERIVADOS",B24="140 - MERENGUES","DERIVADOS",B24="100 - CAFÉ ESPECIAL","ESPECIALES",B24="141 - AREQUIPE","DERIVADOS",B24="142 - MERMELADA","DERIVADOS",B24="131 - GALLETAS AVENA","DERIVADOS",B24="160 - SOUVENIR","OTROS",B24="148 - CARAMELOS","DERIVADOS",B24="143 - CHOCOFFES","DERIVADOS",B24="162 - CONVENIOS Y DSC POS ","OTROS"),"OTROS")</f>
        <v>CAPSULAS</v>
      </c>
      <c r="L24" s="27">
        <f t="shared" si="2"/>
        <v>0</v>
      </c>
      <c r="M24" s="27">
        <f t="shared" si="3"/>
        <v>0</v>
      </c>
    </row>
    <row r="25" spans="1:13" ht="16.5" hidden="1" outlineLevel="1">
      <c r="A25" s="44"/>
      <c r="B25" s="45" t="s">
        <v>28</v>
      </c>
      <c r="C25" s="46">
        <v>0</v>
      </c>
      <c r="D25" s="50">
        <v>0</v>
      </c>
      <c r="E25" s="51"/>
      <c r="F25" s="51">
        <v>7805453.8099999996</v>
      </c>
      <c r="G25" s="49">
        <f t="shared" si="5"/>
        <v>0</v>
      </c>
      <c r="H25" s="43">
        <f t="shared" si="6"/>
        <v>0</v>
      </c>
      <c r="I25" s="24">
        <f t="shared" si="6"/>
        <v>0</v>
      </c>
      <c r="J25" s="32" t="str" cm="1">
        <f t="array" ref="J25">IFERROR(_xlfn.IFS(B25="044 - BLEND TRADICION","BLEND",B25="113 - CAFÉ GOURMET","GOURMET",B25="114 - CAFÉ CONSUMO","CONSUMO",B25="112 - CAFÉ ORGANICO","GOURMET",B25="172 - CAFÉ COSECHA","ESPECIALES",B25="176 - CAFE DESCAFEINADO","GOURMET",B25="147 - CAPSULAS","CAPSULAS",B25="130 - GALLETAS CAFECITAS","DERIVADOS",B25="140 - MERENGUES","DERIVADOS",B25="100 - CAFÉ ESPECIAL","ESPECIALES",B25="141 - AREQUIPE","DERIVADOS",B25="142 - MERMELADA","DERIVADOS",B25="131 - GALLETAS AVENA","DERIVADOS",B25="160 - SOUVENIR","OTROS",B25="148 - CARAMELOS","DERIVADOS",B25="143 - CHOCOFFES","DERIVADOS",B25="162 - CONVENIOS Y DSC POS ","OTROS"),"OTROS")</f>
        <v>OTROS</v>
      </c>
      <c r="L25" s="27">
        <f t="shared" si="2"/>
        <v>0</v>
      </c>
      <c r="M25" s="27">
        <f t="shared" si="3"/>
        <v>0</v>
      </c>
    </row>
    <row r="26" spans="1:13" ht="16.5" hidden="1" outlineLevel="1">
      <c r="A26" s="52" t="s">
        <v>35</v>
      </c>
      <c r="B26" s="20" t="s">
        <v>32</v>
      </c>
      <c r="C26" s="21">
        <f>SUM(C22:C25)</f>
        <v>43951200</v>
      </c>
      <c r="D26" s="53">
        <f t="shared" ref="D26:E26" si="7">SUM(D22)</f>
        <v>0</v>
      </c>
      <c r="E26" s="54">
        <f t="shared" si="7"/>
        <v>0</v>
      </c>
      <c r="F26" s="54">
        <f>SUM(F22:F25)</f>
        <v>91912164.599999994</v>
      </c>
      <c r="G26" s="55">
        <f t="shared" si="5"/>
        <v>0.47818697548115413</v>
      </c>
      <c r="H26" s="43">
        <f t="shared" si="6"/>
        <v>0</v>
      </c>
      <c r="I26" s="24">
        <f t="shared" si="6"/>
        <v>0</v>
      </c>
      <c r="J26" s="32" t="str" cm="1">
        <f t="array" ref="J26">IFERROR(_xlfn.IFS(B26="044 - BLEND TRADICION","BLEND",B26="113 - CAFÉ GOURMET","GOURMET",B26="114 - CAFÉ CONSUMO","CONSUMO",B26="112 - CAFÉ ORGANICO","GOURMET",B26="172 - CAFÉ COSECHA","ESPECIALES",B26="176 - CAFE DESCAFEINADO","GOURMET",B26="147 - CAPSULAS","CAPSULAS",B26="130 - GALLETAS CAFECITAS","DERIVADOS",B26="140 - MERENGUES","DERIVADOS",B26="100 - CAFÉ ESPECIAL","ESPECIALES",B26="141 - AREQUIPE","DERIVADOS",B26="142 - MERMELADA","DERIVADOS",B26="131 - GALLETAS AVENA","DERIVADOS",B26="160 - SOUVENIR","OTROS",B26="148 - CARAMELOS","DERIVADOS",B26="143 - CHOCOFFES","DERIVADOS",B26="162 - CONVENIOS Y DSC POS ","OTROS"),"OTROS")</f>
        <v>OTROS</v>
      </c>
      <c r="L26" s="27">
        <f t="shared" si="2"/>
        <v>43951200</v>
      </c>
      <c r="M26" s="27">
        <f t="shared" si="3"/>
        <v>43951200</v>
      </c>
    </row>
    <row r="27" spans="1:13" ht="16.5" hidden="1" outlineLevel="1">
      <c r="A27" s="44"/>
      <c r="B27" s="45" t="s">
        <v>34</v>
      </c>
      <c r="C27" s="46">
        <v>2899260</v>
      </c>
      <c r="D27" s="47">
        <v>-3928366</v>
      </c>
      <c r="E27" s="48">
        <v>0</v>
      </c>
      <c r="F27" s="48">
        <v>6545773.3099999996</v>
      </c>
      <c r="G27" s="49">
        <f t="shared" si="5"/>
        <v>0.44292092968920738</v>
      </c>
      <c r="H27" s="43">
        <f t="shared" si="6"/>
        <v>-0.57536338399320641</v>
      </c>
      <c r="I27" s="24">
        <f t="shared" si="6"/>
        <v>0</v>
      </c>
      <c r="J27" s="32" t="str" cm="1">
        <f t="array" ref="J27">IFERROR(_xlfn.IFS(B27="044 - BLEND TRADICION","BLEND",B27="113 - CAFÉ GOURMET","GOURMET",B27="114 - CAFÉ CONSUMO","CONSUMO",B27="112 - CAFÉ ORGANICO","GOURMET",B27="172 - CAFÉ COSECHA","ESPECIALES",B27="176 - CAFE DESCAFEINADO","GOURMET",B27="147 - CAPSULAS","CAPSULAS",B27="130 - GALLETAS CAFECITAS","DERIVADOS",B27="140 - MERENGUES","DERIVADOS",B27="100 - CAFÉ ESPECIAL","ESPECIALES",B27="141 - AREQUIPE","DERIVADOS",B27="142 - MERMELADA","DERIVADOS",B27="131 - GALLETAS AVENA","DERIVADOS",B27="160 - SOUVENIR","OTROS",B27="148 - CARAMELOS","DERIVADOS",B27="143 - CHOCOFFES","DERIVADOS",B27="162 - CONVENIOS Y DSC POS ","OTROS"),"OTROS")</f>
        <v>OTROS</v>
      </c>
      <c r="L27" s="27">
        <f t="shared" si="2"/>
        <v>6827626</v>
      </c>
      <c r="M27" s="27">
        <f t="shared" si="3"/>
        <v>6827626</v>
      </c>
    </row>
    <row r="28" spans="1:13" ht="16.5" hidden="1" outlineLevel="1">
      <c r="A28" s="38"/>
      <c r="B28" s="34" t="s">
        <v>19</v>
      </c>
      <c r="C28" s="35">
        <v>1330340</v>
      </c>
      <c r="D28" s="36">
        <v>0</v>
      </c>
      <c r="E28" s="48">
        <v>0</v>
      </c>
      <c r="F28" s="48">
        <v>4061262.59</v>
      </c>
      <c r="G28" s="49">
        <f t="shared" si="5"/>
        <v>0.3275680827129181</v>
      </c>
      <c r="H28" s="23">
        <f t="shared" si="6"/>
        <v>0</v>
      </c>
      <c r="I28" s="24">
        <f t="shared" si="6"/>
        <v>0</v>
      </c>
      <c r="J28" s="32" t="str" cm="1">
        <f t="array" ref="J28">IFERROR(_xlfn.IFS(B28="044 - BLEND TRADICION","BLEND",B28="113 - CAFÉ GOURMET","GOURMET",B28="114 - CAFÉ CONSUMO","CONSUMO",B28="112 - CAFÉ ORGANICO","GOURMET",B28="172 - CAFÉ COSECHA","ESPECIALES",B28="176 - CAFE DESCAFEINADO","GOURMET",B28="147 - CAPSULAS","CAPSULAS",B28="130 - GALLETAS CAFECITAS","DERIVADOS",B28="140 - MERENGUES","DERIVADOS",B28="100 - CAFÉ ESPECIAL","ESPECIALES",B28="141 - AREQUIPE","DERIVADOS",B28="142 - MERMELADA","DERIVADOS",B28="131 - GALLETAS AVENA","DERIVADOS",B28="160 - SOUVENIR","OTROS",B28="148 - CARAMELOS","DERIVADOS",B28="143 - CHOCOFFES","DERIVADOS",B28="162 - CONVENIOS Y DSC POS ","OTROS"),"OTROS")</f>
        <v>ESPECIALES</v>
      </c>
      <c r="L28" s="27">
        <f t="shared" si="2"/>
        <v>1330340</v>
      </c>
      <c r="M28" s="27">
        <f t="shared" si="3"/>
        <v>1330340</v>
      </c>
    </row>
    <row r="29" spans="1:13" ht="16.5" hidden="1" outlineLevel="1">
      <c r="A29" s="38"/>
      <c r="B29" s="39" t="s">
        <v>20</v>
      </c>
      <c r="C29" s="36">
        <v>639804</v>
      </c>
      <c r="D29" s="36">
        <v>0</v>
      </c>
      <c r="E29" s="48">
        <v>0</v>
      </c>
      <c r="F29" s="48">
        <v>1222472.22</v>
      </c>
      <c r="G29" s="49">
        <f t="shared" si="5"/>
        <v>0.52336894821217284</v>
      </c>
      <c r="H29" s="23">
        <f t="shared" si="6"/>
        <v>0</v>
      </c>
      <c r="I29" s="24">
        <f t="shared" si="6"/>
        <v>0</v>
      </c>
      <c r="J29" s="32" t="str" cm="1">
        <f t="array" ref="J29">IFERROR(_xlfn.IFS(B29="044 - BLEND TRADICION","BLEND",B29="113 - CAFÉ GOURMET","GOURMET",B29="114 - CAFÉ CONSUMO","CONSUMO",B29="112 - CAFÉ ORGANICO","GOURMET",B29="172 - CAFÉ COSECHA","ESPECIALES",B29="176 - CAFE DESCAFEINADO","GOURMET",B29="147 - CAPSULAS","CAPSULAS",B29="130 - GALLETAS CAFECITAS","DERIVADOS",B29="140 - MERENGUES","DERIVADOS",B29="100 - CAFÉ ESPECIAL","ESPECIALES",B29="141 - AREQUIPE","DERIVADOS",B29="142 - MERMELADA","DERIVADOS",B29="131 - GALLETAS AVENA","DERIVADOS",B29="160 - SOUVENIR","OTROS",B29="148 - CARAMELOS","DERIVADOS",B29="143 - CHOCOFFES","DERIVADOS",B29="162 - CONVENIOS Y DSC POS ","OTROS"),"OTROS")</f>
        <v>GOURMET</v>
      </c>
      <c r="L29" s="27">
        <f t="shared" si="2"/>
        <v>639804</v>
      </c>
      <c r="M29" s="27">
        <f t="shared" si="3"/>
        <v>639804</v>
      </c>
    </row>
    <row r="30" spans="1:13" ht="16.5" hidden="1" outlineLevel="1">
      <c r="A30" s="38"/>
      <c r="B30" s="39" t="s">
        <v>21</v>
      </c>
      <c r="C30" s="36">
        <v>99714204</v>
      </c>
      <c r="D30" s="36">
        <v>-8013700</v>
      </c>
      <c r="E30" s="48">
        <v>0</v>
      </c>
      <c r="F30" s="48">
        <v>223480484.16999999</v>
      </c>
      <c r="G30" s="49">
        <f t="shared" si="5"/>
        <v>0.44618752447371701</v>
      </c>
      <c r="H30" s="23">
        <f t="shared" si="6"/>
        <v>-7.438834046191041E-2</v>
      </c>
      <c r="I30" s="24">
        <f t="shared" si="6"/>
        <v>0</v>
      </c>
      <c r="J30" s="32" t="str" cm="1">
        <f t="array" ref="J30">IFERROR(_xlfn.IFS(B30="044 - BLEND TRADICION","BLEND",B30="113 - CAFÉ GOURMET","GOURMET",B30="114 - CAFÉ CONSUMO","CONSUMO",B30="112 - CAFÉ ORGANICO","GOURMET",B30="172 - CAFÉ COSECHA","ESPECIALES",B30="176 - CAFE DESCAFEINADO","GOURMET",B30="147 - CAPSULAS","CAPSULAS",B30="130 - GALLETAS CAFECITAS","DERIVADOS",B30="140 - MERENGUES","DERIVADOS",B30="100 - CAFÉ ESPECIAL","ESPECIALES",B30="141 - AREQUIPE","DERIVADOS",B30="142 - MERMELADA","DERIVADOS",B30="131 - GALLETAS AVENA","DERIVADOS",B30="160 - SOUVENIR","OTROS",B30="148 - CARAMELOS","DERIVADOS",B30="143 - CHOCOFFES","DERIVADOS",B30="162 - CONVENIOS Y DSC POS ","OTROS"),"OTROS")</f>
        <v>GOURMET</v>
      </c>
      <c r="L30" s="27">
        <f t="shared" si="2"/>
        <v>107727904</v>
      </c>
      <c r="M30" s="27">
        <f t="shared" si="3"/>
        <v>107727904</v>
      </c>
    </row>
    <row r="31" spans="1:13" ht="16.5" hidden="1" outlineLevel="1">
      <c r="A31" s="38"/>
      <c r="B31" s="39" t="s">
        <v>38</v>
      </c>
      <c r="C31" s="36">
        <v>14257425</v>
      </c>
      <c r="D31" s="36">
        <v>0</v>
      </c>
      <c r="E31" s="48">
        <v>0</v>
      </c>
      <c r="F31" s="48">
        <v>12078505</v>
      </c>
      <c r="G31" s="49">
        <f t="shared" si="5"/>
        <v>1.1803964977453749</v>
      </c>
      <c r="H31" s="23">
        <f t="shared" si="6"/>
        <v>0</v>
      </c>
      <c r="I31" s="24">
        <f t="shared" si="6"/>
        <v>0</v>
      </c>
      <c r="J31" s="32" t="str" cm="1">
        <f t="array" ref="J31">IFERROR(_xlfn.IFS(B31="044 - BLEND TRADICION","BLEND",B31="113 - CAFÉ GOURMET","GOURMET",B31="114 - CAFÉ CONSUMO","CONSUMO",B31="112 - CAFÉ ORGANICO","GOURMET",B31="172 - CAFÉ COSECHA","ESPECIALES",B31="176 - CAFE DESCAFEINADO","GOURMET",B31="147 - CAPSULAS","CAPSULAS",B31="130 - GALLETAS CAFECITAS","DERIVADOS",B31="140 - MERENGUES","DERIVADOS",B31="100 - CAFÉ ESPECIAL","ESPECIALES",B31="141 - AREQUIPE","DERIVADOS",B31="142 - MERMELADA","DERIVADOS",B31="131 - GALLETAS AVENA","DERIVADOS",B31="160 - SOUVENIR","OTROS",B31="148 - CARAMELOS","DERIVADOS",B31="143 - CHOCOFFES","DERIVADOS",B31="162 - CONVENIOS Y DSC POS ","OTROS"),"OTROS")</f>
        <v>CONSUMO</v>
      </c>
      <c r="L31" s="27">
        <f t="shared" si="2"/>
        <v>14257425</v>
      </c>
      <c r="M31" s="27">
        <f t="shared" si="3"/>
        <v>14257425</v>
      </c>
    </row>
    <row r="32" spans="1:13" ht="16.5" hidden="1" outlineLevel="1">
      <c r="A32" s="38"/>
      <c r="B32" s="39" t="s">
        <v>22</v>
      </c>
      <c r="C32" s="36">
        <v>1326682</v>
      </c>
      <c r="D32" s="36">
        <v>0</v>
      </c>
      <c r="E32" s="48">
        <v>0</v>
      </c>
      <c r="F32" s="48">
        <v>876245.45</v>
      </c>
      <c r="G32" s="49">
        <f t="shared" si="5"/>
        <v>1.5140529403034275</v>
      </c>
      <c r="H32" s="23">
        <f t="shared" si="6"/>
        <v>0</v>
      </c>
      <c r="I32" s="24">
        <f t="shared" si="6"/>
        <v>0</v>
      </c>
      <c r="J32" s="32" t="str" cm="1">
        <f t="array" ref="J32">IFERROR(_xlfn.IFS(B32="044 - BLEND TRADICION","BLEND",B32="113 - CAFÉ GOURMET","GOURMET",B32="114 - CAFÉ CONSUMO","CONSUMO",B32="112 - CAFÉ ORGANICO","GOURMET",B32="172 - CAFÉ COSECHA","ESPECIALES",B32="176 - CAFE DESCAFEINADO","GOURMET",B32="147 - CAPSULAS","CAPSULAS",B32="130 - GALLETAS CAFECITAS","DERIVADOS",B32="140 - MERENGUES","DERIVADOS",B32="100 - CAFÉ ESPECIAL","ESPECIALES",B32="141 - AREQUIPE","DERIVADOS",B32="142 - MERMELADA","DERIVADOS",B32="131 - GALLETAS AVENA","DERIVADOS",B32="160 - SOUVENIR","OTROS",B32="148 - CARAMELOS","DERIVADOS",B32="143 - CHOCOFFES","DERIVADOS",B32="162 - CONVENIOS Y DSC POS ","OTROS"),"OTROS")</f>
        <v>DERIVADOS</v>
      </c>
      <c r="L32" s="27">
        <f t="shared" si="2"/>
        <v>1326682</v>
      </c>
      <c r="M32" s="27">
        <f t="shared" si="3"/>
        <v>1326682</v>
      </c>
    </row>
    <row r="33" spans="1:13" ht="16.5" hidden="1" outlineLevel="1">
      <c r="A33" s="38"/>
      <c r="B33" s="39" t="s">
        <v>23</v>
      </c>
      <c r="C33" s="36">
        <v>49717</v>
      </c>
      <c r="D33" s="36">
        <v>0</v>
      </c>
      <c r="E33" s="48"/>
      <c r="F33" s="48">
        <v>315313</v>
      </c>
      <c r="G33" s="49">
        <f t="shared" si="5"/>
        <v>0.15767507207124348</v>
      </c>
      <c r="H33" s="23">
        <f t="shared" si="6"/>
        <v>0</v>
      </c>
      <c r="I33" s="24">
        <f t="shared" si="6"/>
        <v>0</v>
      </c>
      <c r="J33" s="32" t="str" cm="1">
        <f t="array" ref="J33">IFERROR(_xlfn.IFS(B33="044 - BLEND TRADICION","BLEND",B33="113 - CAFÉ GOURMET","GOURMET",B33="114 - CAFÉ CONSUMO","CONSUMO",B33="112 - CAFÉ ORGANICO","GOURMET",B33="172 - CAFÉ COSECHA","ESPECIALES",B33="176 - CAFE DESCAFEINADO","GOURMET",B33="147 - CAPSULAS","CAPSULAS",B33="130 - GALLETAS CAFECITAS","DERIVADOS",B33="140 - MERENGUES","DERIVADOS",B33="100 - CAFÉ ESPECIAL","ESPECIALES",B33="141 - AREQUIPE","DERIVADOS",B33="142 - MERMELADA","DERIVADOS",B33="131 - GALLETAS AVENA","DERIVADOS",B33="160 - SOUVENIR","OTROS",B33="148 - CARAMELOS","DERIVADOS",B33="143 - CHOCOFFES","DERIVADOS",B33="162 - CONVENIOS Y DSC POS ","OTROS"),"OTROS")</f>
        <v>DERIVADOS</v>
      </c>
      <c r="L33" s="27">
        <f t="shared" si="2"/>
        <v>49717</v>
      </c>
      <c r="M33" s="27">
        <f t="shared" si="3"/>
        <v>49717</v>
      </c>
    </row>
    <row r="34" spans="1:13" ht="16.5" hidden="1" outlineLevel="1">
      <c r="A34" s="38"/>
      <c r="B34" s="39" t="s">
        <v>24</v>
      </c>
      <c r="C34" s="36">
        <v>344071</v>
      </c>
      <c r="D34" s="36">
        <v>0</v>
      </c>
      <c r="E34" s="48"/>
      <c r="F34" s="48">
        <v>443819.64</v>
      </c>
      <c r="G34" s="49">
        <f t="shared" si="5"/>
        <v>0.7752496036453006</v>
      </c>
      <c r="H34" s="23">
        <f t="shared" si="6"/>
        <v>0</v>
      </c>
      <c r="I34" s="24">
        <f t="shared" si="6"/>
        <v>0</v>
      </c>
      <c r="J34" s="32" t="str" cm="1">
        <f t="array" ref="J34">IFERROR(_xlfn.IFS(B34="044 - BLEND TRADICION","BLEND",B34="113 - CAFÉ GOURMET","GOURMET",B34="114 - CAFÉ CONSUMO","CONSUMO",B34="112 - CAFÉ ORGANICO","GOURMET",B34="172 - CAFÉ COSECHA","ESPECIALES",B34="176 - CAFE DESCAFEINADO","GOURMET",B34="147 - CAPSULAS","CAPSULAS",B34="130 - GALLETAS CAFECITAS","DERIVADOS",B34="140 - MERENGUES","DERIVADOS",B34="100 - CAFÉ ESPECIAL","ESPECIALES",B34="141 - AREQUIPE","DERIVADOS",B34="142 - MERMELADA","DERIVADOS",B34="131 - GALLETAS AVENA","DERIVADOS",B34="160 - SOUVENIR","OTROS",B34="148 - CARAMELOS","DERIVADOS",B34="143 - CHOCOFFES","DERIVADOS",B34="162 - CONVENIOS Y DSC POS ","OTROS"),"OTROS")</f>
        <v>DERIVADOS</v>
      </c>
      <c r="L34" s="27">
        <f t="shared" si="2"/>
        <v>344071</v>
      </c>
      <c r="M34" s="27">
        <f t="shared" si="3"/>
        <v>344071</v>
      </c>
    </row>
    <row r="35" spans="1:13" ht="16.5" hidden="1" outlineLevel="1">
      <c r="A35" s="38"/>
      <c r="B35" s="39" t="s">
        <v>25</v>
      </c>
      <c r="C35" s="36">
        <v>183833</v>
      </c>
      <c r="D35" s="36">
        <v>0</v>
      </c>
      <c r="E35" s="48"/>
      <c r="F35" s="48">
        <v>253263.49</v>
      </c>
      <c r="G35" s="49">
        <f t="shared" si="5"/>
        <v>0.72585669572823153</v>
      </c>
      <c r="H35" s="23">
        <f t="shared" si="6"/>
        <v>0</v>
      </c>
      <c r="I35" s="24">
        <f t="shared" si="6"/>
        <v>0</v>
      </c>
      <c r="J35" s="32" t="str" cm="1">
        <f t="array" ref="J35">IFERROR(_xlfn.IFS(B35="044 - BLEND TRADICION","BLEND",B35="113 - CAFÉ GOURMET","GOURMET",B35="114 - CAFÉ CONSUMO","CONSUMO",B35="112 - CAFÉ ORGANICO","GOURMET",B35="172 - CAFÉ COSECHA","ESPECIALES",B35="176 - CAFE DESCAFEINADO","GOURMET",B35="147 - CAPSULAS","CAPSULAS",B35="130 - GALLETAS CAFECITAS","DERIVADOS",B35="140 - MERENGUES","DERIVADOS",B35="100 - CAFÉ ESPECIAL","ESPECIALES",B35="141 - AREQUIPE","DERIVADOS",B35="142 - MERMELADA","DERIVADOS",B35="131 - GALLETAS AVENA","DERIVADOS",B35="160 - SOUVENIR","OTROS",B35="148 - CARAMELOS","DERIVADOS",B35="143 - CHOCOFFES","DERIVADOS",B35="162 - CONVENIOS Y DSC POS ","OTROS"),"OTROS")</f>
        <v>DERIVADOS</v>
      </c>
      <c r="L35" s="27">
        <f t="shared" si="2"/>
        <v>183833</v>
      </c>
      <c r="M35" s="27">
        <f t="shared" si="3"/>
        <v>183833</v>
      </c>
    </row>
    <row r="36" spans="1:13" ht="16.5" hidden="1" outlineLevel="1">
      <c r="A36" s="38"/>
      <c r="B36" s="39" t="s">
        <v>26</v>
      </c>
      <c r="C36" s="36">
        <v>12222125</v>
      </c>
      <c r="D36" s="36">
        <v>-1819838</v>
      </c>
      <c r="E36" s="48"/>
      <c r="F36" s="48">
        <v>19346780.550000001</v>
      </c>
      <c r="G36" s="49">
        <f t="shared" si="5"/>
        <v>0.63173947564107769</v>
      </c>
      <c r="H36" s="23">
        <f t="shared" si="6"/>
        <v>-0.12959997117212174</v>
      </c>
      <c r="I36" s="24">
        <f t="shared" si="6"/>
        <v>0</v>
      </c>
      <c r="J36" s="32" t="str" cm="1">
        <f t="array" ref="J36">IFERROR(_xlfn.IFS(B36="044 - BLEND TRADICION","BLEND",B36="113 - CAFÉ GOURMET","GOURMET",B36="114 - CAFÉ CONSUMO","CONSUMO",B36="112 - CAFÉ ORGANICO","GOURMET",B36="172 - CAFÉ COSECHA","ESPECIALES",B36="176 - CAFE DESCAFEINADO","GOURMET",B36="147 - CAPSULAS","CAPSULAS",B36="130 - GALLETAS CAFECITAS","DERIVADOS",B36="140 - MERENGUES","DERIVADOS",B36="100 - CAFÉ ESPECIAL","ESPECIALES",B36="141 - AREQUIPE","DERIVADOS",B36="142 - MERMELADA","DERIVADOS",B36="131 - GALLETAS AVENA","DERIVADOS",B36="160 - SOUVENIR","OTROS",B36="148 - CARAMELOS","DERIVADOS",B36="143 - CHOCOFFES","DERIVADOS",B36="162 - CONVENIOS Y DSC POS ","OTROS"),"OTROS")</f>
        <v>CAPSULAS</v>
      </c>
      <c r="L36" s="27">
        <f t="shared" si="2"/>
        <v>14041963</v>
      </c>
      <c r="M36" s="27">
        <f t="shared" si="3"/>
        <v>14041963</v>
      </c>
    </row>
    <row r="37" spans="1:13" ht="16.5" hidden="1" outlineLevel="1">
      <c r="A37" s="38"/>
      <c r="B37" s="39" t="s">
        <v>27</v>
      </c>
      <c r="C37" s="36">
        <v>263222</v>
      </c>
      <c r="D37" s="36">
        <v>0</v>
      </c>
      <c r="E37" s="48"/>
      <c r="F37" s="48">
        <v>709870.17</v>
      </c>
      <c r="G37" s="49">
        <f t="shared" si="5"/>
        <v>0.37080301599375559</v>
      </c>
      <c r="H37" s="23">
        <f t="shared" ref="H37:I91" si="8">IFERROR(+D37/L37*100%,0)</f>
        <v>0</v>
      </c>
      <c r="I37" s="24">
        <f t="shared" si="8"/>
        <v>0</v>
      </c>
      <c r="J37" s="32" t="str" cm="1">
        <f t="array" ref="J37">IFERROR(_xlfn.IFS(B37="044 - BLEND TRADICION","BLEND",B37="113 - CAFÉ GOURMET","GOURMET",B37="114 - CAFÉ CONSUMO","CONSUMO",B37="112 - CAFÉ ORGANICO","GOURMET",B37="172 - CAFÉ COSECHA","ESPECIALES",B37="176 - CAFE DESCAFEINADO","GOURMET",B37="147 - CAPSULAS","CAPSULAS",B37="130 - GALLETAS CAFECITAS","DERIVADOS",B37="140 - MERENGUES","DERIVADOS",B37="100 - CAFÉ ESPECIAL","ESPECIALES",B37="141 - AREQUIPE","DERIVADOS",B37="142 - MERMELADA","DERIVADOS",B37="131 - GALLETAS AVENA","DERIVADOS",B37="160 - SOUVENIR","OTROS",B37="148 - CARAMELOS","DERIVADOS",B37="143 - CHOCOFFES","DERIVADOS",B37="162 - CONVENIOS Y DSC POS ","OTROS"),"OTROS")</f>
        <v>DERIVADOS</v>
      </c>
      <c r="L37" s="27">
        <f t="shared" si="2"/>
        <v>263222</v>
      </c>
      <c r="M37" s="27">
        <f t="shared" si="3"/>
        <v>263222</v>
      </c>
    </row>
    <row r="38" spans="1:13" ht="16.5" hidden="1" outlineLevel="1">
      <c r="A38" s="38"/>
      <c r="B38" s="39" t="s">
        <v>28</v>
      </c>
      <c r="C38" s="36">
        <v>230329</v>
      </c>
      <c r="D38" s="36">
        <v>0</v>
      </c>
      <c r="E38" s="48"/>
      <c r="F38" s="48">
        <v>926563.16</v>
      </c>
      <c r="G38" s="49">
        <f t="shared" si="5"/>
        <v>0.24858424114336683</v>
      </c>
      <c r="H38" s="23">
        <f t="shared" si="8"/>
        <v>0</v>
      </c>
      <c r="I38" s="24">
        <f t="shared" si="8"/>
        <v>0</v>
      </c>
      <c r="J38" s="32" t="str" cm="1">
        <f t="array" ref="J38">IFERROR(_xlfn.IFS(B38="044 - BLEND TRADICION","BLEND",B38="113 - CAFÉ GOURMET","GOURMET",B38="114 - CAFÉ CONSUMO","CONSUMO",B38="112 - CAFÉ ORGANICO","GOURMET",B38="172 - CAFÉ COSECHA","ESPECIALES",B38="176 - CAFE DESCAFEINADO","GOURMET",B38="147 - CAPSULAS","CAPSULAS",B38="130 - GALLETAS CAFECITAS","DERIVADOS",B38="140 - MERENGUES","DERIVADOS",B38="100 - CAFÉ ESPECIAL","ESPECIALES",B38="141 - AREQUIPE","DERIVADOS",B38="142 - MERMELADA","DERIVADOS",B38="131 - GALLETAS AVENA","DERIVADOS",B38="160 - SOUVENIR","OTROS",B38="148 - CARAMELOS","DERIVADOS",B38="143 - CHOCOFFES","DERIVADOS",B38="162 - CONVENIOS Y DSC POS ","OTROS"),"OTROS")</f>
        <v>OTROS</v>
      </c>
      <c r="L38" s="27">
        <f t="shared" si="2"/>
        <v>230329</v>
      </c>
      <c r="M38" s="27">
        <f t="shared" si="3"/>
        <v>230329</v>
      </c>
    </row>
    <row r="39" spans="1:13" ht="16.5" hidden="1" outlineLevel="1">
      <c r="A39" s="38"/>
      <c r="B39" s="39" t="s">
        <v>29</v>
      </c>
      <c r="C39" s="36">
        <v>167160</v>
      </c>
      <c r="D39" s="36">
        <v>0</v>
      </c>
      <c r="E39" s="48"/>
      <c r="F39" s="48">
        <v>1035996.29</v>
      </c>
      <c r="G39" s="49">
        <f t="shared" si="5"/>
        <v>0.16135192916569227</v>
      </c>
      <c r="H39" s="23">
        <f t="shared" si="8"/>
        <v>0</v>
      </c>
      <c r="I39" s="24">
        <f t="shared" si="8"/>
        <v>0</v>
      </c>
      <c r="J39" s="32" t="str" cm="1">
        <f t="array" ref="J39">IFERROR(_xlfn.IFS(B39="044 - BLEND TRADICION","BLEND",B39="113 - CAFÉ GOURMET","GOURMET",B39="114 - CAFÉ CONSUMO","CONSUMO",B39="112 - CAFÉ ORGANICO","GOURMET",B39="172 - CAFÉ COSECHA","ESPECIALES",B39="176 - CAFE DESCAFEINADO","GOURMET",B39="147 - CAPSULAS","CAPSULAS",B39="130 - GALLETAS CAFECITAS","DERIVADOS",B39="140 - MERENGUES","DERIVADOS",B39="100 - CAFÉ ESPECIAL","ESPECIALES",B39="141 - AREQUIPE","DERIVADOS",B39="142 - MERMELADA","DERIVADOS",B39="131 - GALLETAS AVENA","DERIVADOS",B39="160 - SOUVENIR","OTROS",B39="148 - CARAMELOS","DERIVADOS",B39="143 - CHOCOFFES","DERIVADOS",B39="162 - CONVENIOS Y DSC POS ","OTROS"),"OTROS")</f>
        <v>ESPECIALES</v>
      </c>
      <c r="L39" s="27">
        <f t="shared" si="2"/>
        <v>167160</v>
      </c>
      <c r="M39" s="27">
        <f t="shared" si="3"/>
        <v>167160</v>
      </c>
    </row>
    <row r="40" spans="1:13" ht="16.5" hidden="1" outlineLevel="1">
      <c r="A40" s="38"/>
      <c r="B40" s="39" t="s">
        <v>30</v>
      </c>
      <c r="C40" s="36">
        <v>63262</v>
      </c>
      <c r="D40" s="36">
        <v>0</v>
      </c>
      <c r="E40" s="48"/>
      <c r="F40" s="48">
        <v>573972.9</v>
      </c>
      <c r="G40" s="49">
        <f t="shared" si="5"/>
        <v>0.11021774721419773</v>
      </c>
      <c r="H40" s="23">
        <f t="shared" si="8"/>
        <v>0</v>
      </c>
      <c r="I40" s="24">
        <f t="shared" si="8"/>
        <v>0</v>
      </c>
      <c r="J40" s="32" t="str" cm="1">
        <f t="array" ref="J40">IFERROR(_xlfn.IFS(B40="044 - BLEND TRADICION","BLEND",B40="113 - CAFÉ GOURMET","GOURMET",B40="114 - CAFÉ CONSUMO","CONSUMO",B40="112 - CAFÉ ORGANICO","GOURMET",B40="172 - CAFÉ COSECHA","ESPECIALES",B40="176 - CAFE DESCAFEINADO","GOURMET",B40="147 - CAPSULAS","CAPSULAS",B40="130 - GALLETAS CAFECITAS","DERIVADOS",B40="140 - MERENGUES","DERIVADOS",B40="100 - CAFÉ ESPECIAL","ESPECIALES",B40="141 - AREQUIPE","DERIVADOS",B40="142 - MERMELADA","DERIVADOS",B40="131 - GALLETAS AVENA","DERIVADOS",B40="160 - SOUVENIR","OTROS",B40="148 - CARAMELOS","DERIVADOS",B40="143 - CHOCOFFES","DERIVADOS",B40="162 - CONVENIOS Y DSC POS ","OTROS"),"OTROS")</f>
        <v>GOURMET</v>
      </c>
      <c r="L40" s="27">
        <f t="shared" si="2"/>
        <v>63262</v>
      </c>
      <c r="M40" s="27">
        <f t="shared" si="3"/>
        <v>63262</v>
      </c>
    </row>
    <row r="41" spans="1:13" ht="16.5" hidden="1" outlineLevel="1">
      <c r="A41" s="38"/>
      <c r="B41" s="39" t="s">
        <v>31</v>
      </c>
      <c r="C41" s="36">
        <v>12000</v>
      </c>
      <c r="D41" s="36">
        <v>0</v>
      </c>
      <c r="E41" s="48"/>
      <c r="F41" s="48">
        <v>0</v>
      </c>
      <c r="G41" s="49" t="str">
        <f t="shared" si="5"/>
        <v>-</v>
      </c>
      <c r="H41" s="23">
        <f t="shared" si="8"/>
        <v>0</v>
      </c>
      <c r="I41" s="24">
        <f t="shared" si="8"/>
        <v>0</v>
      </c>
      <c r="J41" s="32" t="str" cm="1">
        <f t="array" ref="J41">IFERROR(_xlfn.IFS(B41="044 - BLEND TRADICION","BLEND",B41="113 - CAFÉ GOURMET","GOURMET",B41="114 - CAFÉ CONSUMO","CONSUMO",B41="112 - CAFÉ ORGANICO","GOURMET",B41="172 - CAFÉ COSECHA","ESPECIALES",B41="176 - CAFE DESCAFEINADO","GOURMET",B41="147 - CAPSULAS","CAPSULAS",B41="130 - GALLETAS CAFECITAS","DERIVADOS",B41="140 - MERENGUES","DERIVADOS",B41="100 - CAFÉ ESPECIAL","ESPECIALES",B41="141 - AREQUIPE","DERIVADOS",B41="142 - MERMELADA","DERIVADOS",B41="131 - GALLETAS AVENA","DERIVADOS",B41="160 - SOUVENIR","OTROS",B41="148 - CARAMELOS","DERIVADOS",B41="143 - CHOCOFFES","DERIVADOS",B41="162 - CONVENIOS Y DSC POS ","OTROS"),"OTROS")</f>
        <v>OTROS</v>
      </c>
      <c r="L41" s="27">
        <f t="shared" si="2"/>
        <v>12000</v>
      </c>
      <c r="M41" s="27">
        <f t="shared" si="3"/>
        <v>12000</v>
      </c>
    </row>
    <row r="42" spans="1:13" ht="16.5" hidden="1" outlineLevel="1">
      <c r="A42" s="19" t="s">
        <v>37</v>
      </c>
      <c r="B42" s="56" t="s">
        <v>32</v>
      </c>
      <c r="C42" s="54">
        <f>SUM(C27:C41)</f>
        <v>133703434</v>
      </c>
      <c r="D42" s="54">
        <f>SUM(D27:D41)</f>
        <v>-13761904</v>
      </c>
      <c r="E42" s="54">
        <f>SUM(E27:E41)</f>
        <v>0</v>
      </c>
      <c r="F42" s="54">
        <f>SUM(F27:F41)</f>
        <v>271870321.94</v>
      </c>
      <c r="G42" s="55">
        <f t="shared" si="5"/>
        <v>0.49179120782998698</v>
      </c>
      <c r="H42" s="23">
        <f t="shared" si="8"/>
        <v>-9.3322974650490415E-2</v>
      </c>
      <c r="I42" s="24">
        <f t="shared" si="8"/>
        <v>0</v>
      </c>
      <c r="J42" s="32" t="str" cm="1">
        <f t="array" ref="J42">IFERROR(_xlfn.IFS(B42="044 - BLEND TRADICION","BLEND",B42="113 - CAFÉ GOURMET","GOURMET",B42="114 - CAFÉ CONSUMO","CONSUMO",B42="112 - CAFÉ ORGANICO","GOURMET",B42="172 - CAFÉ COSECHA","ESPECIALES",B42="176 - CAFE DESCAFEINADO","GOURMET",B42="147 - CAPSULAS","CAPSULAS",B42="130 - GALLETAS CAFECITAS","DERIVADOS",B42="140 - MERENGUES","DERIVADOS",B42="100 - CAFÉ ESPECIAL","ESPECIALES",B42="141 - AREQUIPE","DERIVADOS",B42="142 - MERMELADA","DERIVADOS",B42="131 - GALLETAS AVENA","DERIVADOS",B42="160 - SOUVENIR","OTROS",B42="148 - CARAMELOS","DERIVADOS",B42="143 - CHOCOFFES","DERIVADOS",B42="162 - CONVENIOS Y DSC POS ","OTROS"),"OTROS")</f>
        <v>OTROS</v>
      </c>
      <c r="L42" s="27">
        <f t="shared" si="2"/>
        <v>147465338</v>
      </c>
      <c r="M42" s="27">
        <f t="shared" si="3"/>
        <v>147465338</v>
      </c>
    </row>
    <row r="43" spans="1:13" ht="16.5" hidden="1" outlineLevel="1">
      <c r="A43" s="38"/>
      <c r="B43" s="39" t="s">
        <v>34</v>
      </c>
      <c r="C43" s="36">
        <v>7510</v>
      </c>
      <c r="D43" s="36">
        <v>0</v>
      </c>
      <c r="E43" s="48">
        <v>0</v>
      </c>
      <c r="F43" s="48">
        <v>16995.71</v>
      </c>
      <c r="G43" s="49">
        <f t="shared" si="5"/>
        <v>0.44187621464475452</v>
      </c>
      <c r="H43" s="23">
        <f t="shared" si="8"/>
        <v>0</v>
      </c>
      <c r="I43" s="24">
        <f t="shared" si="8"/>
        <v>0</v>
      </c>
      <c r="J43" s="32" t="str" cm="1">
        <f t="array" ref="J43">IFERROR(_xlfn.IFS(B43="044 - BLEND TRADICION","BLEND",B43="113 - CAFÉ GOURMET","GOURMET",B43="114 - CAFÉ CONSUMO","CONSUMO",B43="112 - CAFÉ ORGANICO","GOURMET",B43="172 - CAFÉ COSECHA","ESPECIALES",B43="176 - CAFE DESCAFEINADO","GOURMET",B43="147 - CAPSULAS","CAPSULAS",B43="130 - GALLETAS CAFECITAS","DERIVADOS",B43="140 - MERENGUES","DERIVADOS",B43="100 - CAFÉ ESPECIAL","ESPECIALES",B43="141 - AREQUIPE","DERIVADOS",B43="142 - MERMELADA","DERIVADOS",B43="131 - GALLETAS AVENA","DERIVADOS",B43="160 - SOUVENIR","OTROS",B43="148 - CARAMELOS","DERIVADOS",B43="143 - CHOCOFFES","DERIVADOS",B43="162 - CONVENIOS Y DSC POS ","OTROS"),"OTROS")</f>
        <v>OTROS</v>
      </c>
      <c r="L43" s="27">
        <f t="shared" si="2"/>
        <v>7510</v>
      </c>
      <c r="M43" s="27">
        <f t="shared" si="3"/>
        <v>7510</v>
      </c>
    </row>
    <row r="44" spans="1:13" ht="16.5" hidden="1" outlineLevel="1">
      <c r="A44" s="38"/>
      <c r="B44" s="39" t="s">
        <v>95</v>
      </c>
      <c r="C44" s="36">
        <v>522421</v>
      </c>
      <c r="D44" s="36">
        <v>-82846</v>
      </c>
      <c r="E44" s="48">
        <v>0</v>
      </c>
      <c r="F44" s="48">
        <v>0</v>
      </c>
      <c r="G44" s="49" t="str">
        <f t="shared" si="5"/>
        <v>-</v>
      </c>
      <c r="H44" s="23">
        <f t="shared" si="8"/>
        <v>-0.1368751311404719</v>
      </c>
      <c r="I44" s="24">
        <f t="shared" si="8"/>
        <v>0</v>
      </c>
      <c r="J44" s="32" t="str" cm="1">
        <f t="array" ref="J44">IFERROR(_xlfn.IFS(B44="044 - BLEND TRADICION","BLEND",B44="113 - CAFÉ GOURMET","GOURMET",B44="114 - CAFÉ CONSUMO","CONSUMO",B44="112 - CAFÉ ORGANICO","GOURMET",B44="172 - CAFÉ COSECHA","ESPECIALES",B44="176 - CAFE DESCAFEINADO","GOURMET",B44="147 - CAPSULAS","CAPSULAS",B44="130 - GALLETAS CAFECITAS","DERIVADOS",B44="140 - MERENGUES","DERIVADOS",B44="100 - CAFÉ ESPECIAL","ESPECIALES",B44="141 - AREQUIPE","DERIVADOS",B44="142 - MERMELADA","DERIVADOS",B44="131 - GALLETAS AVENA","DERIVADOS",B44="160 - SOUVENIR","OTROS",B44="148 - CARAMELOS","DERIVADOS",B44="143 - CHOCOFFES","DERIVADOS",B44="162 - CONVENIOS Y DSC POS ","OTROS"),"OTROS")</f>
        <v>OTROS</v>
      </c>
      <c r="L44" s="27">
        <f t="shared" si="2"/>
        <v>605267</v>
      </c>
      <c r="M44" s="27">
        <f t="shared" si="3"/>
        <v>605267</v>
      </c>
    </row>
    <row r="45" spans="1:13" ht="16.5" hidden="1" outlineLevel="1">
      <c r="A45" s="38"/>
      <c r="B45" s="39" t="s">
        <v>42</v>
      </c>
      <c r="C45" s="36">
        <v>348131</v>
      </c>
      <c r="D45" s="36">
        <v>0</v>
      </c>
      <c r="E45" s="48">
        <v>0</v>
      </c>
      <c r="F45" s="48">
        <v>0</v>
      </c>
      <c r="G45" s="49" t="str">
        <f t="shared" si="5"/>
        <v>-</v>
      </c>
      <c r="H45" s="23">
        <f t="shared" si="8"/>
        <v>0</v>
      </c>
      <c r="I45" s="24">
        <f t="shared" si="8"/>
        <v>0</v>
      </c>
      <c r="J45" s="32" t="str" cm="1">
        <f t="array" ref="J45">IFERROR(_xlfn.IFS(B45="044 - BLEND TRADICION","BLEND",B45="113 - CAFÉ GOURMET","GOURMET",B45="114 - CAFÉ CONSUMO","CONSUMO",B45="112 - CAFÉ ORGANICO","GOURMET",B45="172 - CAFÉ COSECHA","ESPECIALES",B45="176 - CAFE DESCAFEINADO","GOURMET",B45="147 - CAPSULAS","CAPSULAS",B45="130 - GALLETAS CAFECITAS","DERIVADOS",B45="140 - MERENGUES","DERIVADOS",B45="100 - CAFÉ ESPECIAL","ESPECIALES",B45="141 - AREQUIPE","DERIVADOS",B45="142 - MERMELADA","DERIVADOS",B45="131 - GALLETAS AVENA","DERIVADOS",B45="160 - SOUVENIR","OTROS",B45="148 - CARAMELOS","DERIVADOS",B45="143 - CHOCOFFES","DERIVADOS",B45="162 - CONVENIOS Y DSC POS ","OTROS"),"OTROS")</f>
        <v>OTROS</v>
      </c>
      <c r="L45" s="27">
        <f t="shared" si="2"/>
        <v>348131</v>
      </c>
      <c r="M45" s="27">
        <f t="shared" si="3"/>
        <v>348131</v>
      </c>
    </row>
    <row r="46" spans="1:13" ht="16.5" hidden="1" outlineLevel="1">
      <c r="A46" s="38"/>
      <c r="B46" s="39" t="s">
        <v>18</v>
      </c>
      <c r="C46" s="36">
        <v>0</v>
      </c>
      <c r="D46" s="36">
        <v>0</v>
      </c>
      <c r="E46" s="48">
        <v>0</v>
      </c>
      <c r="F46" s="48">
        <v>89635.4</v>
      </c>
      <c r="G46" s="49">
        <f t="shared" si="5"/>
        <v>0</v>
      </c>
      <c r="H46" s="23">
        <f t="shared" si="8"/>
        <v>0</v>
      </c>
      <c r="I46" s="24">
        <f t="shared" si="8"/>
        <v>0</v>
      </c>
      <c r="J46" s="32" t="str" cm="1">
        <f t="array" ref="J46">IFERROR(_xlfn.IFS(B46="044 - BLEND TRADICION","BLEND",B46="113 - CAFÉ GOURMET","GOURMET",B46="114 - CAFÉ CONSUMO","CONSUMO",B46="112 - CAFÉ ORGANICO","GOURMET",B46="172 - CAFÉ COSECHA","ESPECIALES",B46="176 - CAFE DESCAFEINADO","GOURMET",B46="147 - CAPSULAS","CAPSULAS",B46="130 - GALLETAS CAFECITAS","DERIVADOS",B46="140 - MERENGUES","DERIVADOS",B46="100 - CAFÉ ESPECIAL","ESPECIALES",B46="141 - AREQUIPE","DERIVADOS",B46="142 - MERMELADA","DERIVADOS",B46="131 - GALLETAS AVENA","DERIVADOS",B46="160 - SOUVENIR","OTROS",B46="148 - CARAMELOS","DERIVADOS",B46="143 - CHOCOFFES","DERIVADOS",B46="162 - CONVENIOS Y DSC POS ","OTROS"),"OTROS")</f>
        <v>BLEND</v>
      </c>
      <c r="L46" s="27">
        <f t="shared" si="2"/>
        <v>0</v>
      </c>
      <c r="M46" s="27">
        <f t="shared" si="3"/>
        <v>0</v>
      </c>
    </row>
    <row r="47" spans="1:13" ht="16.5" hidden="1" outlineLevel="1">
      <c r="A47" s="38"/>
      <c r="B47" s="39" t="s">
        <v>36</v>
      </c>
      <c r="C47" s="36">
        <v>38539</v>
      </c>
      <c r="D47" s="36">
        <v>0</v>
      </c>
      <c r="E47" s="48"/>
      <c r="F47" s="48">
        <v>0</v>
      </c>
      <c r="G47" s="49" t="str">
        <f t="shared" si="5"/>
        <v>-</v>
      </c>
      <c r="H47" s="23">
        <f t="shared" si="8"/>
        <v>0</v>
      </c>
      <c r="I47" s="24">
        <f t="shared" si="8"/>
        <v>0</v>
      </c>
      <c r="J47" s="32" t="str" cm="1">
        <f t="array" ref="J47">IFERROR(_xlfn.IFS(B47="044 - BLEND TRADICION","BLEND",B47="113 - CAFÉ GOURMET","GOURMET",B47="114 - CAFÉ CONSUMO","CONSUMO",B47="112 - CAFÉ ORGANICO","GOURMET",B47="172 - CAFÉ COSECHA","ESPECIALES",B47="176 - CAFE DESCAFEINADO","GOURMET",B47="147 - CAPSULAS","CAPSULAS",B47="130 - GALLETAS CAFECITAS","DERIVADOS",B47="140 - MERENGUES","DERIVADOS",B47="100 - CAFÉ ESPECIAL","ESPECIALES",B47="141 - AREQUIPE","DERIVADOS",B47="142 - MERMELADA","DERIVADOS",B47="131 - GALLETAS AVENA","DERIVADOS",B47="160 - SOUVENIR","OTROS",B47="148 - CARAMELOS","DERIVADOS",B47="143 - CHOCOFFES","DERIVADOS",B47="162 - CONVENIOS Y DSC POS ","OTROS"),"OTROS")</f>
        <v>OTROS</v>
      </c>
      <c r="L47" s="27">
        <f t="shared" si="2"/>
        <v>38539</v>
      </c>
      <c r="M47" s="27">
        <f t="shared" si="3"/>
        <v>38539</v>
      </c>
    </row>
    <row r="48" spans="1:13" ht="16.5" hidden="1" outlineLevel="1">
      <c r="A48" s="38"/>
      <c r="B48" s="39" t="s">
        <v>19</v>
      </c>
      <c r="C48" s="36">
        <v>0</v>
      </c>
      <c r="D48" s="36">
        <v>0</v>
      </c>
      <c r="E48" s="48"/>
      <c r="F48" s="48">
        <v>94237.05</v>
      </c>
      <c r="G48" s="49">
        <f t="shared" si="5"/>
        <v>0</v>
      </c>
      <c r="H48" s="23">
        <f t="shared" si="8"/>
        <v>0</v>
      </c>
      <c r="I48" s="24">
        <f t="shared" si="8"/>
        <v>0</v>
      </c>
      <c r="J48" s="32" t="str" cm="1">
        <f t="array" ref="J48">IFERROR(_xlfn.IFS(B48="044 - BLEND TRADICION","BLEND",B48="113 - CAFÉ GOURMET","GOURMET",B48="114 - CAFÉ CONSUMO","CONSUMO",B48="112 - CAFÉ ORGANICO","GOURMET",B48="172 - CAFÉ COSECHA","ESPECIALES",B48="176 - CAFE DESCAFEINADO","GOURMET",B48="147 - CAPSULAS","CAPSULAS",B48="130 - GALLETAS CAFECITAS","DERIVADOS",B48="140 - MERENGUES","DERIVADOS",B48="100 - CAFÉ ESPECIAL","ESPECIALES",B48="141 - AREQUIPE","DERIVADOS",B48="142 - MERMELADA","DERIVADOS",B48="131 - GALLETAS AVENA","DERIVADOS",B48="160 - SOUVENIR","OTROS",B48="148 - CARAMELOS","DERIVADOS",B48="143 - CHOCOFFES","DERIVADOS",B48="162 - CONVENIOS Y DSC POS ","OTROS"),"OTROS")</f>
        <v>ESPECIALES</v>
      </c>
      <c r="L48" s="27">
        <f t="shared" si="2"/>
        <v>0</v>
      </c>
      <c r="M48" s="27">
        <f t="shared" si="3"/>
        <v>0</v>
      </c>
    </row>
    <row r="49" spans="1:13" ht="16.5" hidden="1" outlineLevel="1">
      <c r="A49" s="38"/>
      <c r="B49" s="39" t="s">
        <v>20</v>
      </c>
      <c r="C49" s="36">
        <v>0</v>
      </c>
      <c r="D49" s="36">
        <v>0</v>
      </c>
      <c r="E49" s="48"/>
      <c r="F49" s="48">
        <v>136038.93</v>
      </c>
      <c r="G49" s="49">
        <f t="shared" si="5"/>
        <v>0</v>
      </c>
      <c r="H49" s="23">
        <f t="shared" si="8"/>
        <v>0</v>
      </c>
      <c r="I49" s="24">
        <f t="shared" si="8"/>
        <v>0</v>
      </c>
      <c r="J49" s="32" t="str" cm="1">
        <f t="array" ref="J49">IFERROR(_xlfn.IFS(B49="044 - BLEND TRADICION","BLEND",B49="113 - CAFÉ GOURMET","GOURMET",B49="114 - CAFÉ CONSUMO","CONSUMO",B49="112 - CAFÉ ORGANICO","GOURMET",B49="172 - CAFÉ COSECHA","ESPECIALES",B49="176 - CAFE DESCAFEINADO","GOURMET",B49="147 - CAPSULAS","CAPSULAS",B49="130 - GALLETAS CAFECITAS","DERIVADOS",B49="140 - MERENGUES","DERIVADOS",B49="100 - CAFÉ ESPECIAL","ESPECIALES",B49="141 - AREQUIPE","DERIVADOS",B49="142 - MERMELADA","DERIVADOS",B49="131 - GALLETAS AVENA","DERIVADOS",B49="160 - SOUVENIR","OTROS",B49="148 - CARAMELOS","DERIVADOS",B49="143 - CHOCOFFES","DERIVADOS",B49="162 - CONVENIOS Y DSC POS ","OTROS"),"OTROS")</f>
        <v>GOURMET</v>
      </c>
      <c r="L49" s="27">
        <f t="shared" si="2"/>
        <v>0</v>
      </c>
      <c r="M49" s="27">
        <f t="shared" si="3"/>
        <v>0</v>
      </c>
    </row>
    <row r="50" spans="1:13" ht="16.5" hidden="1" outlineLevel="1">
      <c r="A50" s="38"/>
      <c r="B50" s="39" t="s">
        <v>21</v>
      </c>
      <c r="C50" s="36">
        <v>20757368</v>
      </c>
      <c r="D50" s="36">
        <v>0</v>
      </c>
      <c r="E50" s="48"/>
      <c r="F50" s="48">
        <v>69823497.540000007</v>
      </c>
      <c r="G50" s="49">
        <f t="shared" si="5"/>
        <v>0.29728341792257917</v>
      </c>
      <c r="H50" s="23">
        <f t="shared" si="8"/>
        <v>0</v>
      </c>
      <c r="I50" s="24">
        <f t="shared" si="8"/>
        <v>0</v>
      </c>
      <c r="J50" s="32" t="str" cm="1">
        <f t="array" ref="J50">IFERROR(_xlfn.IFS(B50="044 - BLEND TRADICION","BLEND",B50="113 - CAFÉ GOURMET","GOURMET",B50="114 - CAFÉ CONSUMO","CONSUMO",B50="112 - CAFÉ ORGANICO","GOURMET",B50="172 - CAFÉ COSECHA","ESPECIALES",B50="176 - CAFE DESCAFEINADO","GOURMET",B50="147 - CAPSULAS","CAPSULAS",B50="130 - GALLETAS CAFECITAS","DERIVADOS",B50="140 - MERENGUES","DERIVADOS",B50="100 - CAFÉ ESPECIAL","ESPECIALES",B50="141 - AREQUIPE","DERIVADOS",B50="142 - MERMELADA","DERIVADOS",B50="131 - GALLETAS AVENA","DERIVADOS",B50="160 - SOUVENIR","OTROS",B50="148 - CARAMELOS","DERIVADOS",B50="143 - CHOCOFFES","DERIVADOS",B50="162 - CONVENIOS Y DSC POS ","OTROS"),"OTROS")</f>
        <v>GOURMET</v>
      </c>
      <c r="L50" s="27">
        <f t="shared" si="2"/>
        <v>20757368</v>
      </c>
      <c r="M50" s="27">
        <f t="shared" si="3"/>
        <v>20757368</v>
      </c>
    </row>
    <row r="51" spans="1:13" ht="16.5" hidden="1" outlineLevel="1">
      <c r="A51" s="38"/>
      <c r="B51" s="39" t="s">
        <v>38</v>
      </c>
      <c r="C51" s="36">
        <v>3568526</v>
      </c>
      <c r="D51" s="36">
        <v>0</v>
      </c>
      <c r="E51" s="48"/>
      <c r="F51" s="48">
        <v>14106647.08</v>
      </c>
      <c r="G51" s="49">
        <f t="shared" si="5"/>
        <v>0.25296769528312324</v>
      </c>
      <c r="H51" s="23">
        <f t="shared" si="8"/>
        <v>0</v>
      </c>
      <c r="I51" s="24">
        <f t="shared" si="8"/>
        <v>0</v>
      </c>
      <c r="J51" s="32" t="str" cm="1">
        <f t="array" ref="J51">IFERROR(_xlfn.IFS(B51="044 - BLEND TRADICION","BLEND",B51="113 - CAFÉ GOURMET","GOURMET",B51="114 - CAFÉ CONSUMO","CONSUMO",B51="112 - CAFÉ ORGANICO","GOURMET",B51="172 - CAFÉ COSECHA","ESPECIALES",B51="176 - CAFE DESCAFEINADO","GOURMET",B51="147 - CAPSULAS","CAPSULAS",B51="130 - GALLETAS CAFECITAS","DERIVADOS",B51="140 - MERENGUES","DERIVADOS",B51="100 - CAFÉ ESPECIAL","ESPECIALES",B51="141 - AREQUIPE","DERIVADOS",B51="142 - MERMELADA","DERIVADOS",B51="131 - GALLETAS AVENA","DERIVADOS",B51="160 - SOUVENIR","OTROS",B51="148 - CARAMELOS","DERIVADOS",B51="143 - CHOCOFFES","DERIVADOS",B51="162 - CONVENIOS Y DSC POS ","OTROS"),"OTROS")</f>
        <v>CONSUMO</v>
      </c>
      <c r="L51" s="27">
        <f t="shared" si="2"/>
        <v>3568526</v>
      </c>
      <c r="M51" s="27">
        <f t="shared" si="3"/>
        <v>3568526</v>
      </c>
    </row>
    <row r="52" spans="1:13" ht="16.5" hidden="1" outlineLevel="1">
      <c r="A52" s="38"/>
      <c r="B52" s="39" t="s">
        <v>22</v>
      </c>
      <c r="C52" s="36">
        <v>1347760</v>
      </c>
      <c r="D52" s="36">
        <v>0</v>
      </c>
      <c r="E52" s="48"/>
      <c r="F52" s="48">
        <v>2927476.03</v>
      </c>
      <c r="G52" s="49">
        <f t="shared" si="5"/>
        <v>0.46038293266572028</v>
      </c>
      <c r="H52" s="23">
        <f t="shared" si="8"/>
        <v>0</v>
      </c>
      <c r="I52" s="24">
        <f t="shared" si="8"/>
        <v>0</v>
      </c>
      <c r="J52" s="32" t="str" cm="1">
        <f t="array" ref="J52">IFERROR(_xlfn.IFS(B52="044 - BLEND TRADICION","BLEND",B52="113 - CAFÉ GOURMET","GOURMET",B52="114 - CAFÉ CONSUMO","CONSUMO",B52="112 - CAFÉ ORGANICO","GOURMET",B52="172 - CAFÉ COSECHA","ESPECIALES",B52="176 - CAFE DESCAFEINADO","GOURMET",B52="147 - CAPSULAS","CAPSULAS",B52="130 - GALLETAS CAFECITAS","DERIVADOS",B52="140 - MERENGUES","DERIVADOS",B52="100 - CAFÉ ESPECIAL","ESPECIALES",B52="141 - AREQUIPE","DERIVADOS",B52="142 - MERMELADA","DERIVADOS",B52="131 - GALLETAS AVENA","DERIVADOS",B52="160 - SOUVENIR","OTROS",B52="148 - CARAMELOS","DERIVADOS",B52="143 - CHOCOFFES","DERIVADOS",B52="162 - CONVENIOS Y DSC POS ","OTROS"),"OTROS")</f>
        <v>DERIVADOS</v>
      </c>
      <c r="L52" s="27">
        <f t="shared" si="2"/>
        <v>1347760</v>
      </c>
      <c r="M52" s="27">
        <f t="shared" si="3"/>
        <v>1347760</v>
      </c>
    </row>
    <row r="53" spans="1:13" ht="16.5" hidden="1" outlineLevel="1">
      <c r="A53" s="38"/>
      <c r="B53" s="39" t="s">
        <v>23</v>
      </c>
      <c r="C53" s="36">
        <v>59660</v>
      </c>
      <c r="D53" s="36">
        <v>0</v>
      </c>
      <c r="E53" s="48"/>
      <c r="F53" s="48">
        <v>256078.41</v>
      </c>
      <c r="G53" s="49">
        <f t="shared" si="5"/>
        <v>0.2329755171472675</v>
      </c>
      <c r="H53" s="23">
        <f t="shared" si="8"/>
        <v>0</v>
      </c>
      <c r="I53" s="24">
        <f t="shared" si="8"/>
        <v>0</v>
      </c>
      <c r="J53" s="32" t="str" cm="1">
        <f t="array" ref="J53">IFERROR(_xlfn.IFS(B53="044 - BLEND TRADICION","BLEND",B53="113 - CAFÉ GOURMET","GOURMET",B53="114 - CAFÉ CONSUMO","CONSUMO",B53="112 - CAFÉ ORGANICO","GOURMET",B53="172 - CAFÉ COSECHA","ESPECIALES",B53="176 - CAFE DESCAFEINADO","GOURMET",B53="147 - CAPSULAS","CAPSULAS",B53="130 - GALLETAS CAFECITAS","DERIVADOS",B53="140 - MERENGUES","DERIVADOS",B53="100 - CAFÉ ESPECIAL","ESPECIALES",B53="141 - AREQUIPE","DERIVADOS",B53="142 - MERMELADA","DERIVADOS",B53="131 - GALLETAS AVENA","DERIVADOS",B53="160 - SOUVENIR","OTROS",B53="148 - CARAMELOS","DERIVADOS",B53="143 - CHOCOFFES","DERIVADOS",B53="162 - CONVENIOS Y DSC POS ","OTROS"),"OTROS")</f>
        <v>DERIVADOS</v>
      </c>
      <c r="L53" s="27">
        <f t="shared" si="2"/>
        <v>59660</v>
      </c>
      <c r="M53" s="27">
        <f t="shared" si="3"/>
        <v>59660</v>
      </c>
    </row>
    <row r="54" spans="1:13" ht="16.5" hidden="1" outlineLevel="1">
      <c r="A54" s="38"/>
      <c r="B54" s="39" t="s">
        <v>24</v>
      </c>
      <c r="C54" s="36">
        <v>341418</v>
      </c>
      <c r="D54" s="36">
        <v>0</v>
      </c>
      <c r="E54" s="48"/>
      <c r="F54" s="48">
        <v>589663.42000000004</v>
      </c>
      <c r="G54" s="49">
        <f t="shared" si="5"/>
        <v>0.57900488383695226</v>
      </c>
      <c r="H54" s="23">
        <f t="shared" si="8"/>
        <v>0</v>
      </c>
      <c r="I54" s="24">
        <f t="shared" si="8"/>
        <v>0</v>
      </c>
      <c r="J54" s="32" t="str" cm="1">
        <f t="array" ref="J54">IFERROR(_xlfn.IFS(B54="044 - BLEND TRADICION","BLEND",B54="113 - CAFÉ GOURMET","GOURMET",B54="114 - CAFÉ CONSUMO","CONSUMO",B54="112 - CAFÉ ORGANICO","GOURMET",B54="172 - CAFÉ COSECHA","ESPECIALES",B54="176 - CAFE DESCAFEINADO","GOURMET",B54="147 - CAPSULAS","CAPSULAS",B54="130 - GALLETAS CAFECITAS","DERIVADOS",B54="140 - MERENGUES","DERIVADOS",B54="100 - CAFÉ ESPECIAL","ESPECIALES",B54="141 - AREQUIPE","DERIVADOS",B54="142 - MERMELADA","DERIVADOS",B54="131 - GALLETAS AVENA","DERIVADOS",B54="160 - SOUVENIR","OTROS",B54="148 - CARAMELOS","DERIVADOS",B54="143 - CHOCOFFES","DERIVADOS",B54="162 - CONVENIOS Y DSC POS ","OTROS"),"OTROS")</f>
        <v>DERIVADOS</v>
      </c>
      <c r="L54" s="27">
        <f t="shared" si="2"/>
        <v>341418</v>
      </c>
      <c r="M54" s="27">
        <f t="shared" si="3"/>
        <v>341418</v>
      </c>
    </row>
    <row r="55" spans="1:13" ht="16.5" hidden="1" outlineLevel="1">
      <c r="A55" s="38"/>
      <c r="B55" s="39" t="s">
        <v>25</v>
      </c>
      <c r="C55" s="36">
        <v>13114</v>
      </c>
      <c r="D55" s="36">
        <v>0</v>
      </c>
      <c r="E55" s="48"/>
      <c r="F55" s="48">
        <v>1309142.77</v>
      </c>
      <c r="G55" s="49">
        <f t="shared" si="5"/>
        <v>1.0017242046106246E-2</v>
      </c>
      <c r="H55" s="23">
        <f t="shared" si="8"/>
        <v>0</v>
      </c>
      <c r="I55" s="24">
        <f t="shared" si="8"/>
        <v>0</v>
      </c>
      <c r="J55" s="32" t="str" cm="1">
        <f t="array" ref="J55">IFERROR(_xlfn.IFS(B55="044 - BLEND TRADICION","BLEND",B55="113 - CAFÉ GOURMET","GOURMET",B55="114 - CAFÉ CONSUMO","CONSUMO",B55="112 - CAFÉ ORGANICO","GOURMET",B55="172 - CAFÉ COSECHA","ESPECIALES",B55="176 - CAFE DESCAFEINADO","GOURMET",B55="147 - CAPSULAS","CAPSULAS",B55="130 - GALLETAS CAFECITAS","DERIVADOS",B55="140 - MERENGUES","DERIVADOS",B55="100 - CAFÉ ESPECIAL","ESPECIALES",B55="141 - AREQUIPE","DERIVADOS",B55="142 - MERMELADA","DERIVADOS",B55="131 - GALLETAS AVENA","DERIVADOS",B55="160 - SOUVENIR","OTROS",B55="148 - CARAMELOS","DERIVADOS",B55="143 - CHOCOFFES","DERIVADOS",B55="162 - CONVENIOS Y DSC POS ","OTROS"),"OTROS")</f>
        <v>DERIVADOS</v>
      </c>
      <c r="L55" s="27">
        <f t="shared" si="2"/>
        <v>13114</v>
      </c>
      <c r="M55" s="27">
        <f t="shared" si="3"/>
        <v>13114</v>
      </c>
    </row>
    <row r="56" spans="1:13" ht="16.5" hidden="1" outlineLevel="1">
      <c r="A56" s="38"/>
      <c r="B56" s="39" t="s">
        <v>26</v>
      </c>
      <c r="C56" s="36">
        <v>2511822</v>
      </c>
      <c r="D56" s="36">
        <v>0</v>
      </c>
      <c r="E56" s="48"/>
      <c r="F56" s="48">
        <v>11209211.369999999</v>
      </c>
      <c r="G56" s="49">
        <f t="shared" si="5"/>
        <v>0.224085523690147</v>
      </c>
      <c r="H56" s="23">
        <f t="shared" si="8"/>
        <v>0</v>
      </c>
      <c r="I56" s="24">
        <f t="shared" si="8"/>
        <v>0</v>
      </c>
      <c r="J56" s="32" t="str" cm="1">
        <f t="array" ref="J56">IFERROR(_xlfn.IFS(B56="044 - BLEND TRADICION","BLEND",B56="113 - CAFÉ GOURMET","GOURMET",B56="114 - CAFÉ CONSUMO","CONSUMO",B56="112 - CAFÉ ORGANICO","GOURMET",B56="172 - CAFÉ COSECHA","ESPECIALES",B56="176 - CAFE DESCAFEINADO","GOURMET",B56="147 - CAPSULAS","CAPSULAS",B56="130 - GALLETAS CAFECITAS","DERIVADOS",B56="140 - MERENGUES","DERIVADOS",B56="100 - CAFÉ ESPECIAL","ESPECIALES",B56="141 - AREQUIPE","DERIVADOS",B56="142 - MERMELADA","DERIVADOS",B56="131 - GALLETAS AVENA","DERIVADOS",B56="160 - SOUVENIR","OTROS",B56="148 - CARAMELOS","DERIVADOS",B56="143 - CHOCOFFES","DERIVADOS",B56="162 - CONVENIOS Y DSC POS ","OTROS"),"OTROS")</f>
        <v>CAPSULAS</v>
      </c>
      <c r="L56" s="27">
        <f t="shared" si="2"/>
        <v>2511822</v>
      </c>
      <c r="M56" s="27">
        <f t="shared" si="3"/>
        <v>2511822</v>
      </c>
    </row>
    <row r="57" spans="1:13" ht="16.5" hidden="1" outlineLevel="1">
      <c r="A57" s="38"/>
      <c r="B57" s="39" t="s">
        <v>27</v>
      </c>
      <c r="C57" s="36">
        <v>559325</v>
      </c>
      <c r="D57" s="36">
        <v>0</v>
      </c>
      <c r="E57" s="48" t="s">
        <v>94</v>
      </c>
      <c r="F57" s="48">
        <v>1035181.45</v>
      </c>
      <c r="G57" s="49">
        <f t="shared" si="5"/>
        <v>0.54031590307187216</v>
      </c>
      <c r="H57" s="23">
        <f t="shared" si="8"/>
        <v>0</v>
      </c>
      <c r="I57" s="24">
        <f t="shared" si="8"/>
        <v>0</v>
      </c>
      <c r="J57" s="32" t="str" cm="1">
        <f t="array" ref="J57">IFERROR(_xlfn.IFS(B57="044 - BLEND TRADICION","BLEND",B57="113 - CAFÉ GOURMET","GOURMET",B57="114 - CAFÉ CONSUMO","CONSUMO",B57="112 - CAFÉ ORGANICO","GOURMET",B57="172 - CAFÉ COSECHA","ESPECIALES",B57="176 - CAFE DESCAFEINADO","GOURMET",B57="147 - CAPSULAS","CAPSULAS",B57="130 - GALLETAS CAFECITAS","DERIVADOS",B57="140 - MERENGUES","DERIVADOS",B57="100 - CAFÉ ESPECIAL","ESPECIALES",B57="141 - AREQUIPE","DERIVADOS",B57="142 - MERMELADA","DERIVADOS",B57="131 - GALLETAS AVENA","DERIVADOS",B57="160 - SOUVENIR","OTROS",B57="148 - CARAMELOS","DERIVADOS",B57="143 - CHOCOFFES","DERIVADOS",B57="162 - CONVENIOS Y DSC POS ","OTROS"),"OTROS")</f>
        <v>DERIVADOS</v>
      </c>
      <c r="L57" s="27" t="e">
        <f t="shared" si="2"/>
        <v>#VALUE!</v>
      </c>
      <c r="M57" s="27" t="e">
        <f t="shared" si="3"/>
        <v>#VALUE!</v>
      </c>
    </row>
    <row r="58" spans="1:13" ht="16.5" hidden="1" outlineLevel="1">
      <c r="A58" s="38"/>
      <c r="B58" s="39" t="s">
        <v>28</v>
      </c>
      <c r="C58" s="36">
        <v>0</v>
      </c>
      <c r="D58" s="36">
        <v>0</v>
      </c>
      <c r="E58" s="48"/>
      <c r="F58" s="48">
        <v>11765277.34</v>
      </c>
      <c r="G58" s="49">
        <f t="shared" si="5"/>
        <v>0</v>
      </c>
      <c r="H58" s="23">
        <f t="shared" si="8"/>
        <v>0</v>
      </c>
      <c r="I58" s="24">
        <f t="shared" si="8"/>
        <v>0</v>
      </c>
      <c r="J58" s="32" t="str" cm="1">
        <f t="array" ref="J58">IFERROR(_xlfn.IFS(B58="044 - BLEND TRADICION","BLEND",B58="113 - CAFÉ GOURMET","GOURMET",B58="114 - CAFÉ CONSUMO","CONSUMO",B58="112 - CAFÉ ORGANICO","GOURMET",B58="172 - CAFÉ COSECHA","ESPECIALES",B58="176 - CAFE DESCAFEINADO","GOURMET",B58="147 - CAPSULAS","CAPSULAS",B58="130 - GALLETAS CAFECITAS","DERIVADOS",B58="140 - MERENGUES","DERIVADOS",B58="100 - CAFÉ ESPECIAL","ESPECIALES",B58="141 - AREQUIPE","DERIVADOS",B58="142 - MERMELADA","DERIVADOS",B58="131 - GALLETAS AVENA","DERIVADOS",B58="160 - SOUVENIR","OTROS",B58="148 - CARAMELOS","DERIVADOS",B58="143 - CHOCOFFES","DERIVADOS",B58="162 - CONVENIOS Y DSC POS ","OTROS"),"OTROS")</f>
        <v>OTROS</v>
      </c>
      <c r="L58" s="27">
        <f t="shared" si="2"/>
        <v>0</v>
      </c>
      <c r="M58" s="27">
        <f t="shared" si="3"/>
        <v>0</v>
      </c>
    </row>
    <row r="59" spans="1:13" ht="16.5" hidden="1" outlineLevel="1">
      <c r="A59" s="38"/>
      <c r="B59" s="39" t="s">
        <v>39</v>
      </c>
      <c r="C59" s="36">
        <v>60390</v>
      </c>
      <c r="D59" s="36">
        <v>0</v>
      </c>
      <c r="E59" s="48"/>
      <c r="F59" s="48">
        <v>0</v>
      </c>
      <c r="G59" s="49" t="str">
        <f t="shared" si="5"/>
        <v>-</v>
      </c>
      <c r="H59" s="23">
        <f t="shared" si="8"/>
        <v>0</v>
      </c>
      <c r="I59" s="24">
        <f t="shared" si="8"/>
        <v>0</v>
      </c>
      <c r="J59" s="32" t="str" cm="1">
        <f t="array" ref="J59">IFERROR(_xlfn.IFS(B59="044 - BLEND TRADICION","BLEND",B59="113 - CAFÉ GOURMET","GOURMET",B59="114 - CAFÉ CONSUMO","CONSUMO",B59="112 - CAFÉ ORGANICO","GOURMET",B59="172 - CAFÉ COSECHA","ESPECIALES",B59="176 - CAFE DESCAFEINADO","GOURMET",B59="147 - CAPSULAS","CAPSULAS",B59="130 - GALLETAS CAFECITAS","DERIVADOS",B59="140 - MERENGUES","DERIVADOS",B59="100 - CAFÉ ESPECIAL","ESPECIALES",B59="141 - AREQUIPE","DERIVADOS",B59="142 - MERMELADA","DERIVADOS",B59="131 - GALLETAS AVENA","DERIVADOS",B59="160 - SOUVENIR","OTROS",B59="148 - CARAMELOS","DERIVADOS",B59="143 - CHOCOFFES","DERIVADOS",B59="162 - CONVENIOS Y DSC POS ","OTROS"),"OTROS")</f>
        <v>OTROS</v>
      </c>
      <c r="L59" s="27">
        <f t="shared" si="2"/>
        <v>60390</v>
      </c>
      <c r="M59" s="27">
        <f t="shared" si="3"/>
        <v>60390</v>
      </c>
    </row>
    <row r="60" spans="1:13" ht="16.5" hidden="1" outlineLevel="1">
      <c r="A60" s="38"/>
      <c r="B60" s="39" t="s">
        <v>29</v>
      </c>
      <c r="C60" s="36">
        <v>646680</v>
      </c>
      <c r="D60" s="36">
        <v>0</v>
      </c>
      <c r="E60" s="48"/>
      <c r="F60" s="48">
        <v>4920564.09</v>
      </c>
      <c r="G60" s="49">
        <f t="shared" si="5"/>
        <v>0.13142395631310638</v>
      </c>
      <c r="H60" s="23">
        <f t="shared" si="8"/>
        <v>0</v>
      </c>
      <c r="I60" s="24">
        <f t="shared" si="8"/>
        <v>0</v>
      </c>
      <c r="J60" s="32" t="str" cm="1">
        <f t="array" ref="J60">IFERROR(_xlfn.IFS(B60="044 - BLEND TRADICION","BLEND",B60="113 - CAFÉ GOURMET","GOURMET",B60="114 - CAFÉ CONSUMO","CONSUMO",B60="112 - CAFÉ ORGANICO","GOURMET",B60="172 - CAFÉ COSECHA","ESPECIALES",B60="176 - CAFE DESCAFEINADO","GOURMET",B60="147 - CAPSULAS","CAPSULAS",B60="130 - GALLETAS CAFECITAS","DERIVADOS",B60="140 - MERENGUES","DERIVADOS",B60="100 - CAFÉ ESPECIAL","ESPECIALES",B60="141 - AREQUIPE","DERIVADOS",B60="142 - MERMELADA","DERIVADOS",B60="131 - GALLETAS AVENA","DERIVADOS",B60="160 - SOUVENIR","OTROS",B60="148 - CARAMELOS","DERIVADOS",B60="143 - CHOCOFFES","DERIVADOS",B60="162 - CONVENIOS Y DSC POS ","OTROS"),"OTROS")</f>
        <v>ESPECIALES</v>
      </c>
      <c r="L60" s="27">
        <f t="shared" si="2"/>
        <v>646680</v>
      </c>
      <c r="M60" s="27">
        <f t="shared" si="3"/>
        <v>646680</v>
      </c>
    </row>
    <row r="61" spans="1:13" ht="16.5" hidden="1" outlineLevel="1">
      <c r="A61" s="19" t="s">
        <v>40</v>
      </c>
      <c r="B61" s="56" t="s">
        <v>32</v>
      </c>
      <c r="C61" s="54">
        <f>SUM(C43:C60)</f>
        <v>30782664</v>
      </c>
      <c r="D61" s="54">
        <f>SUM(D43:D60)</f>
        <v>-82846</v>
      </c>
      <c r="E61" s="54">
        <f>SUM(E43:E60)</f>
        <v>0</v>
      </c>
      <c r="F61" s="54">
        <f>SUM(F43:F60)</f>
        <v>118279646.59000002</v>
      </c>
      <c r="G61" s="55">
        <f t="shared" si="5"/>
        <v>0.26025326324066417</v>
      </c>
      <c r="H61" s="23">
        <f t="shared" si="8"/>
        <v>-2.6840962614905766E-3</v>
      </c>
      <c r="I61" s="24">
        <f t="shared" si="8"/>
        <v>0</v>
      </c>
      <c r="J61" s="32" t="str" cm="1">
        <f t="array" ref="J61">IFERROR(_xlfn.IFS(B61="044 - BLEND TRADICION","BLEND",B61="113 - CAFÉ GOURMET","GOURMET",B61="114 - CAFÉ CONSUMO","CONSUMO",B61="112 - CAFÉ ORGANICO","GOURMET",B61="172 - CAFÉ COSECHA","ESPECIALES",B61="176 - CAFE DESCAFEINADO","GOURMET",B61="147 - CAPSULAS","CAPSULAS",B61="130 - GALLETAS CAFECITAS","DERIVADOS",B61="140 - MERENGUES","DERIVADOS",B61="100 - CAFÉ ESPECIAL","ESPECIALES",B61="141 - AREQUIPE","DERIVADOS",B61="142 - MERMELADA","DERIVADOS",B61="131 - GALLETAS AVENA","DERIVADOS",B61="160 - SOUVENIR","OTROS",B61="148 - CARAMELOS","DERIVADOS",B61="143 - CHOCOFFES","DERIVADOS",B61="162 - CONVENIOS Y DSC POS ","OTROS"),"OTROS")</f>
        <v>OTROS</v>
      </c>
      <c r="L61" s="27">
        <f t="shared" si="2"/>
        <v>30865510</v>
      </c>
      <c r="M61" s="27">
        <f t="shared" si="3"/>
        <v>30865510</v>
      </c>
    </row>
    <row r="62" spans="1:13" ht="16.5" collapsed="1">
      <c r="A62" s="28" t="s">
        <v>41</v>
      </c>
      <c r="B62" s="29" t="s">
        <v>17</v>
      </c>
      <c r="C62" s="30">
        <f>+C82+C96+C110+C65</f>
        <v>200776441</v>
      </c>
      <c r="D62" s="30">
        <f>+D82+D96+D110+D65</f>
        <v>-3869363</v>
      </c>
      <c r="E62" s="30">
        <f>+E82+E96+E110+E65</f>
        <v>-2347272</v>
      </c>
      <c r="F62" s="30">
        <f>+F82+F96+F110+F65</f>
        <v>488313278.77999997</v>
      </c>
      <c r="G62" s="31">
        <f t="shared" si="5"/>
        <v>0.41116318094322379</v>
      </c>
      <c r="H62" s="23">
        <f t="shared" si="8"/>
        <v>-1.8693200153226383E-2</v>
      </c>
      <c r="I62" s="24">
        <f t="shared" si="8"/>
        <v>-1.1339857570888023E-2</v>
      </c>
      <c r="J62" s="32" t="str" cm="1">
        <f t="array" ref="J62">IFERROR(_xlfn.IFS(B62="044 - BLEND TRADICION","BLEND",B62="113 - CAFÉ GOURMET","GOURMET",B62="114 - CAFÉ CONSUMO","CONSUMO",B62="112 - CAFÉ ORGANICO","GOURMET",B62="172 - CAFÉ COSECHA","ESPECIALES",B62="176 - CAFE DESCAFEINADO","GOURMET",B62="147 - CAPSULAS","CAPSULAS",B62="130 - GALLETAS CAFECITAS","DERIVADOS",B62="140 - MERENGUES","DERIVADOS",B62="100 - CAFÉ ESPECIAL","ESPECIALES",B62="141 - AREQUIPE","DERIVADOS",B62="142 - MERMELADA","DERIVADOS",B62="131 - GALLETAS AVENA","DERIVADOS",B62="160 - SOUVENIR","OTROS",B62="148 - CARAMELOS","DERIVADOS",B62="143 - CHOCOFFES","DERIVADOS",B62="162 - CONVENIOS Y DSC POS ","OTROS"),"OTROS")</f>
        <v>OTROS</v>
      </c>
      <c r="L62" s="27">
        <f t="shared" si="2"/>
        <v>206993076</v>
      </c>
      <c r="M62" s="27">
        <f t="shared" si="3"/>
        <v>206993076</v>
      </c>
    </row>
    <row r="63" spans="1:13" ht="16.5" hidden="1" outlineLevel="1">
      <c r="A63" s="38"/>
      <c r="B63" s="39" t="s">
        <v>42</v>
      </c>
      <c r="C63" s="36">
        <v>0</v>
      </c>
      <c r="D63" s="36">
        <v>0</v>
      </c>
      <c r="E63" s="48"/>
      <c r="F63" s="48">
        <v>0</v>
      </c>
      <c r="G63" s="49" t="str">
        <f t="shared" si="5"/>
        <v>-</v>
      </c>
      <c r="H63" s="23">
        <f t="shared" si="8"/>
        <v>0</v>
      </c>
      <c r="I63" s="24">
        <f t="shared" si="8"/>
        <v>0</v>
      </c>
      <c r="J63" s="32" t="str" cm="1">
        <f t="array" ref="J63">IFERROR(_xlfn.IFS(B63="044 - BLEND TRADICION","BLEND",B63="113 - CAFÉ GOURMET","GOURMET",B63="114 - CAFÉ CONSUMO","CONSUMO",B63="112 - CAFÉ ORGANICO","GOURMET",B63="172 - CAFÉ COSECHA","ESPECIALES",B63="176 - CAFE DESCAFEINADO","GOURMET",B63="147 - CAPSULAS","CAPSULAS",B63="130 - GALLETAS CAFECITAS","DERIVADOS",B63="140 - MERENGUES","DERIVADOS",B63="100 - CAFÉ ESPECIAL","ESPECIALES",B63="141 - AREQUIPE","DERIVADOS",B63="142 - MERMELADA","DERIVADOS",B63="131 - GALLETAS AVENA","DERIVADOS",B63="160 - SOUVENIR","OTROS",B63="148 - CARAMELOS","DERIVADOS",B63="143 - CHOCOFFES","DERIVADOS",B63="162 - CONVENIOS Y DSC POS ","OTROS"),"OTROS")</f>
        <v>OTROS</v>
      </c>
      <c r="L63" s="27">
        <f t="shared" si="2"/>
        <v>0</v>
      </c>
      <c r="M63" s="27">
        <f t="shared" si="3"/>
        <v>0</v>
      </c>
    </row>
    <row r="64" spans="1:13" ht="16.5" hidden="1" outlineLevel="1">
      <c r="A64" s="38"/>
      <c r="B64" s="39" t="s">
        <v>21</v>
      </c>
      <c r="C64" s="36">
        <v>0</v>
      </c>
      <c r="D64" s="36">
        <v>0</v>
      </c>
      <c r="E64" s="48"/>
      <c r="F64" s="48">
        <v>0</v>
      </c>
      <c r="G64" s="49" t="str">
        <f t="shared" si="5"/>
        <v>-</v>
      </c>
      <c r="H64" s="23">
        <f t="shared" si="8"/>
        <v>0</v>
      </c>
      <c r="I64" s="24">
        <f t="shared" si="8"/>
        <v>0</v>
      </c>
      <c r="J64" s="32" t="str" cm="1">
        <f t="array" ref="J64">IFERROR(_xlfn.IFS(B64="044 - BLEND TRADICION","BLEND",B64="113 - CAFÉ GOURMET","GOURMET",B64="114 - CAFÉ CONSUMO","CONSUMO",B64="112 - CAFÉ ORGANICO","GOURMET",B64="172 - CAFÉ COSECHA","ESPECIALES",B64="176 - CAFE DESCAFEINADO","GOURMET",B64="147 - CAPSULAS","CAPSULAS",B64="130 - GALLETAS CAFECITAS","DERIVADOS",B64="140 - MERENGUES","DERIVADOS",B64="100 - CAFÉ ESPECIAL","ESPECIALES",B64="141 - AREQUIPE","DERIVADOS",B64="142 - MERMELADA","DERIVADOS",B64="131 - GALLETAS AVENA","DERIVADOS",B64="160 - SOUVENIR","OTROS",B64="148 - CARAMELOS","DERIVADOS",B64="143 - CHOCOFFES","DERIVADOS",B64="162 - CONVENIOS Y DSC POS ","OTROS"),"OTROS")</f>
        <v>GOURMET</v>
      </c>
      <c r="L64" s="27">
        <f t="shared" si="2"/>
        <v>0</v>
      </c>
      <c r="M64" s="27">
        <f t="shared" si="3"/>
        <v>0</v>
      </c>
    </row>
    <row r="65" spans="1:13" ht="16.5" hidden="1" outlineLevel="1">
      <c r="A65" s="19" t="s">
        <v>43</v>
      </c>
      <c r="B65" s="56" t="s">
        <v>32</v>
      </c>
      <c r="C65" s="54">
        <f>SUM(C63:C64)</f>
        <v>0</v>
      </c>
      <c r="D65" s="54">
        <f>SUM(D63:D64)</f>
        <v>0</v>
      </c>
      <c r="E65" s="54">
        <f>SUM(E63:E64)</f>
        <v>0</v>
      </c>
      <c r="F65" s="54">
        <f>SUM(F63:F64)</f>
        <v>0</v>
      </c>
      <c r="G65" s="55" t="str">
        <f t="shared" si="5"/>
        <v>-</v>
      </c>
      <c r="H65" s="23">
        <f t="shared" si="8"/>
        <v>0</v>
      </c>
      <c r="I65" s="24">
        <f t="shared" si="8"/>
        <v>0</v>
      </c>
      <c r="J65" s="32" t="str" cm="1">
        <f t="array" ref="J65">IFERROR(_xlfn.IFS(B65="044 - BLEND TRADICION","BLEND",B65="113 - CAFÉ GOURMET","GOURMET",B65="114 - CAFÉ CONSUMO","CONSUMO",B65="112 - CAFÉ ORGANICO","GOURMET",B65="172 - CAFÉ COSECHA","ESPECIALES",B65="176 - CAFE DESCAFEINADO","GOURMET",B65="147 - CAPSULAS","CAPSULAS",B65="130 - GALLETAS CAFECITAS","DERIVADOS",B65="140 - MERENGUES","DERIVADOS",B65="100 - CAFÉ ESPECIAL","ESPECIALES",B65="141 - AREQUIPE","DERIVADOS",B65="142 - MERMELADA","DERIVADOS",B65="131 - GALLETAS AVENA","DERIVADOS",B65="160 - SOUVENIR","OTROS",B65="148 - CARAMELOS","DERIVADOS",B65="143 - CHOCOFFES","DERIVADOS",B65="162 - CONVENIOS Y DSC POS ","OTROS"),"OTROS")</f>
        <v>OTROS</v>
      </c>
      <c r="L65" s="27">
        <f t="shared" si="2"/>
        <v>0</v>
      </c>
      <c r="M65" s="27">
        <f t="shared" si="3"/>
        <v>0</v>
      </c>
    </row>
    <row r="66" spans="1:13" ht="16.5" hidden="1" outlineLevel="1">
      <c r="A66" s="33"/>
      <c r="B66" s="39" t="s">
        <v>34</v>
      </c>
      <c r="C66" s="36">
        <v>0</v>
      </c>
      <c r="D66" s="36">
        <v>0</v>
      </c>
      <c r="E66" s="48">
        <v>0</v>
      </c>
      <c r="F66" s="48">
        <v>142340.04</v>
      </c>
      <c r="G66" s="49">
        <f t="shared" si="5"/>
        <v>0</v>
      </c>
      <c r="H66" s="23">
        <f t="shared" si="8"/>
        <v>0</v>
      </c>
      <c r="I66" s="24">
        <f t="shared" si="8"/>
        <v>0</v>
      </c>
      <c r="J66" s="32" t="str" cm="1">
        <f t="array" ref="J66">IFERROR(_xlfn.IFS(B66="044 - BLEND TRADICION","BLEND",B66="113 - CAFÉ GOURMET","GOURMET",B66="114 - CAFÉ CONSUMO","CONSUMO",B66="112 - CAFÉ ORGANICO","GOURMET",B66="172 - CAFÉ COSECHA","ESPECIALES",B66="176 - CAFE DESCAFEINADO","GOURMET",B66="147 - CAPSULAS","CAPSULAS",B66="130 - GALLETAS CAFECITAS","DERIVADOS",B66="140 - MERENGUES","DERIVADOS",B66="100 - CAFÉ ESPECIAL","ESPECIALES",B66="141 - AREQUIPE","DERIVADOS",B66="142 - MERMELADA","DERIVADOS",B66="131 - GALLETAS AVENA","DERIVADOS",B66="160 - SOUVENIR","OTROS",B66="148 - CARAMELOS","DERIVADOS",B66="143 - CHOCOFFES","DERIVADOS",B66="162 - CONVENIOS Y DSC POS ","OTROS"),"OTROS")</f>
        <v>OTROS</v>
      </c>
      <c r="L66" s="27">
        <f t="shared" si="2"/>
        <v>0</v>
      </c>
      <c r="M66" s="27">
        <f t="shared" si="3"/>
        <v>0</v>
      </c>
    </row>
    <row r="67" spans="1:13" ht="16.5" hidden="1" outlineLevel="1">
      <c r="A67" s="38"/>
      <c r="B67" s="39" t="s">
        <v>18</v>
      </c>
      <c r="C67" s="36">
        <v>326000</v>
      </c>
      <c r="D67" s="36">
        <v>0</v>
      </c>
      <c r="E67" s="48">
        <v>0</v>
      </c>
      <c r="F67" s="48">
        <v>1206734.55</v>
      </c>
      <c r="G67" s="49">
        <f t="shared" si="5"/>
        <v>0.27015054802234673</v>
      </c>
      <c r="H67" s="23">
        <f t="shared" si="8"/>
        <v>0</v>
      </c>
      <c r="I67" s="24">
        <f t="shared" si="8"/>
        <v>0</v>
      </c>
      <c r="J67" s="32" t="str" cm="1">
        <f t="array" ref="J67">IFERROR(_xlfn.IFS(B67="044 - BLEND TRADICION","BLEND",B67="113 - CAFÉ GOURMET","GOURMET",B67="114 - CAFÉ CONSUMO","CONSUMO",B67="112 - CAFÉ ORGANICO","GOURMET",B67="172 - CAFÉ COSECHA","ESPECIALES",B67="176 - CAFE DESCAFEINADO","GOURMET",B67="147 - CAPSULAS","CAPSULAS",B67="130 - GALLETAS CAFECITAS","DERIVADOS",B67="140 - MERENGUES","DERIVADOS",B67="100 - CAFÉ ESPECIAL","ESPECIALES",B67="141 - AREQUIPE","DERIVADOS",B67="142 - MERMELADA","DERIVADOS",B67="131 - GALLETAS AVENA","DERIVADOS",B67="160 - SOUVENIR","OTROS",B67="148 - CARAMELOS","DERIVADOS",B67="143 - CHOCOFFES","DERIVADOS",B67="162 - CONVENIOS Y DSC POS ","OTROS"),"OTROS")</f>
        <v>BLEND</v>
      </c>
      <c r="L67" s="27">
        <f t="shared" si="2"/>
        <v>326000</v>
      </c>
      <c r="M67" s="27">
        <f t="shared" si="3"/>
        <v>326000</v>
      </c>
    </row>
    <row r="68" spans="1:13" ht="16.5" hidden="1" outlineLevel="1">
      <c r="A68" s="38"/>
      <c r="B68" s="39" t="s">
        <v>19</v>
      </c>
      <c r="C68" s="36">
        <v>1630537</v>
      </c>
      <c r="D68" s="36">
        <v>0</v>
      </c>
      <c r="E68" s="48">
        <v>0</v>
      </c>
      <c r="F68" s="48">
        <v>3072107.02</v>
      </c>
      <c r="G68" s="49">
        <f t="shared" si="5"/>
        <v>0.53075527297222869</v>
      </c>
      <c r="H68" s="23">
        <f t="shared" si="8"/>
        <v>0</v>
      </c>
      <c r="I68" s="24">
        <f t="shared" si="8"/>
        <v>0</v>
      </c>
      <c r="J68" s="32" t="str" cm="1">
        <f t="array" ref="J68">IFERROR(_xlfn.IFS(B68="044 - BLEND TRADICION","BLEND",B68="113 - CAFÉ GOURMET","GOURMET",B68="114 - CAFÉ CONSUMO","CONSUMO",B68="112 - CAFÉ ORGANICO","GOURMET",B68="172 - CAFÉ COSECHA","ESPECIALES",B68="176 - CAFE DESCAFEINADO","GOURMET",B68="147 - CAPSULAS","CAPSULAS",B68="130 - GALLETAS CAFECITAS","DERIVADOS",B68="140 - MERENGUES","DERIVADOS",B68="100 - CAFÉ ESPECIAL","ESPECIALES",B68="141 - AREQUIPE","DERIVADOS",B68="142 - MERMELADA","DERIVADOS",B68="131 - GALLETAS AVENA","DERIVADOS",B68="160 - SOUVENIR","OTROS",B68="148 - CARAMELOS","DERIVADOS",B68="143 - CHOCOFFES","DERIVADOS",B68="162 - CONVENIOS Y DSC POS ","OTROS"),"OTROS")</f>
        <v>ESPECIALES</v>
      </c>
      <c r="L68" s="27">
        <f t="shared" si="2"/>
        <v>1630537</v>
      </c>
      <c r="M68" s="27">
        <f t="shared" si="3"/>
        <v>1630537</v>
      </c>
    </row>
    <row r="69" spans="1:13" ht="16.5" hidden="1" outlineLevel="1">
      <c r="A69" s="38"/>
      <c r="B69" s="39" t="s">
        <v>20</v>
      </c>
      <c r="C69" s="36">
        <v>98210</v>
      </c>
      <c r="D69" s="36">
        <v>0</v>
      </c>
      <c r="E69" s="48"/>
      <c r="F69" s="48">
        <v>457781.38</v>
      </c>
      <c r="G69" s="49">
        <f t="shared" si="5"/>
        <v>0.21453471960786172</v>
      </c>
      <c r="H69" s="23">
        <f t="shared" si="8"/>
        <v>0</v>
      </c>
      <c r="I69" s="24">
        <f t="shared" si="8"/>
        <v>0</v>
      </c>
      <c r="J69" s="32" t="str" cm="1">
        <f t="array" ref="J69">IFERROR(_xlfn.IFS(B69="044 - BLEND TRADICION","BLEND",B69="113 - CAFÉ GOURMET","GOURMET",B69="114 - CAFÉ CONSUMO","CONSUMO",B69="112 - CAFÉ ORGANICO","GOURMET",B69="172 - CAFÉ COSECHA","ESPECIALES",B69="176 - CAFE DESCAFEINADO","GOURMET",B69="147 - CAPSULAS","CAPSULAS",B69="130 - GALLETAS CAFECITAS","DERIVADOS",B69="140 - MERENGUES","DERIVADOS",B69="100 - CAFÉ ESPECIAL","ESPECIALES",B69="141 - AREQUIPE","DERIVADOS",B69="142 - MERMELADA","DERIVADOS",B69="131 - GALLETAS AVENA","DERIVADOS",B69="160 - SOUVENIR","OTROS",B69="148 - CARAMELOS","DERIVADOS",B69="143 - CHOCOFFES","DERIVADOS",B69="162 - CONVENIOS Y DSC POS ","OTROS"),"OTROS")</f>
        <v>GOURMET</v>
      </c>
      <c r="L69" s="27">
        <f t="shared" si="2"/>
        <v>98210</v>
      </c>
      <c r="M69" s="27">
        <f t="shared" si="3"/>
        <v>98210</v>
      </c>
    </row>
    <row r="70" spans="1:13" ht="16.5" hidden="1" outlineLevel="1">
      <c r="A70" s="38"/>
      <c r="B70" s="39" t="s">
        <v>21</v>
      </c>
      <c r="C70" s="36">
        <v>59059114</v>
      </c>
      <c r="D70" s="36">
        <v>0</v>
      </c>
      <c r="E70" s="48"/>
      <c r="F70" s="48">
        <v>106018093.81999999</v>
      </c>
      <c r="G70" s="49">
        <f t="shared" si="5"/>
        <v>0.55706636359895279</v>
      </c>
      <c r="H70" s="23">
        <f t="shared" si="8"/>
        <v>0</v>
      </c>
      <c r="I70" s="24">
        <f t="shared" si="8"/>
        <v>0</v>
      </c>
      <c r="J70" s="32" t="str" cm="1">
        <f t="array" ref="J70">IFERROR(_xlfn.IFS(B70="044 - BLEND TRADICION","BLEND",B70="113 - CAFÉ GOURMET","GOURMET",B70="114 - CAFÉ CONSUMO","CONSUMO",B70="112 - CAFÉ ORGANICO","GOURMET",B70="172 - CAFÉ COSECHA","ESPECIALES",B70="176 - CAFE DESCAFEINADO","GOURMET",B70="147 - CAPSULAS","CAPSULAS",B70="130 - GALLETAS CAFECITAS","DERIVADOS",B70="140 - MERENGUES","DERIVADOS",B70="100 - CAFÉ ESPECIAL","ESPECIALES",B70="141 - AREQUIPE","DERIVADOS",B70="142 - MERMELADA","DERIVADOS",B70="131 - GALLETAS AVENA","DERIVADOS",B70="160 - SOUVENIR","OTROS",B70="148 - CARAMELOS","DERIVADOS",B70="143 - CHOCOFFES","DERIVADOS",B70="162 - CONVENIOS Y DSC POS ","OTROS"),"OTROS")</f>
        <v>GOURMET</v>
      </c>
      <c r="L70" s="27">
        <f t="shared" si="2"/>
        <v>59059114</v>
      </c>
      <c r="M70" s="27">
        <f t="shared" si="3"/>
        <v>59059114</v>
      </c>
    </row>
    <row r="71" spans="1:13" ht="16.5" hidden="1" outlineLevel="1">
      <c r="A71" s="38"/>
      <c r="B71" s="39" t="s">
        <v>22</v>
      </c>
      <c r="C71" s="36">
        <v>3123718</v>
      </c>
      <c r="D71" s="36">
        <v>0</v>
      </c>
      <c r="E71" s="48"/>
      <c r="F71" s="48">
        <v>5082259.87</v>
      </c>
      <c r="G71" s="49">
        <f t="shared" si="5"/>
        <v>0.61463169532887341</v>
      </c>
      <c r="H71" s="23">
        <f t="shared" si="8"/>
        <v>0</v>
      </c>
      <c r="I71" s="24">
        <f t="shared" si="8"/>
        <v>0</v>
      </c>
      <c r="J71" s="32" t="str" cm="1">
        <f t="array" ref="J71">IFERROR(_xlfn.IFS(B71="044 - BLEND TRADICION","BLEND",B71="113 - CAFÉ GOURMET","GOURMET",B71="114 - CAFÉ CONSUMO","CONSUMO",B71="112 - CAFÉ ORGANICO","GOURMET",B71="172 - CAFÉ COSECHA","ESPECIALES",B71="176 - CAFE DESCAFEINADO","GOURMET",B71="147 - CAPSULAS","CAPSULAS",B71="130 - GALLETAS CAFECITAS","DERIVADOS",B71="140 - MERENGUES","DERIVADOS",B71="100 - CAFÉ ESPECIAL","ESPECIALES",B71="141 - AREQUIPE","DERIVADOS",B71="142 - MERMELADA","DERIVADOS",B71="131 - GALLETAS AVENA","DERIVADOS",B71="160 - SOUVENIR","OTROS",B71="148 - CARAMELOS","DERIVADOS",B71="143 - CHOCOFFES","DERIVADOS",B71="162 - CONVENIOS Y DSC POS ","OTROS"),"OTROS")</f>
        <v>DERIVADOS</v>
      </c>
      <c r="L71" s="27">
        <f t="shared" si="2"/>
        <v>3123718</v>
      </c>
      <c r="M71" s="27">
        <f t="shared" si="3"/>
        <v>3123718</v>
      </c>
    </row>
    <row r="72" spans="1:13" ht="16.5" hidden="1" outlineLevel="1">
      <c r="A72" s="38"/>
      <c r="B72" s="39" t="s">
        <v>23</v>
      </c>
      <c r="C72" s="36">
        <v>0</v>
      </c>
      <c r="D72" s="36">
        <v>0</v>
      </c>
      <c r="E72" s="48"/>
      <c r="F72" s="48">
        <v>42776.35</v>
      </c>
      <c r="G72" s="49">
        <f t="shared" si="5"/>
        <v>0</v>
      </c>
      <c r="H72" s="23">
        <f t="shared" si="8"/>
        <v>0</v>
      </c>
      <c r="I72" s="24">
        <f t="shared" si="8"/>
        <v>0</v>
      </c>
      <c r="J72" s="32" t="str" cm="1">
        <f t="array" ref="J72">IFERROR(_xlfn.IFS(B72="044 - BLEND TRADICION","BLEND",B72="113 - CAFÉ GOURMET","GOURMET",B72="114 - CAFÉ CONSUMO","CONSUMO",B72="112 - CAFÉ ORGANICO","GOURMET",B72="172 - CAFÉ COSECHA","ESPECIALES",B72="176 - CAFE DESCAFEINADO","GOURMET",B72="147 - CAPSULAS","CAPSULAS",B72="130 - GALLETAS CAFECITAS","DERIVADOS",B72="140 - MERENGUES","DERIVADOS",B72="100 - CAFÉ ESPECIAL","ESPECIALES",B72="141 - AREQUIPE","DERIVADOS",B72="142 - MERMELADA","DERIVADOS",B72="131 - GALLETAS AVENA","DERIVADOS",B72="160 - SOUVENIR","OTROS",B72="148 - CARAMELOS","DERIVADOS",B72="143 - CHOCOFFES","DERIVADOS",B72="162 - CONVENIOS Y DSC POS ","OTROS"),"OTROS")</f>
        <v>DERIVADOS</v>
      </c>
      <c r="L72" s="27">
        <f t="shared" ref="L72:L135" si="9">C72-(D72+E72)</f>
        <v>0</v>
      </c>
      <c r="M72" s="27">
        <f t="shared" ref="M72:M135" si="10">L72</f>
        <v>0</v>
      </c>
    </row>
    <row r="73" spans="1:13" ht="16.5" hidden="1" outlineLevel="1">
      <c r="A73" s="38"/>
      <c r="B73" s="39" t="s">
        <v>24</v>
      </c>
      <c r="C73" s="36">
        <v>169530</v>
      </c>
      <c r="D73" s="36">
        <v>0</v>
      </c>
      <c r="E73" s="48"/>
      <c r="F73" s="48">
        <v>253296.1</v>
      </c>
      <c r="G73" s="49">
        <f t="shared" si="5"/>
        <v>0.66929573728138725</v>
      </c>
      <c r="H73" s="23">
        <f t="shared" si="8"/>
        <v>0</v>
      </c>
      <c r="I73" s="24">
        <f t="shared" si="8"/>
        <v>0</v>
      </c>
      <c r="J73" s="32" t="str" cm="1">
        <f t="array" ref="J73">IFERROR(_xlfn.IFS(B73="044 - BLEND TRADICION","BLEND",B73="113 - CAFÉ GOURMET","GOURMET",B73="114 - CAFÉ CONSUMO","CONSUMO",B73="112 - CAFÉ ORGANICO","GOURMET",B73="172 - CAFÉ COSECHA","ESPECIALES",B73="176 - CAFE DESCAFEINADO","GOURMET",B73="147 - CAPSULAS","CAPSULAS",B73="130 - GALLETAS CAFECITAS","DERIVADOS",B73="140 - MERENGUES","DERIVADOS",B73="100 - CAFÉ ESPECIAL","ESPECIALES",B73="141 - AREQUIPE","DERIVADOS",B73="142 - MERMELADA","DERIVADOS",B73="131 - GALLETAS AVENA","DERIVADOS",B73="160 - SOUVENIR","OTROS",B73="148 - CARAMELOS","DERIVADOS",B73="143 - CHOCOFFES","DERIVADOS",B73="162 - CONVENIOS Y DSC POS ","OTROS"),"OTROS")</f>
        <v>DERIVADOS</v>
      </c>
      <c r="L73" s="27">
        <f t="shared" si="9"/>
        <v>169530</v>
      </c>
      <c r="M73" s="27">
        <f t="shared" si="10"/>
        <v>169530</v>
      </c>
    </row>
    <row r="74" spans="1:13" ht="16.5" hidden="1" outlineLevel="1">
      <c r="A74" s="38"/>
      <c r="B74" s="39" t="s">
        <v>25</v>
      </c>
      <c r="C74" s="36">
        <v>7262465</v>
      </c>
      <c r="D74" s="36">
        <v>0</v>
      </c>
      <c r="E74" s="48"/>
      <c r="F74" s="48">
        <v>6237513.8499999996</v>
      </c>
      <c r="G74" s="49">
        <f t="shared" si="5"/>
        <v>1.1643204607874338</v>
      </c>
      <c r="H74" s="23">
        <f t="shared" si="8"/>
        <v>0</v>
      </c>
      <c r="I74" s="24">
        <f t="shared" si="8"/>
        <v>0</v>
      </c>
      <c r="J74" s="32" t="str" cm="1">
        <f t="array" ref="J74">IFERROR(_xlfn.IFS(B74="044 - BLEND TRADICION","BLEND",B74="113 - CAFÉ GOURMET","GOURMET",B74="114 - CAFÉ CONSUMO","CONSUMO",B74="112 - CAFÉ ORGANICO","GOURMET",B74="172 - CAFÉ COSECHA","ESPECIALES",B74="176 - CAFE DESCAFEINADO","GOURMET",B74="147 - CAPSULAS","CAPSULAS",B74="130 - GALLETAS CAFECITAS","DERIVADOS",B74="140 - MERENGUES","DERIVADOS",B74="100 - CAFÉ ESPECIAL","ESPECIALES",B74="141 - AREQUIPE","DERIVADOS",B74="142 - MERMELADA","DERIVADOS",B74="131 - GALLETAS AVENA","DERIVADOS",B74="160 - SOUVENIR","OTROS",B74="148 - CARAMELOS","DERIVADOS",B74="143 - CHOCOFFES","DERIVADOS",B74="162 - CONVENIOS Y DSC POS ","OTROS"),"OTROS")</f>
        <v>DERIVADOS</v>
      </c>
      <c r="L74" s="27">
        <f t="shared" si="9"/>
        <v>7262465</v>
      </c>
      <c r="M74" s="27">
        <f t="shared" si="10"/>
        <v>7262465</v>
      </c>
    </row>
    <row r="75" spans="1:13" ht="16.5" hidden="1" outlineLevel="1">
      <c r="A75" s="38"/>
      <c r="B75" s="39" t="s">
        <v>26</v>
      </c>
      <c r="C75" s="36">
        <v>0</v>
      </c>
      <c r="D75" s="36">
        <v>0</v>
      </c>
      <c r="E75" s="48">
        <v>0</v>
      </c>
      <c r="F75" s="48">
        <v>834555.96</v>
      </c>
      <c r="G75" s="49">
        <f t="shared" si="5"/>
        <v>0</v>
      </c>
      <c r="H75" s="23">
        <f t="shared" si="8"/>
        <v>0</v>
      </c>
      <c r="I75" s="24">
        <f t="shared" si="8"/>
        <v>0</v>
      </c>
      <c r="J75" s="32" t="str" cm="1">
        <f t="array" ref="J75">IFERROR(_xlfn.IFS(B75="044 - BLEND TRADICION","BLEND",B75="113 - CAFÉ GOURMET","GOURMET",B75="114 - CAFÉ CONSUMO","CONSUMO",B75="112 - CAFÉ ORGANICO","GOURMET",B75="172 - CAFÉ COSECHA","ESPECIALES",B75="176 - CAFE DESCAFEINADO","GOURMET",B75="147 - CAPSULAS","CAPSULAS",B75="130 - GALLETAS CAFECITAS","DERIVADOS",B75="140 - MERENGUES","DERIVADOS",B75="100 - CAFÉ ESPECIAL","ESPECIALES",B75="141 - AREQUIPE","DERIVADOS",B75="142 - MERMELADA","DERIVADOS",B75="131 - GALLETAS AVENA","DERIVADOS",B75="160 - SOUVENIR","OTROS",B75="148 - CARAMELOS","DERIVADOS",B75="143 - CHOCOFFES","DERIVADOS",B75="162 - CONVENIOS Y DSC POS ","OTROS"),"OTROS")</f>
        <v>CAPSULAS</v>
      </c>
      <c r="L75" s="27">
        <f t="shared" si="9"/>
        <v>0</v>
      </c>
      <c r="M75" s="27">
        <f t="shared" si="10"/>
        <v>0</v>
      </c>
    </row>
    <row r="76" spans="1:13" ht="16.5" hidden="1" outlineLevel="1">
      <c r="A76" s="38"/>
      <c r="B76" s="39" t="s">
        <v>27</v>
      </c>
      <c r="C76" s="36">
        <v>7542205</v>
      </c>
      <c r="D76" s="36">
        <v>0</v>
      </c>
      <c r="E76" s="48"/>
      <c r="F76" s="48">
        <v>6191934.2800000003</v>
      </c>
      <c r="G76" s="49">
        <f t="shared" si="5"/>
        <v>1.2180692912651521</v>
      </c>
      <c r="H76" s="23">
        <f t="shared" si="8"/>
        <v>0</v>
      </c>
      <c r="I76" s="24">
        <f t="shared" si="8"/>
        <v>0</v>
      </c>
      <c r="J76" s="32" t="str" cm="1">
        <f t="array" ref="J76">IFERROR(_xlfn.IFS(B76="044 - BLEND TRADICION","BLEND",B76="113 - CAFÉ GOURMET","GOURMET",B76="114 - CAFÉ CONSUMO","CONSUMO",B76="112 - CAFÉ ORGANICO","GOURMET",B76="172 - CAFÉ COSECHA","ESPECIALES",B76="176 - CAFE DESCAFEINADO","GOURMET",B76="147 - CAPSULAS","CAPSULAS",B76="130 - GALLETAS CAFECITAS","DERIVADOS",B76="140 - MERENGUES","DERIVADOS",B76="100 - CAFÉ ESPECIAL","ESPECIALES",B76="141 - AREQUIPE","DERIVADOS",B76="142 - MERMELADA","DERIVADOS",B76="131 - GALLETAS AVENA","DERIVADOS",B76="160 - SOUVENIR","OTROS",B76="148 - CARAMELOS","DERIVADOS",B76="143 - CHOCOFFES","DERIVADOS",B76="162 - CONVENIOS Y DSC POS ","OTROS"),"OTROS")</f>
        <v>DERIVADOS</v>
      </c>
      <c r="L76" s="27">
        <f t="shared" si="9"/>
        <v>7542205</v>
      </c>
      <c r="M76" s="27">
        <f t="shared" si="10"/>
        <v>7542205</v>
      </c>
    </row>
    <row r="77" spans="1:13" ht="16.5" hidden="1" outlineLevel="1">
      <c r="A77" s="38"/>
      <c r="B77" s="39" t="s">
        <v>28</v>
      </c>
      <c r="C77" s="36">
        <v>5226600</v>
      </c>
      <c r="D77" s="36">
        <v>0</v>
      </c>
      <c r="E77" s="48">
        <v>0</v>
      </c>
      <c r="F77" s="48">
        <v>6313546.5</v>
      </c>
      <c r="G77" s="49">
        <f t="shared" si="5"/>
        <v>0.82783899667168048</v>
      </c>
      <c r="H77" s="23">
        <f t="shared" si="8"/>
        <v>0</v>
      </c>
      <c r="I77" s="24">
        <f t="shared" si="8"/>
        <v>0</v>
      </c>
      <c r="J77" s="32" t="str" cm="1">
        <f t="array" ref="J77">IFERROR(_xlfn.IFS(B77="044 - BLEND TRADICION","BLEND",B77="113 - CAFÉ GOURMET","GOURMET",B77="114 - CAFÉ CONSUMO","CONSUMO",B77="112 - CAFÉ ORGANICO","GOURMET",B77="172 - CAFÉ COSECHA","ESPECIALES",B77="176 - CAFE DESCAFEINADO","GOURMET",B77="147 - CAPSULAS","CAPSULAS",B77="130 - GALLETAS CAFECITAS","DERIVADOS",B77="140 - MERENGUES","DERIVADOS",B77="100 - CAFÉ ESPECIAL","ESPECIALES",B77="141 - AREQUIPE","DERIVADOS",B77="142 - MERMELADA","DERIVADOS",B77="131 - GALLETAS AVENA","DERIVADOS",B77="160 - SOUVENIR","OTROS",B77="148 - CARAMELOS","DERIVADOS",B77="143 - CHOCOFFES","DERIVADOS",B77="162 - CONVENIOS Y DSC POS ","OTROS"),"OTROS")</f>
        <v>OTROS</v>
      </c>
      <c r="L77" s="27">
        <f t="shared" si="9"/>
        <v>5226600</v>
      </c>
      <c r="M77" s="27">
        <f t="shared" si="10"/>
        <v>5226600</v>
      </c>
    </row>
    <row r="78" spans="1:13" ht="16.5" hidden="1" outlineLevel="1">
      <c r="A78" s="38"/>
      <c r="B78" s="39" t="s">
        <v>50</v>
      </c>
      <c r="C78" s="36">
        <v>-2347272</v>
      </c>
      <c r="D78" s="36">
        <v>0</v>
      </c>
      <c r="E78" s="36">
        <v>-2347272</v>
      </c>
      <c r="F78" s="48">
        <v>0</v>
      </c>
      <c r="G78" s="49" t="str">
        <f t="shared" si="5"/>
        <v>-</v>
      </c>
      <c r="H78" s="23">
        <f t="shared" si="8"/>
        <v>0</v>
      </c>
      <c r="I78" s="24">
        <f t="shared" si="8"/>
        <v>0</v>
      </c>
      <c r="J78" s="32" t="str" cm="1">
        <f t="array" ref="J78">IFERROR(_xlfn.IFS(B78="044 - BLEND TRADICION","BLEND",B78="113 - CAFÉ GOURMET","GOURMET",B78="114 - CAFÉ CONSUMO","CONSUMO",B78="112 - CAFÉ ORGANICO","GOURMET",B78="172 - CAFÉ COSECHA","ESPECIALES",B78="176 - CAFE DESCAFEINADO","GOURMET",B78="147 - CAPSULAS","CAPSULAS",B78="130 - GALLETAS CAFECITAS","DERIVADOS",B78="140 - MERENGUES","DERIVADOS",B78="100 - CAFÉ ESPECIAL","ESPECIALES",B78="141 - AREQUIPE","DERIVADOS",B78="142 - MERMELADA","DERIVADOS",B78="131 - GALLETAS AVENA","DERIVADOS",B78="160 - SOUVENIR","OTROS",B78="148 - CARAMELOS","DERIVADOS",B78="143 - CHOCOFFES","DERIVADOS",B78="162 - CONVENIOS Y DSC POS ","OTROS"),"OTROS")</f>
        <v>OTROS</v>
      </c>
      <c r="L78" s="27">
        <f t="shared" si="9"/>
        <v>0</v>
      </c>
      <c r="M78" s="27">
        <f t="shared" si="10"/>
        <v>0</v>
      </c>
    </row>
    <row r="79" spans="1:13" ht="16.5" hidden="1" outlineLevel="1">
      <c r="A79" s="38"/>
      <c r="B79" s="39" t="s">
        <v>29</v>
      </c>
      <c r="C79" s="36">
        <v>1763175</v>
      </c>
      <c r="D79" s="36">
        <v>0</v>
      </c>
      <c r="E79" s="48"/>
      <c r="F79" s="48">
        <v>10016848.720000001</v>
      </c>
      <c r="G79" s="49">
        <f t="shared" si="5"/>
        <v>0.17602092726823171</v>
      </c>
      <c r="H79" s="23">
        <f t="shared" si="8"/>
        <v>0</v>
      </c>
      <c r="I79" s="24">
        <f t="shared" si="8"/>
        <v>0</v>
      </c>
      <c r="J79" s="32" t="str" cm="1">
        <f t="array" ref="J79">IFERROR(_xlfn.IFS(B79="044 - BLEND TRADICION","BLEND",B79="113 - CAFÉ GOURMET","GOURMET",B79="114 - CAFÉ CONSUMO","CONSUMO",B79="112 - CAFÉ ORGANICO","GOURMET",B79="172 - CAFÉ COSECHA","ESPECIALES",B79="176 - CAFE DESCAFEINADO","GOURMET",B79="147 - CAPSULAS","CAPSULAS",B79="130 - GALLETAS CAFECITAS","DERIVADOS",B79="140 - MERENGUES","DERIVADOS",B79="100 - CAFÉ ESPECIAL","ESPECIALES",B79="141 - AREQUIPE","DERIVADOS",B79="142 - MERMELADA","DERIVADOS",B79="131 - GALLETAS AVENA","DERIVADOS",B79="160 - SOUVENIR","OTROS",B79="148 - CARAMELOS","DERIVADOS",B79="143 - CHOCOFFES","DERIVADOS",B79="162 - CONVENIOS Y DSC POS ","OTROS"),"OTROS")</f>
        <v>ESPECIALES</v>
      </c>
      <c r="L79" s="27">
        <f t="shared" si="9"/>
        <v>1763175</v>
      </c>
      <c r="M79" s="27">
        <f t="shared" si="10"/>
        <v>1763175</v>
      </c>
    </row>
    <row r="80" spans="1:13" ht="16.5" hidden="1" outlineLevel="1">
      <c r="A80" s="38"/>
      <c r="B80" s="39" t="s">
        <v>30</v>
      </c>
      <c r="C80" s="36">
        <v>194214</v>
      </c>
      <c r="D80" s="36">
        <v>0</v>
      </c>
      <c r="E80" s="48">
        <v>0</v>
      </c>
      <c r="F80" s="48">
        <v>1809439.28</v>
      </c>
      <c r="G80" s="49">
        <f t="shared" si="5"/>
        <v>0.1073338034310828</v>
      </c>
      <c r="H80" s="23">
        <f t="shared" si="8"/>
        <v>0</v>
      </c>
      <c r="I80" s="24">
        <f t="shared" si="8"/>
        <v>0</v>
      </c>
      <c r="J80" s="32" t="str" cm="1">
        <f t="array" ref="J80">IFERROR(_xlfn.IFS(B80="044 - BLEND TRADICION","BLEND",B80="113 - CAFÉ GOURMET","GOURMET",B80="114 - CAFÉ CONSUMO","CONSUMO",B80="112 - CAFÉ ORGANICO","GOURMET",B80="172 - CAFÉ COSECHA","ESPECIALES",B80="176 - CAFE DESCAFEINADO","GOURMET",B80="147 - CAPSULAS","CAPSULAS",B80="130 - GALLETAS CAFECITAS","DERIVADOS",B80="140 - MERENGUES","DERIVADOS",B80="100 - CAFÉ ESPECIAL","ESPECIALES",B80="141 - AREQUIPE","DERIVADOS",B80="142 - MERMELADA","DERIVADOS",B80="131 - GALLETAS AVENA","DERIVADOS",B80="160 - SOUVENIR","OTROS",B80="148 - CARAMELOS","DERIVADOS",B80="143 - CHOCOFFES","DERIVADOS",B80="162 - CONVENIOS Y DSC POS ","OTROS"),"OTROS")</f>
        <v>GOURMET</v>
      </c>
      <c r="L80" s="27">
        <f t="shared" si="9"/>
        <v>194214</v>
      </c>
      <c r="M80" s="27">
        <f t="shared" si="10"/>
        <v>194214</v>
      </c>
    </row>
    <row r="81" spans="1:13" ht="16.5" hidden="1" outlineLevel="1">
      <c r="A81" s="38"/>
      <c r="B81" s="39" t="s">
        <v>31</v>
      </c>
      <c r="C81" s="36">
        <v>36000</v>
      </c>
      <c r="D81" s="36">
        <v>0</v>
      </c>
      <c r="E81" s="48">
        <v>0</v>
      </c>
      <c r="F81" s="48">
        <v>0</v>
      </c>
      <c r="G81" s="49" t="str">
        <f t="shared" si="5"/>
        <v>-</v>
      </c>
      <c r="H81" s="23">
        <f t="shared" si="8"/>
        <v>0</v>
      </c>
      <c r="I81" s="24">
        <f t="shared" si="8"/>
        <v>0</v>
      </c>
      <c r="J81" s="32" t="str" cm="1">
        <f t="array" ref="J81">IFERROR(_xlfn.IFS(B81="044 - BLEND TRADICION","BLEND",B81="113 - CAFÉ GOURMET","GOURMET",B81="114 - CAFÉ CONSUMO","CONSUMO",B81="112 - CAFÉ ORGANICO","GOURMET",B81="172 - CAFÉ COSECHA","ESPECIALES",B81="176 - CAFE DESCAFEINADO","GOURMET",B81="147 - CAPSULAS","CAPSULAS",B81="130 - GALLETAS CAFECITAS","DERIVADOS",B81="140 - MERENGUES","DERIVADOS",B81="100 - CAFÉ ESPECIAL","ESPECIALES",B81="141 - AREQUIPE","DERIVADOS",B81="142 - MERMELADA","DERIVADOS",B81="131 - GALLETAS AVENA","DERIVADOS",B81="160 - SOUVENIR","OTROS",B81="148 - CARAMELOS","DERIVADOS",B81="143 - CHOCOFFES","DERIVADOS",B81="162 - CONVENIOS Y DSC POS ","OTROS"),"OTROS")</f>
        <v>OTROS</v>
      </c>
      <c r="L81" s="27">
        <f t="shared" si="9"/>
        <v>36000</v>
      </c>
      <c r="M81" s="27">
        <f t="shared" si="10"/>
        <v>36000</v>
      </c>
    </row>
    <row r="82" spans="1:13" ht="16.5" hidden="1" outlineLevel="1">
      <c r="A82" s="19" t="s">
        <v>44</v>
      </c>
      <c r="B82" s="56" t="s">
        <v>32</v>
      </c>
      <c r="C82" s="54">
        <f>SUM(C66:C81)</f>
        <v>84084496</v>
      </c>
      <c r="D82" s="54">
        <f>SUM(D66:D81)</f>
        <v>0</v>
      </c>
      <c r="E82" s="58">
        <f>SUM(E66:E81)</f>
        <v>-2347272</v>
      </c>
      <c r="F82" s="58">
        <f>SUM(F66:F81)</f>
        <v>147679227.71999997</v>
      </c>
      <c r="G82" s="55">
        <f t="shared" si="5"/>
        <v>0.5693725332815549</v>
      </c>
      <c r="H82" s="23">
        <f t="shared" si="8"/>
        <v>0</v>
      </c>
      <c r="I82" s="24">
        <f t="shared" si="8"/>
        <v>-2.7157514584220933E-2</v>
      </c>
      <c r="J82" s="32" t="str" cm="1">
        <f t="array" ref="J82">IFERROR(_xlfn.IFS(B82="044 - BLEND TRADICION","BLEND",B82="113 - CAFÉ GOURMET","GOURMET",B82="114 - CAFÉ CONSUMO","CONSUMO",B82="112 - CAFÉ ORGANICO","GOURMET",B82="172 - CAFÉ COSECHA","ESPECIALES",B82="176 - CAFE DESCAFEINADO","GOURMET",B82="147 - CAPSULAS","CAPSULAS",B82="130 - GALLETAS CAFECITAS","DERIVADOS",B82="140 - MERENGUES","DERIVADOS",B82="100 - CAFÉ ESPECIAL","ESPECIALES",B82="141 - AREQUIPE","DERIVADOS",B82="142 - MERMELADA","DERIVADOS",B82="131 - GALLETAS AVENA","DERIVADOS",B82="160 - SOUVENIR","OTROS",B82="148 - CARAMELOS","DERIVADOS",B82="143 - CHOCOFFES","DERIVADOS",B82="162 - CONVENIOS Y DSC POS ","OTROS"),"OTROS")</f>
        <v>OTROS</v>
      </c>
      <c r="L82" s="27">
        <f t="shared" si="9"/>
        <v>86431768</v>
      </c>
      <c r="M82" s="27">
        <f t="shared" si="10"/>
        <v>86431768</v>
      </c>
    </row>
    <row r="83" spans="1:13" ht="16.5" hidden="1" outlineLevel="1">
      <c r="A83" s="59"/>
      <c r="B83" s="39" t="s">
        <v>19</v>
      </c>
      <c r="C83" s="36">
        <v>2352274</v>
      </c>
      <c r="D83" s="36">
        <v>0</v>
      </c>
      <c r="E83" s="36">
        <v>0</v>
      </c>
      <c r="F83" s="48">
        <v>2429943.91</v>
      </c>
      <c r="G83" s="49">
        <f t="shared" si="5"/>
        <v>0.96803633627905417</v>
      </c>
      <c r="H83" s="23">
        <f t="shared" si="8"/>
        <v>0</v>
      </c>
      <c r="I83" s="24">
        <f t="shared" si="8"/>
        <v>0</v>
      </c>
      <c r="J83" s="32" t="str" cm="1">
        <f t="array" ref="J83">IFERROR(_xlfn.IFS(B83="044 - BLEND TRADICION","BLEND",B83="113 - CAFÉ GOURMET","GOURMET",B83="114 - CAFÉ CONSUMO","CONSUMO",B83="112 - CAFÉ ORGANICO","GOURMET",B83="172 - CAFÉ COSECHA","ESPECIALES",B83="176 - CAFE DESCAFEINADO","GOURMET",B83="147 - CAPSULAS","CAPSULAS",B83="130 - GALLETAS CAFECITAS","DERIVADOS",B83="140 - MERENGUES","DERIVADOS",B83="100 - CAFÉ ESPECIAL","ESPECIALES",B83="141 - AREQUIPE","DERIVADOS",B83="142 - MERMELADA","DERIVADOS",B83="131 - GALLETAS AVENA","DERIVADOS",B83="160 - SOUVENIR","OTROS",B83="148 - CARAMELOS","DERIVADOS",B83="143 - CHOCOFFES","DERIVADOS",B83="162 - CONVENIOS Y DSC POS ","OTROS"),"OTROS")</f>
        <v>ESPECIALES</v>
      </c>
      <c r="L83" s="27">
        <f t="shared" si="9"/>
        <v>2352274</v>
      </c>
      <c r="M83" s="27">
        <f t="shared" si="10"/>
        <v>2352274</v>
      </c>
    </row>
    <row r="84" spans="1:13" ht="16.5" hidden="1" outlineLevel="1">
      <c r="A84" s="59"/>
      <c r="B84" s="39" t="s">
        <v>20</v>
      </c>
      <c r="C84" s="36">
        <v>308385</v>
      </c>
      <c r="D84" s="36">
        <v>0</v>
      </c>
      <c r="E84" s="36">
        <v>0</v>
      </c>
      <c r="F84" s="48">
        <v>2531872.7599999998</v>
      </c>
      <c r="G84" s="49">
        <f t="shared" si="5"/>
        <v>0.12180114454092868</v>
      </c>
      <c r="H84" s="23">
        <f t="shared" si="8"/>
        <v>0</v>
      </c>
      <c r="I84" s="24">
        <f t="shared" si="8"/>
        <v>0</v>
      </c>
      <c r="J84" s="32" t="str" cm="1">
        <f t="array" ref="J84">IFERROR(_xlfn.IFS(B84="044 - BLEND TRADICION","BLEND",B84="113 - CAFÉ GOURMET","GOURMET",B84="114 - CAFÉ CONSUMO","CONSUMO",B84="112 - CAFÉ ORGANICO","GOURMET",B84="172 - CAFÉ COSECHA","ESPECIALES",B84="176 - CAFE DESCAFEINADO","GOURMET",B84="147 - CAPSULAS","CAPSULAS",B84="130 - GALLETAS CAFECITAS","DERIVADOS",B84="140 - MERENGUES","DERIVADOS",B84="100 - CAFÉ ESPECIAL","ESPECIALES",B84="141 - AREQUIPE","DERIVADOS",B84="142 - MERMELADA","DERIVADOS",B84="131 - GALLETAS AVENA","DERIVADOS",B84="160 - SOUVENIR","OTROS",B84="148 - CARAMELOS","DERIVADOS",B84="143 - CHOCOFFES","DERIVADOS",B84="162 - CONVENIOS Y DSC POS ","OTROS"),"OTROS")</f>
        <v>GOURMET</v>
      </c>
      <c r="L84" s="27">
        <f t="shared" si="9"/>
        <v>308385</v>
      </c>
      <c r="M84" s="27">
        <f t="shared" si="10"/>
        <v>308385</v>
      </c>
    </row>
    <row r="85" spans="1:13" ht="16.5" hidden="1" outlineLevel="1">
      <c r="A85" s="59"/>
      <c r="B85" s="39" t="s">
        <v>21</v>
      </c>
      <c r="C85" s="36">
        <v>37809988</v>
      </c>
      <c r="D85" s="36">
        <v>-3107055</v>
      </c>
      <c r="E85" s="36">
        <v>0</v>
      </c>
      <c r="F85" s="48">
        <v>112116243.56</v>
      </c>
      <c r="G85" s="49">
        <f t="shared" si="5"/>
        <v>0.33723916177913726</v>
      </c>
      <c r="H85" s="23">
        <f t="shared" si="8"/>
        <v>-7.5935472658666958E-2</v>
      </c>
      <c r="I85" s="24">
        <f t="shared" si="8"/>
        <v>0</v>
      </c>
      <c r="J85" s="32" t="str" cm="1">
        <f t="array" ref="J85">IFERROR(_xlfn.IFS(B85="044 - BLEND TRADICION","BLEND",B85="113 - CAFÉ GOURMET","GOURMET",B85="114 - CAFÉ CONSUMO","CONSUMO",B85="112 - CAFÉ ORGANICO","GOURMET",B85="172 - CAFÉ COSECHA","ESPECIALES",B85="176 - CAFE DESCAFEINADO","GOURMET",B85="147 - CAPSULAS","CAPSULAS",B85="130 - GALLETAS CAFECITAS","DERIVADOS",B85="140 - MERENGUES","DERIVADOS",B85="100 - CAFÉ ESPECIAL","ESPECIALES",B85="141 - AREQUIPE","DERIVADOS",B85="142 - MERMELADA","DERIVADOS",B85="131 - GALLETAS AVENA","DERIVADOS",B85="160 - SOUVENIR","OTROS",B85="148 - CARAMELOS","DERIVADOS",B85="143 - CHOCOFFES","DERIVADOS",B85="162 - CONVENIOS Y DSC POS ","OTROS"),"OTROS")</f>
        <v>GOURMET</v>
      </c>
      <c r="L85" s="27">
        <f t="shared" si="9"/>
        <v>40917043</v>
      </c>
      <c r="M85" s="27">
        <f t="shared" si="10"/>
        <v>40917043</v>
      </c>
    </row>
    <row r="86" spans="1:13" ht="16.5" hidden="1" outlineLevel="1">
      <c r="A86" s="59"/>
      <c r="B86" s="39" t="s">
        <v>22</v>
      </c>
      <c r="C86" s="36">
        <v>1382358</v>
      </c>
      <c r="D86" s="36">
        <v>0</v>
      </c>
      <c r="E86" s="36">
        <v>0</v>
      </c>
      <c r="F86" s="48">
        <v>3725758.66</v>
      </c>
      <c r="G86" s="49">
        <f t="shared" si="5"/>
        <v>0.37102725274213011</v>
      </c>
      <c r="H86" s="23">
        <f t="shared" si="8"/>
        <v>0</v>
      </c>
      <c r="I86" s="24">
        <f t="shared" si="8"/>
        <v>0</v>
      </c>
      <c r="J86" s="32" t="str" cm="1">
        <f t="array" ref="J86">IFERROR(_xlfn.IFS(B86="044 - BLEND TRADICION","BLEND",B86="113 - CAFÉ GOURMET","GOURMET",B86="114 - CAFÉ CONSUMO","CONSUMO",B86="112 - CAFÉ ORGANICO","GOURMET",B86="172 - CAFÉ COSECHA","ESPECIALES",B86="176 - CAFE DESCAFEINADO","GOURMET",B86="147 - CAPSULAS","CAPSULAS",B86="130 - GALLETAS CAFECITAS","DERIVADOS",B86="140 - MERENGUES","DERIVADOS",B86="100 - CAFÉ ESPECIAL","ESPECIALES",B86="141 - AREQUIPE","DERIVADOS",B86="142 - MERMELADA","DERIVADOS",B86="131 - GALLETAS AVENA","DERIVADOS",B86="160 - SOUVENIR","OTROS",B86="148 - CARAMELOS","DERIVADOS",B86="143 - CHOCOFFES","DERIVADOS",B86="162 - CONVENIOS Y DSC POS ","OTROS"),"OTROS")</f>
        <v>DERIVADOS</v>
      </c>
      <c r="L86" s="27">
        <f t="shared" si="9"/>
        <v>1382358</v>
      </c>
      <c r="M86" s="27">
        <f t="shared" si="10"/>
        <v>1382358</v>
      </c>
    </row>
    <row r="87" spans="1:13" ht="16.5" hidden="1" outlineLevel="1">
      <c r="A87" s="59"/>
      <c r="B87" s="39" t="s">
        <v>23</v>
      </c>
      <c r="C87" s="36">
        <v>-104428</v>
      </c>
      <c r="D87" s="36">
        <v>-343068</v>
      </c>
      <c r="E87" s="36"/>
      <c r="F87" s="48">
        <v>530387.72</v>
      </c>
      <c r="G87" s="49">
        <f t="shared" si="5"/>
        <v>-0.19688992799456217</v>
      </c>
      <c r="H87" s="23">
        <f t="shared" si="8"/>
        <v>-1.4375963794837412</v>
      </c>
      <c r="I87" s="24">
        <f t="shared" si="8"/>
        <v>0</v>
      </c>
      <c r="J87" s="32" t="str" cm="1">
        <f t="array" ref="J87">IFERROR(_xlfn.IFS(B87="044 - BLEND TRADICION","BLEND",B87="113 - CAFÉ GOURMET","GOURMET",B87="114 - CAFÉ CONSUMO","CONSUMO",B87="112 - CAFÉ ORGANICO","GOURMET",B87="172 - CAFÉ COSECHA","ESPECIALES",B87="176 - CAFE DESCAFEINADO","GOURMET",B87="147 - CAPSULAS","CAPSULAS",B87="130 - GALLETAS CAFECITAS","DERIVADOS",B87="140 - MERENGUES","DERIVADOS",B87="100 - CAFÉ ESPECIAL","ESPECIALES",B87="141 - AREQUIPE","DERIVADOS",B87="142 - MERMELADA","DERIVADOS",B87="131 - GALLETAS AVENA","DERIVADOS",B87="160 - SOUVENIR","OTROS",B87="148 - CARAMELOS","DERIVADOS",B87="143 - CHOCOFFES","DERIVADOS",B87="162 - CONVENIOS Y DSC POS ","OTROS"),"OTROS")</f>
        <v>DERIVADOS</v>
      </c>
      <c r="L87" s="27">
        <f t="shared" si="9"/>
        <v>238640</v>
      </c>
      <c r="M87" s="27">
        <f t="shared" si="10"/>
        <v>238640</v>
      </c>
    </row>
    <row r="88" spans="1:13" ht="16.5" hidden="1" outlineLevel="1">
      <c r="A88" s="59"/>
      <c r="B88" s="39" t="s">
        <v>24</v>
      </c>
      <c r="C88" s="36">
        <v>637730</v>
      </c>
      <c r="D88" s="36">
        <v>0</v>
      </c>
      <c r="E88" s="36"/>
      <c r="F88" s="48">
        <v>1022579.12</v>
      </c>
      <c r="G88" s="49">
        <f t="shared" si="5"/>
        <v>0.62364856423041382</v>
      </c>
      <c r="H88" s="23">
        <f t="shared" si="8"/>
        <v>0</v>
      </c>
      <c r="I88" s="24">
        <f t="shared" si="8"/>
        <v>0</v>
      </c>
      <c r="J88" s="32" t="str" cm="1">
        <f t="array" ref="J88">IFERROR(_xlfn.IFS(B88="044 - BLEND TRADICION","BLEND",B88="113 - CAFÉ GOURMET","GOURMET",B88="114 - CAFÉ CONSUMO","CONSUMO",B88="112 - CAFÉ ORGANICO","GOURMET",B88="172 - CAFÉ COSECHA","ESPECIALES",B88="176 - CAFE DESCAFEINADO","GOURMET",B88="147 - CAPSULAS","CAPSULAS",B88="130 - GALLETAS CAFECITAS","DERIVADOS",B88="140 - MERENGUES","DERIVADOS",B88="100 - CAFÉ ESPECIAL","ESPECIALES",B88="141 - AREQUIPE","DERIVADOS",B88="142 - MERMELADA","DERIVADOS",B88="131 - GALLETAS AVENA","DERIVADOS",B88="160 - SOUVENIR","OTROS",B88="148 - CARAMELOS","DERIVADOS",B88="143 - CHOCOFFES","DERIVADOS",B88="162 - CONVENIOS Y DSC POS ","OTROS"),"OTROS")</f>
        <v>DERIVADOS</v>
      </c>
      <c r="L88" s="27">
        <f t="shared" si="9"/>
        <v>637730</v>
      </c>
      <c r="M88" s="27">
        <f t="shared" si="10"/>
        <v>637730</v>
      </c>
    </row>
    <row r="89" spans="1:13" ht="16.5" hidden="1" outlineLevel="1">
      <c r="A89" s="59"/>
      <c r="B89" s="39" t="s">
        <v>25</v>
      </c>
      <c r="C89" s="36">
        <v>196710</v>
      </c>
      <c r="D89" s="36">
        <v>0</v>
      </c>
      <c r="E89" s="36"/>
      <c r="F89" s="48">
        <v>1766197.25</v>
      </c>
      <c r="G89" s="49">
        <f t="shared" si="5"/>
        <v>0.11137487616402982</v>
      </c>
      <c r="H89" s="23">
        <f t="shared" si="8"/>
        <v>0</v>
      </c>
      <c r="I89" s="24">
        <f t="shared" si="8"/>
        <v>0</v>
      </c>
      <c r="J89" s="32" t="str" cm="1">
        <f t="array" ref="J89">IFERROR(_xlfn.IFS(B89="044 - BLEND TRADICION","BLEND",B89="113 - CAFÉ GOURMET","GOURMET",B89="114 - CAFÉ CONSUMO","CONSUMO",B89="112 - CAFÉ ORGANICO","GOURMET",B89="172 - CAFÉ COSECHA","ESPECIALES",B89="176 - CAFE DESCAFEINADO","GOURMET",B89="147 - CAPSULAS","CAPSULAS",B89="130 - GALLETAS CAFECITAS","DERIVADOS",B89="140 - MERENGUES","DERIVADOS",B89="100 - CAFÉ ESPECIAL","ESPECIALES",B89="141 - AREQUIPE","DERIVADOS",B89="142 - MERMELADA","DERIVADOS",B89="131 - GALLETAS AVENA","DERIVADOS",B89="160 - SOUVENIR","OTROS",B89="148 - CARAMELOS","DERIVADOS",B89="143 - CHOCOFFES","DERIVADOS",B89="162 - CONVENIOS Y DSC POS ","OTROS"),"OTROS")</f>
        <v>DERIVADOS</v>
      </c>
      <c r="L89" s="27">
        <f t="shared" si="9"/>
        <v>196710</v>
      </c>
      <c r="M89" s="27">
        <f t="shared" si="10"/>
        <v>196710</v>
      </c>
    </row>
    <row r="90" spans="1:13" ht="16.5" hidden="1" outlineLevel="1">
      <c r="A90" s="59"/>
      <c r="B90" s="39" t="s">
        <v>26</v>
      </c>
      <c r="C90" s="36">
        <v>1173705</v>
      </c>
      <c r="D90" s="36">
        <v>0</v>
      </c>
      <c r="E90" s="36"/>
      <c r="F90" s="48">
        <v>2921002.36</v>
      </c>
      <c r="G90" s="49">
        <f t="shared" si="5"/>
        <v>0.40181583420562522</v>
      </c>
      <c r="H90" s="23">
        <f t="shared" si="8"/>
        <v>0</v>
      </c>
      <c r="I90" s="24">
        <f t="shared" si="8"/>
        <v>0</v>
      </c>
      <c r="J90" s="32" t="str" cm="1">
        <f t="array" ref="J90">IFERROR(_xlfn.IFS(B90="044 - BLEND TRADICION","BLEND",B90="113 - CAFÉ GOURMET","GOURMET",B90="114 - CAFÉ CONSUMO","CONSUMO",B90="112 - CAFÉ ORGANICO","GOURMET",B90="172 - CAFÉ COSECHA","ESPECIALES",B90="176 - CAFE DESCAFEINADO","GOURMET",B90="147 - CAPSULAS","CAPSULAS",B90="130 - GALLETAS CAFECITAS","DERIVADOS",B90="140 - MERENGUES","DERIVADOS",B90="100 - CAFÉ ESPECIAL","ESPECIALES",B90="141 - AREQUIPE","DERIVADOS",B90="142 - MERMELADA","DERIVADOS",B90="131 - GALLETAS AVENA","DERIVADOS",B90="160 - SOUVENIR","OTROS",B90="148 - CARAMELOS","DERIVADOS",B90="143 - CHOCOFFES","DERIVADOS",B90="162 - CONVENIOS Y DSC POS ","OTROS"),"OTROS")</f>
        <v>CAPSULAS</v>
      </c>
      <c r="L90" s="27">
        <f t="shared" si="9"/>
        <v>1173705</v>
      </c>
      <c r="M90" s="27">
        <f t="shared" si="10"/>
        <v>1173705</v>
      </c>
    </row>
    <row r="91" spans="1:13" ht="16.5" hidden="1" outlineLevel="1">
      <c r="A91" s="59"/>
      <c r="B91" s="39" t="s">
        <v>27</v>
      </c>
      <c r="C91" s="36">
        <v>595312</v>
      </c>
      <c r="D91" s="36">
        <v>0</v>
      </c>
      <c r="E91" s="36"/>
      <c r="F91" s="48">
        <v>1719908.5</v>
      </c>
      <c r="G91" s="49">
        <f t="shared" ref="G91:G134" si="11">IFERROR(C91/F91*100%,"-")</f>
        <v>0.34613004122021607</v>
      </c>
      <c r="H91" s="23">
        <f t="shared" si="8"/>
        <v>0</v>
      </c>
      <c r="I91" s="24">
        <f t="shared" si="8"/>
        <v>0</v>
      </c>
      <c r="J91" s="32" t="str" cm="1">
        <f t="array" ref="J91">IFERROR(_xlfn.IFS(B91="044 - BLEND TRADICION","BLEND",B91="113 - CAFÉ GOURMET","GOURMET",B91="114 - CAFÉ CONSUMO","CONSUMO",B91="112 - CAFÉ ORGANICO","GOURMET",B91="172 - CAFÉ COSECHA","ESPECIALES",B91="176 - CAFE DESCAFEINADO","GOURMET",B91="147 - CAPSULAS","CAPSULAS",B91="130 - GALLETAS CAFECITAS","DERIVADOS",B91="140 - MERENGUES","DERIVADOS",B91="100 - CAFÉ ESPECIAL","ESPECIALES",B91="141 - AREQUIPE","DERIVADOS",B91="142 - MERMELADA","DERIVADOS",B91="131 - GALLETAS AVENA","DERIVADOS",B91="160 - SOUVENIR","OTROS",B91="148 - CARAMELOS","DERIVADOS",B91="143 - CHOCOFFES","DERIVADOS",B91="162 - CONVENIOS Y DSC POS ","OTROS"),"OTROS")</f>
        <v>DERIVADOS</v>
      </c>
      <c r="L91" s="27">
        <f t="shared" si="9"/>
        <v>595312</v>
      </c>
      <c r="M91" s="27">
        <f t="shared" si="10"/>
        <v>595312</v>
      </c>
    </row>
    <row r="92" spans="1:13" ht="16.5" hidden="1" outlineLevel="1">
      <c r="A92" s="59"/>
      <c r="B92" s="39" t="s">
        <v>28</v>
      </c>
      <c r="C92" s="36">
        <v>55124</v>
      </c>
      <c r="D92" s="36">
        <v>0</v>
      </c>
      <c r="E92" s="36"/>
      <c r="F92" s="48">
        <v>6824547.4699999997</v>
      </c>
      <c r="G92" s="49">
        <f t="shared" si="11"/>
        <v>8.0773121210335735E-3</v>
      </c>
      <c r="H92" s="23">
        <f t="shared" ref="H92:I108" si="12">IFERROR(+D92/L92*100%,0)</f>
        <v>0</v>
      </c>
      <c r="I92" s="24">
        <f t="shared" si="12"/>
        <v>0</v>
      </c>
      <c r="J92" s="32" t="str" cm="1">
        <f t="array" ref="J92">IFERROR(_xlfn.IFS(B92="044 - BLEND TRADICION","BLEND",B92="113 - CAFÉ GOURMET","GOURMET",B92="114 - CAFÉ CONSUMO","CONSUMO",B92="112 - CAFÉ ORGANICO","GOURMET",B92="172 - CAFÉ COSECHA","ESPECIALES",B92="176 - CAFE DESCAFEINADO","GOURMET",B92="147 - CAPSULAS","CAPSULAS",B92="130 - GALLETAS CAFECITAS","DERIVADOS",B92="140 - MERENGUES","DERIVADOS",B92="100 - CAFÉ ESPECIAL","ESPECIALES",B92="141 - AREQUIPE","DERIVADOS",B92="142 - MERMELADA","DERIVADOS",B92="131 - GALLETAS AVENA","DERIVADOS",B92="160 - SOUVENIR","OTROS",B92="148 - CARAMELOS","DERIVADOS",B92="143 - CHOCOFFES","DERIVADOS",B92="162 - CONVENIOS Y DSC POS ","OTROS"),"OTROS")</f>
        <v>OTROS</v>
      </c>
      <c r="L92" s="27">
        <f t="shared" si="9"/>
        <v>55124</v>
      </c>
      <c r="M92" s="27">
        <f t="shared" si="10"/>
        <v>55124</v>
      </c>
    </row>
    <row r="93" spans="1:13" ht="16.5" hidden="1" outlineLevel="1">
      <c r="A93" s="59"/>
      <c r="B93" s="39" t="s">
        <v>29</v>
      </c>
      <c r="C93" s="36">
        <v>203763</v>
      </c>
      <c r="D93" s="36">
        <v>0</v>
      </c>
      <c r="E93" s="36"/>
      <c r="F93" s="48">
        <v>1667302.64</v>
      </c>
      <c r="G93" s="49">
        <f t="shared" si="11"/>
        <v>0.12221116617436653</v>
      </c>
      <c r="H93" s="23">
        <f t="shared" si="12"/>
        <v>0</v>
      </c>
      <c r="I93" s="24">
        <f t="shared" si="12"/>
        <v>0</v>
      </c>
      <c r="J93" s="32" t="str" cm="1">
        <f t="array" ref="J93">IFERROR(_xlfn.IFS(B93="044 - BLEND TRADICION","BLEND",B93="113 - CAFÉ GOURMET","GOURMET",B93="114 - CAFÉ CONSUMO","CONSUMO",B93="112 - CAFÉ ORGANICO","GOURMET",B93="172 - CAFÉ COSECHA","ESPECIALES",B93="176 - CAFE DESCAFEINADO","GOURMET",B93="147 - CAPSULAS","CAPSULAS",B93="130 - GALLETAS CAFECITAS","DERIVADOS",B93="140 - MERENGUES","DERIVADOS",B93="100 - CAFÉ ESPECIAL","ESPECIALES",B93="141 - AREQUIPE","DERIVADOS",B93="142 - MERMELADA","DERIVADOS",B93="131 - GALLETAS AVENA","DERIVADOS",B93="160 - SOUVENIR","OTROS",B93="148 - CARAMELOS","DERIVADOS",B93="143 - CHOCOFFES","DERIVADOS",B93="162 - CONVENIOS Y DSC POS ","OTROS"),"OTROS")</f>
        <v>ESPECIALES</v>
      </c>
      <c r="L93" s="27">
        <f t="shared" si="9"/>
        <v>203763</v>
      </c>
      <c r="M93" s="27">
        <f t="shared" si="10"/>
        <v>203763</v>
      </c>
    </row>
    <row r="94" spans="1:13" ht="16.5" hidden="1" outlineLevel="1">
      <c r="A94" s="59"/>
      <c r="B94" s="39" t="s">
        <v>30</v>
      </c>
      <c r="C94" s="36">
        <v>189786</v>
      </c>
      <c r="D94" s="36">
        <v>0</v>
      </c>
      <c r="E94" s="36"/>
      <c r="F94" s="48">
        <v>382592.22</v>
      </c>
      <c r="G94" s="49">
        <f t="shared" si="11"/>
        <v>0.49605295162562379</v>
      </c>
      <c r="H94" s="23">
        <f t="shared" si="12"/>
        <v>0</v>
      </c>
      <c r="I94" s="24">
        <f t="shared" si="12"/>
        <v>0</v>
      </c>
      <c r="J94" s="32" t="str" cm="1">
        <f t="array" ref="J94">IFERROR(_xlfn.IFS(B94="044 - BLEND TRADICION","BLEND",B94="113 - CAFÉ GOURMET","GOURMET",B94="114 - CAFÉ CONSUMO","CONSUMO",B94="112 - CAFÉ ORGANICO","GOURMET",B94="172 - CAFÉ COSECHA","ESPECIALES",B94="176 - CAFE DESCAFEINADO","GOURMET",B94="147 - CAPSULAS","CAPSULAS",B94="130 - GALLETAS CAFECITAS","DERIVADOS",B94="140 - MERENGUES","DERIVADOS",B94="100 - CAFÉ ESPECIAL","ESPECIALES",B94="141 - AREQUIPE","DERIVADOS",B94="142 - MERMELADA","DERIVADOS",B94="131 - GALLETAS AVENA","DERIVADOS",B94="160 - SOUVENIR","OTROS",B94="148 - CARAMELOS","DERIVADOS",B94="143 - CHOCOFFES","DERIVADOS",B94="162 - CONVENIOS Y DSC POS ","OTROS"),"OTROS")</f>
        <v>GOURMET</v>
      </c>
      <c r="L94" s="27">
        <f t="shared" si="9"/>
        <v>189786</v>
      </c>
      <c r="M94" s="27">
        <f t="shared" si="10"/>
        <v>189786</v>
      </c>
    </row>
    <row r="95" spans="1:13" ht="16.5" hidden="1" outlineLevel="1">
      <c r="A95" s="59"/>
      <c r="B95" s="39" t="s">
        <v>31</v>
      </c>
      <c r="C95" s="36">
        <v>36000</v>
      </c>
      <c r="D95" s="36">
        <v>0</v>
      </c>
      <c r="E95" s="36"/>
      <c r="F95" s="48">
        <v>0</v>
      </c>
      <c r="G95" s="49" t="str">
        <f t="shared" si="11"/>
        <v>-</v>
      </c>
      <c r="H95" s="23">
        <f t="shared" si="12"/>
        <v>0</v>
      </c>
      <c r="I95" s="24">
        <f t="shared" si="12"/>
        <v>0</v>
      </c>
      <c r="J95" s="32" t="str" cm="1">
        <f t="array" ref="J95">IFERROR(_xlfn.IFS(B95="044 - BLEND TRADICION","BLEND",B95="113 - CAFÉ GOURMET","GOURMET",B95="114 - CAFÉ CONSUMO","CONSUMO",B95="112 - CAFÉ ORGANICO","GOURMET",B95="172 - CAFÉ COSECHA","ESPECIALES",B95="176 - CAFE DESCAFEINADO","GOURMET",B95="147 - CAPSULAS","CAPSULAS",B95="130 - GALLETAS CAFECITAS","DERIVADOS",B95="140 - MERENGUES","DERIVADOS",B95="100 - CAFÉ ESPECIAL","ESPECIALES",B95="141 - AREQUIPE","DERIVADOS",B95="142 - MERMELADA","DERIVADOS",B95="131 - GALLETAS AVENA","DERIVADOS",B95="160 - SOUVENIR","OTROS",B95="148 - CARAMELOS","DERIVADOS",B95="143 - CHOCOFFES","DERIVADOS",B95="162 - CONVENIOS Y DSC POS ","OTROS"),"OTROS")</f>
        <v>OTROS</v>
      </c>
      <c r="L95" s="27">
        <f t="shared" si="9"/>
        <v>36000</v>
      </c>
      <c r="M95" s="27">
        <f t="shared" si="10"/>
        <v>36000</v>
      </c>
    </row>
    <row r="96" spans="1:13" ht="16.5" hidden="1" outlineLevel="1">
      <c r="A96" s="19" t="s">
        <v>45</v>
      </c>
      <c r="B96" s="56" t="s">
        <v>32</v>
      </c>
      <c r="C96" s="54">
        <f>SUM(C83:C95)</f>
        <v>44836707</v>
      </c>
      <c r="D96" s="54">
        <f>SUM(D83:D95)</f>
        <v>-3450123</v>
      </c>
      <c r="E96" s="57">
        <v>0</v>
      </c>
      <c r="F96" s="58">
        <f>SUM(F83:F95)</f>
        <v>137638336.16999999</v>
      </c>
      <c r="G96" s="55">
        <f t="shared" si="11"/>
        <v>0.32575740340700754</v>
      </c>
      <c r="H96" s="23">
        <f t="shared" si="12"/>
        <v>-7.1450600505355191E-2</v>
      </c>
      <c r="I96" s="24">
        <f t="shared" si="12"/>
        <v>0</v>
      </c>
      <c r="J96" s="32" t="str" cm="1">
        <f t="array" ref="J96">IFERROR(_xlfn.IFS(B96="044 - BLEND TRADICION","BLEND",B96="113 - CAFÉ GOURMET","GOURMET",B96="114 - CAFÉ CONSUMO","CONSUMO",B96="112 - CAFÉ ORGANICO","GOURMET",B96="172 - CAFÉ COSECHA","ESPECIALES",B96="176 - CAFE DESCAFEINADO","GOURMET",B96="147 - CAPSULAS","CAPSULAS",B96="130 - GALLETAS CAFECITAS","DERIVADOS",B96="140 - MERENGUES","DERIVADOS",B96="100 - CAFÉ ESPECIAL","ESPECIALES",B96="141 - AREQUIPE","DERIVADOS",B96="142 - MERMELADA","DERIVADOS",B96="131 - GALLETAS AVENA","DERIVADOS",B96="160 - SOUVENIR","OTROS",B96="148 - CARAMELOS","DERIVADOS",B96="143 - CHOCOFFES","DERIVADOS",B96="162 - CONVENIOS Y DSC POS ","OTROS"),"OTROS")</f>
        <v>OTROS</v>
      </c>
      <c r="L96" s="27">
        <f t="shared" si="9"/>
        <v>48286830</v>
      </c>
      <c r="M96" s="27">
        <f t="shared" si="10"/>
        <v>48286830</v>
      </c>
    </row>
    <row r="97" spans="1:13" ht="16.5" hidden="1" outlineLevel="1">
      <c r="A97" s="59"/>
      <c r="B97" s="39" t="s">
        <v>18</v>
      </c>
      <c r="C97" s="60">
        <v>1467000</v>
      </c>
      <c r="D97" s="60">
        <v>0</v>
      </c>
      <c r="E97" s="36">
        <v>0</v>
      </c>
      <c r="F97" s="48">
        <v>4980625.03</v>
      </c>
      <c r="G97" s="49">
        <f t="shared" si="11"/>
        <v>0.29454134594830156</v>
      </c>
      <c r="H97" s="23">
        <f t="shared" si="12"/>
        <v>0</v>
      </c>
      <c r="I97" s="24">
        <f t="shared" si="12"/>
        <v>0</v>
      </c>
      <c r="J97" s="32" t="str" cm="1">
        <f t="array" ref="J97">IFERROR(_xlfn.IFS(B97="044 - BLEND TRADICION","BLEND",B97="113 - CAFÉ GOURMET","GOURMET",B97="114 - CAFÉ CONSUMO","CONSUMO",B97="112 - CAFÉ ORGANICO","GOURMET",B97="172 - CAFÉ COSECHA","ESPECIALES",B97="176 - CAFE DESCAFEINADO","GOURMET",B97="147 - CAPSULAS","CAPSULAS",B97="130 - GALLETAS CAFECITAS","DERIVADOS",B97="140 - MERENGUES","DERIVADOS",B97="100 - CAFÉ ESPECIAL","ESPECIALES",B97="141 - AREQUIPE","DERIVADOS",B97="142 - MERMELADA","DERIVADOS",B97="131 - GALLETAS AVENA","DERIVADOS",B97="160 - SOUVENIR","OTROS",B97="148 - CARAMELOS","DERIVADOS",B97="143 - CHOCOFFES","DERIVADOS",B97="162 - CONVENIOS Y DSC POS ","OTROS"),"OTROS")</f>
        <v>BLEND</v>
      </c>
      <c r="L97" s="27">
        <f t="shared" si="9"/>
        <v>1467000</v>
      </c>
      <c r="M97" s="27">
        <f t="shared" si="10"/>
        <v>1467000</v>
      </c>
    </row>
    <row r="98" spans="1:13" ht="16.5" hidden="1" outlineLevel="1">
      <c r="A98" s="59"/>
      <c r="B98" s="39" t="s">
        <v>19</v>
      </c>
      <c r="C98" s="60">
        <v>1984720</v>
      </c>
      <c r="D98" s="60">
        <v>0</v>
      </c>
      <c r="E98" s="36">
        <v>0</v>
      </c>
      <c r="F98" s="48">
        <v>4364104.07</v>
      </c>
      <c r="G98" s="49">
        <f t="shared" si="11"/>
        <v>0.45478292180140423</v>
      </c>
      <c r="H98" s="23">
        <f t="shared" si="12"/>
        <v>0</v>
      </c>
      <c r="I98" s="24">
        <f t="shared" si="12"/>
        <v>0</v>
      </c>
      <c r="J98" s="32" t="str" cm="1">
        <f t="array" ref="J98">IFERROR(_xlfn.IFS(B98="044 - BLEND TRADICION","BLEND",B98="113 - CAFÉ GOURMET","GOURMET",B98="114 - CAFÉ CONSUMO","CONSUMO",B98="112 - CAFÉ ORGANICO","GOURMET",B98="172 - CAFÉ COSECHA","ESPECIALES",B98="176 - CAFE DESCAFEINADO","GOURMET",B98="147 - CAPSULAS","CAPSULAS",B98="130 - GALLETAS CAFECITAS","DERIVADOS",B98="140 - MERENGUES","DERIVADOS",B98="100 - CAFÉ ESPECIAL","ESPECIALES",B98="141 - AREQUIPE","DERIVADOS",B98="142 - MERMELADA","DERIVADOS",B98="131 - GALLETAS AVENA","DERIVADOS",B98="160 - SOUVENIR","OTROS",B98="148 - CARAMELOS","DERIVADOS",B98="143 - CHOCOFFES","DERIVADOS",B98="162 - CONVENIOS Y DSC POS ","OTROS"),"OTROS")</f>
        <v>ESPECIALES</v>
      </c>
      <c r="L98" s="27">
        <f t="shared" si="9"/>
        <v>1984720</v>
      </c>
      <c r="M98" s="27">
        <f t="shared" si="10"/>
        <v>1984720</v>
      </c>
    </row>
    <row r="99" spans="1:13" ht="16.5" hidden="1" outlineLevel="1">
      <c r="A99" s="59"/>
      <c r="B99" s="39" t="s">
        <v>20</v>
      </c>
      <c r="C99" s="60">
        <v>2584131</v>
      </c>
      <c r="D99" s="60">
        <v>0</v>
      </c>
      <c r="E99" s="36">
        <v>0</v>
      </c>
      <c r="F99" s="48">
        <v>6833481.9699999997</v>
      </c>
      <c r="G99" s="49">
        <f t="shared" si="11"/>
        <v>0.3781572866285034</v>
      </c>
      <c r="H99" s="23">
        <f t="shared" si="12"/>
        <v>0</v>
      </c>
      <c r="I99" s="24">
        <f t="shared" si="12"/>
        <v>0</v>
      </c>
      <c r="J99" s="32" t="str" cm="1">
        <f t="array" ref="J99">IFERROR(_xlfn.IFS(B99="044 - BLEND TRADICION","BLEND",B99="113 - CAFÉ GOURMET","GOURMET",B99="114 - CAFÉ CONSUMO","CONSUMO",B99="112 - CAFÉ ORGANICO","GOURMET",B99="172 - CAFÉ COSECHA","ESPECIALES",B99="176 - CAFE DESCAFEINADO","GOURMET",B99="147 - CAPSULAS","CAPSULAS",B99="130 - GALLETAS CAFECITAS","DERIVADOS",B99="140 - MERENGUES","DERIVADOS",B99="100 - CAFÉ ESPECIAL","ESPECIALES",B99="141 - AREQUIPE","DERIVADOS",B99="142 - MERMELADA","DERIVADOS",B99="131 - GALLETAS AVENA","DERIVADOS",B99="160 - SOUVENIR","OTROS",B99="148 - CARAMELOS","DERIVADOS",B99="143 - CHOCOFFES","DERIVADOS",B99="162 - CONVENIOS Y DSC POS ","OTROS"),"OTROS")</f>
        <v>GOURMET</v>
      </c>
      <c r="L99" s="27">
        <f t="shared" si="9"/>
        <v>2584131</v>
      </c>
      <c r="M99" s="27">
        <f t="shared" si="10"/>
        <v>2584131</v>
      </c>
    </row>
    <row r="100" spans="1:13" ht="16.5" hidden="1" outlineLevel="1">
      <c r="A100" s="59"/>
      <c r="B100" s="39" t="s">
        <v>21</v>
      </c>
      <c r="C100" s="60">
        <v>51549486</v>
      </c>
      <c r="D100" s="60">
        <v>-419240</v>
      </c>
      <c r="E100" s="36"/>
      <c r="F100" s="48">
        <v>128071723.90000001</v>
      </c>
      <c r="G100" s="49">
        <f t="shared" si="11"/>
        <v>0.40250481862999266</v>
      </c>
      <c r="H100" s="23">
        <f t="shared" si="12"/>
        <v>-8.0671594681770726E-3</v>
      </c>
      <c r="I100" s="24">
        <f t="shared" si="12"/>
        <v>0</v>
      </c>
      <c r="J100" s="32" t="str" cm="1">
        <f t="array" ref="J100">IFERROR(_xlfn.IFS(B100="044 - BLEND TRADICION","BLEND",B100="113 - CAFÉ GOURMET","GOURMET",B100="114 - CAFÉ CONSUMO","CONSUMO",B100="112 - CAFÉ ORGANICO","GOURMET",B100="172 - CAFÉ COSECHA","ESPECIALES",B100="176 - CAFE DESCAFEINADO","GOURMET",B100="147 - CAPSULAS","CAPSULAS",B100="130 - GALLETAS CAFECITAS","DERIVADOS",B100="140 - MERENGUES","DERIVADOS",B100="100 - CAFÉ ESPECIAL","ESPECIALES",B100="141 - AREQUIPE","DERIVADOS",B100="142 - MERMELADA","DERIVADOS",B100="131 - GALLETAS AVENA","DERIVADOS",B100="160 - SOUVENIR","OTROS",B100="148 - CARAMELOS","DERIVADOS",B100="143 - CHOCOFFES","DERIVADOS",B100="162 - CONVENIOS Y DSC POS ","OTROS"),"OTROS")</f>
        <v>GOURMET</v>
      </c>
      <c r="L100" s="27">
        <f t="shared" si="9"/>
        <v>51968726</v>
      </c>
      <c r="M100" s="27">
        <f t="shared" si="10"/>
        <v>51968726</v>
      </c>
    </row>
    <row r="101" spans="1:13" ht="16.5" hidden="1" outlineLevel="1">
      <c r="A101" s="59"/>
      <c r="B101" s="39" t="s">
        <v>22</v>
      </c>
      <c r="C101" s="60">
        <v>1742522</v>
      </c>
      <c r="D101" s="60">
        <v>0</v>
      </c>
      <c r="E101" s="36">
        <v>0</v>
      </c>
      <c r="F101" s="48">
        <v>5287340.72</v>
      </c>
      <c r="G101" s="49">
        <f t="shared" si="11"/>
        <v>0.32956491595268333</v>
      </c>
      <c r="H101" s="23">
        <f t="shared" si="12"/>
        <v>0</v>
      </c>
      <c r="I101" s="24">
        <f t="shared" si="12"/>
        <v>0</v>
      </c>
      <c r="J101" s="32" t="str" cm="1">
        <f t="array" ref="J101">IFERROR(_xlfn.IFS(B101="044 - BLEND TRADICION","BLEND",B101="113 - CAFÉ GOURMET","GOURMET",B101="114 - CAFÉ CONSUMO","CONSUMO",B101="112 - CAFÉ ORGANICO","GOURMET",B101="172 - CAFÉ COSECHA","ESPECIALES",B101="176 - CAFE DESCAFEINADO","GOURMET",B101="147 - CAPSULAS","CAPSULAS",B101="130 - GALLETAS CAFECITAS","DERIVADOS",B101="140 - MERENGUES","DERIVADOS",B101="100 - CAFÉ ESPECIAL","ESPECIALES",B101="141 - AREQUIPE","DERIVADOS",B101="142 - MERMELADA","DERIVADOS",B101="131 - GALLETAS AVENA","DERIVADOS",B101="160 - SOUVENIR","OTROS",B101="148 - CARAMELOS","DERIVADOS",B101="143 - CHOCOFFES","DERIVADOS",B101="162 - CONVENIOS Y DSC POS ","OTROS"),"OTROS")</f>
        <v>DERIVADOS</v>
      </c>
      <c r="L101" s="27">
        <f t="shared" si="9"/>
        <v>1742522</v>
      </c>
      <c r="M101" s="27">
        <f t="shared" si="10"/>
        <v>1742522</v>
      </c>
    </row>
    <row r="102" spans="1:13" ht="16.5" hidden="1" outlineLevel="1">
      <c r="A102" s="59"/>
      <c r="B102" s="39" t="s">
        <v>23</v>
      </c>
      <c r="C102" s="60">
        <v>59660</v>
      </c>
      <c r="D102" s="60">
        <v>0</v>
      </c>
      <c r="E102" s="36">
        <v>0</v>
      </c>
      <c r="F102" s="48">
        <v>0</v>
      </c>
      <c r="G102" s="49" t="str">
        <f t="shared" si="11"/>
        <v>-</v>
      </c>
      <c r="H102" s="23">
        <f t="shared" si="12"/>
        <v>0</v>
      </c>
      <c r="I102" s="24">
        <f t="shared" si="12"/>
        <v>0</v>
      </c>
      <c r="J102" s="32" t="str" cm="1">
        <f t="array" ref="J102">IFERROR(_xlfn.IFS(B102="044 - BLEND TRADICION","BLEND",B102="113 - CAFÉ GOURMET","GOURMET",B102="114 - CAFÉ CONSUMO","CONSUMO",B102="112 - CAFÉ ORGANICO","GOURMET",B102="172 - CAFÉ COSECHA","ESPECIALES",B102="176 - CAFE DESCAFEINADO","GOURMET",B102="147 - CAPSULAS","CAPSULAS",B102="130 - GALLETAS CAFECITAS","DERIVADOS",B102="140 - MERENGUES","DERIVADOS",B102="100 - CAFÉ ESPECIAL","ESPECIALES",B102="141 - AREQUIPE","DERIVADOS",B102="142 - MERMELADA","DERIVADOS",B102="131 - GALLETAS AVENA","DERIVADOS",B102="160 - SOUVENIR","OTROS",B102="148 - CARAMELOS","DERIVADOS",B102="143 - CHOCOFFES","DERIVADOS",B102="162 - CONVENIOS Y DSC POS ","OTROS"),"OTROS")</f>
        <v>DERIVADOS</v>
      </c>
      <c r="L102" s="27">
        <f t="shared" si="9"/>
        <v>59660</v>
      </c>
      <c r="M102" s="27">
        <f t="shared" si="10"/>
        <v>59660</v>
      </c>
    </row>
    <row r="103" spans="1:13" ht="16.5" hidden="1" outlineLevel="1">
      <c r="A103" s="59"/>
      <c r="B103" s="39" t="s">
        <v>24</v>
      </c>
      <c r="C103" s="60">
        <v>989937</v>
      </c>
      <c r="D103" s="60">
        <v>0</v>
      </c>
      <c r="E103" s="36"/>
      <c r="F103" s="48">
        <v>843982.64</v>
      </c>
      <c r="G103" s="49">
        <f t="shared" si="11"/>
        <v>1.1729352632182102</v>
      </c>
      <c r="H103" s="23">
        <f t="shared" si="12"/>
        <v>0</v>
      </c>
      <c r="I103" s="24">
        <f t="shared" si="12"/>
        <v>0</v>
      </c>
      <c r="J103" s="32" t="str" cm="1">
        <f t="array" ref="J103">IFERROR(_xlfn.IFS(B103="044 - BLEND TRADICION","BLEND",B103="113 - CAFÉ GOURMET","GOURMET",B103="114 - CAFÉ CONSUMO","CONSUMO",B103="112 - CAFÉ ORGANICO","GOURMET",B103="172 - CAFÉ COSECHA","ESPECIALES",B103="176 - CAFE DESCAFEINADO","GOURMET",B103="147 - CAPSULAS","CAPSULAS",B103="130 - GALLETAS CAFECITAS","DERIVADOS",B103="140 - MERENGUES","DERIVADOS",B103="100 - CAFÉ ESPECIAL","ESPECIALES",B103="141 - AREQUIPE","DERIVADOS",B103="142 - MERMELADA","DERIVADOS",B103="131 - GALLETAS AVENA","DERIVADOS",B103="160 - SOUVENIR","OTROS",B103="148 - CARAMELOS","DERIVADOS",B103="143 - CHOCOFFES","DERIVADOS",B103="162 - CONVENIOS Y DSC POS ","OTROS"),"OTROS")</f>
        <v>DERIVADOS</v>
      </c>
      <c r="L103" s="27">
        <f t="shared" si="9"/>
        <v>989937</v>
      </c>
      <c r="M103" s="27">
        <f t="shared" si="10"/>
        <v>989937</v>
      </c>
    </row>
    <row r="104" spans="1:13" ht="16.5" hidden="1" outlineLevel="1">
      <c r="A104" s="59"/>
      <c r="B104" s="39" t="s">
        <v>25</v>
      </c>
      <c r="C104" s="60">
        <v>1020035</v>
      </c>
      <c r="D104" s="60">
        <v>0</v>
      </c>
      <c r="E104" s="36"/>
      <c r="F104" s="48">
        <v>5547744.04</v>
      </c>
      <c r="G104" s="49">
        <f t="shared" si="11"/>
        <v>0.18386482733258905</v>
      </c>
      <c r="H104" s="23">
        <f t="shared" si="12"/>
        <v>0</v>
      </c>
      <c r="I104" s="24">
        <f t="shared" si="12"/>
        <v>0</v>
      </c>
      <c r="J104" s="32" t="str" cm="1">
        <f t="array" ref="J104">IFERROR(_xlfn.IFS(B104="044 - BLEND TRADICION","BLEND",B104="113 - CAFÉ GOURMET","GOURMET",B104="114 - CAFÉ CONSUMO","CONSUMO",B104="112 - CAFÉ ORGANICO","GOURMET",B104="172 - CAFÉ COSECHA","ESPECIALES",B104="176 - CAFE DESCAFEINADO","GOURMET",B104="147 - CAPSULAS","CAPSULAS",B104="130 - GALLETAS CAFECITAS","DERIVADOS",B104="140 - MERENGUES","DERIVADOS",B104="100 - CAFÉ ESPECIAL","ESPECIALES",B104="141 - AREQUIPE","DERIVADOS",B104="142 - MERMELADA","DERIVADOS",B104="131 - GALLETAS AVENA","DERIVADOS",B104="160 - SOUVENIR","OTROS",B104="148 - CARAMELOS","DERIVADOS",B104="143 - CHOCOFFES","DERIVADOS",B104="162 - CONVENIOS Y DSC POS ","OTROS"),"OTROS")</f>
        <v>DERIVADOS</v>
      </c>
      <c r="L104" s="27">
        <f t="shared" si="9"/>
        <v>1020035</v>
      </c>
      <c r="M104" s="27">
        <f t="shared" si="10"/>
        <v>1020035</v>
      </c>
    </row>
    <row r="105" spans="1:13" ht="16.5" hidden="1" outlineLevel="1">
      <c r="A105" s="59"/>
      <c r="B105" s="39" t="s">
        <v>26</v>
      </c>
      <c r="C105" s="60">
        <v>512940</v>
      </c>
      <c r="D105" s="60">
        <v>0</v>
      </c>
      <c r="E105" s="36"/>
      <c r="F105" s="48">
        <v>1612858.44</v>
      </c>
      <c r="G105" s="49">
        <f t="shared" si="11"/>
        <v>0.31803163084790009</v>
      </c>
      <c r="H105" s="23">
        <f t="shared" si="12"/>
        <v>0</v>
      </c>
      <c r="I105" s="24">
        <f t="shared" si="12"/>
        <v>0</v>
      </c>
      <c r="J105" s="32" t="str" cm="1">
        <f t="array" ref="J105">IFERROR(_xlfn.IFS(B105="044 - BLEND TRADICION","BLEND",B105="113 - CAFÉ GOURMET","GOURMET",B105="114 - CAFÉ CONSUMO","CONSUMO",B105="112 - CAFÉ ORGANICO","GOURMET",B105="172 - CAFÉ COSECHA","ESPECIALES",B105="176 - CAFE DESCAFEINADO","GOURMET",B105="147 - CAPSULAS","CAPSULAS",B105="130 - GALLETAS CAFECITAS","DERIVADOS",B105="140 - MERENGUES","DERIVADOS",B105="100 - CAFÉ ESPECIAL","ESPECIALES",B105="141 - AREQUIPE","DERIVADOS",B105="142 - MERMELADA","DERIVADOS",B105="131 - GALLETAS AVENA","DERIVADOS",B105="160 - SOUVENIR","OTROS",B105="148 - CARAMELOS","DERIVADOS",B105="143 - CHOCOFFES","DERIVADOS",B105="162 - CONVENIOS Y DSC POS ","OTROS"),"OTROS")</f>
        <v>CAPSULAS</v>
      </c>
      <c r="L105" s="27">
        <f t="shared" si="9"/>
        <v>512940</v>
      </c>
      <c r="M105" s="27">
        <f t="shared" si="10"/>
        <v>512940</v>
      </c>
    </row>
    <row r="106" spans="1:13" ht="16.5" hidden="1" outlineLevel="1">
      <c r="A106" s="59"/>
      <c r="B106" s="39" t="s">
        <v>27</v>
      </c>
      <c r="C106" s="60">
        <v>1589353</v>
      </c>
      <c r="D106" s="60">
        <v>0</v>
      </c>
      <c r="E106" s="36"/>
      <c r="F106" s="48">
        <v>6748851.9699999997</v>
      </c>
      <c r="G106" s="49">
        <f t="shared" si="11"/>
        <v>0.23549975715351185</v>
      </c>
      <c r="H106" s="23">
        <f t="shared" si="12"/>
        <v>0</v>
      </c>
      <c r="I106" s="24">
        <f t="shared" si="12"/>
        <v>0</v>
      </c>
      <c r="J106" s="32" t="str" cm="1">
        <f t="array" ref="J106">IFERROR(_xlfn.IFS(B106="044 - BLEND TRADICION","BLEND",B106="113 - CAFÉ GOURMET","GOURMET",B106="114 - CAFÉ CONSUMO","CONSUMO",B106="112 - CAFÉ ORGANICO","GOURMET",B106="172 - CAFÉ COSECHA","ESPECIALES",B106="176 - CAFE DESCAFEINADO","GOURMET",B106="147 - CAPSULAS","CAPSULAS",B106="130 - GALLETAS CAFECITAS","DERIVADOS",B106="140 - MERENGUES","DERIVADOS",B106="100 - CAFÉ ESPECIAL","ESPECIALES",B106="141 - AREQUIPE","DERIVADOS",B106="142 - MERMELADA","DERIVADOS",B106="131 - GALLETAS AVENA","DERIVADOS",B106="160 - SOUVENIR","OTROS",B106="148 - CARAMELOS","DERIVADOS",B106="143 - CHOCOFFES","DERIVADOS",B106="162 - CONVENIOS Y DSC POS ","OTROS"),"OTROS")</f>
        <v>DERIVADOS</v>
      </c>
      <c r="L106" s="27">
        <f t="shared" si="9"/>
        <v>1589353</v>
      </c>
      <c r="M106" s="27">
        <f t="shared" si="10"/>
        <v>1589353</v>
      </c>
    </row>
    <row r="107" spans="1:13" ht="16.5" hidden="1" outlineLevel="1">
      <c r="A107" s="59"/>
      <c r="B107" s="39" t="s">
        <v>28</v>
      </c>
      <c r="C107" s="60">
        <v>2932775</v>
      </c>
      <c r="D107" s="60">
        <v>0</v>
      </c>
      <c r="E107" s="36"/>
      <c r="F107" s="48">
        <v>13175768.16</v>
      </c>
      <c r="G107" s="49">
        <f t="shared" si="11"/>
        <v>0.22258854014322607</v>
      </c>
      <c r="H107" s="23">
        <f t="shared" si="12"/>
        <v>0</v>
      </c>
      <c r="I107" s="24">
        <f t="shared" si="12"/>
        <v>0</v>
      </c>
      <c r="J107" s="32" t="str" cm="1">
        <f t="array" ref="J107">IFERROR(_xlfn.IFS(B107="044 - BLEND TRADICION","BLEND",B107="113 - CAFÉ GOURMET","GOURMET",B107="114 - CAFÉ CONSUMO","CONSUMO",B107="112 - CAFÉ ORGANICO","GOURMET",B107="172 - CAFÉ COSECHA","ESPECIALES",B107="176 - CAFE DESCAFEINADO","GOURMET",B107="147 - CAPSULAS","CAPSULAS",B107="130 - GALLETAS CAFECITAS","DERIVADOS",B107="140 - MERENGUES","DERIVADOS",B107="100 - CAFÉ ESPECIAL","ESPECIALES",B107="141 - AREQUIPE","DERIVADOS",B107="142 - MERMELADA","DERIVADOS",B107="131 - GALLETAS AVENA","DERIVADOS",B107="160 - SOUVENIR","OTROS",B107="148 - CARAMELOS","DERIVADOS",B107="143 - CHOCOFFES","DERIVADOS",B107="162 - CONVENIOS Y DSC POS ","OTROS"),"OTROS")</f>
        <v>OTROS</v>
      </c>
      <c r="L107" s="27">
        <f t="shared" si="9"/>
        <v>2932775</v>
      </c>
      <c r="M107" s="27">
        <f t="shared" si="10"/>
        <v>2932775</v>
      </c>
    </row>
    <row r="108" spans="1:13" ht="16.5" hidden="1" outlineLevel="1">
      <c r="A108" s="59"/>
      <c r="B108" s="39" t="s">
        <v>29</v>
      </c>
      <c r="C108" s="60">
        <v>3809495</v>
      </c>
      <c r="D108" s="60">
        <v>0</v>
      </c>
      <c r="E108" s="36"/>
      <c r="F108" s="48">
        <v>23863639.710000001</v>
      </c>
      <c r="G108" s="49">
        <f t="shared" si="11"/>
        <v>0.15963595856685853</v>
      </c>
      <c r="H108" s="23">
        <f t="shared" si="12"/>
        <v>0</v>
      </c>
      <c r="I108" s="24">
        <f t="shared" si="12"/>
        <v>0</v>
      </c>
      <c r="J108" s="32" t="str" cm="1">
        <f t="array" ref="J108">IFERROR(_xlfn.IFS(B108="044 - BLEND TRADICION","BLEND",B108="113 - CAFÉ GOURMET","GOURMET",B108="114 - CAFÉ CONSUMO","CONSUMO",B108="112 - CAFÉ ORGANICO","GOURMET",B108="172 - CAFÉ COSECHA","ESPECIALES",B108="176 - CAFE DESCAFEINADO","GOURMET",B108="147 - CAPSULAS","CAPSULAS",B108="130 - GALLETAS CAFECITAS","DERIVADOS",B108="140 - MERENGUES","DERIVADOS",B108="100 - CAFÉ ESPECIAL","ESPECIALES",B108="141 - AREQUIPE","DERIVADOS",B108="142 - MERMELADA","DERIVADOS",B108="131 - GALLETAS AVENA","DERIVADOS",B108="160 - SOUVENIR","OTROS",B108="148 - CARAMELOS","DERIVADOS",B108="143 - CHOCOFFES","DERIVADOS",B108="162 - CONVENIOS Y DSC POS ","OTROS"),"OTROS")</f>
        <v>ESPECIALES</v>
      </c>
      <c r="L108" s="27">
        <f t="shared" si="9"/>
        <v>3809495</v>
      </c>
      <c r="M108" s="27">
        <f t="shared" si="10"/>
        <v>3809495</v>
      </c>
    </row>
    <row r="109" spans="1:13" ht="16.5" hidden="1" outlineLevel="1">
      <c r="A109" s="59"/>
      <c r="B109" s="39" t="s">
        <v>30</v>
      </c>
      <c r="C109" s="60">
        <v>1613184</v>
      </c>
      <c r="D109" s="60">
        <v>0</v>
      </c>
      <c r="E109" s="36">
        <v>0</v>
      </c>
      <c r="F109" s="48">
        <v>1665594.24</v>
      </c>
      <c r="G109" s="49">
        <f t="shared" si="11"/>
        <v>0.96853360876175942</v>
      </c>
      <c r="H109" s="23">
        <f t="shared" ref="H109:I127" si="13">IFERROR(+D109/L109*100%,0)</f>
        <v>0</v>
      </c>
      <c r="I109" s="24">
        <f t="shared" si="13"/>
        <v>0</v>
      </c>
      <c r="J109" s="32" t="str" cm="1">
        <f t="array" ref="J109">IFERROR(_xlfn.IFS(B109="044 - BLEND TRADICION","BLEND",B109="113 - CAFÉ GOURMET","GOURMET",B109="114 - CAFÉ CONSUMO","CONSUMO",B109="112 - CAFÉ ORGANICO","GOURMET",B109="172 - CAFÉ COSECHA","ESPECIALES",B109="176 - CAFE DESCAFEINADO","GOURMET",B109="147 - CAPSULAS","CAPSULAS",B109="130 - GALLETAS CAFECITAS","DERIVADOS",B109="140 - MERENGUES","DERIVADOS",B109="100 - CAFÉ ESPECIAL","ESPECIALES",B109="141 - AREQUIPE","DERIVADOS",B109="142 - MERMELADA","DERIVADOS",B109="131 - GALLETAS AVENA","DERIVADOS",B109="160 - SOUVENIR","OTROS",B109="148 - CARAMELOS","DERIVADOS",B109="143 - CHOCOFFES","DERIVADOS",B109="162 - CONVENIOS Y DSC POS ","OTROS"),"OTROS")</f>
        <v>GOURMET</v>
      </c>
      <c r="L109" s="27">
        <f t="shared" si="9"/>
        <v>1613184</v>
      </c>
      <c r="M109" s="27">
        <f t="shared" si="10"/>
        <v>1613184</v>
      </c>
    </row>
    <row r="110" spans="1:13" ht="16.5" hidden="1" outlineLevel="1">
      <c r="A110" s="19" t="s">
        <v>46</v>
      </c>
      <c r="B110" s="56" t="s">
        <v>32</v>
      </c>
      <c r="C110" s="54">
        <f>SUM(C97:C109)</f>
        <v>71855238</v>
      </c>
      <c r="D110" s="54">
        <f>SUM(D97:D109)</f>
        <v>-419240</v>
      </c>
      <c r="E110" s="54">
        <f>SUM(E97:E109)</f>
        <v>0</v>
      </c>
      <c r="F110" s="54">
        <f>SUM(F97:F109)</f>
        <v>202995714.88999999</v>
      </c>
      <c r="G110" s="55">
        <f t="shared" si="11"/>
        <v>0.3539741616661079</v>
      </c>
      <c r="H110" s="23">
        <f t="shared" si="13"/>
        <v>-5.8006645167330024E-3</v>
      </c>
      <c r="I110" s="24">
        <f t="shared" si="13"/>
        <v>0</v>
      </c>
      <c r="J110" s="32" t="str" cm="1">
        <f t="array" ref="J110">IFERROR(_xlfn.IFS(B110="044 - BLEND TRADICION","BLEND",B110="113 - CAFÉ GOURMET","GOURMET",B110="114 - CAFÉ CONSUMO","CONSUMO",B110="112 - CAFÉ ORGANICO","GOURMET",B110="172 - CAFÉ COSECHA","ESPECIALES",B110="176 - CAFE DESCAFEINADO","GOURMET",B110="147 - CAPSULAS","CAPSULAS",B110="130 - GALLETAS CAFECITAS","DERIVADOS",B110="140 - MERENGUES","DERIVADOS",B110="100 - CAFÉ ESPECIAL","ESPECIALES",B110="141 - AREQUIPE","DERIVADOS",B110="142 - MERMELADA","DERIVADOS",B110="131 - GALLETAS AVENA","DERIVADOS",B110="160 - SOUVENIR","OTROS",B110="148 - CARAMELOS","DERIVADOS",B110="143 - CHOCOFFES","DERIVADOS",B110="162 - CONVENIOS Y DSC POS ","OTROS"),"OTROS")</f>
        <v>OTROS</v>
      </c>
      <c r="L110" s="27">
        <f t="shared" si="9"/>
        <v>72274478</v>
      </c>
      <c r="M110" s="27">
        <f t="shared" si="10"/>
        <v>72274478</v>
      </c>
    </row>
    <row r="111" spans="1:13" ht="16.5" collapsed="1">
      <c r="A111" s="28" t="s">
        <v>47</v>
      </c>
      <c r="B111" s="29" t="s">
        <v>17</v>
      </c>
      <c r="C111" s="30">
        <f>+C132+C146+C163+C179+C194+C118</f>
        <v>226029176</v>
      </c>
      <c r="D111" s="30">
        <f>+D132+D146+D163+D179+D194+D118</f>
        <v>-426436</v>
      </c>
      <c r="E111" s="30">
        <f>+E132+E146+E163+E179+E194+E118</f>
        <v>-52019</v>
      </c>
      <c r="F111" s="30">
        <f>+F132+F146+F163+F179+F194+F118</f>
        <v>664228042.13999987</v>
      </c>
      <c r="G111" s="31">
        <f t="shared" si="11"/>
        <v>0.3402885178888001</v>
      </c>
      <c r="H111" s="23">
        <f t="shared" si="13"/>
        <v>-1.8826562183240528E-3</v>
      </c>
      <c r="I111" s="24">
        <f t="shared" si="13"/>
        <v>-2.2965672180819374E-4</v>
      </c>
      <c r="J111" s="32" t="str" cm="1">
        <f t="array" ref="J111">IFERROR(_xlfn.IFS(B111="044 - BLEND TRADICION","BLEND",B111="113 - CAFÉ GOURMET","GOURMET",B111="114 - CAFÉ CONSUMO","CONSUMO",B111="112 - CAFÉ ORGANICO","GOURMET",B111="172 - CAFÉ COSECHA","ESPECIALES",B111="176 - CAFE DESCAFEINADO","GOURMET",B111="147 - CAPSULAS","CAPSULAS",B111="130 - GALLETAS CAFECITAS","DERIVADOS",B111="140 - MERENGUES","DERIVADOS",B111="100 - CAFÉ ESPECIAL","ESPECIALES",B111="141 - AREQUIPE","DERIVADOS",B111="142 - MERMELADA","DERIVADOS",B111="131 - GALLETAS AVENA","DERIVADOS",B111="160 - SOUVENIR","OTROS",B111="148 - CARAMELOS","DERIVADOS",B111="143 - CHOCOFFES","DERIVADOS",B111="162 - CONVENIOS Y DSC POS ","OTROS"),"OTROS")</f>
        <v>OTROS</v>
      </c>
      <c r="L111" s="27">
        <f t="shared" si="9"/>
        <v>226507631</v>
      </c>
      <c r="M111" s="27">
        <f t="shared" si="10"/>
        <v>226507631</v>
      </c>
    </row>
    <row r="112" spans="1:13" ht="16.5" hidden="1" outlineLevel="1">
      <c r="A112" s="38"/>
      <c r="B112" s="39" t="s">
        <v>19</v>
      </c>
      <c r="C112" s="36">
        <v>0</v>
      </c>
      <c r="D112" s="36">
        <v>0</v>
      </c>
      <c r="E112" s="36">
        <v>0</v>
      </c>
      <c r="F112" s="36">
        <v>397872.45</v>
      </c>
      <c r="G112" s="37">
        <f t="shared" si="11"/>
        <v>0</v>
      </c>
      <c r="H112" s="23">
        <f t="shared" si="13"/>
        <v>0</v>
      </c>
      <c r="I112" s="24">
        <f t="shared" si="13"/>
        <v>0</v>
      </c>
      <c r="J112" s="32" t="str" cm="1">
        <f t="array" ref="J112">IFERROR(_xlfn.IFS(B112="044 - BLEND TRADICION","BLEND",B112="113 - CAFÉ GOURMET","GOURMET",B112="114 - CAFÉ CONSUMO","CONSUMO",B112="112 - CAFÉ ORGANICO","GOURMET",B112="172 - CAFÉ COSECHA","ESPECIALES",B112="176 - CAFE DESCAFEINADO","GOURMET",B112="147 - CAPSULAS","CAPSULAS",B112="130 - GALLETAS CAFECITAS","DERIVADOS",B112="140 - MERENGUES","DERIVADOS",B112="100 - CAFÉ ESPECIAL","ESPECIALES",B112="141 - AREQUIPE","DERIVADOS",B112="142 - MERMELADA","DERIVADOS",B112="131 - GALLETAS AVENA","DERIVADOS",B112="160 - SOUVENIR","OTROS",B112="148 - CARAMELOS","DERIVADOS",B112="143 - CHOCOFFES","DERIVADOS",B112="162 - CONVENIOS Y DSC POS ","OTROS"),"OTROS")</f>
        <v>ESPECIALES</v>
      </c>
      <c r="L112" s="27">
        <f t="shared" si="9"/>
        <v>0</v>
      </c>
      <c r="M112" s="27">
        <f t="shared" si="10"/>
        <v>0</v>
      </c>
    </row>
    <row r="113" spans="1:13" ht="16.5" hidden="1" outlineLevel="1">
      <c r="A113" s="38"/>
      <c r="B113" s="39" t="s">
        <v>20</v>
      </c>
      <c r="C113" s="36">
        <v>0</v>
      </c>
      <c r="D113" s="36">
        <v>0</v>
      </c>
      <c r="E113" s="36"/>
      <c r="F113" s="36">
        <v>550199.43000000005</v>
      </c>
      <c r="G113" s="37">
        <f t="shared" si="11"/>
        <v>0</v>
      </c>
      <c r="H113" s="23">
        <f t="shared" si="13"/>
        <v>0</v>
      </c>
      <c r="I113" s="24">
        <f t="shared" si="13"/>
        <v>0</v>
      </c>
      <c r="J113" s="32" t="str" cm="1">
        <f t="array" ref="J113">IFERROR(_xlfn.IFS(B113="044 - BLEND TRADICION","BLEND",B113="113 - CAFÉ GOURMET","GOURMET",B113="114 - CAFÉ CONSUMO","CONSUMO",B113="112 - CAFÉ ORGANICO","GOURMET",B113="172 - CAFÉ COSECHA","ESPECIALES",B113="176 - CAFE DESCAFEINADO","GOURMET",B113="147 - CAPSULAS","CAPSULAS",B113="130 - GALLETAS CAFECITAS","DERIVADOS",B113="140 - MERENGUES","DERIVADOS",B113="100 - CAFÉ ESPECIAL","ESPECIALES",B113="141 - AREQUIPE","DERIVADOS",B113="142 - MERMELADA","DERIVADOS",B113="131 - GALLETAS AVENA","DERIVADOS",B113="160 - SOUVENIR","OTROS",B113="148 - CARAMELOS","DERIVADOS",B113="143 - CHOCOFFES","DERIVADOS",B113="162 - CONVENIOS Y DSC POS ","OTROS"),"OTROS")</f>
        <v>GOURMET</v>
      </c>
      <c r="L113" s="27">
        <f t="shared" si="9"/>
        <v>0</v>
      </c>
      <c r="M113" s="27">
        <f t="shared" si="10"/>
        <v>0</v>
      </c>
    </row>
    <row r="114" spans="1:13" ht="16.5" hidden="1" outlineLevel="1">
      <c r="A114" s="38"/>
      <c r="B114" s="39" t="s">
        <v>21</v>
      </c>
      <c r="C114" s="36">
        <v>0</v>
      </c>
      <c r="D114" s="36">
        <v>0</v>
      </c>
      <c r="E114" s="36"/>
      <c r="F114" s="36">
        <v>1226924.78</v>
      </c>
      <c r="G114" s="37">
        <f t="shared" si="11"/>
        <v>0</v>
      </c>
      <c r="H114" s="23">
        <f t="shared" si="13"/>
        <v>0</v>
      </c>
      <c r="I114" s="24">
        <f t="shared" si="13"/>
        <v>0</v>
      </c>
      <c r="J114" s="32" t="str" cm="1">
        <f t="array" ref="J114">IFERROR(_xlfn.IFS(B114="044 - BLEND TRADICION","BLEND",B114="113 - CAFÉ GOURMET","GOURMET",B114="114 - CAFÉ CONSUMO","CONSUMO",B114="112 - CAFÉ ORGANICO","GOURMET",B114="172 - CAFÉ COSECHA","ESPECIALES",B114="176 - CAFE DESCAFEINADO","GOURMET",B114="147 - CAPSULAS","CAPSULAS",B114="130 - GALLETAS CAFECITAS","DERIVADOS",B114="140 - MERENGUES","DERIVADOS",B114="100 - CAFÉ ESPECIAL","ESPECIALES",B114="141 - AREQUIPE","DERIVADOS",B114="142 - MERMELADA","DERIVADOS",B114="131 - GALLETAS AVENA","DERIVADOS",B114="160 - SOUVENIR","OTROS",B114="148 - CARAMELOS","DERIVADOS",B114="143 - CHOCOFFES","DERIVADOS",B114="162 - CONVENIOS Y DSC POS ","OTROS"),"OTROS")</f>
        <v>GOURMET</v>
      </c>
      <c r="L114" s="27">
        <f t="shared" si="9"/>
        <v>0</v>
      </c>
      <c r="M114" s="27">
        <f t="shared" si="10"/>
        <v>0</v>
      </c>
    </row>
    <row r="115" spans="1:13" ht="16.5" hidden="1" outlineLevel="1">
      <c r="A115" s="38"/>
      <c r="B115" s="39" t="s">
        <v>22</v>
      </c>
      <c r="C115" s="36">
        <v>0</v>
      </c>
      <c r="D115" s="36">
        <v>0</v>
      </c>
      <c r="E115" s="36"/>
      <c r="F115" s="36">
        <v>231859.77</v>
      </c>
      <c r="G115" s="37">
        <f t="shared" si="11"/>
        <v>0</v>
      </c>
      <c r="H115" s="23">
        <f t="shared" si="13"/>
        <v>0</v>
      </c>
      <c r="I115" s="24">
        <f t="shared" si="13"/>
        <v>0</v>
      </c>
      <c r="J115" s="32" t="str" cm="1">
        <f t="array" ref="J115">IFERROR(_xlfn.IFS(B115="044 - BLEND TRADICION","BLEND",B115="113 - CAFÉ GOURMET","GOURMET",B115="114 - CAFÉ CONSUMO","CONSUMO",B115="112 - CAFÉ ORGANICO","GOURMET",B115="172 - CAFÉ COSECHA","ESPECIALES",B115="176 - CAFE DESCAFEINADO","GOURMET",B115="147 - CAPSULAS","CAPSULAS",B115="130 - GALLETAS CAFECITAS","DERIVADOS",B115="140 - MERENGUES","DERIVADOS",B115="100 - CAFÉ ESPECIAL","ESPECIALES",B115="141 - AREQUIPE","DERIVADOS",B115="142 - MERMELADA","DERIVADOS",B115="131 - GALLETAS AVENA","DERIVADOS",B115="160 - SOUVENIR","OTROS",B115="148 - CARAMELOS","DERIVADOS",B115="143 - CHOCOFFES","DERIVADOS",B115="162 - CONVENIOS Y DSC POS ","OTROS"),"OTROS")</f>
        <v>DERIVADOS</v>
      </c>
      <c r="L115" s="27">
        <f t="shared" si="9"/>
        <v>0</v>
      </c>
      <c r="M115" s="27">
        <f t="shared" si="10"/>
        <v>0</v>
      </c>
    </row>
    <row r="116" spans="1:13" ht="16.5" hidden="1" outlineLevel="1">
      <c r="A116" s="38"/>
      <c r="B116" s="39" t="s">
        <v>28</v>
      </c>
      <c r="C116" s="36">
        <v>0</v>
      </c>
      <c r="D116" s="36">
        <v>0</v>
      </c>
      <c r="E116" s="36"/>
      <c r="F116" s="36">
        <v>197515.99</v>
      </c>
      <c r="G116" s="37">
        <f t="shared" si="11"/>
        <v>0</v>
      </c>
      <c r="H116" s="23">
        <f t="shared" si="13"/>
        <v>0</v>
      </c>
      <c r="I116" s="24">
        <f t="shared" si="13"/>
        <v>0</v>
      </c>
      <c r="J116" s="32" t="str" cm="1">
        <f t="array" ref="J116">IFERROR(_xlfn.IFS(B116="044 - BLEND TRADICION","BLEND",B116="113 - CAFÉ GOURMET","GOURMET",B116="114 - CAFÉ CONSUMO","CONSUMO",B116="112 - CAFÉ ORGANICO","GOURMET",B116="172 - CAFÉ COSECHA","ESPECIALES",B116="176 - CAFE DESCAFEINADO","GOURMET",B116="147 - CAPSULAS","CAPSULAS",B116="130 - GALLETAS CAFECITAS","DERIVADOS",B116="140 - MERENGUES","DERIVADOS",B116="100 - CAFÉ ESPECIAL","ESPECIALES",B116="141 - AREQUIPE","DERIVADOS",B116="142 - MERMELADA","DERIVADOS",B116="131 - GALLETAS AVENA","DERIVADOS",B116="160 - SOUVENIR","OTROS",B116="148 - CARAMELOS","DERIVADOS",B116="143 - CHOCOFFES","DERIVADOS",B116="162 - CONVENIOS Y DSC POS ","OTROS"),"OTROS")</f>
        <v>OTROS</v>
      </c>
      <c r="L116" s="27">
        <f t="shared" si="9"/>
        <v>0</v>
      </c>
      <c r="M116" s="27">
        <f t="shared" si="10"/>
        <v>0</v>
      </c>
    </row>
    <row r="117" spans="1:13" ht="16.5" hidden="1" outlineLevel="1">
      <c r="A117" s="38"/>
      <c r="B117" s="39" t="s">
        <v>29</v>
      </c>
      <c r="C117" s="36">
        <v>0</v>
      </c>
      <c r="D117" s="36">
        <v>0</v>
      </c>
      <c r="E117" s="36"/>
      <c r="F117" s="36">
        <v>934062.72</v>
      </c>
      <c r="G117" s="37">
        <f t="shared" si="11"/>
        <v>0</v>
      </c>
      <c r="H117" s="23">
        <f t="shared" si="13"/>
        <v>0</v>
      </c>
      <c r="I117" s="24">
        <f t="shared" si="13"/>
        <v>0</v>
      </c>
      <c r="J117" s="32" t="str" cm="1">
        <f t="array" ref="J117">IFERROR(_xlfn.IFS(B117="044 - BLEND TRADICION","BLEND",B117="113 - CAFÉ GOURMET","GOURMET",B117="114 - CAFÉ CONSUMO","CONSUMO",B117="112 - CAFÉ ORGANICO","GOURMET",B117="172 - CAFÉ COSECHA","ESPECIALES",B117="176 - CAFE DESCAFEINADO","GOURMET",B117="147 - CAPSULAS","CAPSULAS",B117="130 - GALLETAS CAFECITAS","DERIVADOS",B117="140 - MERENGUES","DERIVADOS",B117="100 - CAFÉ ESPECIAL","ESPECIALES",B117="141 - AREQUIPE","DERIVADOS",B117="142 - MERMELADA","DERIVADOS",B117="131 - GALLETAS AVENA","DERIVADOS",B117="160 - SOUVENIR","OTROS",B117="148 - CARAMELOS","DERIVADOS",B117="143 - CHOCOFFES","DERIVADOS",B117="162 - CONVENIOS Y DSC POS ","OTROS"),"OTROS")</f>
        <v>ESPECIALES</v>
      </c>
      <c r="L117" s="27">
        <f t="shared" si="9"/>
        <v>0</v>
      </c>
      <c r="M117" s="27">
        <f t="shared" si="10"/>
        <v>0</v>
      </c>
    </row>
    <row r="118" spans="1:13" ht="16.5" hidden="1" outlineLevel="1">
      <c r="A118" s="19" t="s">
        <v>48</v>
      </c>
      <c r="B118" s="56" t="s">
        <v>32</v>
      </c>
      <c r="C118" s="54">
        <f>SUM(C112:C117)</f>
        <v>0</v>
      </c>
      <c r="D118" s="54">
        <f>SUM(D112:D117)</f>
        <v>0</v>
      </c>
      <c r="E118" s="54">
        <f>SUM(E112:E117)</f>
        <v>0</v>
      </c>
      <c r="F118" s="54">
        <f>SUM(F112:F117)</f>
        <v>3538435.1399999997</v>
      </c>
      <c r="G118" s="55">
        <f t="shared" si="11"/>
        <v>0</v>
      </c>
      <c r="H118" s="23">
        <f t="shared" si="13"/>
        <v>0</v>
      </c>
      <c r="I118" s="24">
        <f t="shared" si="13"/>
        <v>0</v>
      </c>
      <c r="J118" s="32" t="str" cm="1">
        <f t="array" ref="J118">IFERROR(_xlfn.IFS(B118="044 - BLEND TRADICION","BLEND",B118="113 - CAFÉ GOURMET","GOURMET",B118="114 - CAFÉ CONSUMO","CONSUMO",B118="112 - CAFÉ ORGANICO","GOURMET",B118="172 - CAFÉ COSECHA","ESPECIALES",B118="176 - CAFE DESCAFEINADO","GOURMET",B118="147 - CAPSULAS","CAPSULAS",B118="130 - GALLETAS CAFECITAS","DERIVADOS",B118="140 - MERENGUES","DERIVADOS",B118="100 - CAFÉ ESPECIAL","ESPECIALES",B118="141 - AREQUIPE","DERIVADOS",B118="142 - MERMELADA","DERIVADOS",B118="131 - GALLETAS AVENA","DERIVADOS",B118="160 - SOUVENIR","OTROS",B118="148 - CARAMELOS","DERIVADOS",B118="143 - CHOCOFFES","DERIVADOS",B118="162 - CONVENIOS Y DSC POS ","OTROS"),"OTROS")</f>
        <v>OTROS</v>
      </c>
      <c r="L118" s="27">
        <f t="shared" si="9"/>
        <v>0</v>
      </c>
      <c r="M118" s="27">
        <f t="shared" si="10"/>
        <v>0</v>
      </c>
    </row>
    <row r="119" spans="1:13" ht="16.5" hidden="1" outlineLevel="1">
      <c r="A119" s="33"/>
      <c r="B119" s="39" t="s">
        <v>18</v>
      </c>
      <c r="C119" s="36">
        <v>2825768</v>
      </c>
      <c r="D119" s="36">
        <v>0</v>
      </c>
      <c r="E119" s="36">
        <v>0</v>
      </c>
      <c r="F119" s="36">
        <v>4604527.18</v>
      </c>
      <c r="G119" s="37">
        <f t="shared" si="11"/>
        <v>0.6136934129249727</v>
      </c>
      <c r="H119" s="23">
        <f t="shared" si="13"/>
        <v>0</v>
      </c>
      <c r="I119" s="24">
        <f t="shared" si="13"/>
        <v>0</v>
      </c>
      <c r="J119" s="32" t="str" cm="1">
        <f t="array" ref="J119">IFERROR(_xlfn.IFS(B119="044 - BLEND TRADICION","BLEND",B119="113 - CAFÉ GOURMET","GOURMET",B119="114 - CAFÉ CONSUMO","CONSUMO",B119="112 - CAFÉ ORGANICO","GOURMET",B119="172 - CAFÉ COSECHA","ESPECIALES",B119="176 - CAFE DESCAFEINADO","GOURMET",B119="147 - CAPSULAS","CAPSULAS",B119="130 - GALLETAS CAFECITAS","DERIVADOS",B119="140 - MERENGUES","DERIVADOS",B119="100 - CAFÉ ESPECIAL","ESPECIALES",B119="141 - AREQUIPE","DERIVADOS",B119="142 - MERMELADA","DERIVADOS",B119="131 - GALLETAS AVENA","DERIVADOS",B119="160 - SOUVENIR","OTROS",B119="148 - CARAMELOS","DERIVADOS",B119="143 - CHOCOFFES","DERIVADOS",B119="162 - CONVENIOS Y DSC POS ","OTROS"),"OTROS")</f>
        <v>BLEND</v>
      </c>
      <c r="L119" s="27">
        <f t="shared" si="9"/>
        <v>2825768</v>
      </c>
      <c r="M119" s="27">
        <f t="shared" si="10"/>
        <v>2825768</v>
      </c>
    </row>
    <row r="120" spans="1:13" ht="16.5" hidden="1" outlineLevel="1">
      <c r="A120" s="38"/>
      <c r="B120" s="39" t="s">
        <v>19</v>
      </c>
      <c r="C120" s="36">
        <v>290640</v>
      </c>
      <c r="D120" s="36">
        <v>0</v>
      </c>
      <c r="E120" s="36">
        <v>0</v>
      </c>
      <c r="F120" s="36">
        <v>904271.48</v>
      </c>
      <c r="G120" s="37">
        <f t="shared" si="11"/>
        <v>0.32140790285678367</v>
      </c>
      <c r="H120" s="23">
        <f t="shared" si="13"/>
        <v>0</v>
      </c>
      <c r="I120" s="24">
        <f t="shared" si="13"/>
        <v>0</v>
      </c>
      <c r="J120" s="32" t="str" cm="1">
        <f t="array" ref="J120">IFERROR(_xlfn.IFS(B120="044 - BLEND TRADICION","BLEND",B120="113 - CAFÉ GOURMET","GOURMET",B120="114 - CAFÉ CONSUMO","CONSUMO",B120="112 - CAFÉ ORGANICO","GOURMET",B120="172 - CAFÉ COSECHA","ESPECIALES",B120="176 - CAFE DESCAFEINADO","GOURMET",B120="147 - CAPSULAS","CAPSULAS",B120="130 - GALLETAS CAFECITAS","DERIVADOS",B120="140 - MERENGUES","DERIVADOS",B120="100 - CAFÉ ESPECIAL","ESPECIALES",B120="141 - AREQUIPE","DERIVADOS",B120="142 - MERMELADA","DERIVADOS",B120="131 - GALLETAS AVENA","DERIVADOS",B120="160 - SOUVENIR","OTROS",B120="148 - CARAMELOS","DERIVADOS",B120="143 - CHOCOFFES","DERIVADOS",B120="162 - CONVENIOS Y DSC POS ","OTROS"),"OTROS")</f>
        <v>ESPECIALES</v>
      </c>
      <c r="L120" s="27">
        <f t="shared" si="9"/>
        <v>290640</v>
      </c>
      <c r="M120" s="27">
        <f t="shared" si="10"/>
        <v>290640</v>
      </c>
    </row>
    <row r="121" spans="1:13" ht="16.5" hidden="1" outlineLevel="1">
      <c r="A121" s="38"/>
      <c r="B121" s="39" t="s">
        <v>20</v>
      </c>
      <c r="C121" s="36">
        <v>319902</v>
      </c>
      <c r="D121" s="36">
        <v>0</v>
      </c>
      <c r="E121" s="36">
        <v>0</v>
      </c>
      <c r="F121" s="36">
        <v>1000950.28</v>
      </c>
      <c r="G121" s="37">
        <f t="shared" si="11"/>
        <v>0.31959829213495</v>
      </c>
      <c r="H121" s="23">
        <f t="shared" si="13"/>
        <v>0</v>
      </c>
      <c r="I121" s="24">
        <f t="shared" si="13"/>
        <v>0</v>
      </c>
      <c r="J121" s="32" t="str" cm="1">
        <f t="array" ref="J121">IFERROR(_xlfn.IFS(B121="044 - BLEND TRADICION","BLEND",B121="113 - CAFÉ GOURMET","GOURMET",B121="114 - CAFÉ CONSUMO","CONSUMO",B121="112 - CAFÉ ORGANICO","GOURMET",B121="172 - CAFÉ COSECHA","ESPECIALES",B121="176 - CAFE DESCAFEINADO","GOURMET",B121="147 - CAPSULAS","CAPSULAS",B121="130 - GALLETAS CAFECITAS","DERIVADOS",B121="140 - MERENGUES","DERIVADOS",B121="100 - CAFÉ ESPECIAL","ESPECIALES",B121="141 - AREQUIPE","DERIVADOS",B121="142 - MERMELADA","DERIVADOS",B121="131 - GALLETAS AVENA","DERIVADOS",B121="160 - SOUVENIR","OTROS",B121="148 - CARAMELOS","DERIVADOS",B121="143 - CHOCOFFES","DERIVADOS",B121="162 - CONVENIOS Y DSC POS ","OTROS"),"OTROS")</f>
        <v>GOURMET</v>
      </c>
      <c r="L121" s="27">
        <f t="shared" si="9"/>
        <v>319902</v>
      </c>
      <c r="M121" s="27">
        <f t="shared" si="10"/>
        <v>319902</v>
      </c>
    </row>
    <row r="122" spans="1:13" ht="16.5" hidden="1" outlineLevel="1">
      <c r="A122" s="38"/>
      <c r="B122" s="39" t="s">
        <v>21</v>
      </c>
      <c r="C122" s="36">
        <v>9879088</v>
      </c>
      <c r="D122" s="36">
        <v>-284231</v>
      </c>
      <c r="E122" s="36">
        <v>0</v>
      </c>
      <c r="F122" s="36">
        <v>29634733.52</v>
      </c>
      <c r="G122" s="37">
        <f t="shared" si="11"/>
        <v>0.33336179633040275</v>
      </c>
      <c r="H122" s="23">
        <f t="shared" si="13"/>
        <v>-2.7966356266097718E-2</v>
      </c>
      <c r="I122" s="24">
        <f t="shared" si="13"/>
        <v>0</v>
      </c>
      <c r="J122" s="32" t="str" cm="1">
        <f t="array" ref="J122">IFERROR(_xlfn.IFS(B122="044 - BLEND TRADICION","BLEND",B122="113 - CAFÉ GOURMET","GOURMET",B122="114 - CAFÉ CONSUMO","CONSUMO",B122="112 - CAFÉ ORGANICO","GOURMET",B122="172 - CAFÉ COSECHA","ESPECIALES",B122="176 - CAFE DESCAFEINADO","GOURMET",B122="147 - CAPSULAS","CAPSULAS",B122="130 - GALLETAS CAFECITAS","DERIVADOS",B122="140 - MERENGUES","DERIVADOS",B122="100 - CAFÉ ESPECIAL","ESPECIALES",B122="141 - AREQUIPE","DERIVADOS",B122="142 - MERMELADA","DERIVADOS",B122="131 - GALLETAS AVENA","DERIVADOS",B122="160 - SOUVENIR","OTROS",B122="148 - CARAMELOS","DERIVADOS",B122="143 - CHOCOFFES","DERIVADOS",B122="162 - CONVENIOS Y DSC POS ","OTROS"),"OTROS")</f>
        <v>GOURMET</v>
      </c>
      <c r="L122" s="27">
        <f t="shared" si="9"/>
        <v>10163319</v>
      </c>
      <c r="M122" s="27">
        <f t="shared" si="10"/>
        <v>10163319</v>
      </c>
    </row>
    <row r="123" spans="1:13" ht="16.5" hidden="1" outlineLevel="1">
      <c r="A123" s="38"/>
      <c r="B123" s="39" t="s">
        <v>22</v>
      </c>
      <c r="C123" s="36">
        <v>2892445</v>
      </c>
      <c r="D123" s="36">
        <v>0</v>
      </c>
      <c r="E123" s="36"/>
      <c r="F123" s="36">
        <v>7797334.1100000003</v>
      </c>
      <c r="G123" s="37">
        <f t="shared" si="11"/>
        <v>0.370953066675759</v>
      </c>
      <c r="H123" s="23">
        <f t="shared" si="13"/>
        <v>0</v>
      </c>
      <c r="I123" s="24">
        <f t="shared" si="13"/>
        <v>0</v>
      </c>
      <c r="J123" s="32" t="str" cm="1">
        <f t="array" ref="J123">IFERROR(_xlfn.IFS(B123="044 - BLEND TRADICION","BLEND",B123="113 - CAFÉ GOURMET","GOURMET",B123="114 - CAFÉ CONSUMO","CONSUMO",B123="112 - CAFÉ ORGANICO","GOURMET",B123="172 - CAFÉ COSECHA","ESPECIALES",B123="176 - CAFE DESCAFEINADO","GOURMET",B123="147 - CAPSULAS","CAPSULAS",B123="130 - GALLETAS CAFECITAS","DERIVADOS",B123="140 - MERENGUES","DERIVADOS",B123="100 - CAFÉ ESPECIAL","ESPECIALES",B123="141 - AREQUIPE","DERIVADOS",B123="142 - MERMELADA","DERIVADOS",B123="131 - GALLETAS AVENA","DERIVADOS",B123="160 - SOUVENIR","OTROS",B123="148 - CARAMELOS","DERIVADOS",B123="143 - CHOCOFFES","DERIVADOS",B123="162 - CONVENIOS Y DSC POS ","OTROS"),"OTROS")</f>
        <v>DERIVADOS</v>
      </c>
      <c r="L123" s="27">
        <f t="shared" si="9"/>
        <v>2892445</v>
      </c>
      <c r="M123" s="27">
        <f t="shared" si="10"/>
        <v>2892445</v>
      </c>
    </row>
    <row r="124" spans="1:13" ht="16.5" hidden="1" outlineLevel="1">
      <c r="A124" s="38"/>
      <c r="B124" s="39" t="s">
        <v>23</v>
      </c>
      <c r="C124" s="36">
        <v>0</v>
      </c>
      <c r="D124" s="36">
        <v>0</v>
      </c>
      <c r="E124" s="36">
        <v>0</v>
      </c>
      <c r="F124" s="36">
        <v>251654.35</v>
      </c>
      <c r="G124" s="37">
        <f t="shared" si="11"/>
        <v>0</v>
      </c>
      <c r="H124" s="23">
        <f t="shared" si="13"/>
        <v>0</v>
      </c>
      <c r="I124" s="24">
        <f t="shared" si="13"/>
        <v>0</v>
      </c>
      <c r="J124" s="32" t="str" cm="1">
        <f t="array" ref="J124">IFERROR(_xlfn.IFS(B124="044 - BLEND TRADICION","BLEND",B124="113 - CAFÉ GOURMET","GOURMET",B124="114 - CAFÉ CONSUMO","CONSUMO",B124="112 - CAFÉ ORGANICO","GOURMET",B124="172 - CAFÉ COSECHA","ESPECIALES",B124="176 - CAFE DESCAFEINADO","GOURMET",B124="147 - CAPSULAS","CAPSULAS",B124="130 - GALLETAS CAFECITAS","DERIVADOS",B124="140 - MERENGUES","DERIVADOS",B124="100 - CAFÉ ESPECIAL","ESPECIALES",B124="141 - AREQUIPE","DERIVADOS",B124="142 - MERMELADA","DERIVADOS",B124="131 - GALLETAS AVENA","DERIVADOS",B124="160 - SOUVENIR","OTROS",B124="148 - CARAMELOS","DERIVADOS",B124="143 - CHOCOFFES","DERIVADOS",B124="162 - CONVENIOS Y DSC POS ","OTROS"),"OTROS")</f>
        <v>DERIVADOS</v>
      </c>
      <c r="L124" s="27">
        <f t="shared" si="9"/>
        <v>0</v>
      </c>
      <c r="M124" s="27">
        <f t="shared" si="10"/>
        <v>0</v>
      </c>
    </row>
    <row r="125" spans="1:13" ht="16.5" hidden="1" outlineLevel="1">
      <c r="A125" s="38"/>
      <c r="B125" s="39" t="s">
        <v>24</v>
      </c>
      <c r="C125" s="36">
        <v>177812</v>
      </c>
      <c r="D125" s="36">
        <v>0</v>
      </c>
      <c r="E125" s="36">
        <v>0</v>
      </c>
      <c r="F125" s="36">
        <v>965398.25</v>
      </c>
      <c r="G125" s="37">
        <f t="shared" si="11"/>
        <v>0.18418512774391294</v>
      </c>
      <c r="H125" s="23">
        <f t="shared" si="13"/>
        <v>0</v>
      </c>
      <c r="I125" s="24">
        <f t="shared" si="13"/>
        <v>0</v>
      </c>
      <c r="J125" s="32" t="str" cm="1">
        <f t="array" ref="J125">IFERROR(_xlfn.IFS(B125="044 - BLEND TRADICION","BLEND",B125="113 - CAFÉ GOURMET","GOURMET",B125="114 - CAFÉ CONSUMO","CONSUMO",B125="112 - CAFÉ ORGANICO","GOURMET",B125="172 - CAFÉ COSECHA","ESPECIALES",B125="176 - CAFE DESCAFEINADO","GOURMET",B125="147 - CAPSULAS","CAPSULAS",B125="130 - GALLETAS CAFECITAS","DERIVADOS",B125="140 - MERENGUES","DERIVADOS",B125="100 - CAFÉ ESPECIAL","ESPECIALES",B125="141 - AREQUIPE","DERIVADOS",B125="142 - MERMELADA","DERIVADOS",B125="131 - GALLETAS AVENA","DERIVADOS",B125="160 - SOUVENIR","OTROS",B125="148 - CARAMELOS","DERIVADOS",B125="143 - CHOCOFFES","DERIVADOS",B125="162 - CONVENIOS Y DSC POS ","OTROS"),"OTROS")</f>
        <v>DERIVADOS</v>
      </c>
      <c r="L125" s="27">
        <f t="shared" si="9"/>
        <v>177812</v>
      </c>
      <c r="M125" s="27">
        <f t="shared" si="10"/>
        <v>177812</v>
      </c>
    </row>
    <row r="126" spans="1:13" ht="16.5" hidden="1" outlineLevel="1">
      <c r="A126" s="38"/>
      <c r="B126" s="39" t="s">
        <v>25</v>
      </c>
      <c r="C126" s="36">
        <v>1834155</v>
      </c>
      <c r="D126" s="36">
        <v>0</v>
      </c>
      <c r="E126" s="36"/>
      <c r="F126" s="36">
        <v>4939039.0999999996</v>
      </c>
      <c r="G126" s="37">
        <f t="shared" si="11"/>
        <v>0.37135867177079041</v>
      </c>
      <c r="H126" s="23">
        <f t="shared" si="13"/>
        <v>0</v>
      </c>
      <c r="I126" s="24">
        <f t="shared" si="13"/>
        <v>0</v>
      </c>
      <c r="J126" s="32" t="str" cm="1">
        <f t="array" ref="J126">IFERROR(_xlfn.IFS(B126="044 - BLEND TRADICION","BLEND",B126="113 - CAFÉ GOURMET","GOURMET",B126="114 - CAFÉ CONSUMO","CONSUMO",B126="112 - CAFÉ ORGANICO","GOURMET",B126="172 - CAFÉ COSECHA","ESPECIALES",B126="176 - CAFE DESCAFEINADO","GOURMET",B126="147 - CAPSULAS","CAPSULAS",B126="130 - GALLETAS CAFECITAS","DERIVADOS",B126="140 - MERENGUES","DERIVADOS",B126="100 - CAFÉ ESPECIAL","ESPECIALES",B126="141 - AREQUIPE","DERIVADOS",B126="142 - MERMELADA","DERIVADOS",B126="131 - GALLETAS AVENA","DERIVADOS",B126="160 - SOUVENIR","OTROS",B126="148 - CARAMELOS","DERIVADOS",B126="143 - CHOCOFFES","DERIVADOS",B126="162 - CONVENIOS Y DSC POS ","OTROS"),"OTROS")</f>
        <v>DERIVADOS</v>
      </c>
      <c r="L126" s="27">
        <f t="shared" si="9"/>
        <v>1834155</v>
      </c>
      <c r="M126" s="27">
        <f t="shared" si="10"/>
        <v>1834155</v>
      </c>
    </row>
    <row r="127" spans="1:13" ht="16.5" hidden="1" outlineLevel="1">
      <c r="A127" s="38"/>
      <c r="B127" s="39" t="s">
        <v>26</v>
      </c>
      <c r="C127" s="36">
        <v>319543</v>
      </c>
      <c r="D127" s="36">
        <v>0</v>
      </c>
      <c r="E127" s="36"/>
      <c r="F127" s="36">
        <v>1642173.15</v>
      </c>
      <c r="G127" s="37">
        <f t="shared" si="11"/>
        <v>0.19458544916533316</v>
      </c>
      <c r="H127" s="23">
        <f t="shared" si="13"/>
        <v>0</v>
      </c>
      <c r="I127" s="24">
        <f t="shared" si="13"/>
        <v>0</v>
      </c>
      <c r="J127" s="32" t="str" cm="1">
        <f t="array" ref="J127">IFERROR(_xlfn.IFS(B127="044 - BLEND TRADICION","BLEND",B127="113 - CAFÉ GOURMET","GOURMET",B127="114 - CAFÉ CONSUMO","CONSUMO",B127="112 - CAFÉ ORGANICO","GOURMET",B127="172 - CAFÉ COSECHA","ESPECIALES",B127="176 - CAFE DESCAFEINADO","GOURMET",B127="147 - CAPSULAS","CAPSULAS",B127="130 - GALLETAS CAFECITAS","DERIVADOS",B127="140 - MERENGUES","DERIVADOS",B127="100 - CAFÉ ESPECIAL","ESPECIALES",B127="141 - AREQUIPE","DERIVADOS",B127="142 - MERMELADA","DERIVADOS",B127="131 - GALLETAS AVENA","DERIVADOS",B127="160 - SOUVENIR","OTROS",B127="148 - CARAMELOS","DERIVADOS",B127="143 - CHOCOFFES","DERIVADOS",B127="162 - CONVENIOS Y DSC POS ","OTROS"),"OTROS")</f>
        <v>CAPSULAS</v>
      </c>
      <c r="L127" s="27">
        <f t="shared" si="9"/>
        <v>319543</v>
      </c>
      <c r="M127" s="27">
        <f t="shared" si="10"/>
        <v>319543</v>
      </c>
    </row>
    <row r="128" spans="1:13" ht="16.5" hidden="1" outlineLevel="1">
      <c r="A128" s="38"/>
      <c r="B128" s="39" t="s">
        <v>27</v>
      </c>
      <c r="C128" s="36">
        <v>2027675</v>
      </c>
      <c r="D128" s="36">
        <v>0</v>
      </c>
      <c r="E128" s="36"/>
      <c r="F128" s="36">
        <v>3108561.46</v>
      </c>
      <c r="G128" s="37">
        <f t="shared" si="11"/>
        <v>0.65228724800570614</v>
      </c>
      <c r="H128" s="23">
        <f t="shared" ref="H128:I143" si="14">IFERROR(+D128/L128*100%,0)</f>
        <v>0</v>
      </c>
      <c r="I128" s="24">
        <f t="shared" si="14"/>
        <v>0</v>
      </c>
      <c r="J128" s="32" t="str" cm="1">
        <f t="array" ref="J128">IFERROR(_xlfn.IFS(B128="044 - BLEND TRADICION","BLEND",B128="113 - CAFÉ GOURMET","GOURMET",B128="114 - CAFÉ CONSUMO","CONSUMO",B128="112 - CAFÉ ORGANICO","GOURMET",B128="172 - CAFÉ COSECHA","ESPECIALES",B128="176 - CAFE DESCAFEINADO","GOURMET",B128="147 - CAPSULAS","CAPSULAS",B128="130 - GALLETAS CAFECITAS","DERIVADOS",B128="140 - MERENGUES","DERIVADOS",B128="100 - CAFÉ ESPECIAL","ESPECIALES",B128="141 - AREQUIPE","DERIVADOS",B128="142 - MERMELADA","DERIVADOS",B128="131 - GALLETAS AVENA","DERIVADOS",B128="160 - SOUVENIR","OTROS",B128="148 - CARAMELOS","DERIVADOS",B128="143 - CHOCOFFES","DERIVADOS",B128="162 - CONVENIOS Y DSC POS ","OTROS"),"OTROS")</f>
        <v>DERIVADOS</v>
      </c>
      <c r="L128" s="27">
        <f t="shared" si="9"/>
        <v>2027675</v>
      </c>
      <c r="M128" s="27">
        <f t="shared" si="10"/>
        <v>2027675</v>
      </c>
    </row>
    <row r="129" spans="1:13" ht="16.5" hidden="1" outlineLevel="1">
      <c r="A129" s="38"/>
      <c r="B129" s="39" t="s">
        <v>28</v>
      </c>
      <c r="C129" s="36">
        <v>105839</v>
      </c>
      <c r="D129" s="36">
        <v>0</v>
      </c>
      <c r="E129" s="36">
        <v>0</v>
      </c>
      <c r="F129" s="36">
        <v>1929397.03</v>
      </c>
      <c r="G129" s="37">
        <f t="shared" si="11"/>
        <v>5.4855998197530134E-2</v>
      </c>
      <c r="H129" s="23">
        <f t="shared" si="14"/>
        <v>0</v>
      </c>
      <c r="I129" s="24">
        <f t="shared" si="14"/>
        <v>0</v>
      </c>
      <c r="J129" s="32" t="str" cm="1">
        <f t="array" ref="J129">IFERROR(_xlfn.IFS(B129="044 - BLEND TRADICION","BLEND",B129="113 - CAFÉ GOURMET","GOURMET",B129="114 - CAFÉ CONSUMO","CONSUMO",B129="112 - CAFÉ ORGANICO","GOURMET",B129="172 - CAFÉ COSECHA","ESPECIALES",B129="176 - CAFE DESCAFEINADO","GOURMET",B129="147 - CAPSULAS","CAPSULAS",B129="130 - GALLETAS CAFECITAS","DERIVADOS",B129="140 - MERENGUES","DERIVADOS",B129="100 - CAFÉ ESPECIAL","ESPECIALES",B129="141 - AREQUIPE","DERIVADOS",B129="142 - MERMELADA","DERIVADOS",B129="131 - GALLETAS AVENA","DERIVADOS",B129="160 - SOUVENIR","OTROS",B129="148 - CARAMELOS","DERIVADOS",B129="143 - CHOCOFFES","DERIVADOS",B129="162 - CONVENIOS Y DSC POS ","OTROS"),"OTROS")</f>
        <v>OTROS</v>
      </c>
      <c r="L129" s="27">
        <f t="shared" si="9"/>
        <v>105839</v>
      </c>
      <c r="M129" s="27">
        <f t="shared" si="10"/>
        <v>105839</v>
      </c>
    </row>
    <row r="130" spans="1:13" ht="16.5" hidden="1" outlineLevel="1">
      <c r="A130" s="38"/>
      <c r="B130" s="39" t="s">
        <v>29</v>
      </c>
      <c r="C130" s="36">
        <v>127352</v>
      </c>
      <c r="D130" s="36">
        <v>0</v>
      </c>
      <c r="E130" s="36"/>
      <c r="F130" s="36">
        <v>2019776.56</v>
      </c>
      <c r="G130" s="37">
        <f t="shared" si="11"/>
        <v>6.3052519037056262E-2</v>
      </c>
      <c r="H130" s="23">
        <f t="shared" si="14"/>
        <v>0</v>
      </c>
      <c r="I130" s="24">
        <f t="shared" si="14"/>
        <v>0</v>
      </c>
      <c r="J130" s="32" t="str" cm="1">
        <f t="array" ref="J130">IFERROR(_xlfn.IFS(B130="044 - BLEND TRADICION","BLEND",B130="113 - CAFÉ GOURMET","GOURMET",B130="114 - CAFÉ CONSUMO","CONSUMO",B130="112 - CAFÉ ORGANICO","GOURMET",B130="172 - CAFÉ COSECHA","ESPECIALES",B130="176 - CAFE DESCAFEINADO","GOURMET",B130="147 - CAPSULAS","CAPSULAS",B130="130 - GALLETAS CAFECITAS","DERIVADOS",B130="140 - MERENGUES","DERIVADOS",B130="100 - CAFÉ ESPECIAL","ESPECIALES",B130="141 - AREQUIPE","DERIVADOS",B130="142 - MERMELADA","DERIVADOS",B130="131 - GALLETAS AVENA","DERIVADOS",B130="160 - SOUVENIR","OTROS",B130="148 - CARAMELOS","DERIVADOS",B130="143 - CHOCOFFES","DERIVADOS",B130="162 - CONVENIOS Y DSC POS ","OTROS"),"OTROS")</f>
        <v>ESPECIALES</v>
      </c>
      <c r="L130" s="27">
        <f t="shared" si="9"/>
        <v>127352</v>
      </c>
      <c r="M130" s="27">
        <f t="shared" si="10"/>
        <v>127352</v>
      </c>
    </row>
    <row r="131" spans="1:13" ht="16.5" hidden="1" outlineLevel="1">
      <c r="A131" s="38"/>
      <c r="B131" s="39" t="s">
        <v>30</v>
      </c>
      <c r="C131" s="36">
        <v>0</v>
      </c>
      <c r="D131" s="36">
        <v>0</v>
      </c>
      <c r="E131" s="36">
        <v>0</v>
      </c>
      <c r="F131" s="36">
        <v>75457.58</v>
      </c>
      <c r="G131" s="37">
        <f t="shared" si="11"/>
        <v>0</v>
      </c>
      <c r="H131" s="23">
        <f t="shared" si="14"/>
        <v>0</v>
      </c>
      <c r="I131" s="24">
        <f t="shared" si="14"/>
        <v>0</v>
      </c>
      <c r="J131" s="32" t="str" cm="1">
        <f t="array" ref="J131">IFERROR(_xlfn.IFS(B131="044 - BLEND TRADICION","BLEND",B131="113 - CAFÉ GOURMET","GOURMET",B131="114 - CAFÉ CONSUMO","CONSUMO",B131="112 - CAFÉ ORGANICO","GOURMET",B131="172 - CAFÉ COSECHA","ESPECIALES",B131="176 - CAFE DESCAFEINADO","GOURMET",B131="147 - CAPSULAS","CAPSULAS",B131="130 - GALLETAS CAFECITAS","DERIVADOS",B131="140 - MERENGUES","DERIVADOS",B131="100 - CAFÉ ESPECIAL","ESPECIALES",B131="141 - AREQUIPE","DERIVADOS",B131="142 - MERMELADA","DERIVADOS",B131="131 - GALLETAS AVENA","DERIVADOS",B131="160 - SOUVENIR","OTROS",B131="148 - CARAMELOS","DERIVADOS",B131="143 - CHOCOFFES","DERIVADOS",B131="162 - CONVENIOS Y DSC POS ","OTROS"),"OTROS")</f>
        <v>GOURMET</v>
      </c>
      <c r="L131" s="27">
        <f t="shared" si="9"/>
        <v>0</v>
      </c>
      <c r="M131" s="27">
        <f t="shared" si="10"/>
        <v>0</v>
      </c>
    </row>
    <row r="132" spans="1:13" ht="16.5" hidden="1" outlineLevel="1">
      <c r="A132" s="19" t="s">
        <v>49</v>
      </c>
      <c r="B132" s="56" t="s">
        <v>32</v>
      </c>
      <c r="C132" s="54">
        <f>SUM(C119:C131)</f>
        <v>20800219</v>
      </c>
      <c r="D132" s="54">
        <f>SUM(D119:D131)</f>
        <v>-284231</v>
      </c>
      <c r="E132" s="54">
        <f>SUM(E119:E131)</f>
        <v>0</v>
      </c>
      <c r="F132" s="58">
        <f>SUM(F119:F131)</f>
        <v>58873274.050000004</v>
      </c>
      <c r="G132" s="55">
        <f t="shared" si="11"/>
        <v>0.35330494754436031</v>
      </c>
      <c r="H132" s="23">
        <f t="shared" si="14"/>
        <v>-1.3480598260803578E-2</v>
      </c>
      <c r="I132" s="24">
        <f t="shared" si="14"/>
        <v>0</v>
      </c>
      <c r="J132" s="32" t="str" cm="1">
        <f t="array" ref="J132">IFERROR(_xlfn.IFS(B132="044 - BLEND TRADICION","BLEND",B132="113 - CAFÉ GOURMET","GOURMET",B132="114 - CAFÉ CONSUMO","CONSUMO",B132="112 - CAFÉ ORGANICO","GOURMET",B132="172 - CAFÉ COSECHA","ESPECIALES",B132="176 - CAFE DESCAFEINADO","GOURMET",B132="147 - CAPSULAS","CAPSULAS",B132="130 - GALLETAS CAFECITAS","DERIVADOS",B132="140 - MERENGUES","DERIVADOS",B132="100 - CAFÉ ESPECIAL","ESPECIALES",B132="141 - AREQUIPE","DERIVADOS",B132="142 - MERMELADA","DERIVADOS",B132="131 - GALLETAS AVENA","DERIVADOS",B132="160 - SOUVENIR","OTROS",B132="148 - CARAMELOS","DERIVADOS",B132="143 - CHOCOFFES","DERIVADOS",B132="162 - CONVENIOS Y DSC POS ","OTROS"),"OTROS")</f>
        <v>OTROS</v>
      </c>
      <c r="L132" s="27">
        <f t="shared" si="9"/>
        <v>21084450</v>
      </c>
      <c r="M132" s="27">
        <f t="shared" si="10"/>
        <v>21084450</v>
      </c>
    </row>
    <row r="133" spans="1:13" ht="16.5" hidden="1" outlineLevel="1">
      <c r="A133" s="33"/>
      <c r="B133" s="39" t="s">
        <v>18</v>
      </c>
      <c r="C133" s="36">
        <v>1799520</v>
      </c>
      <c r="D133" s="36">
        <v>0</v>
      </c>
      <c r="E133" s="36"/>
      <c r="F133" s="36">
        <v>5334403.3099999996</v>
      </c>
      <c r="G133" s="37">
        <f t="shared" si="11"/>
        <v>0.33734232217248683</v>
      </c>
      <c r="H133" s="23">
        <f t="shared" si="14"/>
        <v>0</v>
      </c>
      <c r="I133" s="24">
        <f t="shared" si="14"/>
        <v>0</v>
      </c>
      <c r="J133" s="32" t="str" cm="1">
        <f t="array" ref="J133">IFERROR(_xlfn.IFS(B133="044 - BLEND TRADICION","BLEND",B133="113 - CAFÉ GOURMET","GOURMET",B133="114 - CAFÉ CONSUMO","CONSUMO",B133="112 - CAFÉ ORGANICO","GOURMET",B133="172 - CAFÉ COSECHA","ESPECIALES",B133="176 - CAFE DESCAFEINADO","GOURMET",B133="147 - CAPSULAS","CAPSULAS",B133="130 - GALLETAS CAFECITAS","DERIVADOS",B133="140 - MERENGUES","DERIVADOS",B133="100 - CAFÉ ESPECIAL","ESPECIALES",B133="141 - AREQUIPE","DERIVADOS",B133="142 - MERMELADA","DERIVADOS",B133="131 - GALLETAS AVENA","DERIVADOS",B133="160 - SOUVENIR","OTROS",B133="148 - CARAMELOS","DERIVADOS",B133="143 - CHOCOFFES","DERIVADOS",B133="162 - CONVENIOS Y DSC POS ","OTROS"),"OTROS")</f>
        <v>BLEND</v>
      </c>
      <c r="L133" s="27">
        <f t="shared" si="9"/>
        <v>1799520</v>
      </c>
      <c r="M133" s="27">
        <f t="shared" si="10"/>
        <v>1799520</v>
      </c>
    </row>
    <row r="134" spans="1:13" ht="16.5" hidden="1" outlineLevel="1">
      <c r="A134" s="38"/>
      <c r="B134" s="39" t="s">
        <v>19</v>
      </c>
      <c r="C134" s="36">
        <v>0</v>
      </c>
      <c r="D134" s="36">
        <v>0</v>
      </c>
      <c r="E134" s="36"/>
      <c r="F134" s="36">
        <v>1332928.3500000001</v>
      </c>
      <c r="G134" s="37">
        <f t="shared" si="11"/>
        <v>0</v>
      </c>
      <c r="H134" s="23">
        <f t="shared" si="14"/>
        <v>0</v>
      </c>
      <c r="I134" s="24">
        <f t="shared" si="14"/>
        <v>0</v>
      </c>
      <c r="J134" s="32" t="str" cm="1">
        <f t="array" ref="J134">IFERROR(_xlfn.IFS(B134="044 - BLEND TRADICION","BLEND",B134="113 - CAFÉ GOURMET","GOURMET",B134="114 - CAFÉ CONSUMO","CONSUMO",B134="112 - CAFÉ ORGANICO","GOURMET",B134="172 - CAFÉ COSECHA","ESPECIALES",B134="176 - CAFE DESCAFEINADO","GOURMET",B134="147 - CAPSULAS","CAPSULAS",B134="130 - GALLETAS CAFECITAS","DERIVADOS",B134="140 - MERENGUES","DERIVADOS",B134="100 - CAFÉ ESPECIAL","ESPECIALES",B134="141 - AREQUIPE","DERIVADOS",B134="142 - MERMELADA","DERIVADOS",B134="131 - GALLETAS AVENA","DERIVADOS",B134="160 - SOUVENIR","OTROS",B134="148 - CARAMELOS","DERIVADOS",B134="143 - CHOCOFFES","DERIVADOS",B134="162 - CONVENIOS Y DSC POS ","OTROS"),"OTROS")</f>
        <v>ESPECIALES</v>
      </c>
      <c r="L134" s="27">
        <f t="shared" si="9"/>
        <v>0</v>
      </c>
      <c r="M134" s="27">
        <f t="shared" si="10"/>
        <v>0</v>
      </c>
    </row>
    <row r="135" spans="1:13" ht="16.5" hidden="1" outlineLevel="1">
      <c r="A135" s="38"/>
      <c r="B135" s="39" t="s">
        <v>20</v>
      </c>
      <c r="C135" s="36">
        <v>1151640</v>
      </c>
      <c r="D135" s="36">
        <v>0</v>
      </c>
      <c r="E135" s="36"/>
      <c r="F135" s="36">
        <v>1484611.46</v>
      </c>
      <c r="G135" s="37">
        <f>IFERROR(C135/F135*100%,"-")</f>
        <v>0.77571811280508374</v>
      </c>
      <c r="H135" s="23">
        <f t="shared" si="14"/>
        <v>0</v>
      </c>
      <c r="I135" s="24">
        <f t="shared" si="14"/>
        <v>0</v>
      </c>
      <c r="J135" s="32" t="str" cm="1">
        <f t="array" ref="J135">IFERROR(_xlfn.IFS(B135="044 - BLEND TRADICION","BLEND",B135="113 - CAFÉ GOURMET","GOURMET",B135="114 - CAFÉ CONSUMO","CONSUMO",B135="112 - CAFÉ ORGANICO","GOURMET",B135="172 - CAFÉ COSECHA","ESPECIALES",B135="176 - CAFE DESCAFEINADO","GOURMET",B135="147 - CAPSULAS","CAPSULAS",B135="130 - GALLETAS CAFECITAS","DERIVADOS",B135="140 - MERENGUES","DERIVADOS",B135="100 - CAFÉ ESPECIAL","ESPECIALES",B135="141 - AREQUIPE","DERIVADOS",B135="142 - MERMELADA","DERIVADOS",B135="131 - GALLETAS AVENA","DERIVADOS",B135="160 - SOUVENIR","OTROS",B135="148 - CARAMELOS","DERIVADOS",B135="143 - CHOCOFFES","DERIVADOS",B135="162 - CONVENIOS Y DSC POS ","OTROS"),"OTROS")</f>
        <v>GOURMET</v>
      </c>
      <c r="L135" s="27">
        <f t="shared" si="9"/>
        <v>1151640</v>
      </c>
      <c r="M135" s="27">
        <f t="shared" si="10"/>
        <v>1151640</v>
      </c>
    </row>
    <row r="136" spans="1:13" ht="16.5" hidden="1" outlineLevel="1">
      <c r="A136" s="38"/>
      <c r="B136" s="39" t="s">
        <v>21</v>
      </c>
      <c r="C136" s="36">
        <v>23731662</v>
      </c>
      <c r="D136" s="36">
        <v>0</v>
      </c>
      <c r="E136" s="36"/>
      <c r="F136" s="36">
        <v>49968995.509999998</v>
      </c>
      <c r="G136" s="37">
        <f t="shared" ref="G136:G145" si="15">IFERROR(C136/F136*100%,"-")</f>
        <v>0.47492773784597536</v>
      </c>
      <c r="H136" s="23">
        <f t="shared" si="14"/>
        <v>0</v>
      </c>
      <c r="I136" s="24">
        <f t="shared" si="14"/>
        <v>0</v>
      </c>
      <c r="J136" s="32" t="str" cm="1">
        <f t="array" ref="J136">IFERROR(_xlfn.IFS(B136="044 - BLEND TRADICION","BLEND",B136="113 - CAFÉ GOURMET","GOURMET",B136="114 - CAFÉ CONSUMO","CONSUMO",B136="112 - CAFÉ ORGANICO","GOURMET",B136="172 - CAFÉ COSECHA","ESPECIALES",B136="176 - CAFE DESCAFEINADO","GOURMET",B136="147 - CAPSULAS","CAPSULAS",B136="130 - GALLETAS CAFECITAS","DERIVADOS",B136="140 - MERENGUES","DERIVADOS",B136="100 - CAFÉ ESPECIAL","ESPECIALES",B136="141 - AREQUIPE","DERIVADOS",B136="142 - MERMELADA","DERIVADOS",B136="131 - GALLETAS AVENA","DERIVADOS",B136="160 - SOUVENIR","OTROS",B136="148 - CARAMELOS","DERIVADOS",B136="143 - CHOCOFFES","DERIVADOS",B136="162 - CONVENIOS Y DSC POS ","OTROS"),"OTROS")</f>
        <v>GOURMET</v>
      </c>
      <c r="L136" s="27">
        <f t="shared" ref="L136:L199" si="16">C136-(D136+E136)</f>
        <v>23731662</v>
      </c>
      <c r="M136" s="27">
        <f t="shared" ref="M136:M199" si="17">L136</f>
        <v>23731662</v>
      </c>
    </row>
    <row r="137" spans="1:13" ht="16.5" hidden="1" outlineLevel="1">
      <c r="A137" s="38"/>
      <c r="B137" s="39" t="s">
        <v>22</v>
      </c>
      <c r="C137" s="36">
        <v>2519043</v>
      </c>
      <c r="D137" s="36">
        <v>0</v>
      </c>
      <c r="E137" s="36"/>
      <c r="F137" s="36">
        <v>9961569.3200000003</v>
      </c>
      <c r="G137" s="37">
        <f t="shared" si="15"/>
        <v>0.25287612012521737</v>
      </c>
      <c r="H137" s="23">
        <f t="shared" si="14"/>
        <v>0</v>
      </c>
      <c r="I137" s="24">
        <f t="shared" si="14"/>
        <v>0</v>
      </c>
      <c r="J137" s="32" t="str" cm="1">
        <f t="array" ref="J137">IFERROR(_xlfn.IFS(B137="044 - BLEND TRADICION","BLEND",B137="113 - CAFÉ GOURMET","GOURMET",B137="114 - CAFÉ CONSUMO","CONSUMO",B137="112 - CAFÉ ORGANICO","GOURMET",B137="172 - CAFÉ COSECHA","ESPECIALES",B137="176 - CAFE DESCAFEINADO","GOURMET",B137="147 - CAPSULAS","CAPSULAS",B137="130 - GALLETAS CAFECITAS","DERIVADOS",B137="140 - MERENGUES","DERIVADOS",B137="100 - CAFÉ ESPECIAL","ESPECIALES",B137="141 - AREQUIPE","DERIVADOS",B137="142 - MERMELADA","DERIVADOS",B137="131 - GALLETAS AVENA","DERIVADOS",B137="160 - SOUVENIR","OTROS",B137="148 - CARAMELOS","DERIVADOS",B137="143 - CHOCOFFES","DERIVADOS",B137="162 - CONVENIOS Y DSC POS ","OTROS"),"OTROS")</f>
        <v>DERIVADOS</v>
      </c>
      <c r="L137" s="27">
        <f t="shared" si="16"/>
        <v>2519043</v>
      </c>
      <c r="M137" s="27">
        <f t="shared" si="17"/>
        <v>2519043</v>
      </c>
    </row>
    <row r="138" spans="1:13" ht="16.5" hidden="1" outlineLevel="1">
      <c r="A138" s="38"/>
      <c r="B138" s="39" t="s">
        <v>23</v>
      </c>
      <c r="C138" s="36">
        <v>0</v>
      </c>
      <c r="D138" s="36">
        <v>0</v>
      </c>
      <c r="E138" s="36"/>
      <c r="F138" s="36">
        <v>11794.96</v>
      </c>
      <c r="G138" s="37">
        <f t="shared" si="15"/>
        <v>0</v>
      </c>
      <c r="H138" s="23">
        <f t="shared" si="14"/>
        <v>0</v>
      </c>
      <c r="I138" s="24">
        <f t="shared" si="14"/>
        <v>0</v>
      </c>
      <c r="J138" s="32" t="str" cm="1">
        <f t="array" ref="J138">IFERROR(_xlfn.IFS(B138="044 - BLEND TRADICION","BLEND",B138="113 - CAFÉ GOURMET","GOURMET",B138="114 - CAFÉ CONSUMO","CONSUMO",B138="112 - CAFÉ ORGANICO","GOURMET",B138="172 - CAFÉ COSECHA","ESPECIALES",B138="176 - CAFE DESCAFEINADO","GOURMET",B138="147 - CAPSULAS","CAPSULAS",B138="130 - GALLETAS CAFECITAS","DERIVADOS",B138="140 - MERENGUES","DERIVADOS",B138="100 - CAFÉ ESPECIAL","ESPECIALES",B138="141 - AREQUIPE","DERIVADOS",B138="142 - MERMELADA","DERIVADOS",B138="131 - GALLETAS AVENA","DERIVADOS",B138="160 - SOUVENIR","OTROS",B138="148 - CARAMELOS","DERIVADOS",B138="143 - CHOCOFFES","DERIVADOS",B138="162 - CONVENIOS Y DSC POS ","OTROS"),"OTROS")</f>
        <v>DERIVADOS</v>
      </c>
      <c r="L138" s="27">
        <f t="shared" si="16"/>
        <v>0</v>
      </c>
      <c r="M138" s="27">
        <f t="shared" si="17"/>
        <v>0</v>
      </c>
    </row>
    <row r="139" spans="1:13" ht="16.5" hidden="1" outlineLevel="1">
      <c r="A139" s="38"/>
      <c r="B139" s="39" t="s">
        <v>24</v>
      </c>
      <c r="C139" s="36">
        <v>172459</v>
      </c>
      <c r="D139" s="36">
        <v>0</v>
      </c>
      <c r="E139" s="36"/>
      <c r="F139" s="36">
        <v>854376.78</v>
      </c>
      <c r="G139" s="37">
        <f t="shared" si="15"/>
        <v>0.20185356629191162</v>
      </c>
      <c r="H139" s="23">
        <f t="shared" si="14"/>
        <v>0</v>
      </c>
      <c r="I139" s="24">
        <f t="shared" si="14"/>
        <v>0</v>
      </c>
      <c r="J139" s="32" t="str" cm="1">
        <f t="array" ref="J139">IFERROR(_xlfn.IFS(B139="044 - BLEND TRADICION","BLEND",B139="113 - CAFÉ GOURMET","GOURMET",B139="114 - CAFÉ CONSUMO","CONSUMO",B139="112 - CAFÉ ORGANICO","GOURMET",B139="172 - CAFÉ COSECHA","ESPECIALES",B139="176 - CAFE DESCAFEINADO","GOURMET",B139="147 - CAPSULAS","CAPSULAS",B139="130 - GALLETAS CAFECITAS","DERIVADOS",B139="140 - MERENGUES","DERIVADOS",B139="100 - CAFÉ ESPECIAL","ESPECIALES",B139="141 - AREQUIPE","DERIVADOS",B139="142 - MERMELADA","DERIVADOS",B139="131 - GALLETAS AVENA","DERIVADOS",B139="160 - SOUVENIR","OTROS",B139="148 - CARAMELOS","DERIVADOS",B139="143 - CHOCOFFES","DERIVADOS",B139="162 - CONVENIOS Y DSC POS ","OTROS"),"OTROS")</f>
        <v>DERIVADOS</v>
      </c>
      <c r="L139" s="27">
        <f t="shared" si="16"/>
        <v>172459</v>
      </c>
      <c r="M139" s="27">
        <f t="shared" si="17"/>
        <v>172459</v>
      </c>
    </row>
    <row r="140" spans="1:13" ht="16.5" hidden="1" outlineLevel="1">
      <c r="A140" s="38"/>
      <c r="B140" s="39" t="s">
        <v>25</v>
      </c>
      <c r="C140" s="36">
        <v>1211234</v>
      </c>
      <c r="D140" s="36">
        <v>0</v>
      </c>
      <c r="E140" s="36"/>
      <c r="F140" s="36">
        <v>3865702.13</v>
      </c>
      <c r="G140" s="37">
        <f t="shared" si="15"/>
        <v>0.31332833189607395</v>
      </c>
      <c r="H140" s="23">
        <f t="shared" si="14"/>
        <v>0</v>
      </c>
      <c r="I140" s="24">
        <f t="shared" si="14"/>
        <v>0</v>
      </c>
      <c r="J140" s="32" t="str" cm="1">
        <f t="array" ref="J140">IFERROR(_xlfn.IFS(B140="044 - BLEND TRADICION","BLEND",B140="113 - CAFÉ GOURMET","GOURMET",B140="114 - CAFÉ CONSUMO","CONSUMO",B140="112 - CAFÉ ORGANICO","GOURMET",B140="172 - CAFÉ COSECHA","ESPECIALES",B140="176 - CAFE DESCAFEINADO","GOURMET",B140="147 - CAPSULAS","CAPSULAS",B140="130 - GALLETAS CAFECITAS","DERIVADOS",B140="140 - MERENGUES","DERIVADOS",B140="100 - CAFÉ ESPECIAL","ESPECIALES",B140="141 - AREQUIPE","DERIVADOS",B140="142 - MERMELADA","DERIVADOS",B140="131 - GALLETAS AVENA","DERIVADOS",B140="160 - SOUVENIR","OTROS",B140="148 - CARAMELOS","DERIVADOS",B140="143 - CHOCOFFES","DERIVADOS",B140="162 - CONVENIOS Y DSC POS ","OTROS"),"OTROS")</f>
        <v>DERIVADOS</v>
      </c>
      <c r="L140" s="27">
        <f t="shared" si="16"/>
        <v>1211234</v>
      </c>
      <c r="M140" s="27">
        <f t="shared" si="17"/>
        <v>1211234</v>
      </c>
    </row>
    <row r="141" spans="1:13" ht="16.5" hidden="1" outlineLevel="1">
      <c r="A141" s="38"/>
      <c r="B141" s="39" t="s">
        <v>26</v>
      </c>
      <c r="C141" s="36">
        <v>580944</v>
      </c>
      <c r="D141" s="36">
        <v>0</v>
      </c>
      <c r="E141" s="36"/>
      <c r="F141" s="36">
        <v>866649.1</v>
      </c>
      <c r="G141" s="37">
        <f t="shared" si="15"/>
        <v>0.6703335871461702</v>
      </c>
      <c r="H141" s="23">
        <f t="shared" si="14"/>
        <v>0</v>
      </c>
      <c r="I141" s="24">
        <f t="shared" si="14"/>
        <v>0</v>
      </c>
      <c r="J141" s="32" t="str" cm="1">
        <f t="array" ref="J141">IFERROR(_xlfn.IFS(B141="044 - BLEND TRADICION","BLEND",B141="113 - CAFÉ GOURMET","GOURMET",B141="114 - CAFÉ CONSUMO","CONSUMO",B141="112 - CAFÉ ORGANICO","GOURMET",B141="172 - CAFÉ COSECHA","ESPECIALES",B141="176 - CAFE DESCAFEINADO","GOURMET",B141="147 - CAPSULAS","CAPSULAS",B141="130 - GALLETAS CAFECITAS","DERIVADOS",B141="140 - MERENGUES","DERIVADOS",B141="100 - CAFÉ ESPECIAL","ESPECIALES",B141="141 - AREQUIPE","DERIVADOS",B141="142 - MERMELADA","DERIVADOS",B141="131 - GALLETAS AVENA","DERIVADOS",B141="160 - SOUVENIR","OTROS",B141="148 - CARAMELOS","DERIVADOS",B141="143 - CHOCOFFES","DERIVADOS",B141="162 - CONVENIOS Y DSC POS ","OTROS"),"OTROS")</f>
        <v>CAPSULAS</v>
      </c>
      <c r="L141" s="27">
        <f t="shared" si="16"/>
        <v>580944</v>
      </c>
      <c r="M141" s="27">
        <f t="shared" si="17"/>
        <v>580944</v>
      </c>
    </row>
    <row r="142" spans="1:13" ht="16.5" hidden="1" outlineLevel="1">
      <c r="A142" s="38"/>
      <c r="B142" s="39" t="s">
        <v>27</v>
      </c>
      <c r="C142" s="36">
        <v>3043711</v>
      </c>
      <c r="D142" s="36">
        <v>0</v>
      </c>
      <c r="E142" s="36"/>
      <c r="F142" s="36">
        <v>6049716.3799999999</v>
      </c>
      <c r="G142" s="37">
        <f t="shared" si="15"/>
        <v>0.50311631303284343</v>
      </c>
      <c r="H142" s="23">
        <f t="shared" si="14"/>
        <v>0</v>
      </c>
      <c r="I142" s="24">
        <f t="shared" si="14"/>
        <v>0</v>
      </c>
      <c r="J142" s="32" t="str" cm="1">
        <f t="array" ref="J142">IFERROR(_xlfn.IFS(B142="044 - BLEND TRADICION","BLEND",B142="113 - CAFÉ GOURMET","GOURMET",B142="114 - CAFÉ CONSUMO","CONSUMO",B142="112 - CAFÉ ORGANICO","GOURMET",B142="172 - CAFÉ COSECHA","ESPECIALES",B142="176 - CAFE DESCAFEINADO","GOURMET",B142="147 - CAPSULAS","CAPSULAS",B142="130 - GALLETAS CAFECITAS","DERIVADOS",B142="140 - MERENGUES","DERIVADOS",B142="100 - CAFÉ ESPECIAL","ESPECIALES",B142="141 - AREQUIPE","DERIVADOS",B142="142 - MERMELADA","DERIVADOS",B142="131 - GALLETAS AVENA","DERIVADOS",B142="160 - SOUVENIR","OTROS",B142="148 - CARAMELOS","DERIVADOS",B142="143 - CHOCOFFES","DERIVADOS",B142="162 - CONVENIOS Y DSC POS ","OTROS"),"OTROS")</f>
        <v>DERIVADOS</v>
      </c>
      <c r="L142" s="27">
        <f t="shared" si="16"/>
        <v>3043711</v>
      </c>
      <c r="M142" s="27">
        <f t="shared" si="17"/>
        <v>3043711</v>
      </c>
    </row>
    <row r="143" spans="1:13" ht="16.5" hidden="1" outlineLevel="1">
      <c r="A143" s="38"/>
      <c r="B143" s="39" t="s">
        <v>28</v>
      </c>
      <c r="C143" s="36">
        <v>152142</v>
      </c>
      <c r="D143" s="36">
        <v>0</v>
      </c>
      <c r="E143" s="36"/>
      <c r="F143" s="36">
        <v>2122980.0499999998</v>
      </c>
      <c r="G143" s="37">
        <f t="shared" si="15"/>
        <v>7.1664356902458884E-2</v>
      </c>
      <c r="H143" s="23">
        <f t="shared" si="14"/>
        <v>0</v>
      </c>
      <c r="I143" s="24">
        <f t="shared" si="14"/>
        <v>0</v>
      </c>
      <c r="J143" s="32" t="str" cm="1">
        <f t="array" ref="J143">IFERROR(_xlfn.IFS(B143="044 - BLEND TRADICION","BLEND",B143="113 - CAFÉ GOURMET","GOURMET",B143="114 - CAFÉ CONSUMO","CONSUMO",B143="112 - CAFÉ ORGANICO","GOURMET",B143="172 - CAFÉ COSECHA","ESPECIALES",B143="176 - CAFE DESCAFEINADO","GOURMET",B143="147 - CAPSULAS","CAPSULAS",B143="130 - GALLETAS CAFECITAS","DERIVADOS",B143="140 - MERENGUES","DERIVADOS",B143="100 - CAFÉ ESPECIAL","ESPECIALES",B143="141 - AREQUIPE","DERIVADOS",B143="142 - MERMELADA","DERIVADOS",B143="131 - GALLETAS AVENA","DERIVADOS",B143="160 - SOUVENIR","OTROS",B143="148 - CARAMELOS","DERIVADOS",B143="143 - CHOCOFFES","DERIVADOS",B143="162 - CONVENIOS Y DSC POS ","OTROS"),"OTROS")</f>
        <v>OTROS</v>
      </c>
      <c r="L143" s="27">
        <f t="shared" si="16"/>
        <v>152142</v>
      </c>
      <c r="M143" s="27">
        <f t="shared" si="17"/>
        <v>152142</v>
      </c>
    </row>
    <row r="144" spans="1:13" ht="16.5" hidden="1" outlineLevel="1">
      <c r="A144" s="38"/>
      <c r="B144" s="39" t="s">
        <v>29</v>
      </c>
      <c r="C144" s="36">
        <v>908161</v>
      </c>
      <c r="D144" s="36">
        <v>0</v>
      </c>
      <c r="E144" s="36"/>
      <c r="F144" s="36">
        <v>6357550.9400000004</v>
      </c>
      <c r="G144" s="37">
        <f t="shared" si="15"/>
        <v>0.14284761672707885</v>
      </c>
      <c r="H144" s="23">
        <f t="shared" ref="H144:I176" si="18">IFERROR(+D144/L144*100%,0)</f>
        <v>0</v>
      </c>
      <c r="I144" s="24">
        <f t="shared" si="18"/>
        <v>0</v>
      </c>
      <c r="J144" s="32" t="str" cm="1">
        <f t="array" ref="J144">IFERROR(_xlfn.IFS(B144="044 - BLEND TRADICION","BLEND",B144="113 - CAFÉ GOURMET","GOURMET",B144="114 - CAFÉ CONSUMO","CONSUMO",B144="112 - CAFÉ ORGANICO","GOURMET",B144="172 - CAFÉ COSECHA","ESPECIALES",B144="176 - CAFE DESCAFEINADO","GOURMET",B144="147 - CAPSULAS","CAPSULAS",B144="130 - GALLETAS CAFECITAS","DERIVADOS",B144="140 - MERENGUES","DERIVADOS",B144="100 - CAFÉ ESPECIAL","ESPECIALES",B144="141 - AREQUIPE","DERIVADOS",B144="142 - MERMELADA","DERIVADOS",B144="131 - GALLETAS AVENA","DERIVADOS",B144="160 - SOUVENIR","OTROS",B144="148 - CARAMELOS","DERIVADOS",B144="143 - CHOCOFFES","DERIVADOS",B144="162 - CONVENIOS Y DSC POS ","OTROS"),"OTROS")</f>
        <v>ESPECIALES</v>
      </c>
      <c r="L144" s="27">
        <f t="shared" si="16"/>
        <v>908161</v>
      </c>
      <c r="M144" s="27">
        <f t="shared" si="17"/>
        <v>908161</v>
      </c>
    </row>
    <row r="145" spans="1:13" ht="16.5" hidden="1" outlineLevel="1">
      <c r="A145" s="38"/>
      <c r="B145" s="61" t="s">
        <v>30</v>
      </c>
      <c r="C145" s="100">
        <v>0</v>
      </c>
      <c r="D145" s="36">
        <v>0</v>
      </c>
      <c r="E145" s="36"/>
      <c r="F145" s="36">
        <v>974571.04</v>
      </c>
      <c r="G145" s="37">
        <f t="shared" si="15"/>
        <v>0</v>
      </c>
      <c r="H145" s="23">
        <f t="shared" si="18"/>
        <v>0</v>
      </c>
      <c r="I145" s="24">
        <f t="shared" si="18"/>
        <v>0</v>
      </c>
      <c r="J145" s="32" t="str" cm="1">
        <f t="array" ref="J145">IFERROR(_xlfn.IFS(B145="044 - BLEND TRADICION","BLEND",B145="113 - CAFÉ GOURMET","GOURMET",B145="114 - CAFÉ CONSUMO","CONSUMO",B145="112 - CAFÉ ORGANICO","GOURMET",B145="172 - CAFÉ COSECHA","ESPECIALES",B145="176 - CAFE DESCAFEINADO","GOURMET",B145="147 - CAPSULAS","CAPSULAS",B145="130 - GALLETAS CAFECITAS","DERIVADOS",B145="140 - MERENGUES","DERIVADOS",B145="100 - CAFÉ ESPECIAL","ESPECIALES",B145="141 - AREQUIPE","DERIVADOS",B145="142 - MERMELADA","DERIVADOS",B145="131 - GALLETAS AVENA","DERIVADOS",B145="160 - SOUVENIR","OTROS",B145="148 - CARAMELOS","DERIVADOS",B145="143 - CHOCOFFES","DERIVADOS",B145="162 - CONVENIOS Y DSC POS ","OTROS"),"OTROS")</f>
        <v>GOURMET</v>
      </c>
      <c r="L145" s="27">
        <f t="shared" si="16"/>
        <v>0</v>
      </c>
      <c r="M145" s="27">
        <f t="shared" si="17"/>
        <v>0</v>
      </c>
    </row>
    <row r="146" spans="1:13" ht="16.5" hidden="1" outlineLevel="1">
      <c r="A146" s="52" t="s">
        <v>51</v>
      </c>
      <c r="B146" s="20" t="s">
        <v>32</v>
      </c>
      <c r="C146" s="21">
        <f>SUM(C133:C145)</f>
        <v>35270516</v>
      </c>
      <c r="D146" s="53">
        <f>SUM(D133:D145)</f>
        <v>0</v>
      </c>
      <c r="E146" s="54">
        <f>SUM(E133:E145)</f>
        <v>0</v>
      </c>
      <c r="F146" s="58">
        <f>SUM(F133:F145)</f>
        <v>89185849.329999968</v>
      </c>
      <c r="G146" s="55">
        <f>IFERROR(C146/F146*100%,"-")</f>
        <v>0.39547210981300651</v>
      </c>
      <c r="H146" s="23">
        <f t="shared" si="18"/>
        <v>0</v>
      </c>
      <c r="I146" s="24">
        <f t="shared" si="18"/>
        <v>0</v>
      </c>
      <c r="J146" s="32" t="str" cm="1">
        <f t="array" ref="J146">IFERROR(_xlfn.IFS(B146="044 - BLEND TRADICION","BLEND",B146="113 - CAFÉ GOURMET","GOURMET",B146="114 - CAFÉ CONSUMO","CONSUMO",B146="112 - CAFÉ ORGANICO","GOURMET",B146="172 - CAFÉ COSECHA","ESPECIALES",B146="176 - CAFE DESCAFEINADO","GOURMET",B146="147 - CAPSULAS","CAPSULAS",B146="130 - GALLETAS CAFECITAS","DERIVADOS",B146="140 - MERENGUES","DERIVADOS",B146="100 - CAFÉ ESPECIAL","ESPECIALES",B146="141 - AREQUIPE","DERIVADOS",B146="142 - MERMELADA","DERIVADOS",B146="131 - GALLETAS AVENA","DERIVADOS",B146="160 - SOUVENIR","OTROS",B146="148 - CARAMELOS","DERIVADOS",B146="143 - CHOCOFFES","DERIVADOS",B146="162 - CONVENIOS Y DSC POS ","OTROS"),"OTROS")</f>
        <v>OTROS</v>
      </c>
      <c r="L146" s="27">
        <f t="shared" si="16"/>
        <v>35270516</v>
      </c>
      <c r="M146" s="27">
        <f t="shared" si="17"/>
        <v>35270516</v>
      </c>
    </row>
    <row r="147" spans="1:13" ht="16.5" hidden="1" outlineLevel="1">
      <c r="A147" s="33"/>
      <c r="B147" s="45" t="s">
        <v>42</v>
      </c>
      <c r="C147" s="46">
        <v>40584</v>
      </c>
      <c r="D147" s="47">
        <v>0</v>
      </c>
      <c r="E147" s="36">
        <v>0</v>
      </c>
      <c r="F147" s="36">
        <v>0</v>
      </c>
      <c r="G147" s="37" t="str">
        <f t="shared" ref="G147:G215" si="19">IFERROR(C147/F147*100%,"-")</f>
        <v>-</v>
      </c>
      <c r="H147" s="23">
        <f t="shared" si="18"/>
        <v>0</v>
      </c>
      <c r="I147" s="24">
        <f t="shared" si="18"/>
        <v>0</v>
      </c>
      <c r="J147" s="32" t="str" cm="1">
        <f t="array" ref="J147">IFERROR(_xlfn.IFS(B147="044 - BLEND TRADICION","BLEND",B147="113 - CAFÉ GOURMET","GOURMET",B147="114 - CAFÉ CONSUMO","CONSUMO",B147="112 - CAFÉ ORGANICO","GOURMET",B147="172 - CAFÉ COSECHA","ESPECIALES",B147="176 - CAFE DESCAFEINADO","GOURMET",B147="147 - CAPSULAS","CAPSULAS",B147="130 - GALLETAS CAFECITAS","DERIVADOS",B147="140 - MERENGUES","DERIVADOS",B147="100 - CAFÉ ESPECIAL","ESPECIALES",B147="141 - AREQUIPE","DERIVADOS",B147="142 - MERMELADA","DERIVADOS",B147="131 - GALLETAS AVENA","DERIVADOS",B147="160 - SOUVENIR","OTROS",B147="148 - CARAMELOS","DERIVADOS",B147="143 - CHOCOFFES","DERIVADOS",B147="162 - CONVENIOS Y DSC POS ","OTROS"),"OTROS")</f>
        <v>OTROS</v>
      </c>
      <c r="L147" s="27">
        <f t="shared" si="16"/>
        <v>40584</v>
      </c>
      <c r="M147" s="27">
        <f t="shared" si="17"/>
        <v>40584</v>
      </c>
    </row>
    <row r="148" spans="1:13" ht="16.5" hidden="1" outlineLevel="1">
      <c r="A148" s="44"/>
      <c r="B148" s="45" t="s">
        <v>18</v>
      </c>
      <c r="C148" s="46">
        <v>5788456</v>
      </c>
      <c r="D148" s="47">
        <v>0</v>
      </c>
      <c r="E148" s="36">
        <v>0</v>
      </c>
      <c r="F148" s="36">
        <v>14379067.41</v>
      </c>
      <c r="G148" s="37">
        <f t="shared" si="19"/>
        <v>0.40256129517651379</v>
      </c>
      <c r="H148" s="23">
        <f t="shared" si="18"/>
        <v>0</v>
      </c>
      <c r="I148" s="24">
        <f t="shared" si="18"/>
        <v>0</v>
      </c>
      <c r="J148" s="32" t="str" cm="1">
        <f t="array" ref="J148">IFERROR(_xlfn.IFS(B148="044 - BLEND TRADICION","BLEND",B148="113 - CAFÉ GOURMET","GOURMET",B148="114 - CAFÉ CONSUMO","CONSUMO",B148="112 - CAFÉ ORGANICO","GOURMET",B148="172 - CAFÉ COSECHA","ESPECIALES",B148="176 - CAFE DESCAFEINADO","GOURMET",B148="147 - CAPSULAS","CAPSULAS",B148="130 - GALLETAS CAFECITAS","DERIVADOS",B148="140 - MERENGUES","DERIVADOS",B148="100 - CAFÉ ESPECIAL","ESPECIALES",B148="141 - AREQUIPE","DERIVADOS",B148="142 - MERMELADA","DERIVADOS",B148="131 - GALLETAS AVENA","DERIVADOS",B148="160 - SOUVENIR","OTROS",B148="148 - CARAMELOS","DERIVADOS",B148="143 - CHOCOFFES","DERIVADOS",B148="162 - CONVENIOS Y DSC POS ","OTROS"),"OTROS")</f>
        <v>BLEND</v>
      </c>
      <c r="L148" s="27">
        <f t="shared" si="16"/>
        <v>5788456</v>
      </c>
      <c r="M148" s="27">
        <f t="shared" si="17"/>
        <v>5788456</v>
      </c>
    </row>
    <row r="149" spans="1:13" ht="16.5" hidden="1" outlineLevel="1">
      <c r="A149" s="44"/>
      <c r="B149" s="45" t="s">
        <v>19</v>
      </c>
      <c r="C149" s="46">
        <v>1668654</v>
      </c>
      <c r="D149" s="47">
        <v>0</v>
      </c>
      <c r="E149" s="36">
        <v>0</v>
      </c>
      <c r="F149" s="36">
        <v>3909295.37</v>
      </c>
      <c r="G149" s="37">
        <f t="shared" si="19"/>
        <v>0.42684265118601156</v>
      </c>
      <c r="H149" s="23">
        <f t="shared" si="18"/>
        <v>0</v>
      </c>
      <c r="I149" s="24">
        <f t="shared" si="18"/>
        <v>0</v>
      </c>
      <c r="J149" s="32" t="str" cm="1">
        <f t="array" ref="J149">IFERROR(_xlfn.IFS(B149="044 - BLEND TRADICION","BLEND",B149="113 - CAFÉ GOURMET","GOURMET",B149="114 - CAFÉ CONSUMO","CONSUMO",B149="112 - CAFÉ ORGANICO","GOURMET",B149="172 - CAFÉ COSECHA","ESPECIALES",B149="176 - CAFE DESCAFEINADO","GOURMET",B149="147 - CAPSULAS","CAPSULAS",B149="130 - GALLETAS CAFECITAS","DERIVADOS",B149="140 - MERENGUES","DERIVADOS",B149="100 - CAFÉ ESPECIAL","ESPECIALES",B149="141 - AREQUIPE","DERIVADOS",B149="142 - MERMELADA","DERIVADOS",B149="131 - GALLETAS AVENA","DERIVADOS",B149="160 - SOUVENIR","OTROS",B149="148 - CARAMELOS","DERIVADOS",B149="143 - CHOCOFFES","DERIVADOS",B149="162 - CONVENIOS Y DSC POS ","OTROS"),"OTROS")</f>
        <v>ESPECIALES</v>
      </c>
      <c r="L149" s="27">
        <f t="shared" si="16"/>
        <v>1668654</v>
      </c>
      <c r="M149" s="27">
        <f t="shared" si="17"/>
        <v>1668654</v>
      </c>
    </row>
    <row r="150" spans="1:13" ht="16.5" hidden="1" outlineLevel="1">
      <c r="A150" s="44"/>
      <c r="B150" s="45" t="s">
        <v>20</v>
      </c>
      <c r="C150" s="46">
        <v>1900206</v>
      </c>
      <c r="D150" s="47">
        <v>0</v>
      </c>
      <c r="E150" s="36">
        <v>0</v>
      </c>
      <c r="F150" s="36">
        <v>4626025.21</v>
      </c>
      <c r="G150" s="37">
        <f t="shared" si="19"/>
        <v>0.41076429845050499</v>
      </c>
      <c r="H150" s="23">
        <f t="shared" si="18"/>
        <v>0</v>
      </c>
      <c r="I150" s="24">
        <f t="shared" si="18"/>
        <v>0</v>
      </c>
      <c r="J150" s="32" t="str" cm="1">
        <f t="array" ref="J150">IFERROR(_xlfn.IFS(B150="044 - BLEND TRADICION","BLEND",B150="113 - CAFÉ GOURMET","GOURMET",B150="114 - CAFÉ CONSUMO","CONSUMO",B150="112 - CAFÉ ORGANICO","GOURMET",B150="172 - CAFÉ COSECHA","ESPECIALES",B150="176 - CAFE DESCAFEINADO","GOURMET",B150="147 - CAPSULAS","CAPSULAS",B150="130 - GALLETAS CAFECITAS","DERIVADOS",B150="140 - MERENGUES","DERIVADOS",B150="100 - CAFÉ ESPECIAL","ESPECIALES",B150="141 - AREQUIPE","DERIVADOS",B150="142 - MERMELADA","DERIVADOS",B150="131 - GALLETAS AVENA","DERIVADOS",B150="160 - SOUVENIR","OTROS",B150="148 - CARAMELOS","DERIVADOS",B150="143 - CHOCOFFES","DERIVADOS",B150="162 - CONVENIOS Y DSC POS ","OTROS"),"OTROS")</f>
        <v>GOURMET</v>
      </c>
      <c r="L150" s="27">
        <f t="shared" si="16"/>
        <v>1900206</v>
      </c>
      <c r="M150" s="27">
        <f t="shared" si="17"/>
        <v>1900206</v>
      </c>
    </row>
    <row r="151" spans="1:13" ht="16.5" hidden="1" outlineLevel="1">
      <c r="A151" s="44"/>
      <c r="B151" s="45" t="s">
        <v>21</v>
      </c>
      <c r="C151" s="46">
        <v>34065557</v>
      </c>
      <c r="D151" s="47">
        <v>0</v>
      </c>
      <c r="E151" s="36"/>
      <c r="F151" s="36">
        <v>114747780.18000001</v>
      </c>
      <c r="G151" s="37">
        <f t="shared" si="19"/>
        <v>0.2968733420948344</v>
      </c>
      <c r="H151" s="23">
        <f t="shared" si="18"/>
        <v>0</v>
      </c>
      <c r="I151" s="24">
        <f t="shared" si="18"/>
        <v>0</v>
      </c>
      <c r="J151" s="32" t="str" cm="1">
        <f t="array" ref="J151">IFERROR(_xlfn.IFS(B151="044 - BLEND TRADICION","BLEND",B151="113 - CAFÉ GOURMET","GOURMET",B151="114 - CAFÉ CONSUMO","CONSUMO",B151="112 - CAFÉ ORGANICO","GOURMET",B151="172 - CAFÉ COSECHA","ESPECIALES",B151="176 - CAFE DESCAFEINADO","GOURMET",B151="147 - CAPSULAS","CAPSULAS",B151="130 - GALLETAS CAFECITAS","DERIVADOS",B151="140 - MERENGUES","DERIVADOS",B151="100 - CAFÉ ESPECIAL","ESPECIALES",B151="141 - AREQUIPE","DERIVADOS",B151="142 - MERMELADA","DERIVADOS",B151="131 - GALLETAS AVENA","DERIVADOS",B151="160 - SOUVENIR","OTROS",B151="148 - CARAMELOS","DERIVADOS",B151="143 - CHOCOFFES","DERIVADOS",B151="162 - CONVENIOS Y DSC POS ","OTROS"),"OTROS")</f>
        <v>GOURMET</v>
      </c>
      <c r="L151" s="27">
        <f t="shared" si="16"/>
        <v>34065557</v>
      </c>
      <c r="M151" s="27">
        <f t="shared" si="17"/>
        <v>34065557</v>
      </c>
    </row>
    <row r="152" spans="1:13" ht="16.5" hidden="1" outlineLevel="1">
      <c r="A152" s="38"/>
      <c r="B152" s="34" t="s">
        <v>38</v>
      </c>
      <c r="C152" s="35">
        <v>0</v>
      </c>
      <c r="D152" s="36">
        <v>0</v>
      </c>
      <c r="E152" s="36"/>
      <c r="F152" s="36">
        <v>353869.81</v>
      </c>
      <c r="G152" s="37">
        <f t="shared" si="19"/>
        <v>0</v>
      </c>
      <c r="H152" s="23">
        <f t="shared" si="18"/>
        <v>0</v>
      </c>
      <c r="I152" s="24">
        <f t="shared" si="18"/>
        <v>0</v>
      </c>
      <c r="J152" s="32" t="str" cm="1">
        <f t="array" ref="J152">IFERROR(_xlfn.IFS(B152="044 - BLEND TRADICION","BLEND",B152="113 - CAFÉ GOURMET","GOURMET",B152="114 - CAFÉ CONSUMO","CONSUMO",B152="112 - CAFÉ ORGANICO","GOURMET",B152="172 - CAFÉ COSECHA","ESPECIALES",B152="176 - CAFE DESCAFEINADO","GOURMET",B152="147 - CAPSULAS","CAPSULAS",B152="130 - GALLETAS CAFECITAS","DERIVADOS",B152="140 - MERENGUES","DERIVADOS",B152="100 - CAFÉ ESPECIAL","ESPECIALES",B152="141 - AREQUIPE","DERIVADOS",B152="142 - MERMELADA","DERIVADOS",B152="131 - GALLETAS AVENA","DERIVADOS",B152="160 - SOUVENIR","OTROS",B152="148 - CARAMELOS","DERIVADOS",B152="143 - CHOCOFFES","DERIVADOS",B152="162 - CONVENIOS Y DSC POS ","OTROS"),"OTROS")</f>
        <v>CONSUMO</v>
      </c>
      <c r="L152" s="27">
        <f t="shared" si="16"/>
        <v>0</v>
      </c>
      <c r="M152" s="27">
        <f t="shared" si="17"/>
        <v>0</v>
      </c>
    </row>
    <row r="153" spans="1:13" ht="16.5" hidden="1" outlineLevel="1">
      <c r="A153" s="38"/>
      <c r="B153" s="39" t="s">
        <v>22</v>
      </c>
      <c r="C153" s="36">
        <v>4804366</v>
      </c>
      <c r="D153" s="36">
        <v>0</v>
      </c>
      <c r="E153" s="36"/>
      <c r="F153" s="36">
        <v>21366443.850000001</v>
      </c>
      <c r="G153" s="37">
        <f t="shared" si="19"/>
        <v>0.22485566778114083</v>
      </c>
      <c r="H153" s="23">
        <f t="shared" si="18"/>
        <v>0</v>
      </c>
      <c r="I153" s="24">
        <f t="shared" si="18"/>
        <v>0</v>
      </c>
      <c r="J153" s="32" t="str" cm="1">
        <f t="array" ref="J153">IFERROR(_xlfn.IFS(B153="044 - BLEND TRADICION","BLEND",B153="113 - CAFÉ GOURMET","GOURMET",B153="114 - CAFÉ CONSUMO","CONSUMO",B153="112 - CAFÉ ORGANICO","GOURMET",B153="172 - CAFÉ COSECHA","ESPECIALES",B153="176 - CAFE DESCAFEINADO","GOURMET",B153="147 - CAPSULAS","CAPSULAS",B153="130 - GALLETAS CAFECITAS","DERIVADOS",B153="140 - MERENGUES","DERIVADOS",B153="100 - CAFÉ ESPECIAL","ESPECIALES",B153="141 - AREQUIPE","DERIVADOS",B153="142 - MERMELADA","DERIVADOS",B153="131 - GALLETAS AVENA","DERIVADOS",B153="160 - SOUVENIR","OTROS",B153="148 - CARAMELOS","DERIVADOS",B153="143 - CHOCOFFES","DERIVADOS",B153="162 - CONVENIOS Y DSC POS ","OTROS"),"OTROS")</f>
        <v>DERIVADOS</v>
      </c>
      <c r="L153" s="27">
        <f t="shared" si="16"/>
        <v>4804366</v>
      </c>
      <c r="M153" s="27">
        <f t="shared" si="17"/>
        <v>4804366</v>
      </c>
    </row>
    <row r="154" spans="1:13" ht="16.5" hidden="1" outlineLevel="1">
      <c r="A154" s="38"/>
      <c r="B154" s="39" t="s">
        <v>23</v>
      </c>
      <c r="C154" s="36">
        <v>59664</v>
      </c>
      <c r="D154" s="36">
        <v>0</v>
      </c>
      <c r="E154" s="36"/>
      <c r="F154" s="36">
        <v>227657.98</v>
      </c>
      <c r="G154" s="37">
        <f t="shared" si="19"/>
        <v>0.26207734953986678</v>
      </c>
      <c r="H154" s="23">
        <f t="shared" si="18"/>
        <v>0</v>
      </c>
      <c r="I154" s="24">
        <f t="shared" si="18"/>
        <v>0</v>
      </c>
      <c r="J154" s="32" t="str" cm="1">
        <f t="array" ref="J154">IFERROR(_xlfn.IFS(B154="044 - BLEND TRADICION","BLEND",B154="113 - CAFÉ GOURMET","GOURMET",B154="114 - CAFÉ CONSUMO","CONSUMO",B154="112 - CAFÉ ORGANICO","GOURMET",B154="172 - CAFÉ COSECHA","ESPECIALES",B154="176 - CAFE DESCAFEINADO","GOURMET",B154="147 - CAPSULAS","CAPSULAS",B154="130 - GALLETAS CAFECITAS","DERIVADOS",B154="140 - MERENGUES","DERIVADOS",B154="100 - CAFÉ ESPECIAL","ESPECIALES",B154="141 - AREQUIPE","DERIVADOS",B154="142 - MERMELADA","DERIVADOS",B154="131 - GALLETAS AVENA","DERIVADOS",B154="160 - SOUVENIR","OTROS",B154="148 - CARAMELOS","DERIVADOS",B154="143 - CHOCOFFES","DERIVADOS",B154="162 - CONVENIOS Y DSC POS ","OTROS"),"OTROS")</f>
        <v>DERIVADOS</v>
      </c>
      <c r="L154" s="27">
        <f t="shared" si="16"/>
        <v>59664</v>
      </c>
      <c r="M154" s="27">
        <f t="shared" si="17"/>
        <v>59664</v>
      </c>
    </row>
    <row r="155" spans="1:13" ht="16.5" hidden="1" outlineLevel="1">
      <c r="A155" s="38"/>
      <c r="B155" s="39" t="s">
        <v>24</v>
      </c>
      <c r="C155" s="36">
        <v>1113532</v>
      </c>
      <c r="D155" s="36">
        <v>0</v>
      </c>
      <c r="E155" s="36"/>
      <c r="F155" s="36">
        <v>2117327.71</v>
      </c>
      <c r="G155" s="37">
        <f t="shared" si="19"/>
        <v>0.52591386526557105</v>
      </c>
      <c r="H155" s="23">
        <f t="shared" si="18"/>
        <v>0</v>
      </c>
      <c r="I155" s="24">
        <f t="shared" si="18"/>
        <v>0</v>
      </c>
      <c r="J155" s="32" t="str" cm="1">
        <f t="array" ref="J155">IFERROR(_xlfn.IFS(B155="044 - BLEND TRADICION","BLEND",B155="113 - CAFÉ GOURMET","GOURMET",B155="114 - CAFÉ CONSUMO","CONSUMO",B155="112 - CAFÉ ORGANICO","GOURMET",B155="172 - CAFÉ COSECHA","ESPECIALES",B155="176 - CAFE DESCAFEINADO","GOURMET",B155="147 - CAPSULAS","CAPSULAS",B155="130 - GALLETAS CAFECITAS","DERIVADOS",B155="140 - MERENGUES","DERIVADOS",B155="100 - CAFÉ ESPECIAL","ESPECIALES",B155="141 - AREQUIPE","DERIVADOS",B155="142 - MERMELADA","DERIVADOS",B155="131 - GALLETAS AVENA","DERIVADOS",B155="160 - SOUVENIR","OTROS",B155="148 - CARAMELOS","DERIVADOS",B155="143 - CHOCOFFES","DERIVADOS",B155="162 - CONVENIOS Y DSC POS ","OTROS"),"OTROS")</f>
        <v>DERIVADOS</v>
      </c>
      <c r="L155" s="27">
        <f t="shared" si="16"/>
        <v>1113532</v>
      </c>
      <c r="M155" s="27">
        <f t="shared" si="17"/>
        <v>1113532</v>
      </c>
    </row>
    <row r="156" spans="1:13" ht="16.5" hidden="1" outlineLevel="1">
      <c r="A156" s="38"/>
      <c r="B156" s="39" t="s">
        <v>25</v>
      </c>
      <c r="C156" s="36">
        <v>3478745</v>
      </c>
      <c r="D156" s="36">
        <v>0</v>
      </c>
      <c r="E156" s="36"/>
      <c r="F156" s="36">
        <v>5087944.59</v>
      </c>
      <c r="G156" s="37">
        <f t="shared" si="19"/>
        <v>0.68372305131569844</v>
      </c>
      <c r="H156" s="23">
        <f t="shared" si="18"/>
        <v>0</v>
      </c>
      <c r="I156" s="24">
        <f t="shared" si="18"/>
        <v>0</v>
      </c>
      <c r="J156" s="32" t="str" cm="1">
        <f t="array" ref="J156">IFERROR(_xlfn.IFS(B156="044 - BLEND TRADICION","BLEND",B156="113 - CAFÉ GOURMET","GOURMET",B156="114 - CAFÉ CONSUMO","CONSUMO",B156="112 - CAFÉ ORGANICO","GOURMET",B156="172 - CAFÉ COSECHA","ESPECIALES",B156="176 - CAFE DESCAFEINADO","GOURMET",B156="147 - CAPSULAS","CAPSULAS",B156="130 - GALLETAS CAFECITAS","DERIVADOS",B156="140 - MERENGUES","DERIVADOS",B156="100 - CAFÉ ESPECIAL","ESPECIALES",B156="141 - AREQUIPE","DERIVADOS",B156="142 - MERMELADA","DERIVADOS",B156="131 - GALLETAS AVENA","DERIVADOS",B156="160 - SOUVENIR","OTROS",B156="148 - CARAMELOS","DERIVADOS",B156="143 - CHOCOFFES","DERIVADOS",B156="162 - CONVENIOS Y DSC POS ","OTROS"),"OTROS")</f>
        <v>DERIVADOS</v>
      </c>
      <c r="L156" s="27">
        <f t="shared" si="16"/>
        <v>3478745</v>
      </c>
      <c r="M156" s="27">
        <f t="shared" si="17"/>
        <v>3478745</v>
      </c>
    </row>
    <row r="157" spans="1:13" ht="16.5" hidden="1" outlineLevel="1">
      <c r="A157" s="38"/>
      <c r="B157" s="39" t="s">
        <v>26</v>
      </c>
      <c r="C157" s="36">
        <v>1688179</v>
      </c>
      <c r="D157" s="36">
        <v>-22687</v>
      </c>
      <c r="E157" s="36"/>
      <c r="F157" s="36">
        <v>4929036.9800000004</v>
      </c>
      <c r="G157" s="37">
        <f t="shared" si="19"/>
        <v>0.34249672032284079</v>
      </c>
      <c r="H157" s="23">
        <f t="shared" si="18"/>
        <v>-1.3260535892349254E-2</v>
      </c>
      <c r="I157" s="24">
        <f t="shared" si="18"/>
        <v>0</v>
      </c>
      <c r="J157" s="32" t="str" cm="1">
        <f t="array" ref="J157">IFERROR(_xlfn.IFS(B157="044 - BLEND TRADICION","BLEND",B157="113 - CAFÉ GOURMET","GOURMET",B157="114 - CAFÉ CONSUMO","CONSUMO",B157="112 - CAFÉ ORGANICO","GOURMET",B157="172 - CAFÉ COSECHA","ESPECIALES",B157="176 - CAFE DESCAFEINADO","GOURMET",B157="147 - CAPSULAS","CAPSULAS",B157="130 - GALLETAS CAFECITAS","DERIVADOS",B157="140 - MERENGUES","DERIVADOS",B157="100 - CAFÉ ESPECIAL","ESPECIALES",B157="141 - AREQUIPE","DERIVADOS",B157="142 - MERMELADA","DERIVADOS",B157="131 - GALLETAS AVENA","DERIVADOS",B157="160 - SOUVENIR","OTROS",B157="148 - CARAMELOS","DERIVADOS",B157="143 - CHOCOFFES","DERIVADOS",B157="162 - CONVENIOS Y DSC POS ","OTROS"),"OTROS")</f>
        <v>CAPSULAS</v>
      </c>
      <c r="L157" s="27">
        <f t="shared" si="16"/>
        <v>1710866</v>
      </c>
      <c r="M157" s="27">
        <f t="shared" si="17"/>
        <v>1710866</v>
      </c>
    </row>
    <row r="158" spans="1:13" ht="16.5" hidden="1" outlineLevel="1">
      <c r="A158" s="38"/>
      <c r="B158" s="39" t="s">
        <v>27</v>
      </c>
      <c r="C158" s="36">
        <v>1419838</v>
      </c>
      <c r="D158" s="36">
        <v>0</v>
      </c>
      <c r="E158" s="36"/>
      <c r="F158" s="36">
        <v>3748792.41</v>
      </c>
      <c r="G158" s="37">
        <f t="shared" si="19"/>
        <v>0.378745431785592</v>
      </c>
      <c r="H158" s="23">
        <f t="shared" si="18"/>
        <v>0</v>
      </c>
      <c r="I158" s="24">
        <f t="shared" si="18"/>
        <v>0</v>
      </c>
      <c r="J158" s="32" t="str" cm="1">
        <f t="array" ref="J158">IFERROR(_xlfn.IFS(B158="044 - BLEND TRADICION","BLEND",B158="113 - CAFÉ GOURMET","GOURMET",B158="114 - CAFÉ CONSUMO","CONSUMO",B158="112 - CAFÉ ORGANICO","GOURMET",B158="172 - CAFÉ COSECHA","ESPECIALES",B158="176 - CAFE DESCAFEINADO","GOURMET",B158="147 - CAPSULAS","CAPSULAS",B158="130 - GALLETAS CAFECITAS","DERIVADOS",B158="140 - MERENGUES","DERIVADOS",B158="100 - CAFÉ ESPECIAL","ESPECIALES",B158="141 - AREQUIPE","DERIVADOS",B158="142 - MERMELADA","DERIVADOS",B158="131 - GALLETAS AVENA","DERIVADOS",B158="160 - SOUVENIR","OTROS",B158="148 - CARAMELOS","DERIVADOS",B158="143 - CHOCOFFES","DERIVADOS",B158="162 - CONVENIOS Y DSC POS ","OTROS"),"OTROS")</f>
        <v>DERIVADOS</v>
      </c>
      <c r="L158" s="27">
        <f t="shared" si="16"/>
        <v>1419838</v>
      </c>
      <c r="M158" s="27">
        <f t="shared" si="17"/>
        <v>1419838</v>
      </c>
    </row>
    <row r="159" spans="1:13" ht="16.5" hidden="1" outlineLevel="1">
      <c r="A159" s="38"/>
      <c r="B159" s="39" t="s">
        <v>28</v>
      </c>
      <c r="C159" s="36">
        <v>708343</v>
      </c>
      <c r="D159" s="36">
        <v>0</v>
      </c>
      <c r="E159" s="36">
        <v>0</v>
      </c>
      <c r="F159" s="36">
        <v>3497038.66</v>
      </c>
      <c r="G159" s="37">
        <f t="shared" si="19"/>
        <v>0.20255509557335005</v>
      </c>
      <c r="H159" s="23">
        <f t="shared" si="18"/>
        <v>0</v>
      </c>
      <c r="I159" s="24">
        <f t="shared" si="18"/>
        <v>0</v>
      </c>
      <c r="J159" s="32" t="str" cm="1">
        <f t="array" ref="J159">IFERROR(_xlfn.IFS(B159="044 - BLEND TRADICION","BLEND",B159="113 - CAFÉ GOURMET","GOURMET",B159="114 - CAFÉ CONSUMO","CONSUMO",B159="112 - CAFÉ ORGANICO","GOURMET",B159="172 - CAFÉ COSECHA","ESPECIALES",B159="176 - CAFE DESCAFEINADO","GOURMET",B159="147 - CAPSULAS","CAPSULAS",B159="130 - GALLETAS CAFECITAS","DERIVADOS",B159="140 - MERENGUES","DERIVADOS",B159="100 - CAFÉ ESPECIAL","ESPECIALES",B159="141 - AREQUIPE","DERIVADOS",B159="142 - MERMELADA","DERIVADOS",B159="131 - GALLETAS AVENA","DERIVADOS",B159="160 - SOUVENIR","OTROS",B159="148 - CARAMELOS","DERIVADOS",B159="143 - CHOCOFFES","DERIVADOS",B159="162 - CONVENIOS Y DSC POS ","OTROS"),"OTROS")</f>
        <v>OTROS</v>
      </c>
      <c r="L159" s="27">
        <f t="shared" si="16"/>
        <v>708343</v>
      </c>
      <c r="M159" s="27">
        <f t="shared" si="17"/>
        <v>708343</v>
      </c>
    </row>
    <row r="160" spans="1:13" ht="16.5" hidden="1" outlineLevel="1">
      <c r="A160" s="38"/>
      <c r="B160" s="39" t="s">
        <v>50</v>
      </c>
      <c r="C160" s="36">
        <v>-52019</v>
      </c>
      <c r="D160" s="36">
        <v>0</v>
      </c>
      <c r="E160" s="36">
        <v>-52019</v>
      </c>
      <c r="F160" s="36">
        <v>0</v>
      </c>
      <c r="G160" s="37" t="str">
        <f t="shared" si="19"/>
        <v>-</v>
      </c>
      <c r="H160" s="23">
        <f t="shared" si="18"/>
        <v>0</v>
      </c>
      <c r="I160" s="24">
        <f t="shared" si="18"/>
        <v>0</v>
      </c>
      <c r="J160" s="32" t="str" cm="1">
        <f t="array" ref="J160">IFERROR(_xlfn.IFS(B160="044 - BLEND TRADICION","BLEND",B160="113 - CAFÉ GOURMET","GOURMET",B160="114 - CAFÉ CONSUMO","CONSUMO",B160="112 - CAFÉ ORGANICO","GOURMET",B160="172 - CAFÉ COSECHA","ESPECIALES",B160="176 - CAFE DESCAFEINADO","GOURMET",B160="147 - CAPSULAS","CAPSULAS",B160="130 - GALLETAS CAFECITAS","DERIVADOS",B160="140 - MERENGUES","DERIVADOS",B160="100 - CAFÉ ESPECIAL","ESPECIALES",B160="141 - AREQUIPE","DERIVADOS",B160="142 - MERMELADA","DERIVADOS",B160="131 - GALLETAS AVENA","DERIVADOS",B160="160 - SOUVENIR","OTROS",B160="148 - CARAMELOS","DERIVADOS",B160="143 - CHOCOFFES","DERIVADOS",B160="162 - CONVENIOS Y DSC POS ","OTROS"),"OTROS")</f>
        <v>OTROS</v>
      </c>
      <c r="L160" s="27">
        <f t="shared" si="16"/>
        <v>0</v>
      </c>
      <c r="M160" s="27">
        <f t="shared" si="17"/>
        <v>0</v>
      </c>
    </row>
    <row r="161" spans="1:13" ht="16.5" hidden="1" outlineLevel="1">
      <c r="A161" s="38"/>
      <c r="B161" s="39" t="s">
        <v>29</v>
      </c>
      <c r="C161" s="36">
        <v>1298184</v>
      </c>
      <c r="D161" s="36">
        <v>0</v>
      </c>
      <c r="E161" s="36">
        <v>0</v>
      </c>
      <c r="F161" s="36">
        <v>7182790.8499999996</v>
      </c>
      <c r="G161" s="37">
        <f t="shared" si="19"/>
        <v>0.18073531961465927</v>
      </c>
      <c r="H161" s="23">
        <f t="shared" si="18"/>
        <v>0</v>
      </c>
      <c r="I161" s="24">
        <f t="shared" si="18"/>
        <v>0</v>
      </c>
      <c r="J161" s="32" t="str" cm="1">
        <f t="array" ref="J161">IFERROR(_xlfn.IFS(B161="044 - BLEND TRADICION","BLEND",B161="113 - CAFÉ GOURMET","GOURMET",B161="114 - CAFÉ CONSUMO","CONSUMO",B161="112 - CAFÉ ORGANICO","GOURMET",B161="172 - CAFÉ COSECHA","ESPECIALES",B161="176 - CAFE DESCAFEINADO","GOURMET",B161="147 - CAPSULAS","CAPSULAS",B161="130 - GALLETAS CAFECITAS","DERIVADOS",B161="140 - MERENGUES","DERIVADOS",B161="100 - CAFÉ ESPECIAL","ESPECIALES",B161="141 - AREQUIPE","DERIVADOS",B161="142 - MERMELADA","DERIVADOS",B161="131 - GALLETAS AVENA","DERIVADOS",B161="160 - SOUVENIR","OTROS",B161="148 - CARAMELOS","DERIVADOS",B161="143 - CHOCOFFES","DERIVADOS",B161="162 - CONVENIOS Y DSC POS ","OTROS"),"OTROS")</f>
        <v>ESPECIALES</v>
      </c>
      <c r="L161" s="27">
        <f t="shared" si="16"/>
        <v>1298184</v>
      </c>
      <c r="M161" s="27">
        <f t="shared" si="17"/>
        <v>1298184</v>
      </c>
    </row>
    <row r="162" spans="1:13" ht="16.5" hidden="1" outlineLevel="1">
      <c r="A162" s="38"/>
      <c r="B162" s="39" t="s">
        <v>30</v>
      </c>
      <c r="C162" s="36">
        <v>740165</v>
      </c>
      <c r="D162" s="36">
        <v>0</v>
      </c>
      <c r="E162" s="36"/>
      <c r="F162" s="36">
        <v>1596976.67</v>
      </c>
      <c r="G162" s="37">
        <f t="shared" si="19"/>
        <v>0.46347890605064385</v>
      </c>
      <c r="H162" s="23">
        <f t="shared" si="18"/>
        <v>0</v>
      </c>
      <c r="I162" s="24">
        <f t="shared" si="18"/>
        <v>0</v>
      </c>
      <c r="J162" s="32" t="str" cm="1">
        <f t="array" ref="J162">IFERROR(_xlfn.IFS(B162="044 - BLEND TRADICION","BLEND",B162="113 - CAFÉ GOURMET","GOURMET",B162="114 - CAFÉ CONSUMO","CONSUMO",B162="112 - CAFÉ ORGANICO","GOURMET",B162="172 - CAFÉ COSECHA","ESPECIALES",B162="176 - CAFE DESCAFEINADO","GOURMET",B162="147 - CAPSULAS","CAPSULAS",B162="130 - GALLETAS CAFECITAS","DERIVADOS",B162="140 - MERENGUES","DERIVADOS",B162="100 - CAFÉ ESPECIAL","ESPECIALES",B162="141 - AREQUIPE","DERIVADOS",B162="142 - MERMELADA","DERIVADOS",B162="131 - GALLETAS AVENA","DERIVADOS",B162="160 - SOUVENIR","OTROS",B162="148 - CARAMELOS","DERIVADOS",B162="143 - CHOCOFFES","DERIVADOS",B162="162 - CONVENIOS Y DSC POS ","OTROS"),"OTROS")</f>
        <v>GOURMET</v>
      </c>
      <c r="L162" s="27">
        <f t="shared" si="16"/>
        <v>740165</v>
      </c>
      <c r="M162" s="27">
        <f t="shared" si="17"/>
        <v>740165</v>
      </c>
    </row>
    <row r="163" spans="1:13" ht="16.5" hidden="1" outlineLevel="1">
      <c r="A163" s="19" t="s">
        <v>52</v>
      </c>
      <c r="B163" s="56" t="s">
        <v>32</v>
      </c>
      <c r="C163" s="54">
        <f>SUM(C147:C162)</f>
        <v>58722454</v>
      </c>
      <c r="D163" s="54">
        <f>SUM(D147:D162)</f>
        <v>-22687</v>
      </c>
      <c r="E163" s="54">
        <f>SUM(E147:E162)</f>
        <v>-52019</v>
      </c>
      <c r="F163" s="58">
        <f>SUM(F147:F162)</f>
        <v>187770047.67999998</v>
      </c>
      <c r="G163" s="55">
        <f t="shared" si="19"/>
        <v>0.31273600196382506</v>
      </c>
      <c r="H163" s="23">
        <f t="shared" si="18"/>
        <v>-3.8585196972098655E-4</v>
      </c>
      <c r="I163" s="24">
        <f t="shared" si="18"/>
        <v>-8.8471960210323084E-4</v>
      </c>
      <c r="J163" s="32" t="str" cm="1">
        <f t="array" ref="J163">IFERROR(_xlfn.IFS(B163="044 - BLEND TRADICION","BLEND",B163="113 - CAFÉ GOURMET","GOURMET",B163="114 - CAFÉ CONSUMO","CONSUMO",B163="112 - CAFÉ ORGANICO","GOURMET",B163="172 - CAFÉ COSECHA","ESPECIALES",B163="176 - CAFE DESCAFEINADO","GOURMET",B163="147 - CAPSULAS","CAPSULAS",B163="130 - GALLETAS CAFECITAS","DERIVADOS",B163="140 - MERENGUES","DERIVADOS",B163="100 - CAFÉ ESPECIAL","ESPECIALES",B163="141 - AREQUIPE","DERIVADOS",B163="142 - MERMELADA","DERIVADOS",B163="131 - GALLETAS AVENA","DERIVADOS",B163="160 - SOUVENIR","OTROS",B163="148 - CARAMELOS","DERIVADOS",B163="143 - CHOCOFFES","DERIVADOS",B163="162 - CONVENIOS Y DSC POS ","OTROS"),"OTROS")</f>
        <v>OTROS</v>
      </c>
      <c r="L163" s="27">
        <f t="shared" si="16"/>
        <v>58797160</v>
      </c>
      <c r="M163" s="27">
        <f t="shared" si="17"/>
        <v>58797160</v>
      </c>
    </row>
    <row r="164" spans="1:13" ht="16.5" hidden="1" outlineLevel="1">
      <c r="A164" s="33"/>
      <c r="B164" s="39" t="s">
        <v>42</v>
      </c>
      <c r="C164" s="36">
        <v>6900</v>
      </c>
      <c r="D164" s="36">
        <v>0</v>
      </c>
      <c r="E164" s="36">
        <v>0</v>
      </c>
      <c r="F164" s="36">
        <v>0</v>
      </c>
      <c r="G164" s="37" t="str">
        <f t="shared" si="19"/>
        <v>-</v>
      </c>
      <c r="H164" s="23">
        <f t="shared" si="18"/>
        <v>0</v>
      </c>
      <c r="I164" s="24">
        <f t="shared" si="18"/>
        <v>0</v>
      </c>
      <c r="J164" s="32" t="str" cm="1">
        <f t="array" ref="J164">IFERROR(_xlfn.IFS(B164="044 - BLEND TRADICION","BLEND",B164="113 - CAFÉ GOURMET","GOURMET",B164="114 - CAFÉ CONSUMO","CONSUMO",B164="112 - CAFÉ ORGANICO","GOURMET",B164="172 - CAFÉ COSECHA","ESPECIALES",B164="176 - CAFE DESCAFEINADO","GOURMET",B164="147 - CAPSULAS","CAPSULAS",B164="130 - GALLETAS CAFECITAS","DERIVADOS",B164="140 - MERENGUES","DERIVADOS",B164="100 - CAFÉ ESPECIAL","ESPECIALES",B164="141 - AREQUIPE","DERIVADOS",B164="142 - MERMELADA","DERIVADOS",B164="131 - GALLETAS AVENA","DERIVADOS",B164="160 - SOUVENIR","OTROS",B164="148 - CARAMELOS","DERIVADOS",B164="143 - CHOCOFFES","DERIVADOS",B164="162 - CONVENIOS Y DSC POS ","OTROS"),"OTROS")</f>
        <v>OTROS</v>
      </c>
      <c r="L164" s="27">
        <f t="shared" si="16"/>
        <v>6900</v>
      </c>
      <c r="M164" s="27">
        <f t="shared" si="17"/>
        <v>6900</v>
      </c>
    </row>
    <row r="165" spans="1:13" ht="16.5" hidden="1" outlineLevel="1">
      <c r="A165" s="38"/>
      <c r="B165" s="39" t="s">
        <v>18</v>
      </c>
      <c r="C165" s="36">
        <v>2208324</v>
      </c>
      <c r="D165" s="36">
        <v>0</v>
      </c>
      <c r="E165" s="36">
        <v>0</v>
      </c>
      <c r="F165" s="36">
        <v>9645193.6699999999</v>
      </c>
      <c r="G165" s="37">
        <f t="shared" si="19"/>
        <v>0.22895590027068891</v>
      </c>
      <c r="H165" s="23">
        <f t="shared" si="18"/>
        <v>0</v>
      </c>
      <c r="I165" s="24">
        <f t="shared" si="18"/>
        <v>0</v>
      </c>
      <c r="J165" s="32" t="str" cm="1">
        <f t="array" ref="J165">IFERROR(_xlfn.IFS(B165="044 - BLEND TRADICION","BLEND",B165="113 - CAFÉ GOURMET","GOURMET",B165="114 - CAFÉ CONSUMO","CONSUMO",B165="112 - CAFÉ ORGANICO","GOURMET",B165="172 - CAFÉ COSECHA","ESPECIALES",B165="176 - CAFE DESCAFEINADO","GOURMET",B165="147 - CAPSULAS","CAPSULAS",B165="130 - GALLETAS CAFECITAS","DERIVADOS",B165="140 - MERENGUES","DERIVADOS",B165="100 - CAFÉ ESPECIAL","ESPECIALES",B165="141 - AREQUIPE","DERIVADOS",B165="142 - MERMELADA","DERIVADOS",B165="131 - GALLETAS AVENA","DERIVADOS",B165="160 - SOUVENIR","OTROS",B165="148 - CARAMELOS","DERIVADOS",B165="143 - CHOCOFFES","DERIVADOS",B165="162 - CONVENIOS Y DSC POS ","OTROS"),"OTROS")</f>
        <v>BLEND</v>
      </c>
      <c r="L165" s="27">
        <f t="shared" si="16"/>
        <v>2208324</v>
      </c>
      <c r="M165" s="27">
        <f t="shared" si="17"/>
        <v>2208324</v>
      </c>
    </row>
    <row r="166" spans="1:13" ht="16.5" hidden="1" outlineLevel="1">
      <c r="A166" s="38"/>
      <c r="B166" s="39" t="s">
        <v>19</v>
      </c>
      <c r="C166" s="36">
        <v>384438</v>
      </c>
      <c r="D166" s="36">
        <v>0</v>
      </c>
      <c r="E166" s="36"/>
      <c r="F166" s="36">
        <v>2739705.11</v>
      </c>
      <c r="G166" s="37">
        <f t="shared" si="19"/>
        <v>0.14032094132933892</v>
      </c>
      <c r="H166" s="23">
        <f t="shared" si="18"/>
        <v>0</v>
      </c>
      <c r="I166" s="24">
        <f t="shared" si="18"/>
        <v>0</v>
      </c>
      <c r="J166" s="32" t="str" cm="1">
        <f t="array" ref="J166">IFERROR(_xlfn.IFS(B166="044 - BLEND TRADICION","BLEND",B166="113 - CAFÉ GOURMET","GOURMET",B166="114 - CAFÉ CONSUMO","CONSUMO",B166="112 - CAFÉ ORGANICO","GOURMET",B166="172 - CAFÉ COSECHA","ESPECIALES",B166="176 - CAFE DESCAFEINADO","GOURMET",B166="147 - CAPSULAS","CAPSULAS",B166="130 - GALLETAS CAFECITAS","DERIVADOS",B166="140 - MERENGUES","DERIVADOS",B166="100 - CAFÉ ESPECIAL","ESPECIALES",B166="141 - AREQUIPE","DERIVADOS",B166="142 - MERMELADA","DERIVADOS",B166="131 - GALLETAS AVENA","DERIVADOS",B166="160 - SOUVENIR","OTROS",B166="148 - CARAMELOS","DERIVADOS",B166="143 - CHOCOFFES","DERIVADOS",B166="162 - CONVENIOS Y DSC POS ","OTROS"),"OTROS")</f>
        <v>ESPECIALES</v>
      </c>
      <c r="L166" s="27">
        <f t="shared" si="16"/>
        <v>384438</v>
      </c>
      <c r="M166" s="27">
        <f t="shared" si="17"/>
        <v>384438</v>
      </c>
    </row>
    <row r="167" spans="1:13" ht="16.5" hidden="1" outlineLevel="1">
      <c r="A167" s="38"/>
      <c r="B167" s="39" t="s">
        <v>20</v>
      </c>
      <c r="C167" s="36">
        <v>30710</v>
      </c>
      <c r="D167" s="36">
        <v>0</v>
      </c>
      <c r="E167" s="36">
        <v>0</v>
      </c>
      <c r="F167" s="36">
        <v>825254.9</v>
      </c>
      <c r="G167" s="37">
        <f t="shared" si="19"/>
        <v>3.7212744813753904E-2</v>
      </c>
      <c r="H167" s="23">
        <f t="shared" si="18"/>
        <v>0</v>
      </c>
      <c r="I167" s="24">
        <f t="shared" si="18"/>
        <v>0</v>
      </c>
      <c r="J167" s="32" t="str" cm="1">
        <f t="array" ref="J167">IFERROR(_xlfn.IFS(B167="044 - BLEND TRADICION","BLEND",B167="113 - CAFÉ GOURMET","GOURMET",B167="114 - CAFÉ CONSUMO","CONSUMO",B167="112 - CAFÉ ORGANICO","GOURMET",B167="172 - CAFÉ COSECHA","ESPECIALES",B167="176 - CAFE DESCAFEINADO","GOURMET",B167="147 - CAPSULAS","CAPSULAS",B167="130 - GALLETAS CAFECITAS","DERIVADOS",B167="140 - MERENGUES","DERIVADOS",B167="100 - CAFÉ ESPECIAL","ESPECIALES",B167="141 - AREQUIPE","DERIVADOS",B167="142 - MERMELADA","DERIVADOS",B167="131 - GALLETAS AVENA","DERIVADOS",B167="160 - SOUVENIR","OTROS",B167="148 - CARAMELOS","DERIVADOS",B167="143 - CHOCOFFES","DERIVADOS",B167="162 - CONVENIOS Y DSC POS ","OTROS"),"OTROS")</f>
        <v>GOURMET</v>
      </c>
      <c r="L167" s="27">
        <f t="shared" si="16"/>
        <v>30710</v>
      </c>
      <c r="M167" s="27">
        <f t="shared" si="17"/>
        <v>30710</v>
      </c>
    </row>
    <row r="168" spans="1:13" ht="16.5" hidden="1" outlineLevel="1">
      <c r="A168" s="38"/>
      <c r="B168" s="39" t="s">
        <v>21</v>
      </c>
      <c r="C168" s="36">
        <v>12921951</v>
      </c>
      <c r="D168" s="36">
        <v>0</v>
      </c>
      <c r="E168" s="36">
        <v>0</v>
      </c>
      <c r="F168" s="36">
        <v>43096072.049999997</v>
      </c>
      <c r="G168" s="37">
        <f t="shared" si="19"/>
        <v>0.29984057444975432</v>
      </c>
      <c r="H168" s="23">
        <f t="shared" si="18"/>
        <v>0</v>
      </c>
      <c r="I168" s="24">
        <f t="shared" si="18"/>
        <v>0</v>
      </c>
      <c r="J168" s="32" t="str" cm="1">
        <f t="array" ref="J168">IFERROR(_xlfn.IFS(B168="044 - BLEND TRADICION","BLEND",B168="113 - CAFÉ GOURMET","GOURMET",B168="114 - CAFÉ CONSUMO","CONSUMO",B168="112 - CAFÉ ORGANICO","GOURMET",B168="172 - CAFÉ COSECHA","ESPECIALES",B168="176 - CAFE DESCAFEINADO","GOURMET",B168="147 - CAPSULAS","CAPSULAS",B168="130 - GALLETAS CAFECITAS","DERIVADOS",B168="140 - MERENGUES","DERIVADOS",B168="100 - CAFÉ ESPECIAL","ESPECIALES",B168="141 - AREQUIPE","DERIVADOS",B168="142 - MERMELADA","DERIVADOS",B168="131 - GALLETAS AVENA","DERIVADOS",B168="160 - SOUVENIR","OTROS",B168="148 - CARAMELOS","DERIVADOS",B168="143 - CHOCOFFES","DERIVADOS",B168="162 - CONVENIOS Y DSC POS ","OTROS"),"OTROS")</f>
        <v>GOURMET</v>
      </c>
      <c r="L168" s="27">
        <f t="shared" si="16"/>
        <v>12921951</v>
      </c>
      <c r="M168" s="27">
        <f t="shared" si="17"/>
        <v>12921951</v>
      </c>
    </row>
    <row r="169" spans="1:13" ht="16.5" hidden="1" outlineLevel="1">
      <c r="A169" s="38"/>
      <c r="B169" s="39" t="s">
        <v>38</v>
      </c>
      <c r="C169" s="36">
        <v>6195845</v>
      </c>
      <c r="D169" s="36">
        <v>0</v>
      </c>
      <c r="E169" s="36">
        <v>0</v>
      </c>
      <c r="F169" s="36">
        <v>16145456.630000001</v>
      </c>
      <c r="G169" s="37">
        <f t="shared" si="19"/>
        <v>0.3837516114897272</v>
      </c>
      <c r="H169" s="23">
        <f t="shared" si="18"/>
        <v>0</v>
      </c>
      <c r="I169" s="24">
        <f t="shared" si="18"/>
        <v>0</v>
      </c>
      <c r="J169" s="32" t="str" cm="1">
        <f t="array" ref="J169">IFERROR(_xlfn.IFS(B169="044 - BLEND TRADICION","BLEND",B169="113 - CAFÉ GOURMET","GOURMET",B169="114 - CAFÉ CONSUMO","CONSUMO",B169="112 - CAFÉ ORGANICO","GOURMET",B169="172 - CAFÉ COSECHA","ESPECIALES",B169="176 - CAFE DESCAFEINADO","GOURMET",B169="147 - CAPSULAS","CAPSULAS",B169="130 - GALLETAS CAFECITAS","DERIVADOS",B169="140 - MERENGUES","DERIVADOS",B169="100 - CAFÉ ESPECIAL","ESPECIALES",B169="141 - AREQUIPE","DERIVADOS",B169="142 - MERMELADA","DERIVADOS",B169="131 - GALLETAS AVENA","DERIVADOS",B169="160 - SOUVENIR","OTROS",B169="148 - CARAMELOS","DERIVADOS",B169="143 - CHOCOFFES","DERIVADOS",B169="162 - CONVENIOS Y DSC POS ","OTROS"),"OTROS")</f>
        <v>CONSUMO</v>
      </c>
      <c r="L169" s="27">
        <f t="shared" si="16"/>
        <v>6195845</v>
      </c>
      <c r="M169" s="27">
        <f t="shared" si="17"/>
        <v>6195845</v>
      </c>
    </row>
    <row r="170" spans="1:13" ht="16.5" hidden="1" outlineLevel="1">
      <c r="A170" s="38"/>
      <c r="B170" s="39" t="s">
        <v>22</v>
      </c>
      <c r="C170" s="36">
        <v>7152026</v>
      </c>
      <c r="D170" s="36">
        <v>0</v>
      </c>
      <c r="E170" s="36"/>
      <c r="F170" s="36">
        <v>33513805.359999999</v>
      </c>
      <c r="G170" s="37">
        <f t="shared" si="19"/>
        <v>0.21340536901656101</v>
      </c>
      <c r="H170" s="23">
        <f t="shared" si="18"/>
        <v>0</v>
      </c>
      <c r="I170" s="24">
        <f t="shared" si="18"/>
        <v>0</v>
      </c>
      <c r="J170" s="32" t="str" cm="1">
        <f t="array" ref="J170">IFERROR(_xlfn.IFS(B170="044 - BLEND TRADICION","BLEND",B170="113 - CAFÉ GOURMET","GOURMET",B170="114 - CAFÉ CONSUMO","CONSUMO",B170="112 - CAFÉ ORGANICO","GOURMET",B170="172 - CAFÉ COSECHA","ESPECIALES",B170="176 - CAFE DESCAFEINADO","GOURMET",B170="147 - CAPSULAS","CAPSULAS",B170="130 - GALLETAS CAFECITAS","DERIVADOS",B170="140 - MERENGUES","DERIVADOS",B170="100 - CAFÉ ESPECIAL","ESPECIALES",B170="141 - AREQUIPE","DERIVADOS",B170="142 - MERMELADA","DERIVADOS",B170="131 - GALLETAS AVENA","DERIVADOS",B170="160 - SOUVENIR","OTROS",B170="148 - CARAMELOS","DERIVADOS",B170="143 - CHOCOFFES","DERIVADOS",B170="162 - CONVENIOS Y DSC POS ","OTROS"),"OTROS")</f>
        <v>DERIVADOS</v>
      </c>
      <c r="L170" s="27">
        <f t="shared" si="16"/>
        <v>7152026</v>
      </c>
      <c r="M170" s="27">
        <f t="shared" si="17"/>
        <v>7152026</v>
      </c>
    </row>
    <row r="171" spans="1:13" ht="16.5" hidden="1" outlineLevel="1">
      <c r="A171" s="38"/>
      <c r="B171" s="39" t="s">
        <v>23</v>
      </c>
      <c r="C171" s="36">
        <v>0</v>
      </c>
      <c r="D171" s="36">
        <v>0</v>
      </c>
      <c r="E171" s="36"/>
      <c r="F171" s="36">
        <v>174887.86</v>
      </c>
      <c r="G171" s="37">
        <f t="shared" si="19"/>
        <v>0</v>
      </c>
      <c r="H171" s="23">
        <f t="shared" si="18"/>
        <v>0</v>
      </c>
      <c r="I171" s="24">
        <f t="shared" si="18"/>
        <v>0</v>
      </c>
      <c r="J171" s="32" t="str" cm="1">
        <f t="array" ref="J171">IFERROR(_xlfn.IFS(B171="044 - BLEND TRADICION","BLEND",B171="113 - CAFÉ GOURMET","GOURMET",B171="114 - CAFÉ CONSUMO","CONSUMO",B171="112 - CAFÉ ORGANICO","GOURMET",B171="172 - CAFÉ COSECHA","ESPECIALES",B171="176 - CAFE DESCAFEINADO","GOURMET",B171="147 - CAPSULAS","CAPSULAS",B171="130 - GALLETAS CAFECITAS","DERIVADOS",B171="140 - MERENGUES","DERIVADOS",B171="100 - CAFÉ ESPECIAL","ESPECIALES",B171="141 - AREQUIPE","DERIVADOS",B171="142 - MERMELADA","DERIVADOS",B171="131 - GALLETAS AVENA","DERIVADOS",B171="160 - SOUVENIR","OTROS",B171="148 - CARAMELOS","DERIVADOS",B171="143 - CHOCOFFES","DERIVADOS",B171="162 - CONVENIOS Y DSC POS ","OTROS"),"OTROS")</f>
        <v>DERIVADOS</v>
      </c>
      <c r="L171" s="27">
        <f t="shared" si="16"/>
        <v>0</v>
      </c>
      <c r="M171" s="27">
        <f t="shared" si="17"/>
        <v>0</v>
      </c>
    </row>
    <row r="172" spans="1:13" ht="16.5" hidden="1" outlineLevel="1">
      <c r="A172" s="38"/>
      <c r="B172" s="39" t="s">
        <v>24</v>
      </c>
      <c r="C172" s="36">
        <v>370597</v>
      </c>
      <c r="D172" s="36">
        <v>0</v>
      </c>
      <c r="E172" s="36">
        <v>0</v>
      </c>
      <c r="F172" s="36">
        <v>2405932.35</v>
      </c>
      <c r="G172" s="37">
        <f t="shared" si="19"/>
        <v>0.15403467183938069</v>
      </c>
      <c r="H172" s="23">
        <f t="shared" si="18"/>
        <v>0</v>
      </c>
      <c r="I172" s="24">
        <f t="shared" si="18"/>
        <v>0</v>
      </c>
      <c r="J172" s="32" t="str" cm="1">
        <f t="array" ref="J172">IFERROR(_xlfn.IFS(B172="044 - BLEND TRADICION","BLEND",B172="113 - CAFÉ GOURMET","GOURMET",B172="114 - CAFÉ CONSUMO","CONSUMO",B172="112 - CAFÉ ORGANICO","GOURMET",B172="172 - CAFÉ COSECHA","ESPECIALES",B172="176 - CAFE DESCAFEINADO","GOURMET",B172="147 - CAPSULAS","CAPSULAS",B172="130 - GALLETAS CAFECITAS","DERIVADOS",B172="140 - MERENGUES","DERIVADOS",B172="100 - CAFÉ ESPECIAL","ESPECIALES",B172="141 - AREQUIPE","DERIVADOS",B172="142 - MERMELADA","DERIVADOS",B172="131 - GALLETAS AVENA","DERIVADOS",B172="160 - SOUVENIR","OTROS",B172="148 - CARAMELOS","DERIVADOS",B172="143 - CHOCOFFES","DERIVADOS",B172="162 - CONVENIOS Y DSC POS ","OTROS"),"OTROS")</f>
        <v>DERIVADOS</v>
      </c>
      <c r="L172" s="27">
        <f t="shared" si="16"/>
        <v>370597</v>
      </c>
      <c r="M172" s="27">
        <f t="shared" si="17"/>
        <v>370597</v>
      </c>
    </row>
    <row r="173" spans="1:13" ht="16.5" hidden="1" outlineLevel="1">
      <c r="A173" s="38"/>
      <c r="B173" s="39" t="s">
        <v>25</v>
      </c>
      <c r="C173" s="36">
        <v>2965361</v>
      </c>
      <c r="D173" s="36">
        <v>0</v>
      </c>
      <c r="E173" s="36"/>
      <c r="F173" s="36">
        <v>9395897.5299999993</v>
      </c>
      <c r="G173" s="37">
        <f t="shared" si="19"/>
        <v>0.31560167514938831</v>
      </c>
      <c r="H173" s="23">
        <f t="shared" si="18"/>
        <v>0</v>
      </c>
      <c r="I173" s="24">
        <f t="shared" si="18"/>
        <v>0</v>
      </c>
      <c r="J173" s="32" t="str" cm="1">
        <f t="array" ref="J173">IFERROR(_xlfn.IFS(B173="044 - BLEND TRADICION","BLEND",B173="113 - CAFÉ GOURMET","GOURMET",B173="114 - CAFÉ CONSUMO","CONSUMO",B173="112 - CAFÉ ORGANICO","GOURMET",B173="172 - CAFÉ COSECHA","ESPECIALES",B173="176 - CAFE DESCAFEINADO","GOURMET",B173="147 - CAPSULAS","CAPSULAS",B173="130 - GALLETAS CAFECITAS","DERIVADOS",B173="140 - MERENGUES","DERIVADOS",B173="100 - CAFÉ ESPECIAL","ESPECIALES",B173="141 - AREQUIPE","DERIVADOS",B173="142 - MERMELADA","DERIVADOS",B173="131 - GALLETAS AVENA","DERIVADOS",B173="160 - SOUVENIR","OTROS",B173="148 - CARAMELOS","DERIVADOS",B173="143 - CHOCOFFES","DERIVADOS",B173="162 - CONVENIOS Y DSC POS ","OTROS"),"OTROS")</f>
        <v>DERIVADOS</v>
      </c>
      <c r="L173" s="27">
        <f t="shared" si="16"/>
        <v>2965361</v>
      </c>
      <c r="M173" s="27">
        <f t="shared" si="17"/>
        <v>2965361</v>
      </c>
    </row>
    <row r="174" spans="1:13" ht="16.5" hidden="1" outlineLevel="1">
      <c r="A174" s="38"/>
      <c r="B174" s="39" t="s">
        <v>26</v>
      </c>
      <c r="C174" s="36">
        <v>227476</v>
      </c>
      <c r="D174" s="36">
        <v>0</v>
      </c>
      <c r="E174" s="36"/>
      <c r="F174" s="36">
        <v>297105.94</v>
      </c>
      <c r="G174" s="37">
        <f t="shared" si="19"/>
        <v>0.76563935409706041</v>
      </c>
      <c r="H174" s="23">
        <f t="shared" si="18"/>
        <v>0</v>
      </c>
      <c r="I174" s="24">
        <f t="shared" si="18"/>
        <v>0</v>
      </c>
      <c r="J174" s="32" t="str" cm="1">
        <f t="array" ref="J174">IFERROR(_xlfn.IFS(B174="044 - BLEND TRADICION","BLEND",B174="113 - CAFÉ GOURMET","GOURMET",B174="114 - CAFÉ CONSUMO","CONSUMO",B174="112 - CAFÉ ORGANICO","GOURMET",B174="172 - CAFÉ COSECHA","ESPECIALES",B174="176 - CAFE DESCAFEINADO","GOURMET",B174="147 - CAPSULAS","CAPSULAS",B174="130 - GALLETAS CAFECITAS","DERIVADOS",B174="140 - MERENGUES","DERIVADOS",B174="100 - CAFÉ ESPECIAL","ESPECIALES",B174="141 - AREQUIPE","DERIVADOS",B174="142 - MERMELADA","DERIVADOS",B174="131 - GALLETAS AVENA","DERIVADOS",B174="160 - SOUVENIR","OTROS",B174="148 - CARAMELOS","DERIVADOS",B174="143 - CHOCOFFES","DERIVADOS",B174="162 - CONVENIOS Y DSC POS ","OTROS"),"OTROS")</f>
        <v>CAPSULAS</v>
      </c>
      <c r="L174" s="27">
        <f t="shared" si="16"/>
        <v>227476</v>
      </c>
      <c r="M174" s="27">
        <f t="shared" si="17"/>
        <v>227476</v>
      </c>
    </row>
    <row r="175" spans="1:13" ht="16.5" hidden="1" outlineLevel="1">
      <c r="A175" s="38"/>
      <c r="B175" s="39" t="s">
        <v>27</v>
      </c>
      <c r="C175" s="36">
        <v>2727793</v>
      </c>
      <c r="D175" s="36">
        <v>0</v>
      </c>
      <c r="E175" s="36">
        <v>0</v>
      </c>
      <c r="F175" s="36">
        <v>18205206.140000001</v>
      </c>
      <c r="G175" s="37">
        <f t="shared" si="19"/>
        <v>0.14983587546457741</v>
      </c>
      <c r="H175" s="23">
        <f t="shared" si="18"/>
        <v>0</v>
      </c>
      <c r="I175" s="24">
        <f t="shared" si="18"/>
        <v>0</v>
      </c>
      <c r="J175" s="32" t="str" cm="1">
        <f t="array" ref="J175">IFERROR(_xlfn.IFS(B175="044 - BLEND TRADICION","BLEND",B175="113 - CAFÉ GOURMET","GOURMET",B175="114 - CAFÉ CONSUMO","CONSUMO",B175="112 - CAFÉ ORGANICO","GOURMET",B175="172 - CAFÉ COSECHA","ESPECIALES",B175="176 - CAFE DESCAFEINADO","GOURMET",B175="147 - CAPSULAS","CAPSULAS",B175="130 - GALLETAS CAFECITAS","DERIVADOS",B175="140 - MERENGUES","DERIVADOS",B175="100 - CAFÉ ESPECIAL","ESPECIALES",B175="141 - AREQUIPE","DERIVADOS",B175="142 - MERMELADA","DERIVADOS",B175="131 - GALLETAS AVENA","DERIVADOS",B175="160 - SOUVENIR","OTROS",B175="148 - CARAMELOS","DERIVADOS",B175="143 - CHOCOFFES","DERIVADOS",B175="162 - CONVENIOS Y DSC POS ","OTROS"),"OTROS")</f>
        <v>DERIVADOS</v>
      </c>
      <c r="L175" s="27">
        <f t="shared" si="16"/>
        <v>2727793</v>
      </c>
      <c r="M175" s="27">
        <f t="shared" si="17"/>
        <v>2727793</v>
      </c>
    </row>
    <row r="176" spans="1:13" ht="16.5" hidden="1" outlineLevel="1">
      <c r="A176" s="38"/>
      <c r="B176" s="39" t="s">
        <v>28</v>
      </c>
      <c r="C176" s="36">
        <v>764019</v>
      </c>
      <c r="D176" s="36">
        <v>0</v>
      </c>
      <c r="E176" s="36"/>
      <c r="F176" s="36">
        <v>6286220.4699999997</v>
      </c>
      <c r="G176" s="37">
        <f t="shared" si="19"/>
        <v>0.12153868984490136</v>
      </c>
      <c r="H176" s="23">
        <f t="shared" si="18"/>
        <v>0</v>
      </c>
      <c r="I176" s="24">
        <f t="shared" si="18"/>
        <v>0</v>
      </c>
      <c r="J176" s="32" t="str" cm="1">
        <f t="array" ref="J176">IFERROR(_xlfn.IFS(B176="044 - BLEND TRADICION","BLEND",B176="113 - CAFÉ GOURMET","GOURMET",B176="114 - CAFÉ CONSUMO","CONSUMO",B176="112 - CAFÉ ORGANICO","GOURMET",B176="172 - CAFÉ COSECHA","ESPECIALES",B176="176 - CAFE DESCAFEINADO","GOURMET",B176="147 - CAPSULAS","CAPSULAS",B176="130 - GALLETAS CAFECITAS","DERIVADOS",B176="140 - MERENGUES","DERIVADOS",B176="100 - CAFÉ ESPECIAL","ESPECIALES",B176="141 - AREQUIPE","DERIVADOS",B176="142 - MERMELADA","DERIVADOS",B176="131 - GALLETAS AVENA","DERIVADOS",B176="160 - SOUVENIR","OTROS",B176="148 - CARAMELOS","DERIVADOS",B176="143 - CHOCOFFES","DERIVADOS",B176="162 - CONVENIOS Y DSC POS ","OTROS"),"OTROS")</f>
        <v>OTROS</v>
      </c>
      <c r="L176" s="27">
        <f t="shared" si="16"/>
        <v>764019</v>
      </c>
      <c r="M176" s="27">
        <f t="shared" si="17"/>
        <v>764019</v>
      </c>
    </row>
    <row r="177" spans="1:13" ht="16.5" hidden="1" outlineLevel="1">
      <c r="A177" s="38"/>
      <c r="B177" s="39" t="s">
        <v>29</v>
      </c>
      <c r="C177" s="36">
        <v>358812</v>
      </c>
      <c r="D177" s="36">
        <v>0</v>
      </c>
      <c r="E177" s="36"/>
      <c r="F177" s="36">
        <v>2023867.68</v>
      </c>
      <c r="G177" s="37">
        <f t="shared" si="19"/>
        <v>0.17729024656394532</v>
      </c>
      <c r="H177" s="23">
        <f t="shared" ref="H177:I192" si="20">IFERROR(+D177/L177*100%,0)</f>
        <v>0</v>
      </c>
      <c r="I177" s="24">
        <f t="shared" si="20"/>
        <v>0</v>
      </c>
      <c r="J177" s="32" t="str" cm="1">
        <f t="array" ref="J177">IFERROR(_xlfn.IFS(B177="044 - BLEND TRADICION","BLEND",B177="113 - CAFÉ GOURMET","GOURMET",B177="114 - CAFÉ CONSUMO","CONSUMO",B177="112 - CAFÉ ORGANICO","GOURMET",B177="172 - CAFÉ COSECHA","ESPECIALES",B177="176 - CAFE DESCAFEINADO","GOURMET",B177="147 - CAPSULAS","CAPSULAS",B177="130 - GALLETAS CAFECITAS","DERIVADOS",B177="140 - MERENGUES","DERIVADOS",B177="100 - CAFÉ ESPECIAL","ESPECIALES",B177="141 - AREQUIPE","DERIVADOS",B177="142 - MERMELADA","DERIVADOS",B177="131 - GALLETAS AVENA","DERIVADOS",B177="160 - SOUVENIR","OTROS",B177="148 - CARAMELOS","DERIVADOS",B177="143 - CHOCOFFES","DERIVADOS",B177="162 - CONVENIOS Y DSC POS ","OTROS"),"OTROS")</f>
        <v>ESPECIALES</v>
      </c>
      <c r="L177" s="27">
        <f t="shared" si="16"/>
        <v>358812</v>
      </c>
      <c r="M177" s="27">
        <f t="shared" si="17"/>
        <v>358812</v>
      </c>
    </row>
    <row r="178" spans="1:13" ht="16.5" hidden="1" outlineLevel="1">
      <c r="A178" s="38"/>
      <c r="B178" s="39" t="s">
        <v>30</v>
      </c>
      <c r="C178" s="36">
        <v>126524</v>
      </c>
      <c r="D178" s="36">
        <v>0</v>
      </c>
      <c r="E178" s="36"/>
      <c r="F178" s="36">
        <v>160123.85</v>
      </c>
      <c r="G178" s="37">
        <f t="shared" si="19"/>
        <v>0.79016336417092137</v>
      </c>
      <c r="H178" s="23">
        <f t="shared" si="20"/>
        <v>0</v>
      </c>
      <c r="I178" s="24">
        <f t="shared" si="20"/>
        <v>0</v>
      </c>
      <c r="J178" s="32" t="str" cm="1">
        <f t="array" ref="J178">IFERROR(_xlfn.IFS(B178="044 - BLEND TRADICION","BLEND",B178="113 - CAFÉ GOURMET","GOURMET",B178="114 - CAFÉ CONSUMO","CONSUMO",B178="112 - CAFÉ ORGANICO","GOURMET",B178="172 - CAFÉ COSECHA","ESPECIALES",B178="176 - CAFE DESCAFEINADO","GOURMET",B178="147 - CAPSULAS","CAPSULAS",B178="130 - GALLETAS CAFECITAS","DERIVADOS",B178="140 - MERENGUES","DERIVADOS",B178="100 - CAFÉ ESPECIAL","ESPECIALES",B178="141 - AREQUIPE","DERIVADOS",B178="142 - MERMELADA","DERIVADOS",B178="131 - GALLETAS AVENA","DERIVADOS",B178="160 - SOUVENIR","OTROS",B178="148 - CARAMELOS","DERIVADOS",B178="143 - CHOCOFFES","DERIVADOS",B178="162 - CONVENIOS Y DSC POS ","OTROS"),"OTROS")</f>
        <v>GOURMET</v>
      </c>
      <c r="L178" s="27">
        <f t="shared" si="16"/>
        <v>126524</v>
      </c>
      <c r="M178" s="27">
        <f t="shared" si="17"/>
        <v>126524</v>
      </c>
    </row>
    <row r="179" spans="1:13" ht="16.5" hidden="1" outlineLevel="1">
      <c r="A179" s="19" t="s">
        <v>53</v>
      </c>
      <c r="B179" s="56" t="s">
        <v>32</v>
      </c>
      <c r="C179" s="54">
        <f>SUM(C164:C178)</f>
        <v>36440776</v>
      </c>
      <c r="D179" s="54">
        <f>SUM(D164:D178)</f>
        <v>0</v>
      </c>
      <c r="E179" s="54">
        <f>SUM(E164:E178)</f>
        <v>0</v>
      </c>
      <c r="F179" s="54">
        <f>SUM(F164:F178)</f>
        <v>144914729.53999999</v>
      </c>
      <c r="G179" s="55">
        <f t="shared" si="19"/>
        <v>0.25146357527404734</v>
      </c>
      <c r="H179" s="23">
        <f t="shared" si="20"/>
        <v>0</v>
      </c>
      <c r="I179" s="24">
        <f t="shared" si="20"/>
        <v>0</v>
      </c>
      <c r="J179" s="32" t="str" cm="1">
        <f t="array" ref="J179">IFERROR(_xlfn.IFS(B179="044 - BLEND TRADICION","BLEND",B179="113 - CAFÉ GOURMET","GOURMET",B179="114 - CAFÉ CONSUMO","CONSUMO",B179="112 - CAFÉ ORGANICO","GOURMET",B179="172 - CAFÉ COSECHA","ESPECIALES",B179="176 - CAFE DESCAFEINADO","GOURMET",B179="147 - CAPSULAS","CAPSULAS",B179="130 - GALLETAS CAFECITAS","DERIVADOS",B179="140 - MERENGUES","DERIVADOS",B179="100 - CAFÉ ESPECIAL","ESPECIALES",B179="141 - AREQUIPE","DERIVADOS",B179="142 - MERMELADA","DERIVADOS",B179="131 - GALLETAS AVENA","DERIVADOS",B179="160 - SOUVENIR","OTROS",B179="148 - CARAMELOS","DERIVADOS",B179="143 - CHOCOFFES","DERIVADOS",B179="162 - CONVENIOS Y DSC POS ","OTROS"),"OTROS")</f>
        <v>OTROS</v>
      </c>
      <c r="L179" s="27">
        <f t="shared" si="16"/>
        <v>36440776</v>
      </c>
      <c r="M179" s="27">
        <f t="shared" si="17"/>
        <v>36440776</v>
      </c>
    </row>
    <row r="180" spans="1:13" ht="16.5" hidden="1" outlineLevel="1">
      <c r="A180" s="33"/>
      <c r="B180" s="39" t="s">
        <v>42</v>
      </c>
      <c r="C180" s="36">
        <v>40584</v>
      </c>
      <c r="D180" s="36">
        <v>0</v>
      </c>
      <c r="E180" s="36">
        <v>0</v>
      </c>
      <c r="F180" s="36">
        <v>0</v>
      </c>
      <c r="G180" s="37" t="str">
        <f t="shared" si="19"/>
        <v>-</v>
      </c>
      <c r="H180" s="23">
        <f t="shared" si="20"/>
        <v>0</v>
      </c>
      <c r="I180" s="24">
        <f t="shared" si="20"/>
        <v>0</v>
      </c>
      <c r="J180" s="32" t="str" cm="1">
        <f t="array" ref="J180">IFERROR(_xlfn.IFS(B180="044 - BLEND TRADICION","BLEND",B180="113 - CAFÉ GOURMET","GOURMET",B180="114 - CAFÉ CONSUMO","CONSUMO",B180="112 - CAFÉ ORGANICO","GOURMET",B180="172 - CAFÉ COSECHA","ESPECIALES",B180="176 - CAFE DESCAFEINADO","GOURMET",B180="147 - CAPSULAS","CAPSULAS",B180="130 - GALLETAS CAFECITAS","DERIVADOS",B180="140 - MERENGUES","DERIVADOS",B180="100 - CAFÉ ESPECIAL","ESPECIALES",B180="141 - AREQUIPE","DERIVADOS",B180="142 - MERMELADA","DERIVADOS",B180="131 - GALLETAS AVENA","DERIVADOS",B180="160 - SOUVENIR","OTROS",B180="148 - CARAMELOS","DERIVADOS",B180="143 - CHOCOFFES","DERIVADOS",B180="162 - CONVENIOS Y DSC POS ","OTROS"),"OTROS")</f>
        <v>OTROS</v>
      </c>
      <c r="L180" s="27">
        <f t="shared" si="16"/>
        <v>40584</v>
      </c>
      <c r="M180" s="27">
        <f t="shared" si="17"/>
        <v>40584</v>
      </c>
    </row>
    <row r="181" spans="1:13" ht="16.5" hidden="1" outlineLevel="1">
      <c r="A181" s="33"/>
      <c r="B181" s="39" t="s">
        <v>18</v>
      </c>
      <c r="C181" s="36">
        <v>4807196</v>
      </c>
      <c r="D181" s="36">
        <v>0</v>
      </c>
      <c r="E181" s="36"/>
      <c r="F181" s="36">
        <v>10236889.550000001</v>
      </c>
      <c r="G181" s="37">
        <f t="shared" si="19"/>
        <v>0.46959537626348619</v>
      </c>
      <c r="H181" s="23">
        <f t="shared" si="20"/>
        <v>0</v>
      </c>
      <c r="I181" s="24">
        <f t="shared" si="20"/>
        <v>0</v>
      </c>
      <c r="J181" s="32" t="str" cm="1">
        <f t="array" ref="J181">IFERROR(_xlfn.IFS(B181="044 - BLEND TRADICION","BLEND",B181="113 - CAFÉ GOURMET","GOURMET",B181="114 - CAFÉ CONSUMO","CONSUMO",B181="112 - CAFÉ ORGANICO","GOURMET",B181="172 - CAFÉ COSECHA","ESPECIALES",B181="176 - CAFE DESCAFEINADO","GOURMET",B181="147 - CAPSULAS","CAPSULAS",B181="130 - GALLETAS CAFECITAS","DERIVADOS",B181="140 - MERENGUES","DERIVADOS",B181="100 - CAFÉ ESPECIAL","ESPECIALES",B181="141 - AREQUIPE","DERIVADOS",B181="142 - MERMELADA","DERIVADOS",B181="131 - GALLETAS AVENA","DERIVADOS",B181="160 - SOUVENIR","OTROS",B181="148 - CARAMELOS","DERIVADOS",B181="143 - CHOCOFFES","DERIVADOS",B181="162 - CONVENIOS Y DSC POS ","OTROS"),"OTROS")</f>
        <v>BLEND</v>
      </c>
      <c r="L181" s="27">
        <f t="shared" si="16"/>
        <v>4807196</v>
      </c>
      <c r="M181" s="27">
        <f t="shared" si="17"/>
        <v>4807196</v>
      </c>
    </row>
    <row r="182" spans="1:13" ht="16.5" hidden="1" outlineLevel="1">
      <c r="A182" s="38"/>
      <c r="B182" s="39" t="s">
        <v>19</v>
      </c>
      <c r="C182" s="36">
        <v>2994013</v>
      </c>
      <c r="D182" s="36">
        <v>0</v>
      </c>
      <c r="E182" s="36">
        <v>0</v>
      </c>
      <c r="F182" s="36">
        <v>6016526.7400000002</v>
      </c>
      <c r="G182" s="37">
        <f t="shared" si="19"/>
        <v>0.49763146236760514</v>
      </c>
      <c r="H182" s="23">
        <f t="shared" si="20"/>
        <v>0</v>
      </c>
      <c r="I182" s="24">
        <f t="shared" si="20"/>
        <v>0</v>
      </c>
      <c r="J182" s="32" t="str" cm="1">
        <f t="array" ref="J182">IFERROR(_xlfn.IFS(B182="044 - BLEND TRADICION","BLEND",B182="113 - CAFÉ GOURMET","GOURMET",B182="114 - CAFÉ CONSUMO","CONSUMO",B182="112 - CAFÉ ORGANICO","GOURMET",B182="172 - CAFÉ COSECHA","ESPECIALES",B182="176 - CAFE DESCAFEINADO","GOURMET",B182="147 - CAPSULAS","CAPSULAS",B182="130 - GALLETAS CAFECITAS","DERIVADOS",B182="140 - MERENGUES","DERIVADOS",B182="100 - CAFÉ ESPECIAL","ESPECIALES",B182="141 - AREQUIPE","DERIVADOS",B182="142 - MERMELADA","DERIVADOS",B182="131 - GALLETAS AVENA","DERIVADOS",B182="160 - SOUVENIR","OTROS",B182="148 - CARAMELOS","DERIVADOS",B182="143 - CHOCOFFES","DERIVADOS",B182="162 - CONVENIOS Y DSC POS ","OTROS"),"OTROS")</f>
        <v>ESPECIALES</v>
      </c>
      <c r="L182" s="27">
        <f t="shared" si="16"/>
        <v>2994013</v>
      </c>
      <c r="M182" s="27">
        <f t="shared" si="17"/>
        <v>2994013</v>
      </c>
    </row>
    <row r="183" spans="1:13" ht="16.5" hidden="1" outlineLevel="1">
      <c r="A183" s="38"/>
      <c r="B183" s="39" t="s">
        <v>20</v>
      </c>
      <c r="C183" s="36">
        <v>842618</v>
      </c>
      <c r="D183" s="36">
        <v>0</v>
      </c>
      <c r="E183" s="36">
        <v>0</v>
      </c>
      <c r="F183" s="36">
        <v>1636189.73</v>
      </c>
      <c r="G183" s="37">
        <f t="shared" si="19"/>
        <v>0.51498795313915091</v>
      </c>
      <c r="H183" s="23">
        <f t="shared" si="20"/>
        <v>0</v>
      </c>
      <c r="I183" s="24">
        <f t="shared" si="20"/>
        <v>0</v>
      </c>
      <c r="J183" s="32" t="str" cm="1">
        <f t="array" ref="J183">IFERROR(_xlfn.IFS(B183="044 - BLEND TRADICION","BLEND",B183="113 - CAFÉ GOURMET","GOURMET",B183="114 - CAFÉ CONSUMO","CONSUMO",B183="112 - CAFÉ ORGANICO","GOURMET",B183="172 - CAFÉ COSECHA","ESPECIALES",B183="176 - CAFE DESCAFEINADO","GOURMET",B183="147 - CAPSULAS","CAPSULAS",B183="130 - GALLETAS CAFECITAS","DERIVADOS",B183="140 - MERENGUES","DERIVADOS",B183="100 - CAFÉ ESPECIAL","ESPECIALES",B183="141 - AREQUIPE","DERIVADOS",B183="142 - MERMELADA","DERIVADOS",B183="131 - GALLETAS AVENA","DERIVADOS",B183="160 - SOUVENIR","OTROS",B183="148 - CARAMELOS","DERIVADOS",B183="143 - CHOCOFFES","DERIVADOS",B183="162 - CONVENIOS Y DSC POS ","OTROS"),"OTROS")</f>
        <v>GOURMET</v>
      </c>
      <c r="L183" s="27">
        <f t="shared" si="16"/>
        <v>842618</v>
      </c>
      <c r="M183" s="27">
        <f t="shared" si="17"/>
        <v>842618</v>
      </c>
    </row>
    <row r="184" spans="1:13" ht="16.5" hidden="1" outlineLevel="1">
      <c r="A184" s="38"/>
      <c r="B184" s="39" t="s">
        <v>21</v>
      </c>
      <c r="C184" s="36">
        <v>31073876</v>
      </c>
      <c r="D184" s="36">
        <v>0</v>
      </c>
      <c r="E184" s="36"/>
      <c r="F184" s="36">
        <v>64517931.119999997</v>
      </c>
      <c r="G184" s="37">
        <f t="shared" si="19"/>
        <v>0.48163162489206612</v>
      </c>
      <c r="H184" s="23">
        <f t="shared" si="20"/>
        <v>0</v>
      </c>
      <c r="I184" s="24">
        <f t="shared" si="20"/>
        <v>0</v>
      </c>
      <c r="J184" s="32" t="str" cm="1">
        <f t="array" ref="J184">IFERROR(_xlfn.IFS(B184="044 - BLEND TRADICION","BLEND",B184="113 - CAFÉ GOURMET","GOURMET",B184="114 - CAFÉ CONSUMO","CONSUMO",B184="112 - CAFÉ ORGANICO","GOURMET",B184="172 - CAFÉ COSECHA","ESPECIALES",B184="176 - CAFE DESCAFEINADO","GOURMET",B184="147 - CAPSULAS","CAPSULAS",B184="130 - GALLETAS CAFECITAS","DERIVADOS",B184="140 - MERENGUES","DERIVADOS",B184="100 - CAFÉ ESPECIAL","ESPECIALES",B184="141 - AREQUIPE","DERIVADOS",B184="142 - MERMELADA","DERIVADOS",B184="131 - GALLETAS AVENA","DERIVADOS",B184="160 - SOUVENIR","OTROS",B184="148 - CARAMELOS","DERIVADOS",B184="143 - CHOCOFFES","DERIVADOS",B184="162 - CONVENIOS Y DSC POS ","OTROS"),"OTROS")</f>
        <v>GOURMET</v>
      </c>
      <c r="L184" s="27">
        <f t="shared" si="16"/>
        <v>31073876</v>
      </c>
      <c r="M184" s="27">
        <f t="shared" si="17"/>
        <v>31073876</v>
      </c>
    </row>
    <row r="185" spans="1:13" ht="16.5" hidden="1" outlineLevel="1">
      <c r="A185" s="38"/>
      <c r="B185" s="39" t="s">
        <v>38</v>
      </c>
      <c r="C185" s="36">
        <v>5753633</v>
      </c>
      <c r="D185" s="36">
        <v>0</v>
      </c>
      <c r="E185" s="36"/>
      <c r="F185" s="36">
        <v>9597044.6699999999</v>
      </c>
      <c r="G185" s="37">
        <f t="shared" si="19"/>
        <v>0.5995213316017628</v>
      </c>
      <c r="H185" s="23">
        <f t="shared" si="20"/>
        <v>0</v>
      </c>
      <c r="I185" s="24">
        <f t="shared" si="20"/>
        <v>0</v>
      </c>
      <c r="J185" s="32" t="str" cm="1">
        <f t="array" ref="J185">IFERROR(_xlfn.IFS(B185="044 - BLEND TRADICION","BLEND",B185="113 - CAFÉ GOURMET","GOURMET",B185="114 - CAFÉ CONSUMO","CONSUMO",B185="112 - CAFÉ ORGANICO","GOURMET",B185="172 - CAFÉ COSECHA","ESPECIALES",B185="176 - CAFE DESCAFEINADO","GOURMET",B185="147 - CAPSULAS","CAPSULAS",B185="130 - GALLETAS CAFECITAS","DERIVADOS",B185="140 - MERENGUES","DERIVADOS",B185="100 - CAFÉ ESPECIAL","ESPECIALES",B185="141 - AREQUIPE","DERIVADOS",B185="142 - MERMELADA","DERIVADOS",B185="131 - GALLETAS AVENA","DERIVADOS",B185="160 - SOUVENIR","OTROS",B185="148 - CARAMELOS","DERIVADOS",B185="143 - CHOCOFFES","DERIVADOS",B185="162 - CONVENIOS Y DSC POS ","OTROS"),"OTROS")</f>
        <v>CONSUMO</v>
      </c>
      <c r="L185" s="27">
        <f t="shared" si="16"/>
        <v>5753633</v>
      </c>
      <c r="M185" s="27">
        <f t="shared" si="17"/>
        <v>5753633</v>
      </c>
    </row>
    <row r="186" spans="1:13" ht="16.5" hidden="1" outlineLevel="1">
      <c r="A186" s="38"/>
      <c r="B186" s="39" t="s">
        <v>22</v>
      </c>
      <c r="C186" s="36">
        <v>8820620</v>
      </c>
      <c r="D186" s="36">
        <v>-85117</v>
      </c>
      <c r="E186" s="36"/>
      <c r="F186" s="36">
        <v>25972256.75</v>
      </c>
      <c r="G186" s="37">
        <f t="shared" si="19"/>
        <v>0.33961700305461517</v>
      </c>
      <c r="H186" s="23">
        <f t="shared" si="20"/>
        <v>-9.5575470059356127E-3</v>
      </c>
      <c r="I186" s="24">
        <f t="shared" si="20"/>
        <v>0</v>
      </c>
      <c r="J186" s="32" t="str" cm="1">
        <f t="array" ref="J186">IFERROR(_xlfn.IFS(B186="044 - BLEND TRADICION","BLEND",B186="113 - CAFÉ GOURMET","GOURMET",B186="114 - CAFÉ CONSUMO","CONSUMO",B186="112 - CAFÉ ORGANICO","GOURMET",B186="172 - CAFÉ COSECHA","ESPECIALES",B186="176 - CAFE DESCAFEINADO","GOURMET",B186="147 - CAPSULAS","CAPSULAS",B186="130 - GALLETAS CAFECITAS","DERIVADOS",B186="140 - MERENGUES","DERIVADOS",B186="100 - CAFÉ ESPECIAL","ESPECIALES",B186="141 - AREQUIPE","DERIVADOS",B186="142 - MERMELADA","DERIVADOS",B186="131 - GALLETAS AVENA","DERIVADOS",B186="160 - SOUVENIR","OTROS",B186="148 - CARAMELOS","DERIVADOS",B186="143 - CHOCOFFES","DERIVADOS",B186="162 - CONVENIOS Y DSC POS ","OTROS"),"OTROS")</f>
        <v>DERIVADOS</v>
      </c>
      <c r="L186" s="27">
        <f t="shared" si="16"/>
        <v>8905737</v>
      </c>
      <c r="M186" s="27">
        <f t="shared" si="17"/>
        <v>8905737</v>
      </c>
    </row>
    <row r="187" spans="1:13" ht="16.5" hidden="1" outlineLevel="1">
      <c r="A187" s="38"/>
      <c r="B187" s="39" t="s">
        <v>24</v>
      </c>
      <c r="C187" s="36">
        <v>989878</v>
      </c>
      <c r="D187" s="36">
        <v>0</v>
      </c>
      <c r="E187" s="36"/>
      <c r="F187" s="36">
        <v>2464599.98</v>
      </c>
      <c r="G187" s="37">
        <f t="shared" si="19"/>
        <v>0.40163840299958131</v>
      </c>
      <c r="H187" s="23">
        <f t="shared" si="20"/>
        <v>0</v>
      </c>
      <c r="I187" s="24">
        <f t="shared" si="20"/>
        <v>0</v>
      </c>
      <c r="J187" s="32" t="str" cm="1">
        <f t="array" ref="J187">IFERROR(_xlfn.IFS(B187="044 - BLEND TRADICION","BLEND",B187="113 - CAFÉ GOURMET","GOURMET",B187="114 - CAFÉ CONSUMO","CONSUMO",B187="112 - CAFÉ ORGANICO","GOURMET",B187="172 - CAFÉ COSECHA","ESPECIALES",B187="176 - CAFE DESCAFEINADO","GOURMET",B187="147 - CAPSULAS","CAPSULAS",B187="130 - GALLETAS CAFECITAS","DERIVADOS",B187="140 - MERENGUES","DERIVADOS",B187="100 - CAFÉ ESPECIAL","ESPECIALES",B187="141 - AREQUIPE","DERIVADOS",B187="142 - MERMELADA","DERIVADOS",B187="131 - GALLETAS AVENA","DERIVADOS",B187="160 - SOUVENIR","OTROS",B187="148 - CARAMELOS","DERIVADOS",B187="143 - CHOCOFFES","DERIVADOS",B187="162 - CONVENIOS Y DSC POS ","OTROS"),"OTROS")</f>
        <v>DERIVADOS</v>
      </c>
      <c r="L187" s="27">
        <f t="shared" si="16"/>
        <v>989878</v>
      </c>
      <c r="M187" s="27">
        <f t="shared" si="17"/>
        <v>989878</v>
      </c>
    </row>
    <row r="188" spans="1:13" ht="16.5" hidden="1" outlineLevel="1">
      <c r="A188" s="38"/>
      <c r="B188" s="39" t="s">
        <v>25</v>
      </c>
      <c r="C188" s="36">
        <v>4517872</v>
      </c>
      <c r="D188" s="36">
        <v>-34401</v>
      </c>
      <c r="E188" s="36"/>
      <c r="F188" s="36">
        <v>12421685.26</v>
      </c>
      <c r="G188" s="37">
        <f t="shared" si="19"/>
        <v>0.36370845867012414</v>
      </c>
      <c r="H188" s="23">
        <f t="shared" si="20"/>
        <v>-7.5568842202565619E-3</v>
      </c>
      <c r="I188" s="24">
        <f t="shared" si="20"/>
        <v>0</v>
      </c>
      <c r="J188" s="32" t="str" cm="1">
        <f t="array" ref="J188">IFERROR(_xlfn.IFS(B188="044 - BLEND TRADICION","BLEND",B188="113 - CAFÉ GOURMET","GOURMET",B188="114 - CAFÉ CONSUMO","CONSUMO",B188="112 - CAFÉ ORGANICO","GOURMET",B188="172 - CAFÉ COSECHA","ESPECIALES",B188="176 - CAFE DESCAFEINADO","GOURMET",B188="147 - CAPSULAS","CAPSULAS",B188="130 - GALLETAS CAFECITAS","DERIVADOS",B188="140 - MERENGUES","DERIVADOS",B188="100 - CAFÉ ESPECIAL","ESPECIALES",B188="141 - AREQUIPE","DERIVADOS",B188="142 - MERMELADA","DERIVADOS",B188="131 - GALLETAS AVENA","DERIVADOS",B188="160 - SOUVENIR","OTROS",B188="148 - CARAMELOS","DERIVADOS",B188="143 - CHOCOFFES","DERIVADOS",B188="162 - CONVENIOS Y DSC POS ","OTROS"),"OTROS")</f>
        <v>DERIVADOS</v>
      </c>
      <c r="L188" s="27">
        <f t="shared" si="16"/>
        <v>4552273</v>
      </c>
      <c r="M188" s="27">
        <f t="shared" si="17"/>
        <v>4552273</v>
      </c>
    </row>
    <row r="189" spans="1:13" ht="16.5" hidden="1" outlineLevel="1">
      <c r="A189" s="38"/>
      <c r="B189" s="39" t="s">
        <v>26</v>
      </c>
      <c r="C189" s="36">
        <v>670016</v>
      </c>
      <c r="D189" s="36">
        <v>0</v>
      </c>
      <c r="E189" s="36"/>
      <c r="F189" s="36">
        <v>2257638.58</v>
      </c>
      <c r="G189" s="37">
        <f t="shared" si="19"/>
        <v>0.29677735220134305</v>
      </c>
      <c r="H189" s="23">
        <f t="shared" si="20"/>
        <v>0</v>
      </c>
      <c r="I189" s="24">
        <f t="shared" si="20"/>
        <v>0</v>
      </c>
      <c r="J189" s="32" t="str" cm="1">
        <f t="array" ref="J189">IFERROR(_xlfn.IFS(B189="044 - BLEND TRADICION","BLEND",B189="113 - CAFÉ GOURMET","GOURMET",B189="114 - CAFÉ CONSUMO","CONSUMO",B189="112 - CAFÉ ORGANICO","GOURMET",B189="172 - CAFÉ COSECHA","ESPECIALES",B189="176 - CAFE DESCAFEINADO","GOURMET",B189="147 - CAPSULAS","CAPSULAS",B189="130 - GALLETAS CAFECITAS","DERIVADOS",B189="140 - MERENGUES","DERIVADOS",B189="100 - CAFÉ ESPECIAL","ESPECIALES",B189="141 - AREQUIPE","DERIVADOS",B189="142 - MERMELADA","DERIVADOS",B189="131 - GALLETAS AVENA","DERIVADOS",B189="160 - SOUVENIR","OTROS",B189="148 - CARAMELOS","DERIVADOS",B189="143 - CHOCOFFES","DERIVADOS",B189="162 - CONVENIOS Y DSC POS ","OTROS"),"OTROS")</f>
        <v>CAPSULAS</v>
      </c>
      <c r="L189" s="27">
        <f t="shared" si="16"/>
        <v>670016</v>
      </c>
      <c r="M189" s="27">
        <f t="shared" si="17"/>
        <v>670016</v>
      </c>
    </row>
    <row r="190" spans="1:13" ht="16.5" hidden="1" outlineLevel="1">
      <c r="A190" s="38"/>
      <c r="B190" s="39" t="s">
        <v>27</v>
      </c>
      <c r="C190" s="36">
        <v>7363642</v>
      </c>
      <c r="D190" s="36">
        <v>0</v>
      </c>
      <c r="E190" s="36"/>
      <c r="F190" s="36">
        <v>20712565.039999999</v>
      </c>
      <c r="G190" s="37">
        <f t="shared" si="19"/>
        <v>0.35551569715191589</v>
      </c>
      <c r="H190" s="23">
        <f t="shared" si="20"/>
        <v>0</v>
      </c>
      <c r="I190" s="24">
        <f t="shared" si="20"/>
        <v>0</v>
      </c>
      <c r="J190" s="32" t="str" cm="1">
        <f t="array" ref="J190">IFERROR(_xlfn.IFS(B190="044 - BLEND TRADICION","BLEND",B190="113 - CAFÉ GOURMET","GOURMET",B190="114 - CAFÉ CONSUMO","CONSUMO",B190="112 - CAFÉ ORGANICO","GOURMET",B190="172 - CAFÉ COSECHA","ESPECIALES",B190="176 - CAFE DESCAFEINADO","GOURMET",B190="147 - CAPSULAS","CAPSULAS",B190="130 - GALLETAS CAFECITAS","DERIVADOS",B190="140 - MERENGUES","DERIVADOS",B190="100 - CAFÉ ESPECIAL","ESPECIALES",B190="141 - AREQUIPE","DERIVADOS",B190="142 - MERMELADA","DERIVADOS",B190="131 - GALLETAS AVENA","DERIVADOS",B190="160 - SOUVENIR","OTROS",B190="148 - CARAMELOS","DERIVADOS",B190="143 - CHOCOFFES","DERIVADOS",B190="162 - CONVENIOS Y DSC POS ","OTROS"),"OTROS")</f>
        <v>DERIVADOS</v>
      </c>
      <c r="L190" s="27">
        <f t="shared" si="16"/>
        <v>7363642</v>
      </c>
      <c r="M190" s="27">
        <f t="shared" si="17"/>
        <v>7363642</v>
      </c>
    </row>
    <row r="191" spans="1:13" ht="16.5" hidden="1" outlineLevel="1">
      <c r="A191" s="38"/>
      <c r="B191" s="39" t="s">
        <v>28</v>
      </c>
      <c r="C191" s="36">
        <v>3797225</v>
      </c>
      <c r="D191" s="36">
        <v>0</v>
      </c>
      <c r="E191" s="36"/>
      <c r="F191" s="36">
        <v>14886549.630000001</v>
      </c>
      <c r="G191" s="37">
        <f t="shared" si="19"/>
        <v>0.25507757636112482</v>
      </c>
      <c r="H191" s="23">
        <f t="shared" si="20"/>
        <v>0</v>
      </c>
      <c r="I191" s="24">
        <f t="shared" si="20"/>
        <v>0</v>
      </c>
      <c r="J191" s="32" t="str" cm="1">
        <f t="array" ref="J191">IFERROR(_xlfn.IFS(B191="044 - BLEND TRADICION","BLEND",B191="113 - CAFÉ GOURMET","GOURMET",B191="114 - CAFÉ CONSUMO","CONSUMO",B191="112 - CAFÉ ORGANICO","GOURMET",B191="172 - CAFÉ COSECHA","ESPECIALES",B191="176 - CAFE DESCAFEINADO","GOURMET",B191="147 - CAPSULAS","CAPSULAS",B191="130 - GALLETAS CAFECITAS","DERIVADOS",B191="140 - MERENGUES","DERIVADOS",B191="100 - CAFÉ ESPECIAL","ESPECIALES",B191="141 - AREQUIPE","DERIVADOS",B191="142 - MERMELADA","DERIVADOS",B191="131 - GALLETAS AVENA","DERIVADOS",B191="160 - SOUVENIR","OTROS",B191="148 - CARAMELOS","DERIVADOS",B191="143 - CHOCOFFES","DERIVADOS",B191="162 - CONVENIOS Y DSC POS ","OTROS"),"OTROS")</f>
        <v>OTROS</v>
      </c>
      <c r="L191" s="27">
        <f t="shared" si="16"/>
        <v>3797225</v>
      </c>
      <c r="M191" s="27">
        <f t="shared" si="17"/>
        <v>3797225</v>
      </c>
    </row>
    <row r="192" spans="1:13" ht="16.5" hidden="1" outlineLevel="1">
      <c r="A192" s="38"/>
      <c r="B192" s="39" t="s">
        <v>29</v>
      </c>
      <c r="C192" s="36">
        <v>2760914</v>
      </c>
      <c r="D192" s="36">
        <v>0</v>
      </c>
      <c r="E192" s="36"/>
      <c r="F192" s="36">
        <v>8209679.5599999996</v>
      </c>
      <c r="G192" s="37">
        <f t="shared" si="19"/>
        <v>0.33629984944260116</v>
      </c>
      <c r="H192" s="23">
        <f t="shared" si="20"/>
        <v>0</v>
      </c>
      <c r="I192" s="24">
        <f t="shared" si="20"/>
        <v>0</v>
      </c>
      <c r="J192" s="32" t="str" cm="1">
        <f t="array" ref="J192">IFERROR(_xlfn.IFS(B192="044 - BLEND TRADICION","BLEND",B192="113 - CAFÉ GOURMET","GOURMET",B192="114 - CAFÉ CONSUMO","CONSUMO",B192="112 - CAFÉ ORGANICO","GOURMET",B192="172 - CAFÉ COSECHA","ESPECIALES",B192="176 - CAFE DESCAFEINADO","GOURMET",B192="147 - CAPSULAS","CAPSULAS",B192="130 - GALLETAS CAFECITAS","DERIVADOS",B192="140 - MERENGUES","DERIVADOS",B192="100 - CAFÉ ESPECIAL","ESPECIALES",B192="141 - AREQUIPE","DERIVADOS",B192="142 - MERMELADA","DERIVADOS",B192="131 - GALLETAS AVENA","DERIVADOS",B192="160 - SOUVENIR","OTROS",B192="148 - CARAMELOS","DERIVADOS",B192="143 - CHOCOFFES","DERIVADOS",B192="162 - CONVENIOS Y DSC POS ","OTROS"),"OTROS")</f>
        <v>ESPECIALES</v>
      </c>
      <c r="L192" s="27">
        <f t="shared" si="16"/>
        <v>2760914</v>
      </c>
      <c r="M192" s="27">
        <f t="shared" si="17"/>
        <v>2760914</v>
      </c>
    </row>
    <row r="193" spans="1:13" ht="16.5" hidden="1" outlineLevel="1">
      <c r="A193" s="38"/>
      <c r="B193" s="39" t="s">
        <v>30</v>
      </c>
      <c r="C193" s="36">
        <v>363124</v>
      </c>
      <c r="D193" s="36">
        <v>0</v>
      </c>
      <c r="E193" s="36"/>
      <c r="F193" s="36">
        <v>1016149.79</v>
      </c>
      <c r="G193" s="37">
        <f t="shared" si="19"/>
        <v>0.35735282688982301</v>
      </c>
      <c r="H193" s="23">
        <f t="shared" ref="H193:I250" si="21">IFERROR(+D193/L193*100%,0)</f>
        <v>0</v>
      </c>
      <c r="I193" s="24">
        <f t="shared" si="21"/>
        <v>0</v>
      </c>
      <c r="J193" s="32" t="str" cm="1">
        <f t="array" ref="J193">IFERROR(_xlfn.IFS(B193="044 - BLEND TRADICION","BLEND",B193="113 - CAFÉ GOURMET","GOURMET",B193="114 - CAFÉ CONSUMO","CONSUMO",B193="112 - CAFÉ ORGANICO","GOURMET",B193="172 - CAFÉ COSECHA","ESPECIALES",B193="176 - CAFE DESCAFEINADO","GOURMET",B193="147 - CAPSULAS","CAPSULAS",B193="130 - GALLETAS CAFECITAS","DERIVADOS",B193="140 - MERENGUES","DERIVADOS",B193="100 - CAFÉ ESPECIAL","ESPECIALES",B193="141 - AREQUIPE","DERIVADOS",B193="142 - MERMELADA","DERIVADOS",B193="131 - GALLETAS AVENA","DERIVADOS",B193="160 - SOUVENIR","OTROS",B193="148 - CARAMELOS","DERIVADOS",B193="143 - CHOCOFFES","DERIVADOS",B193="162 - CONVENIOS Y DSC POS ","OTROS"),"OTROS")</f>
        <v>GOURMET</v>
      </c>
      <c r="L193" s="27">
        <f t="shared" si="16"/>
        <v>363124</v>
      </c>
      <c r="M193" s="27">
        <f t="shared" si="17"/>
        <v>363124</v>
      </c>
    </row>
    <row r="194" spans="1:13" ht="16.5" hidden="1" outlineLevel="1">
      <c r="A194" s="19" t="s">
        <v>54</v>
      </c>
      <c r="B194" s="56" t="s">
        <v>32</v>
      </c>
      <c r="C194" s="54">
        <f>SUM(C180:C193)</f>
        <v>74795211</v>
      </c>
      <c r="D194" s="54">
        <f>SUM(D180:D193)</f>
        <v>-119518</v>
      </c>
      <c r="E194" s="54">
        <f>SUM(E180:E193)</f>
        <v>0</v>
      </c>
      <c r="F194" s="58">
        <f>SUM(F180:F193)</f>
        <v>179945706.40000001</v>
      </c>
      <c r="G194" s="55">
        <f t="shared" si="19"/>
        <v>0.4156543242756694</v>
      </c>
      <c r="H194" s="23">
        <f t="shared" si="21"/>
        <v>-1.5953872034963912E-3</v>
      </c>
      <c r="I194" s="24">
        <f t="shared" si="21"/>
        <v>0</v>
      </c>
      <c r="J194" s="32" t="str" cm="1">
        <f t="array" ref="J194">IFERROR(_xlfn.IFS(B194="044 - BLEND TRADICION","BLEND",B194="113 - CAFÉ GOURMET","GOURMET",B194="114 - CAFÉ CONSUMO","CONSUMO",B194="112 - CAFÉ ORGANICO","GOURMET",B194="172 - CAFÉ COSECHA","ESPECIALES",B194="176 - CAFE DESCAFEINADO","GOURMET",B194="147 - CAPSULAS","CAPSULAS",B194="130 - GALLETAS CAFECITAS","DERIVADOS",B194="140 - MERENGUES","DERIVADOS",B194="100 - CAFÉ ESPECIAL","ESPECIALES",B194="141 - AREQUIPE","DERIVADOS",B194="142 - MERMELADA","DERIVADOS",B194="131 - GALLETAS AVENA","DERIVADOS",B194="160 - SOUVENIR","OTROS",B194="148 - CARAMELOS","DERIVADOS",B194="143 - CHOCOFFES","DERIVADOS",B194="162 - CONVENIOS Y DSC POS ","OTROS"),"OTROS")</f>
        <v>OTROS</v>
      </c>
      <c r="L194" s="27">
        <f t="shared" si="16"/>
        <v>74914729</v>
      </c>
      <c r="M194" s="27">
        <f t="shared" si="17"/>
        <v>74914729</v>
      </c>
    </row>
    <row r="195" spans="1:13" ht="16.5" collapsed="1">
      <c r="A195" s="28" t="s">
        <v>55</v>
      </c>
      <c r="B195" s="29" t="s">
        <v>17</v>
      </c>
      <c r="C195" s="30">
        <f>+C210</f>
        <v>144270977</v>
      </c>
      <c r="D195" s="30">
        <f t="shared" ref="D195:E195" si="22">+D210</f>
        <v>-767946</v>
      </c>
      <c r="E195" s="30">
        <f t="shared" si="22"/>
        <v>0</v>
      </c>
      <c r="F195" s="30">
        <f>+F210</f>
        <v>251466278.25</v>
      </c>
      <c r="G195" s="31">
        <f t="shared" si="19"/>
        <v>0.57371898134417154</v>
      </c>
      <c r="H195" s="23">
        <f t="shared" si="21"/>
        <v>-5.2947580147158155E-3</v>
      </c>
      <c r="I195" s="24">
        <f t="shared" si="21"/>
        <v>0</v>
      </c>
      <c r="J195" s="32" t="str" cm="1">
        <f t="array" ref="J195">IFERROR(_xlfn.IFS(B195="044 - BLEND TRADICION","BLEND",B195="113 - CAFÉ GOURMET","GOURMET",B195="114 - CAFÉ CONSUMO","CONSUMO",B195="112 - CAFÉ ORGANICO","GOURMET",B195="172 - CAFÉ COSECHA","ESPECIALES",B195="176 - CAFE DESCAFEINADO","GOURMET",B195="147 - CAPSULAS","CAPSULAS",B195="130 - GALLETAS CAFECITAS","DERIVADOS",B195="140 - MERENGUES","DERIVADOS",B195="100 - CAFÉ ESPECIAL","ESPECIALES",B195="141 - AREQUIPE","DERIVADOS",B195="142 - MERMELADA","DERIVADOS",B195="131 - GALLETAS AVENA","DERIVADOS",B195="160 - SOUVENIR","OTROS",B195="148 - CARAMELOS","DERIVADOS",B195="143 - CHOCOFFES","DERIVADOS",B195="162 - CONVENIOS Y DSC POS ","OTROS"),"OTROS")</f>
        <v>OTROS</v>
      </c>
      <c r="L195" s="27">
        <f t="shared" si="16"/>
        <v>145038923</v>
      </c>
      <c r="M195" s="27">
        <f t="shared" si="17"/>
        <v>145038923</v>
      </c>
    </row>
    <row r="196" spans="1:13" ht="16.5" hidden="1" outlineLevel="1">
      <c r="A196" s="38"/>
      <c r="B196" s="39" t="s">
        <v>34</v>
      </c>
      <c r="C196" s="36">
        <v>2772654</v>
      </c>
      <c r="D196" s="36">
        <v>0</v>
      </c>
      <c r="E196" s="36">
        <v>0</v>
      </c>
      <c r="F196" s="36">
        <v>4405498.4400000004</v>
      </c>
      <c r="G196" s="37">
        <f t="shared" si="19"/>
        <v>0.62936215680512186</v>
      </c>
      <c r="H196" s="23">
        <f t="shared" si="21"/>
        <v>0</v>
      </c>
      <c r="I196" s="24">
        <f t="shared" si="21"/>
        <v>0</v>
      </c>
      <c r="J196" s="32" t="str" cm="1">
        <f t="array" ref="J196">IFERROR(_xlfn.IFS(B196="044 - BLEND TRADICION","BLEND",B196="113 - CAFÉ GOURMET","GOURMET",B196="114 - CAFÉ CONSUMO","CONSUMO",B196="112 - CAFÉ ORGANICO","GOURMET",B196="172 - CAFÉ COSECHA","ESPECIALES",B196="176 - CAFE DESCAFEINADO","GOURMET",B196="147 - CAPSULAS","CAPSULAS",B196="130 - GALLETAS CAFECITAS","DERIVADOS",B196="140 - MERENGUES","DERIVADOS",B196="100 - CAFÉ ESPECIAL","ESPECIALES",B196="141 - AREQUIPE","DERIVADOS",B196="142 - MERMELADA","DERIVADOS",B196="131 - GALLETAS AVENA","DERIVADOS",B196="160 - SOUVENIR","OTROS",B196="148 - CARAMELOS","DERIVADOS",B196="143 - CHOCOFFES","DERIVADOS",B196="162 - CONVENIOS Y DSC POS ","OTROS"),"OTROS")</f>
        <v>OTROS</v>
      </c>
      <c r="K196" s="62"/>
      <c r="L196" s="27">
        <f t="shared" si="16"/>
        <v>2772654</v>
      </c>
      <c r="M196" s="27">
        <f t="shared" si="17"/>
        <v>2772654</v>
      </c>
    </row>
    <row r="197" spans="1:13" ht="16.5" hidden="1" outlineLevel="1">
      <c r="A197" s="38"/>
      <c r="B197" s="39" t="s">
        <v>18</v>
      </c>
      <c r="C197" s="36">
        <v>523500</v>
      </c>
      <c r="D197" s="36">
        <v>0</v>
      </c>
      <c r="E197" s="36"/>
      <c r="F197" s="36">
        <v>1752263.11</v>
      </c>
      <c r="G197" s="37">
        <f t="shared" si="19"/>
        <v>0.29875650352531818</v>
      </c>
      <c r="H197" s="23">
        <f t="shared" si="21"/>
        <v>0</v>
      </c>
      <c r="I197" s="24">
        <f t="shared" si="21"/>
        <v>0</v>
      </c>
      <c r="J197" s="32" t="str" cm="1">
        <f t="array" ref="J197">IFERROR(_xlfn.IFS(B197="044 - BLEND TRADICION","BLEND",B197="113 - CAFÉ GOURMET","GOURMET",B197="114 - CAFÉ CONSUMO","CONSUMO",B197="112 - CAFÉ ORGANICO","GOURMET",B197="172 - CAFÉ COSECHA","ESPECIALES",B197="176 - CAFE DESCAFEINADO","GOURMET",B197="147 - CAPSULAS","CAPSULAS",B197="130 - GALLETAS CAFECITAS","DERIVADOS",B197="140 - MERENGUES","DERIVADOS",B197="100 - CAFÉ ESPECIAL","ESPECIALES",B197="141 - AREQUIPE","DERIVADOS",B197="142 - MERMELADA","DERIVADOS",B197="131 - GALLETAS AVENA","DERIVADOS",B197="160 - SOUVENIR","OTROS",B197="148 - CARAMELOS","DERIVADOS",B197="143 - CHOCOFFES","DERIVADOS",B197="162 - CONVENIOS Y DSC POS ","OTROS"),"OTROS")</f>
        <v>BLEND</v>
      </c>
      <c r="K197" s="62"/>
      <c r="L197" s="27">
        <f t="shared" si="16"/>
        <v>523500</v>
      </c>
      <c r="M197" s="27">
        <f t="shared" si="17"/>
        <v>523500</v>
      </c>
    </row>
    <row r="198" spans="1:13" ht="16.5" hidden="1" outlineLevel="1">
      <c r="A198" s="38"/>
      <c r="B198" s="39" t="s">
        <v>19</v>
      </c>
      <c r="C198" s="36">
        <v>3323573</v>
      </c>
      <c r="D198" s="36">
        <v>0</v>
      </c>
      <c r="E198" s="36"/>
      <c r="F198" s="36">
        <v>5187386.37</v>
      </c>
      <c r="G198" s="37">
        <f t="shared" si="19"/>
        <v>0.64070280540911395</v>
      </c>
      <c r="H198" s="23">
        <f t="shared" si="21"/>
        <v>0</v>
      </c>
      <c r="I198" s="24">
        <f t="shared" si="21"/>
        <v>0</v>
      </c>
      <c r="J198" s="32" t="str" cm="1">
        <f t="array" ref="J198">IFERROR(_xlfn.IFS(B198="044 - BLEND TRADICION","BLEND",B198="113 - CAFÉ GOURMET","GOURMET",B198="114 - CAFÉ CONSUMO","CONSUMO",B198="112 - CAFÉ ORGANICO","GOURMET",B198="172 - CAFÉ COSECHA","ESPECIALES",B198="176 - CAFE DESCAFEINADO","GOURMET",B198="147 - CAPSULAS","CAPSULAS",B198="130 - GALLETAS CAFECITAS","DERIVADOS",B198="140 - MERENGUES","DERIVADOS",B198="100 - CAFÉ ESPECIAL","ESPECIALES",B198="141 - AREQUIPE","DERIVADOS",B198="142 - MERMELADA","DERIVADOS",B198="131 - GALLETAS AVENA","DERIVADOS",B198="160 - SOUVENIR","OTROS",B198="148 - CARAMELOS","DERIVADOS",B198="143 - CHOCOFFES","DERIVADOS",B198="162 - CONVENIOS Y DSC POS ","OTROS"),"OTROS")</f>
        <v>ESPECIALES</v>
      </c>
      <c r="K198" s="62"/>
      <c r="L198" s="27">
        <f t="shared" si="16"/>
        <v>3323573</v>
      </c>
      <c r="M198" s="27">
        <f t="shared" si="17"/>
        <v>3323573</v>
      </c>
    </row>
    <row r="199" spans="1:13" ht="16.5" hidden="1" outlineLevel="1">
      <c r="A199" s="38"/>
      <c r="B199" s="39" t="s">
        <v>20</v>
      </c>
      <c r="C199" s="36">
        <v>4210289</v>
      </c>
      <c r="D199" s="36">
        <v>0</v>
      </c>
      <c r="E199" s="36"/>
      <c r="F199" s="36">
        <v>7440163.29</v>
      </c>
      <c r="G199" s="37">
        <f t="shared" si="19"/>
        <v>0.5658866392971329</v>
      </c>
      <c r="H199" s="23">
        <f t="shared" si="21"/>
        <v>0</v>
      </c>
      <c r="I199" s="24">
        <f t="shared" si="21"/>
        <v>0</v>
      </c>
      <c r="J199" s="32" t="str" cm="1">
        <f t="array" ref="J199">IFERROR(_xlfn.IFS(B199="044 - BLEND TRADICION","BLEND",B199="113 - CAFÉ GOURMET","GOURMET",B199="114 - CAFÉ CONSUMO","CONSUMO",B199="112 - CAFÉ ORGANICO","GOURMET",B199="172 - CAFÉ COSECHA","ESPECIALES",B199="176 - CAFE DESCAFEINADO","GOURMET",B199="147 - CAPSULAS","CAPSULAS",B199="130 - GALLETAS CAFECITAS","DERIVADOS",B199="140 - MERENGUES","DERIVADOS",B199="100 - CAFÉ ESPECIAL","ESPECIALES",B199="141 - AREQUIPE","DERIVADOS",B199="142 - MERMELADA","DERIVADOS",B199="131 - GALLETAS AVENA","DERIVADOS",B199="160 - SOUVENIR","OTROS",B199="148 - CARAMELOS","DERIVADOS",B199="143 - CHOCOFFES","DERIVADOS",B199="162 - CONVENIOS Y DSC POS ","OTROS"),"OTROS")</f>
        <v>GOURMET</v>
      </c>
      <c r="K199" s="62"/>
      <c r="L199" s="27">
        <f t="shared" si="16"/>
        <v>4210289</v>
      </c>
      <c r="M199" s="27">
        <f t="shared" si="17"/>
        <v>4210289</v>
      </c>
    </row>
    <row r="200" spans="1:13" ht="16.5" hidden="1" outlineLevel="1">
      <c r="A200" s="38"/>
      <c r="B200" s="39" t="s">
        <v>21</v>
      </c>
      <c r="C200" s="36">
        <v>78993735</v>
      </c>
      <c r="D200" s="36">
        <v>-654102</v>
      </c>
      <c r="E200" s="36"/>
      <c r="F200" s="36">
        <v>142013899.65000001</v>
      </c>
      <c r="G200" s="37">
        <f t="shared" si="19"/>
        <v>0.55623946102940491</v>
      </c>
      <c r="H200" s="23">
        <f t="shared" si="21"/>
        <v>-8.2124264090184893E-3</v>
      </c>
      <c r="I200" s="24">
        <f t="shared" si="21"/>
        <v>0</v>
      </c>
      <c r="J200" s="32" t="str" cm="1">
        <f t="array" ref="J200">IFERROR(_xlfn.IFS(B200="044 - BLEND TRADICION","BLEND",B200="113 - CAFÉ GOURMET","GOURMET",B200="114 - CAFÉ CONSUMO","CONSUMO",B200="112 - CAFÉ ORGANICO","GOURMET",B200="172 - CAFÉ COSECHA","ESPECIALES",B200="176 - CAFE DESCAFEINADO","GOURMET",B200="147 - CAPSULAS","CAPSULAS",B200="130 - GALLETAS CAFECITAS","DERIVADOS",B200="140 - MERENGUES","DERIVADOS",B200="100 - CAFÉ ESPECIAL","ESPECIALES",B200="141 - AREQUIPE","DERIVADOS",B200="142 - MERMELADA","DERIVADOS",B200="131 - GALLETAS AVENA","DERIVADOS",B200="160 - SOUVENIR","OTROS",B200="148 - CARAMELOS","DERIVADOS",B200="143 - CHOCOFFES","DERIVADOS",B200="162 - CONVENIOS Y DSC POS ","OTROS"),"OTROS")</f>
        <v>GOURMET</v>
      </c>
      <c r="K200" s="62"/>
      <c r="L200" s="27">
        <f t="shared" ref="L200:L240" si="23">C200-(D200+E200)</f>
        <v>79647837</v>
      </c>
      <c r="M200" s="27">
        <f t="shared" ref="M200:M250" si="24">L200</f>
        <v>79647837</v>
      </c>
    </row>
    <row r="201" spans="1:13" ht="16.5" hidden="1" outlineLevel="1">
      <c r="A201" s="38"/>
      <c r="B201" s="39" t="s">
        <v>22</v>
      </c>
      <c r="C201" s="36">
        <v>810177</v>
      </c>
      <c r="D201" s="36">
        <v>-113844</v>
      </c>
      <c r="E201" s="36"/>
      <c r="F201" s="36">
        <v>2033308.06</v>
      </c>
      <c r="G201" s="37">
        <f t="shared" si="19"/>
        <v>0.39845265748860503</v>
      </c>
      <c r="H201" s="23">
        <f t="shared" si="21"/>
        <v>-0.12320499209433552</v>
      </c>
      <c r="I201" s="24">
        <f t="shared" si="21"/>
        <v>0</v>
      </c>
      <c r="J201" s="32" t="str" cm="1">
        <f t="array" ref="J201">IFERROR(_xlfn.IFS(B201="044 - BLEND TRADICION","BLEND",B201="113 - CAFÉ GOURMET","GOURMET",B201="114 - CAFÉ CONSUMO","CONSUMO",B201="112 - CAFÉ ORGANICO","GOURMET",B201="172 - CAFÉ COSECHA","ESPECIALES",B201="176 - CAFE DESCAFEINADO","GOURMET",B201="147 - CAPSULAS","CAPSULAS",B201="130 - GALLETAS CAFECITAS","DERIVADOS",B201="140 - MERENGUES","DERIVADOS",B201="100 - CAFÉ ESPECIAL","ESPECIALES",B201="141 - AREQUIPE","DERIVADOS",B201="142 - MERMELADA","DERIVADOS",B201="131 - GALLETAS AVENA","DERIVADOS",B201="160 - SOUVENIR","OTROS",B201="148 - CARAMELOS","DERIVADOS",B201="143 - CHOCOFFES","DERIVADOS",B201="162 - CONVENIOS Y DSC POS ","OTROS"),"OTROS")</f>
        <v>DERIVADOS</v>
      </c>
      <c r="K201" s="62"/>
      <c r="L201" s="27">
        <f t="shared" si="23"/>
        <v>924021</v>
      </c>
      <c r="M201" s="27">
        <f t="shared" si="24"/>
        <v>924021</v>
      </c>
    </row>
    <row r="202" spans="1:13" ht="16.5" hidden="1" outlineLevel="1">
      <c r="A202" s="38"/>
      <c r="B202" s="39" t="s">
        <v>24</v>
      </c>
      <c r="C202" s="36">
        <v>0</v>
      </c>
      <c r="D202" s="36">
        <v>0</v>
      </c>
      <c r="E202" s="36"/>
      <c r="F202" s="36">
        <v>5794.52</v>
      </c>
      <c r="G202" s="37">
        <f t="shared" si="19"/>
        <v>0</v>
      </c>
      <c r="H202" s="23">
        <f t="shared" si="21"/>
        <v>0</v>
      </c>
      <c r="I202" s="24">
        <f t="shared" si="21"/>
        <v>0</v>
      </c>
      <c r="J202" s="32" t="str" cm="1">
        <f t="array" ref="J202">IFERROR(_xlfn.IFS(B202="044 - BLEND TRADICION","BLEND",B202="113 - CAFÉ GOURMET","GOURMET",B202="114 - CAFÉ CONSUMO","CONSUMO",B202="112 - CAFÉ ORGANICO","GOURMET",B202="172 - CAFÉ COSECHA","ESPECIALES",B202="176 - CAFE DESCAFEINADO","GOURMET",B202="147 - CAPSULAS","CAPSULAS",B202="130 - GALLETAS CAFECITAS","DERIVADOS",B202="140 - MERENGUES","DERIVADOS",B202="100 - CAFÉ ESPECIAL","ESPECIALES",B202="141 - AREQUIPE","DERIVADOS",B202="142 - MERMELADA","DERIVADOS",B202="131 - GALLETAS AVENA","DERIVADOS",B202="160 - SOUVENIR","OTROS",B202="148 - CARAMELOS","DERIVADOS",B202="143 - CHOCOFFES","DERIVADOS",B202="162 - CONVENIOS Y DSC POS ","OTROS"),"OTROS")</f>
        <v>DERIVADOS</v>
      </c>
      <c r="K202" s="62"/>
      <c r="L202" s="27">
        <f t="shared" si="23"/>
        <v>0</v>
      </c>
      <c r="M202" s="27">
        <f t="shared" si="24"/>
        <v>0</v>
      </c>
    </row>
    <row r="203" spans="1:13" ht="16.5" hidden="1" outlineLevel="1">
      <c r="A203" s="38"/>
      <c r="B203" s="39" t="s">
        <v>25</v>
      </c>
      <c r="C203" s="36">
        <v>1323511</v>
      </c>
      <c r="D203" s="36">
        <v>0</v>
      </c>
      <c r="E203" s="36"/>
      <c r="F203" s="36">
        <v>3644356.83</v>
      </c>
      <c r="G203" s="37">
        <f t="shared" si="19"/>
        <v>0.36316723683723362</v>
      </c>
      <c r="H203" s="23">
        <f t="shared" si="21"/>
        <v>0</v>
      </c>
      <c r="I203" s="24">
        <f t="shared" si="21"/>
        <v>0</v>
      </c>
      <c r="J203" s="32" t="str" cm="1">
        <f t="array" ref="J203">IFERROR(_xlfn.IFS(B203="044 - BLEND TRADICION","BLEND",B203="113 - CAFÉ GOURMET","GOURMET",B203="114 - CAFÉ CONSUMO","CONSUMO",B203="112 - CAFÉ ORGANICO","GOURMET",B203="172 - CAFÉ COSECHA","ESPECIALES",B203="176 - CAFE DESCAFEINADO","GOURMET",B203="147 - CAPSULAS","CAPSULAS",B203="130 - GALLETAS CAFECITAS","DERIVADOS",B203="140 - MERENGUES","DERIVADOS",B203="100 - CAFÉ ESPECIAL","ESPECIALES",B203="141 - AREQUIPE","DERIVADOS",B203="142 - MERMELADA","DERIVADOS",B203="131 - GALLETAS AVENA","DERIVADOS",B203="160 - SOUVENIR","OTROS",B203="148 - CARAMELOS","DERIVADOS",B203="143 - CHOCOFFES","DERIVADOS",B203="162 - CONVENIOS Y DSC POS ","OTROS"),"OTROS")</f>
        <v>DERIVADOS</v>
      </c>
      <c r="K203" s="62"/>
      <c r="L203" s="27">
        <f t="shared" si="23"/>
        <v>1323511</v>
      </c>
      <c r="M203" s="27">
        <f t="shared" si="24"/>
        <v>1323511</v>
      </c>
    </row>
    <row r="204" spans="1:13" ht="16.5" hidden="1" outlineLevel="1">
      <c r="A204" s="38"/>
      <c r="B204" s="39" t="s">
        <v>26</v>
      </c>
      <c r="C204" s="36">
        <v>42405579</v>
      </c>
      <c r="D204" s="36">
        <v>0</v>
      </c>
      <c r="E204" s="36"/>
      <c r="F204" s="36">
        <v>59490908.259999998</v>
      </c>
      <c r="G204" s="37">
        <f t="shared" si="19"/>
        <v>0.712807725420328</v>
      </c>
      <c r="H204" s="23">
        <f t="shared" si="21"/>
        <v>0</v>
      </c>
      <c r="I204" s="24">
        <f t="shared" si="21"/>
        <v>0</v>
      </c>
      <c r="J204" s="32" t="str" cm="1">
        <f t="array" ref="J204">IFERROR(_xlfn.IFS(B204="044 - BLEND TRADICION","BLEND",B204="113 - CAFÉ GOURMET","GOURMET",B204="114 - CAFÉ CONSUMO","CONSUMO",B204="112 - CAFÉ ORGANICO","GOURMET",B204="172 - CAFÉ COSECHA","ESPECIALES",B204="176 - CAFE DESCAFEINADO","GOURMET",B204="147 - CAPSULAS","CAPSULAS",B204="130 - GALLETAS CAFECITAS","DERIVADOS",B204="140 - MERENGUES","DERIVADOS",B204="100 - CAFÉ ESPECIAL","ESPECIALES",B204="141 - AREQUIPE","DERIVADOS",B204="142 - MERMELADA","DERIVADOS",B204="131 - GALLETAS AVENA","DERIVADOS",B204="160 - SOUVENIR","OTROS",B204="148 - CARAMELOS","DERIVADOS",B204="143 - CHOCOFFES","DERIVADOS",B204="162 - CONVENIOS Y DSC POS ","OTROS"),"OTROS")</f>
        <v>CAPSULAS</v>
      </c>
      <c r="K204" s="62"/>
      <c r="L204" s="27">
        <f t="shared" si="23"/>
        <v>42405579</v>
      </c>
      <c r="M204" s="27">
        <f t="shared" si="24"/>
        <v>42405579</v>
      </c>
    </row>
    <row r="205" spans="1:13" ht="16.5" hidden="1" outlineLevel="1">
      <c r="A205" s="38"/>
      <c r="B205" s="39" t="s">
        <v>27</v>
      </c>
      <c r="C205" s="36">
        <v>1242120</v>
      </c>
      <c r="D205" s="36">
        <v>0</v>
      </c>
      <c r="E205" s="36"/>
      <c r="F205" s="36">
        <v>3108564.42</v>
      </c>
      <c r="G205" s="37">
        <f t="shared" si="19"/>
        <v>0.39957994500882821</v>
      </c>
      <c r="H205" s="23">
        <f t="shared" si="21"/>
        <v>0</v>
      </c>
      <c r="I205" s="24">
        <f t="shared" si="21"/>
        <v>0</v>
      </c>
      <c r="J205" s="32" t="str" cm="1">
        <f t="array" ref="J205">IFERROR(_xlfn.IFS(B205="044 - BLEND TRADICION","BLEND",B205="113 - CAFÉ GOURMET","GOURMET",B205="114 - CAFÉ CONSUMO","CONSUMO",B205="112 - CAFÉ ORGANICO","GOURMET",B205="172 - CAFÉ COSECHA","ESPECIALES",B205="176 - CAFE DESCAFEINADO","GOURMET",B205="147 - CAPSULAS","CAPSULAS",B205="130 - GALLETAS CAFECITAS","DERIVADOS",B205="140 - MERENGUES","DERIVADOS",B205="100 - CAFÉ ESPECIAL","ESPECIALES",B205="141 - AREQUIPE","DERIVADOS",B205="142 - MERMELADA","DERIVADOS",B205="131 - GALLETAS AVENA","DERIVADOS",B205="160 - SOUVENIR","OTROS",B205="148 - CARAMELOS","DERIVADOS",B205="143 - CHOCOFFES","DERIVADOS",B205="162 - CONVENIOS Y DSC POS ","OTROS"),"OTROS")</f>
        <v>DERIVADOS</v>
      </c>
      <c r="K205" s="62"/>
      <c r="L205" s="27">
        <f t="shared" si="23"/>
        <v>1242120</v>
      </c>
      <c r="M205" s="27">
        <f t="shared" si="24"/>
        <v>1242120</v>
      </c>
    </row>
    <row r="206" spans="1:13" ht="16.5" hidden="1" outlineLevel="1">
      <c r="A206" s="38"/>
      <c r="B206" s="39" t="s">
        <v>28</v>
      </c>
      <c r="C206" s="36">
        <v>1506126</v>
      </c>
      <c r="D206" s="36">
        <v>0</v>
      </c>
      <c r="E206" s="36"/>
      <c r="F206" s="36">
        <v>7821246.9800000004</v>
      </c>
      <c r="G206" s="37">
        <f t="shared" si="19"/>
        <v>0.19256852569051591</v>
      </c>
      <c r="H206" s="23">
        <f t="shared" si="21"/>
        <v>0</v>
      </c>
      <c r="I206" s="24">
        <f t="shared" si="21"/>
        <v>0</v>
      </c>
      <c r="J206" s="32" t="str" cm="1">
        <f t="array" ref="J206">IFERROR(_xlfn.IFS(B206="044 - BLEND TRADICION","BLEND",B206="113 - CAFÉ GOURMET","GOURMET",B206="114 - CAFÉ CONSUMO","CONSUMO",B206="112 - CAFÉ ORGANICO","GOURMET",B206="172 - CAFÉ COSECHA","ESPECIALES",B206="176 - CAFE DESCAFEINADO","GOURMET",B206="147 - CAPSULAS","CAPSULAS",B206="130 - GALLETAS CAFECITAS","DERIVADOS",B206="140 - MERENGUES","DERIVADOS",B206="100 - CAFÉ ESPECIAL","ESPECIALES",B206="141 - AREQUIPE","DERIVADOS",B206="142 - MERMELADA","DERIVADOS",B206="131 - GALLETAS AVENA","DERIVADOS",B206="160 - SOUVENIR","OTROS",B206="148 - CARAMELOS","DERIVADOS",B206="143 - CHOCOFFES","DERIVADOS",B206="162 - CONVENIOS Y DSC POS ","OTROS"),"OTROS")</f>
        <v>OTROS</v>
      </c>
      <c r="K206" s="62"/>
      <c r="L206" s="27">
        <f t="shared" si="23"/>
        <v>1506126</v>
      </c>
      <c r="M206" s="27">
        <f t="shared" si="24"/>
        <v>1506126</v>
      </c>
    </row>
    <row r="207" spans="1:13" ht="16.5" hidden="1" outlineLevel="1">
      <c r="A207" s="38"/>
      <c r="B207" s="39" t="s">
        <v>29</v>
      </c>
      <c r="C207" s="36">
        <v>5287111</v>
      </c>
      <c r="D207" s="36">
        <v>0</v>
      </c>
      <c r="E207" s="36"/>
      <c r="F207" s="36">
        <v>12404965.970000001</v>
      </c>
      <c r="G207" s="37">
        <f t="shared" si="19"/>
        <v>0.42620923046353182</v>
      </c>
      <c r="H207" s="23">
        <f t="shared" si="21"/>
        <v>0</v>
      </c>
      <c r="I207" s="24">
        <f t="shared" si="21"/>
        <v>0</v>
      </c>
      <c r="J207" s="32" t="str" cm="1">
        <f t="array" ref="J207">IFERROR(_xlfn.IFS(B207="044 - BLEND TRADICION","BLEND",B207="113 - CAFÉ GOURMET","GOURMET",B207="114 - CAFÉ CONSUMO","CONSUMO",B207="112 - CAFÉ ORGANICO","GOURMET",B207="172 - CAFÉ COSECHA","ESPECIALES",B207="176 - CAFE DESCAFEINADO","GOURMET",B207="147 - CAPSULAS","CAPSULAS",B207="130 - GALLETAS CAFECITAS","DERIVADOS",B207="140 - MERENGUES","DERIVADOS",B207="100 - CAFÉ ESPECIAL","ESPECIALES",B207="141 - AREQUIPE","DERIVADOS",B207="142 - MERMELADA","DERIVADOS",B207="131 - GALLETAS AVENA","DERIVADOS",B207="160 - SOUVENIR","OTROS",B207="148 - CARAMELOS","DERIVADOS",B207="143 - CHOCOFFES","DERIVADOS",B207="162 - CONVENIOS Y DSC POS ","OTROS"),"OTROS")</f>
        <v>ESPECIALES</v>
      </c>
      <c r="K207" s="62"/>
      <c r="L207" s="27">
        <f t="shared" si="23"/>
        <v>5287111</v>
      </c>
      <c r="M207" s="27">
        <f t="shared" si="24"/>
        <v>5287111</v>
      </c>
    </row>
    <row r="208" spans="1:13" ht="16.5" hidden="1" outlineLevel="1">
      <c r="A208" s="38"/>
      <c r="B208" s="39" t="s">
        <v>30</v>
      </c>
      <c r="C208" s="36">
        <v>1834602</v>
      </c>
      <c r="D208" s="36">
        <v>0</v>
      </c>
      <c r="E208" s="36"/>
      <c r="F208" s="36">
        <v>2157922.35</v>
      </c>
      <c r="G208" s="37">
        <f t="shared" si="19"/>
        <v>0.8501705355616711</v>
      </c>
      <c r="H208" s="23">
        <f t="shared" si="21"/>
        <v>0</v>
      </c>
      <c r="I208" s="24">
        <f t="shared" si="21"/>
        <v>0</v>
      </c>
      <c r="J208" s="32" t="str" cm="1">
        <f t="array" ref="J208">IFERROR(_xlfn.IFS(B208="044 - BLEND TRADICION","BLEND",B208="113 - CAFÉ GOURMET","GOURMET",B208="114 - CAFÉ CONSUMO","CONSUMO",B208="112 - CAFÉ ORGANICO","GOURMET",B208="172 - CAFÉ COSECHA","ESPECIALES",B208="176 - CAFE DESCAFEINADO","GOURMET",B208="147 - CAPSULAS","CAPSULAS",B208="130 - GALLETAS CAFECITAS","DERIVADOS",B208="140 - MERENGUES","DERIVADOS",B208="100 - CAFÉ ESPECIAL","ESPECIALES",B208="141 - AREQUIPE","DERIVADOS",B208="142 - MERMELADA","DERIVADOS",B208="131 - GALLETAS AVENA","DERIVADOS",B208="160 - SOUVENIR","OTROS",B208="148 - CARAMELOS","DERIVADOS",B208="143 - CHOCOFFES","DERIVADOS",B208="162 - CONVENIOS Y DSC POS ","OTROS"),"OTROS")</f>
        <v>GOURMET</v>
      </c>
      <c r="K208" s="62"/>
      <c r="L208" s="27">
        <f t="shared" si="23"/>
        <v>1834602</v>
      </c>
      <c r="M208" s="27">
        <f t="shared" si="24"/>
        <v>1834602</v>
      </c>
    </row>
    <row r="209" spans="1:13" ht="16.5" hidden="1" outlineLevel="1">
      <c r="A209" s="38"/>
      <c r="B209" s="39" t="s">
        <v>31</v>
      </c>
      <c r="C209" s="36">
        <v>38000</v>
      </c>
      <c r="D209" s="36">
        <v>0</v>
      </c>
      <c r="E209" s="36"/>
      <c r="F209" s="36">
        <v>0</v>
      </c>
      <c r="G209" s="37" t="str">
        <f t="shared" si="19"/>
        <v>-</v>
      </c>
      <c r="H209" s="23">
        <f t="shared" si="21"/>
        <v>0</v>
      </c>
      <c r="I209" s="24">
        <f t="shared" si="21"/>
        <v>0</v>
      </c>
      <c r="J209" s="32" t="str" cm="1">
        <f t="array" ref="J209">IFERROR(_xlfn.IFS(B209="044 - BLEND TRADICION","BLEND",B209="113 - CAFÉ GOURMET","GOURMET",B209="114 - CAFÉ CONSUMO","CONSUMO",B209="112 - CAFÉ ORGANICO","GOURMET",B209="172 - CAFÉ COSECHA","ESPECIALES",B209="176 - CAFE DESCAFEINADO","GOURMET",B209="147 - CAPSULAS","CAPSULAS",B209="130 - GALLETAS CAFECITAS","DERIVADOS",B209="140 - MERENGUES","DERIVADOS",B209="100 - CAFÉ ESPECIAL","ESPECIALES",B209="141 - AREQUIPE","DERIVADOS",B209="142 - MERMELADA","DERIVADOS",B209="131 - GALLETAS AVENA","DERIVADOS",B209="160 - SOUVENIR","OTROS",B209="148 - CARAMELOS","DERIVADOS",B209="143 - CHOCOFFES","DERIVADOS",B209="162 - CONVENIOS Y DSC POS ","OTROS"),"OTROS")</f>
        <v>OTROS</v>
      </c>
      <c r="K209" s="62"/>
      <c r="L209" s="27">
        <f t="shared" si="23"/>
        <v>38000</v>
      </c>
      <c r="M209" s="27">
        <f t="shared" si="24"/>
        <v>38000</v>
      </c>
    </row>
    <row r="210" spans="1:13" ht="16.5" hidden="1" outlineLevel="1">
      <c r="A210" s="19" t="s">
        <v>56</v>
      </c>
      <c r="B210" s="56" t="s">
        <v>32</v>
      </c>
      <c r="C210" s="54">
        <f>SUM(C196:C209)</f>
        <v>144270977</v>
      </c>
      <c r="D210" s="54">
        <f>SUM(D196:D209)</f>
        <v>-767946</v>
      </c>
      <c r="E210" s="54">
        <f>SUM(E196:E209)</f>
        <v>0</v>
      </c>
      <c r="F210" s="58">
        <f>SUM(F196:F209)</f>
        <v>251466278.25</v>
      </c>
      <c r="G210" s="55">
        <f t="shared" si="19"/>
        <v>0.57371898134417154</v>
      </c>
      <c r="H210" s="23">
        <f t="shared" si="21"/>
        <v>-5.2947580147158155E-3</v>
      </c>
      <c r="I210" s="24">
        <f t="shared" si="21"/>
        <v>0</v>
      </c>
      <c r="J210" s="32" t="str" cm="1">
        <f t="array" ref="J210">IFERROR(_xlfn.IFS(B210="044 - BLEND TRADICION","BLEND",B210="113 - CAFÉ GOURMET","GOURMET",B210="114 - CAFÉ CONSUMO","CONSUMO",B210="112 - CAFÉ ORGANICO","GOURMET",B210="172 - CAFÉ COSECHA","ESPECIALES",B210="176 - CAFE DESCAFEINADO","GOURMET",B210="147 - CAPSULAS","CAPSULAS",B210="130 - GALLETAS CAFECITAS","DERIVADOS",B210="140 - MERENGUES","DERIVADOS",B210="100 - CAFÉ ESPECIAL","ESPECIALES",B210="141 - AREQUIPE","DERIVADOS",B210="142 - MERMELADA","DERIVADOS",B210="131 - GALLETAS AVENA","DERIVADOS",B210="160 - SOUVENIR","OTROS",B210="148 - CARAMELOS","DERIVADOS",B210="143 - CHOCOFFES","DERIVADOS",B210="162 - CONVENIOS Y DSC POS ","OTROS"),"OTROS")</f>
        <v>OTROS</v>
      </c>
      <c r="K210" s="62">
        <f>C210-E210</f>
        <v>144270977</v>
      </c>
      <c r="L210" s="27">
        <f t="shared" si="23"/>
        <v>145038923</v>
      </c>
      <c r="M210" s="27">
        <f t="shared" si="24"/>
        <v>145038923</v>
      </c>
    </row>
    <row r="211" spans="1:13" ht="16.5" collapsed="1">
      <c r="A211" s="28" t="s">
        <v>57</v>
      </c>
      <c r="B211" s="29" t="s">
        <v>17</v>
      </c>
      <c r="C211" s="30">
        <f>+C227</f>
        <v>87173545</v>
      </c>
      <c r="D211" s="30">
        <f>+D227</f>
        <v>0</v>
      </c>
      <c r="E211" s="30">
        <f>+E227</f>
        <v>0</v>
      </c>
      <c r="F211" s="30">
        <f>+F227</f>
        <v>242185563.47000003</v>
      </c>
      <c r="G211" s="31">
        <f t="shared" si="19"/>
        <v>0.35994525747525968</v>
      </c>
      <c r="H211" s="23">
        <f t="shared" si="21"/>
        <v>0</v>
      </c>
      <c r="I211" s="24">
        <f t="shared" si="21"/>
        <v>0</v>
      </c>
      <c r="J211" s="32" t="str" cm="1">
        <f t="array" ref="J211">IFERROR(_xlfn.IFS(B211="044 - BLEND TRADICION","BLEND",B211="113 - CAFÉ GOURMET","GOURMET",B211="114 - CAFÉ CONSUMO","CONSUMO",B211="112 - CAFÉ ORGANICO","GOURMET",B211="172 - CAFÉ COSECHA","ESPECIALES",B211="176 - CAFE DESCAFEINADO","GOURMET",B211="147 - CAPSULAS","CAPSULAS",B211="130 - GALLETAS CAFECITAS","DERIVADOS",B211="140 - MERENGUES","DERIVADOS",B211="100 - CAFÉ ESPECIAL","ESPECIALES",B211="141 - AREQUIPE","DERIVADOS",B211="142 - MERMELADA","DERIVADOS",B211="131 - GALLETAS AVENA","DERIVADOS",B211="160 - SOUVENIR","OTROS",B211="148 - CARAMELOS","DERIVADOS",B211="143 - CHOCOFFES","DERIVADOS",B211="162 - CONVENIOS Y DSC POS ","OTROS"),"OTROS")</f>
        <v>OTROS</v>
      </c>
      <c r="K211" s="62">
        <f>C211-E211</f>
        <v>87173545</v>
      </c>
      <c r="L211" s="27">
        <f t="shared" si="23"/>
        <v>87173545</v>
      </c>
      <c r="M211" s="27">
        <f t="shared" si="24"/>
        <v>87173545</v>
      </c>
    </row>
    <row r="212" spans="1:13" ht="15.75" hidden="1" customHeight="1" outlineLevel="1">
      <c r="A212" s="44"/>
      <c r="B212" s="45" t="s">
        <v>34</v>
      </c>
      <c r="C212" s="46">
        <v>71575</v>
      </c>
      <c r="D212" s="46">
        <v>0</v>
      </c>
      <c r="E212" s="46"/>
      <c r="F212" s="46">
        <v>183711.31</v>
      </c>
      <c r="G212" s="37">
        <f t="shared" si="19"/>
        <v>0.38960584408221793</v>
      </c>
      <c r="H212" s="23">
        <f t="shared" si="21"/>
        <v>0</v>
      </c>
      <c r="I212" s="24">
        <f t="shared" si="21"/>
        <v>0</v>
      </c>
      <c r="J212" s="32" t="str" cm="1">
        <f t="array" ref="J212">IFERROR(_xlfn.IFS(B212="044 - BLEND TRADICION","BLEND",B212="113 - CAFÉ GOURMET","GOURMET",B212="114 - CAFÉ CONSUMO","CONSUMO",B212="112 - CAFÉ ORGANICO","GOURMET",B212="172 - CAFÉ COSECHA","ESPECIALES",B212="176 - CAFE DESCAFEINADO","GOURMET",B212="147 - CAPSULAS","CAPSULAS",B212="130 - GALLETAS CAFECITAS","DERIVADOS",B212="140 - MERENGUES","DERIVADOS",B212="100 - CAFÉ ESPECIAL","ESPECIALES",B212="141 - AREQUIPE","DERIVADOS",B212="142 - MERMELADA","DERIVADOS",B212="131 - GALLETAS AVENA","DERIVADOS",B212="160 - SOUVENIR","OTROS",B212="148 - CARAMELOS","DERIVADOS",B212="143 - CHOCOFFES","DERIVADOS",B212="162 - CONVENIOS Y DSC POS ","OTROS"),"OTROS")</f>
        <v>OTROS</v>
      </c>
      <c r="K212" s="62">
        <f>C212-E212</f>
        <v>71575</v>
      </c>
      <c r="L212" s="27">
        <f t="shared" si="23"/>
        <v>71575</v>
      </c>
      <c r="M212" s="27">
        <f t="shared" si="24"/>
        <v>71575</v>
      </c>
    </row>
    <row r="213" spans="1:13" ht="15.75" hidden="1" customHeight="1" outlineLevel="1">
      <c r="A213" s="44"/>
      <c r="B213" s="45" t="s">
        <v>18</v>
      </c>
      <c r="C213" s="46">
        <v>2736800</v>
      </c>
      <c r="D213" s="46">
        <v>0</v>
      </c>
      <c r="E213" s="46"/>
      <c r="F213" s="46">
        <v>22057449.760000002</v>
      </c>
      <c r="G213" s="37">
        <f t="shared" si="19"/>
        <v>0.1240759938151617</v>
      </c>
      <c r="H213" s="23">
        <f t="shared" si="21"/>
        <v>0</v>
      </c>
      <c r="I213" s="24">
        <f t="shared" si="21"/>
        <v>0</v>
      </c>
      <c r="J213" s="32" t="str" cm="1">
        <f t="array" ref="J213">IFERROR(_xlfn.IFS(B213="044 - BLEND TRADICION","BLEND",B213="113 - CAFÉ GOURMET","GOURMET",B213="114 - CAFÉ CONSUMO","CONSUMO",B213="112 - CAFÉ ORGANICO","GOURMET",B213="172 - CAFÉ COSECHA","ESPECIALES",B213="176 - CAFE DESCAFEINADO","GOURMET",B213="147 - CAPSULAS","CAPSULAS",B213="130 - GALLETAS CAFECITAS","DERIVADOS",B213="140 - MERENGUES","DERIVADOS",B213="100 - CAFÉ ESPECIAL","ESPECIALES",B213="141 - AREQUIPE","DERIVADOS",B213="142 - MERMELADA","DERIVADOS",B213="131 - GALLETAS AVENA","DERIVADOS",B213="160 - SOUVENIR","OTROS",B213="148 - CARAMELOS","DERIVADOS",B213="143 - CHOCOFFES","DERIVADOS",B213="162 - CONVENIOS Y DSC POS ","OTROS"),"OTROS")</f>
        <v>BLEND</v>
      </c>
      <c r="K213" s="62">
        <f>C213-E213</f>
        <v>2736800</v>
      </c>
      <c r="L213" s="27">
        <f t="shared" si="23"/>
        <v>2736800</v>
      </c>
      <c r="M213" s="27">
        <f t="shared" si="24"/>
        <v>2736800</v>
      </c>
    </row>
    <row r="214" spans="1:13" ht="15.75" hidden="1" customHeight="1" outlineLevel="1">
      <c r="A214" s="44"/>
      <c r="B214" s="45" t="s">
        <v>19</v>
      </c>
      <c r="C214" s="46">
        <v>2292547</v>
      </c>
      <c r="D214" s="46">
        <v>0</v>
      </c>
      <c r="E214" s="46"/>
      <c r="F214" s="46">
        <v>4724786.33</v>
      </c>
      <c r="G214" s="37">
        <f t="shared" si="19"/>
        <v>0.48521707435603761</v>
      </c>
      <c r="H214" s="23">
        <f t="shared" si="21"/>
        <v>0</v>
      </c>
      <c r="I214" s="24">
        <f t="shared" si="21"/>
        <v>0</v>
      </c>
      <c r="J214" s="32" t="str" cm="1">
        <f t="array" ref="J214">IFERROR(_xlfn.IFS(B214="044 - BLEND TRADICION","BLEND",B214="113 - CAFÉ GOURMET","GOURMET",B214="114 - CAFÉ CONSUMO","CONSUMO",B214="112 - CAFÉ ORGANICO","GOURMET",B214="172 - CAFÉ COSECHA","ESPECIALES",B214="176 - CAFE DESCAFEINADO","GOURMET",B214="147 - CAPSULAS","CAPSULAS",B214="130 - GALLETAS CAFECITAS","DERIVADOS",B214="140 - MERENGUES","DERIVADOS",B214="100 - CAFÉ ESPECIAL","ESPECIALES",B214="141 - AREQUIPE","DERIVADOS",B214="142 - MERMELADA","DERIVADOS",B214="131 - GALLETAS AVENA","DERIVADOS",B214="160 - SOUVENIR","OTROS",B214="148 - CARAMELOS","DERIVADOS",B214="143 - CHOCOFFES","DERIVADOS",B214="162 - CONVENIOS Y DSC POS ","OTROS"),"OTROS")</f>
        <v>ESPECIALES</v>
      </c>
      <c r="K214" s="62"/>
      <c r="L214" s="27">
        <f t="shared" si="23"/>
        <v>2292547</v>
      </c>
      <c r="M214" s="27">
        <f t="shared" si="24"/>
        <v>2292547</v>
      </c>
    </row>
    <row r="215" spans="1:13" ht="15.75" hidden="1" customHeight="1" outlineLevel="1">
      <c r="A215" s="44"/>
      <c r="B215" s="45" t="s">
        <v>20</v>
      </c>
      <c r="C215" s="46">
        <v>2464560</v>
      </c>
      <c r="D215" s="46">
        <v>0</v>
      </c>
      <c r="E215" s="46"/>
      <c r="F215" s="46">
        <v>4267385.9800000004</v>
      </c>
      <c r="G215" s="37">
        <f t="shared" si="19"/>
        <v>0.57753388410391693</v>
      </c>
      <c r="H215" s="23">
        <f t="shared" si="21"/>
        <v>0</v>
      </c>
      <c r="I215" s="24">
        <f t="shared" si="21"/>
        <v>0</v>
      </c>
      <c r="J215" s="32" t="str" cm="1">
        <f t="array" ref="J215">IFERROR(_xlfn.IFS(B215="044 - BLEND TRADICION","BLEND",B215="113 - CAFÉ GOURMET","GOURMET",B215="114 - CAFÉ CONSUMO","CONSUMO",B215="112 - CAFÉ ORGANICO","GOURMET",B215="172 - CAFÉ COSECHA","ESPECIALES",B215="176 - CAFE DESCAFEINADO","GOURMET",B215="147 - CAPSULAS","CAPSULAS",B215="130 - GALLETAS CAFECITAS","DERIVADOS",B215="140 - MERENGUES","DERIVADOS",B215="100 - CAFÉ ESPECIAL","ESPECIALES",B215="141 - AREQUIPE","DERIVADOS",B215="142 - MERMELADA","DERIVADOS",B215="131 - GALLETAS AVENA","DERIVADOS",B215="160 - SOUVENIR","OTROS",B215="148 - CARAMELOS","DERIVADOS",B215="143 - CHOCOFFES","DERIVADOS",B215="162 - CONVENIOS Y DSC POS ","OTROS"),"OTROS")</f>
        <v>GOURMET</v>
      </c>
      <c r="K215" s="62"/>
      <c r="L215" s="27">
        <f t="shared" si="23"/>
        <v>2464560</v>
      </c>
      <c r="M215" s="27">
        <f t="shared" si="24"/>
        <v>2464560</v>
      </c>
    </row>
    <row r="216" spans="1:13" ht="15.75" hidden="1" customHeight="1" outlineLevel="1">
      <c r="A216" s="44"/>
      <c r="B216" s="45" t="s">
        <v>21</v>
      </c>
      <c r="C216" s="46">
        <v>52113886</v>
      </c>
      <c r="D216" s="46">
        <v>0</v>
      </c>
      <c r="E216" s="46"/>
      <c r="F216" s="46">
        <v>156321504.86000001</v>
      </c>
      <c r="G216" s="37">
        <f t="shared" ref="G216:G250" si="25">IFERROR(C216/F216*100%,"-")</f>
        <v>0.33337630703256521</v>
      </c>
      <c r="H216" s="23">
        <f t="shared" si="21"/>
        <v>0</v>
      </c>
      <c r="I216" s="24">
        <f t="shared" si="21"/>
        <v>0</v>
      </c>
      <c r="J216" s="32" t="str" cm="1">
        <f t="array" ref="J216">IFERROR(_xlfn.IFS(B216="044 - BLEND TRADICION","BLEND",B216="113 - CAFÉ GOURMET","GOURMET",B216="114 - CAFÉ CONSUMO","CONSUMO",B216="112 - CAFÉ ORGANICO","GOURMET",B216="172 - CAFÉ COSECHA","ESPECIALES",B216="176 - CAFE DESCAFEINADO","GOURMET",B216="147 - CAPSULAS","CAPSULAS",B216="130 - GALLETAS CAFECITAS","DERIVADOS",B216="140 - MERENGUES","DERIVADOS",B216="100 - CAFÉ ESPECIAL","ESPECIALES",B216="141 - AREQUIPE","DERIVADOS",B216="142 - MERMELADA","DERIVADOS",B216="131 - GALLETAS AVENA","DERIVADOS",B216="160 - SOUVENIR","OTROS",B216="148 - CARAMELOS","DERIVADOS",B216="143 - CHOCOFFES","DERIVADOS",B216="162 - CONVENIOS Y DSC POS ","OTROS"),"OTROS")</f>
        <v>GOURMET</v>
      </c>
      <c r="K216" s="62">
        <f t="shared" ref="K216" si="26">C216-E216</f>
        <v>52113886</v>
      </c>
      <c r="L216" s="27">
        <f t="shared" si="23"/>
        <v>52113886</v>
      </c>
      <c r="M216" s="27">
        <f t="shared" si="24"/>
        <v>52113886</v>
      </c>
    </row>
    <row r="217" spans="1:13" ht="15.75" hidden="1" customHeight="1" outlineLevel="1">
      <c r="A217" s="44"/>
      <c r="B217" s="45" t="s">
        <v>22</v>
      </c>
      <c r="C217" s="46">
        <v>2363345</v>
      </c>
      <c r="D217" s="46">
        <v>0</v>
      </c>
      <c r="E217" s="46"/>
      <c r="F217" s="46">
        <v>7161969.0599999996</v>
      </c>
      <c r="G217" s="37">
        <f t="shared" si="25"/>
        <v>0.32998536857683664</v>
      </c>
      <c r="H217" s="23">
        <f t="shared" si="21"/>
        <v>0</v>
      </c>
      <c r="I217" s="24">
        <f t="shared" si="21"/>
        <v>0</v>
      </c>
      <c r="J217" s="32" t="str" cm="1">
        <f t="array" ref="J217">IFERROR(_xlfn.IFS(B217="044 - BLEND TRADICION","BLEND",B217="113 - CAFÉ GOURMET","GOURMET",B217="114 - CAFÉ CONSUMO","CONSUMO",B217="112 - CAFÉ ORGANICO","GOURMET",B217="172 - CAFÉ COSECHA","ESPECIALES",B217="176 - CAFE DESCAFEINADO","GOURMET",B217="147 - CAPSULAS","CAPSULAS",B217="130 - GALLETAS CAFECITAS","DERIVADOS",B217="140 - MERENGUES","DERIVADOS",B217="100 - CAFÉ ESPECIAL","ESPECIALES",B217="141 - AREQUIPE","DERIVADOS",B217="142 - MERMELADA","DERIVADOS",B217="131 - GALLETAS AVENA","DERIVADOS",B217="160 - SOUVENIR","OTROS",B217="148 - CARAMELOS","DERIVADOS",B217="143 - CHOCOFFES","DERIVADOS",B217="162 - CONVENIOS Y DSC POS ","OTROS"),"OTROS")</f>
        <v>DERIVADOS</v>
      </c>
      <c r="K217" s="62"/>
      <c r="L217" s="27">
        <f t="shared" si="23"/>
        <v>2363345</v>
      </c>
      <c r="M217" s="27">
        <f t="shared" si="24"/>
        <v>2363345</v>
      </c>
    </row>
    <row r="218" spans="1:13" ht="15.75" hidden="1" customHeight="1" outlineLevel="1">
      <c r="A218" s="44"/>
      <c r="B218" s="45" t="s">
        <v>23</v>
      </c>
      <c r="C218" s="46">
        <v>0</v>
      </c>
      <c r="D218" s="46">
        <v>0</v>
      </c>
      <c r="E218" s="46"/>
      <c r="F218" s="46">
        <v>19945.96</v>
      </c>
      <c r="G218" s="37">
        <f t="shared" si="25"/>
        <v>0</v>
      </c>
      <c r="H218" s="23">
        <f t="shared" si="21"/>
        <v>0</v>
      </c>
      <c r="I218" s="24">
        <f t="shared" si="21"/>
        <v>0</v>
      </c>
      <c r="J218" s="32" t="str" cm="1">
        <f t="array" ref="J218">IFERROR(_xlfn.IFS(B218="044 - BLEND TRADICION","BLEND",B218="113 - CAFÉ GOURMET","GOURMET",B218="114 - CAFÉ CONSUMO","CONSUMO",B218="112 - CAFÉ ORGANICO","GOURMET",B218="172 - CAFÉ COSECHA","ESPECIALES",B218="176 - CAFE DESCAFEINADO","GOURMET",B218="147 - CAPSULAS","CAPSULAS",B218="130 - GALLETAS CAFECITAS","DERIVADOS",B218="140 - MERENGUES","DERIVADOS",B218="100 - CAFÉ ESPECIAL","ESPECIALES",B218="141 - AREQUIPE","DERIVADOS",B218="142 - MERMELADA","DERIVADOS",B218="131 - GALLETAS AVENA","DERIVADOS",B218="160 - SOUVENIR","OTROS",B218="148 - CARAMELOS","DERIVADOS",B218="143 - CHOCOFFES","DERIVADOS",B218="162 - CONVENIOS Y DSC POS ","OTROS"),"OTROS")</f>
        <v>DERIVADOS</v>
      </c>
      <c r="K218" s="62">
        <f t="shared" ref="K218" si="27">C218-E218</f>
        <v>0</v>
      </c>
      <c r="L218" s="27">
        <f t="shared" si="23"/>
        <v>0</v>
      </c>
      <c r="M218" s="27">
        <f t="shared" si="24"/>
        <v>0</v>
      </c>
    </row>
    <row r="219" spans="1:13" ht="15.75" hidden="1" customHeight="1" outlineLevel="1">
      <c r="A219" s="44"/>
      <c r="B219" s="45" t="s">
        <v>24</v>
      </c>
      <c r="C219" s="46">
        <v>495911</v>
      </c>
      <c r="D219" s="46">
        <v>0</v>
      </c>
      <c r="E219" s="46"/>
      <c r="F219" s="46">
        <v>1393477.12</v>
      </c>
      <c r="G219" s="37">
        <f t="shared" si="25"/>
        <v>0.355880260165305</v>
      </c>
      <c r="H219" s="23">
        <f t="shared" si="21"/>
        <v>0</v>
      </c>
      <c r="I219" s="24">
        <f t="shared" si="21"/>
        <v>0</v>
      </c>
      <c r="J219" s="32" t="str" cm="1">
        <f t="array" ref="J219">IFERROR(_xlfn.IFS(B219="044 - BLEND TRADICION","BLEND",B219="113 - CAFÉ GOURMET","GOURMET",B219="114 - CAFÉ CONSUMO","CONSUMO",B219="112 - CAFÉ ORGANICO","GOURMET",B219="172 - CAFÉ COSECHA","ESPECIALES",B219="176 - CAFE DESCAFEINADO","GOURMET",B219="147 - CAPSULAS","CAPSULAS",B219="130 - GALLETAS CAFECITAS","DERIVADOS",B219="140 - MERENGUES","DERIVADOS",B219="100 - CAFÉ ESPECIAL","ESPECIALES",B219="141 - AREQUIPE","DERIVADOS",B219="142 - MERMELADA","DERIVADOS",B219="131 - GALLETAS AVENA","DERIVADOS",B219="160 - SOUVENIR","OTROS",B219="148 - CARAMELOS","DERIVADOS",B219="143 - CHOCOFFES","DERIVADOS",B219="162 - CONVENIOS Y DSC POS ","OTROS"),"OTROS")</f>
        <v>DERIVADOS</v>
      </c>
      <c r="K219" s="62"/>
      <c r="L219" s="27">
        <f t="shared" si="23"/>
        <v>495911</v>
      </c>
      <c r="M219" s="27">
        <f t="shared" si="24"/>
        <v>495911</v>
      </c>
    </row>
    <row r="220" spans="1:13" ht="15.75" hidden="1" customHeight="1" outlineLevel="1">
      <c r="A220" s="44"/>
      <c r="B220" s="45" t="s">
        <v>25</v>
      </c>
      <c r="C220" s="46">
        <v>1268309</v>
      </c>
      <c r="D220" s="46">
        <v>0</v>
      </c>
      <c r="E220" s="46"/>
      <c r="F220" s="46">
        <v>2683173.4900000002</v>
      </c>
      <c r="G220" s="37">
        <f t="shared" si="25"/>
        <v>0.47268989676847167</v>
      </c>
      <c r="H220" s="23">
        <f t="shared" si="21"/>
        <v>0</v>
      </c>
      <c r="I220" s="24">
        <f t="shared" si="21"/>
        <v>0</v>
      </c>
      <c r="J220" s="32" t="str" cm="1">
        <f t="array" ref="J220">IFERROR(_xlfn.IFS(B220="044 - BLEND TRADICION","BLEND",B220="113 - CAFÉ GOURMET","GOURMET",B220="114 - CAFÉ CONSUMO","CONSUMO",B220="112 - CAFÉ ORGANICO","GOURMET",B220="172 - CAFÉ COSECHA","ESPECIALES",B220="176 - CAFE DESCAFEINADO","GOURMET",B220="147 - CAPSULAS","CAPSULAS",B220="130 - GALLETAS CAFECITAS","DERIVADOS",B220="140 - MERENGUES","DERIVADOS",B220="100 - CAFÉ ESPECIAL","ESPECIALES",B220="141 - AREQUIPE","DERIVADOS",B220="142 - MERMELADA","DERIVADOS",B220="131 - GALLETAS AVENA","DERIVADOS",B220="160 - SOUVENIR","OTROS",B220="148 - CARAMELOS","DERIVADOS",B220="143 - CHOCOFFES","DERIVADOS",B220="162 - CONVENIOS Y DSC POS ","OTROS"),"OTROS")</f>
        <v>DERIVADOS</v>
      </c>
      <c r="K220" s="62">
        <f t="shared" ref="K220" si="28">C220-E220</f>
        <v>1268309</v>
      </c>
      <c r="L220" s="27">
        <f t="shared" si="23"/>
        <v>1268309</v>
      </c>
      <c r="M220" s="27">
        <f t="shared" si="24"/>
        <v>1268309</v>
      </c>
    </row>
    <row r="221" spans="1:13" ht="15.75" hidden="1" customHeight="1" outlineLevel="1">
      <c r="A221" s="44"/>
      <c r="B221" s="45" t="s">
        <v>26</v>
      </c>
      <c r="C221" s="46">
        <v>10320034</v>
      </c>
      <c r="D221" s="46">
        <v>0</v>
      </c>
      <c r="E221" s="46"/>
      <c r="F221" s="46">
        <v>14923818.029999999</v>
      </c>
      <c r="G221" s="37">
        <f t="shared" si="25"/>
        <v>0.6915143282539743</v>
      </c>
      <c r="H221" s="23">
        <f t="shared" si="21"/>
        <v>0</v>
      </c>
      <c r="I221" s="24">
        <f t="shared" si="21"/>
        <v>0</v>
      </c>
      <c r="J221" s="32" t="str" cm="1">
        <f t="array" ref="J221">IFERROR(_xlfn.IFS(B221="044 - BLEND TRADICION","BLEND",B221="113 - CAFÉ GOURMET","GOURMET",B221="114 - CAFÉ CONSUMO","CONSUMO",B221="112 - CAFÉ ORGANICO","GOURMET",B221="172 - CAFÉ COSECHA","ESPECIALES",B221="176 - CAFE DESCAFEINADO","GOURMET",B221="147 - CAPSULAS","CAPSULAS",B221="130 - GALLETAS CAFECITAS","DERIVADOS",B221="140 - MERENGUES","DERIVADOS",B221="100 - CAFÉ ESPECIAL","ESPECIALES",B221="141 - AREQUIPE","DERIVADOS",B221="142 - MERMELADA","DERIVADOS",B221="131 - GALLETAS AVENA","DERIVADOS",B221="160 - SOUVENIR","OTROS",B221="148 - CARAMELOS","DERIVADOS",B221="143 - CHOCOFFES","DERIVADOS",B221="162 - CONVENIOS Y DSC POS ","OTROS"),"OTROS")</f>
        <v>CAPSULAS</v>
      </c>
      <c r="K221" s="62"/>
      <c r="L221" s="27">
        <f t="shared" si="23"/>
        <v>10320034</v>
      </c>
      <c r="M221" s="27">
        <f t="shared" si="24"/>
        <v>10320034</v>
      </c>
    </row>
    <row r="222" spans="1:13" ht="15.75" hidden="1" customHeight="1" outlineLevel="1">
      <c r="A222" s="44"/>
      <c r="B222" s="45" t="s">
        <v>27</v>
      </c>
      <c r="C222" s="46">
        <v>1316788</v>
      </c>
      <c r="D222" s="46">
        <v>0</v>
      </c>
      <c r="E222" s="46"/>
      <c r="F222" s="46">
        <v>3692134.82</v>
      </c>
      <c r="G222" s="37">
        <f t="shared" si="25"/>
        <v>0.35664678138703504</v>
      </c>
      <c r="H222" s="23">
        <f t="shared" si="21"/>
        <v>0</v>
      </c>
      <c r="I222" s="24">
        <f t="shared" si="21"/>
        <v>0</v>
      </c>
      <c r="J222" s="32" t="str" cm="1">
        <f t="array" ref="J222">IFERROR(_xlfn.IFS(B222="044 - BLEND TRADICION","BLEND",B222="113 - CAFÉ GOURMET","GOURMET",B222="114 - CAFÉ CONSUMO","CONSUMO",B222="112 - CAFÉ ORGANICO","GOURMET",B222="172 - CAFÉ COSECHA","ESPECIALES",B222="176 - CAFE DESCAFEINADO","GOURMET",B222="147 - CAPSULAS","CAPSULAS",B222="130 - GALLETAS CAFECITAS","DERIVADOS",B222="140 - MERENGUES","DERIVADOS",B222="100 - CAFÉ ESPECIAL","ESPECIALES",B222="141 - AREQUIPE","DERIVADOS",B222="142 - MERMELADA","DERIVADOS",B222="131 - GALLETAS AVENA","DERIVADOS",B222="160 - SOUVENIR","OTROS",B222="148 - CARAMELOS","DERIVADOS",B222="143 - CHOCOFFES","DERIVADOS",B222="162 - CONVENIOS Y DSC POS ","OTROS"),"OTROS")</f>
        <v>DERIVADOS</v>
      </c>
      <c r="K222" s="62"/>
      <c r="L222" s="27">
        <f t="shared" si="23"/>
        <v>1316788</v>
      </c>
      <c r="M222" s="27">
        <f t="shared" si="24"/>
        <v>1316788</v>
      </c>
    </row>
    <row r="223" spans="1:13" ht="15.75" hidden="1" customHeight="1" outlineLevel="1">
      <c r="A223" s="44"/>
      <c r="B223" s="45" t="s">
        <v>28</v>
      </c>
      <c r="C223" s="46">
        <v>5327699</v>
      </c>
      <c r="D223" s="46">
        <v>0</v>
      </c>
      <c r="E223" s="46"/>
      <c r="F223" s="46">
        <v>11283255.869999999</v>
      </c>
      <c r="G223" s="37">
        <f t="shared" si="25"/>
        <v>0.4721774513830998</v>
      </c>
      <c r="H223" s="23">
        <f t="shared" si="21"/>
        <v>0</v>
      </c>
      <c r="I223" s="24">
        <f t="shared" si="21"/>
        <v>0</v>
      </c>
      <c r="J223" s="32" t="str" cm="1">
        <f t="array" ref="J223">IFERROR(_xlfn.IFS(B223="044 - BLEND TRADICION","BLEND",B223="113 - CAFÉ GOURMET","GOURMET",B223="114 - CAFÉ CONSUMO","CONSUMO",B223="112 - CAFÉ ORGANICO","GOURMET",B223="172 - CAFÉ COSECHA","ESPECIALES",B223="176 - CAFE DESCAFEINADO","GOURMET",B223="147 - CAPSULAS","CAPSULAS",B223="130 - GALLETAS CAFECITAS","DERIVADOS",B223="140 - MERENGUES","DERIVADOS",B223="100 - CAFÉ ESPECIAL","ESPECIALES",B223="141 - AREQUIPE","DERIVADOS",B223="142 - MERMELADA","DERIVADOS",B223="131 - GALLETAS AVENA","DERIVADOS",B223="160 - SOUVENIR","OTROS",B223="148 - CARAMELOS","DERIVADOS",B223="143 - CHOCOFFES","DERIVADOS",B223="162 - CONVENIOS Y DSC POS ","OTROS"),"OTROS")</f>
        <v>OTROS</v>
      </c>
      <c r="K223" s="62">
        <f t="shared" ref="K223" si="29">C223-E223</f>
        <v>5327699</v>
      </c>
      <c r="L223" s="27">
        <f t="shared" si="23"/>
        <v>5327699</v>
      </c>
      <c r="M223" s="27">
        <f t="shared" si="24"/>
        <v>5327699</v>
      </c>
    </row>
    <row r="224" spans="1:13" ht="15.75" hidden="1" customHeight="1" outlineLevel="1">
      <c r="A224" s="44"/>
      <c r="B224" s="45" t="s">
        <v>29</v>
      </c>
      <c r="C224" s="46">
        <v>6366091</v>
      </c>
      <c r="D224" s="46">
        <v>0</v>
      </c>
      <c r="E224" s="46"/>
      <c r="F224" s="46">
        <v>12790414.619999999</v>
      </c>
      <c r="G224" s="37">
        <f t="shared" si="25"/>
        <v>0.49772358356902119</v>
      </c>
      <c r="H224" s="23">
        <f t="shared" si="21"/>
        <v>0</v>
      </c>
      <c r="I224" s="24">
        <f t="shared" si="21"/>
        <v>0</v>
      </c>
      <c r="J224" s="32" t="str" cm="1">
        <f t="array" ref="J224">IFERROR(_xlfn.IFS(B224="044 - BLEND TRADICION","BLEND",B224="113 - CAFÉ GOURMET","GOURMET",B224="114 - CAFÉ CONSUMO","CONSUMO",B224="112 - CAFÉ ORGANICO","GOURMET",B224="172 - CAFÉ COSECHA","ESPECIALES",B224="176 - CAFE DESCAFEINADO","GOURMET",B224="147 - CAPSULAS","CAPSULAS",B224="130 - GALLETAS CAFECITAS","DERIVADOS",B224="140 - MERENGUES","DERIVADOS",B224="100 - CAFÉ ESPECIAL","ESPECIALES",B224="141 - AREQUIPE","DERIVADOS",B224="142 - MERMELADA","DERIVADOS",B224="131 - GALLETAS AVENA","DERIVADOS",B224="160 - SOUVENIR","OTROS",B224="148 - CARAMELOS","DERIVADOS",B224="143 - CHOCOFFES","DERIVADOS",B224="162 - CONVENIOS Y DSC POS ","OTROS"),"OTROS")</f>
        <v>ESPECIALES</v>
      </c>
      <c r="K224" s="62"/>
      <c r="L224" s="27">
        <f t="shared" si="23"/>
        <v>6366091</v>
      </c>
      <c r="M224" s="27">
        <f t="shared" si="24"/>
        <v>6366091</v>
      </c>
    </row>
    <row r="225" spans="1:13" ht="15.75" hidden="1" customHeight="1" outlineLevel="1">
      <c r="A225" s="44"/>
      <c r="B225" s="45" t="s">
        <v>30</v>
      </c>
      <c r="C225" s="46">
        <v>0</v>
      </c>
      <c r="D225" s="46">
        <v>0</v>
      </c>
      <c r="E225" s="46"/>
      <c r="F225" s="46">
        <v>682536.26</v>
      </c>
      <c r="G225" s="37">
        <f t="shared" si="25"/>
        <v>0</v>
      </c>
      <c r="H225" s="23">
        <f t="shared" si="21"/>
        <v>0</v>
      </c>
      <c r="I225" s="24">
        <f t="shared" si="21"/>
        <v>0</v>
      </c>
      <c r="J225" s="32" t="str" cm="1">
        <f t="array" ref="J225">IFERROR(_xlfn.IFS(B225="044 - BLEND TRADICION","BLEND",B225="113 - CAFÉ GOURMET","GOURMET",B225="114 - CAFÉ CONSUMO","CONSUMO",B225="112 - CAFÉ ORGANICO","GOURMET",B225="172 - CAFÉ COSECHA","ESPECIALES",B225="176 - CAFE DESCAFEINADO","GOURMET",B225="147 - CAPSULAS","CAPSULAS",B225="130 - GALLETAS CAFECITAS","DERIVADOS",B225="140 - MERENGUES","DERIVADOS",B225="100 - CAFÉ ESPECIAL","ESPECIALES",B225="141 - AREQUIPE","DERIVADOS",B225="142 - MERMELADA","DERIVADOS",B225="131 - GALLETAS AVENA","DERIVADOS",B225="160 - SOUVENIR","OTROS",B225="148 - CARAMELOS","DERIVADOS",B225="143 - CHOCOFFES","DERIVADOS",B225="162 - CONVENIOS Y DSC POS ","OTROS"),"OTROS")</f>
        <v>GOURMET</v>
      </c>
      <c r="K225" s="62"/>
      <c r="L225" s="27">
        <f t="shared" si="23"/>
        <v>0</v>
      </c>
      <c r="M225" s="27">
        <f t="shared" si="24"/>
        <v>0</v>
      </c>
    </row>
    <row r="226" spans="1:13" ht="15.75" hidden="1" customHeight="1" outlineLevel="1">
      <c r="A226" s="44"/>
      <c r="B226" s="45" t="s">
        <v>31</v>
      </c>
      <c r="C226" s="46">
        <v>36000</v>
      </c>
      <c r="D226" s="46">
        <v>0</v>
      </c>
      <c r="E226" s="46"/>
      <c r="F226" s="46">
        <v>0</v>
      </c>
      <c r="G226" s="37" t="str">
        <f t="shared" si="25"/>
        <v>-</v>
      </c>
      <c r="H226" s="23">
        <f t="shared" si="21"/>
        <v>0</v>
      </c>
      <c r="I226" s="24">
        <f t="shared" si="21"/>
        <v>0</v>
      </c>
      <c r="J226" s="32" t="str" cm="1">
        <f t="array" ref="J226">IFERROR(_xlfn.IFS(B226="044 - BLEND TRADICION","BLEND",B226="113 - CAFÉ GOURMET","GOURMET",B226="114 - CAFÉ CONSUMO","CONSUMO",B226="112 - CAFÉ ORGANICO","GOURMET",B226="172 - CAFÉ COSECHA","ESPECIALES",B226="176 - CAFE DESCAFEINADO","GOURMET",B226="147 - CAPSULAS","CAPSULAS",B226="130 - GALLETAS CAFECITAS","DERIVADOS",B226="140 - MERENGUES","DERIVADOS",B226="100 - CAFÉ ESPECIAL","ESPECIALES",B226="141 - AREQUIPE","DERIVADOS",B226="142 - MERMELADA","DERIVADOS",B226="131 - GALLETAS AVENA","DERIVADOS",B226="160 - SOUVENIR","OTROS",B226="148 - CARAMELOS","DERIVADOS",B226="143 - CHOCOFFES","DERIVADOS",B226="162 - CONVENIOS Y DSC POS ","OTROS"),"OTROS")</f>
        <v>OTROS</v>
      </c>
      <c r="K226" s="62">
        <f t="shared" ref="K226" si="30">C226-E226</f>
        <v>36000</v>
      </c>
      <c r="L226" s="27">
        <f t="shared" si="23"/>
        <v>36000</v>
      </c>
      <c r="M226" s="27">
        <f t="shared" si="24"/>
        <v>36000</v>
      </c>
    </row>
    <row r="227" spans="1:13" ht="15.75" hidden="1" customHeight="1" outlineLevel="1">
      <c r="A227" s="19" t="s">
        <v>58</v>
      </c>
      <c r="B227" s="40" t="s">
        <v>32</v>
      </c>
      <c r="C227" s="41">
        <f>SUM(C212:C226)</f>
        <v>87173545</v>
      </c>
      <c r="D227" s="41">
        <f>SUM(D212:D226)</f>
        <v>0</v>
      </c>
      <c r="E227" s="41">
        <f>SUM(E212:E226)</f>
        <v>0</v>
      </c>
      <c r="F227" s="41">
        <f>SUM(F212:F226)</f>
        <v>242185563.47000003</v>
      </c>
      <c r="G227" s="42">
        <f t="shared" si="25"/>
        <v>0.35994525747525968</v>
      </c>
      <c r="H227" s="43">
        <f t="shared" si="21"/>
        <v>0</v>
      </c>
      <c r="I227" s="24">
        <f t="shared" si="21"/>
        <v>0</v>
      </c>
      <c r="J227" s="32" t="str" cm="1">
        <f t="array" ref="J227">IFERROR(_xlfn.IFS(B227="044 - BLEND TRADICION","BLEND",B227="113 - CAFÉ GOURMET","GOURMET",B227="114 - CAFÉ CONSUMO","CONSUMO",B227="112 - CAFÉ ORGANICO","GOURMET",B227="172 - CAFÉ COSECHA","ESPECIALES",B227="176 - CAFE DESCAFEINADO","GOURMET",B227="147 - CAPSULAS","CAPSULAS",B227="130 - GALLETAS CAFECITAS","DERIVADOS",B227="140 - MERENGUES","DERIVADOS",B227="100 - CAFÉ ESPECIAL","ESPECIALES",B227="141 - AREQUIPE","DERIVADOS",B227="142 - MERMELADA","DERIVADOS",B227="131 - GALLETAS AVENA","DERIVADOS",B227="160 - SOUVENIR","OTROS",B227="148 - CARAMELOS","DERIVADOS",B227="143 - CHOCOFFES","DERIVADOS",B227="162 - CONVENIOS Y DSC POS ","OTROS"),"OTROS")</f>
        <v>OTROS</v>
      </c>
      <c r="L227" s="27">
        <f t="shared" si="23"/>
        <v>87173545</v>
      </c>
      <c r="M227" s="27">
        <f t="shared" si="24"/>
        <v>87173545</v>
      </c>
    </row>
    <row r="228" spans="1:13" ht="16.5" collapsed="1">
      <c r="A228" s="28" t="s">
        <v>59</v>
      </c>
      <c r="B228" s="29" t="s">
        <v>17</v>
      </c>
      <c r="C228" s="30">
        <f>+C242</f>
        <v>106579299</v>
      </c>
      <c r="D228" s="30">
        <f>+D242</f>
        <v>-793064</v>
      </c>
      <c r="E228" s="30">
        <f>+E242</f>
        <v>0</v>
      </c>
      <c r="F228" s="30">
        <f>+F242</f>
        <v>278548044.25999999</v>
      </c>
      <c r="G228" s="31">
        <f t="shared" si="25"/>
        <v>0.38262447429183039</v>
      </c>
      <c r="H228" s="23">
        <f t="shared" si="21"/>
        <v>-7.3861092169499893E-3</v>
      </c>
      <c r="I228" s="24">
        <f t="shared" si="21"/>
        <v>0</v>
      </c>
      <c r="J228" s="32" t="str" cm="1">
        <f t="array" ref="J228">IFERROR(_xlfn.IFS(B228="044 - BLEND TRADICION","BLEND",B228="113 - CAFÉ GOURMET","GOURMET",B228="114 - CAFÉ CONSUMO","CONSUMO",B228="112 - CAFÉ ORGANICO","GOURMET",B228="172 - CAFÉ COSECHA","ESPECIALES",B228="176 - CAFE DESCAFEINADO","GOURMET",B228="147 - CAPSULAS","CAPSULAS",B228="130 - GALLETAS CAFECITAS","DERIVADOS",B228="140 - MERENGUES","DERIVADOS",B228="100 - CAFÉ ESPECIAL","ESPECIALES",B228="141 - AREQUIPE","DERIVADOS",B228="142 - MERMELADA","DERIVADOS",B228="131 - GALLETAS AVENA","DERIVADOS",B228="160 - SOUVENIR","OTROS",B228="148 - CARAMELOS","DERIVADOS",B228="143 - CHOCOFFES","DERIVADOS",B228="162 - CONVENIOS Y DSC POS ","OTROS"),"OTROS")</f>
        <v>OTROS</v>
      </c>
      <c r="K228" s="6"/>
      <c r="L228" s="27">
        <f t="shared" si="23"/>
        <v>107372363</v>
      </c>
      <c r="M228" s="27">
        <f t="shared" si="24"/>
        <v>107372363</v>
      </c>
    </row>
    <row r="229" spans="1:13" ht="15.75" hidden="1" customHeight="1" outlineLevel="2">
      <c r="A229" s="33"/>
      <c r="B229" s="45" t="s">
        <v>18</v>
      </c>
      <c r="C229" s="46">
        <v>5998400</v>
      </c>
      <c r="D229" s="46">
        <v>0</v>
      </c>
      <c r="E229" s="46">
        <v>0</v>
      </c>
      <c r="F229" s="35">
        <v>12548768.83</v>
      </c>
      <c r="G229" s="37">
        <f t="shared" si="25"/>
        <v>0.47800705242571595</v>
      </c>
      <c r="H229" s="23">
        <f t="shared" si="21"/>
        <v>0</v>
      </c>
      <c r="I229" s="24">
        <f t="shared" si="21"/>
        <v>0</v>
      </c>
      <c r="J229" s="32" t="str" cm="1">
        <f t="array" ref="J229">IFERROR(_xlfn.IFS(B229="044 - BLEND TRADICION","BLEND",B229="113 - CAFÉ GOURMET","GOURMET",B229="114 - CAFÉ CONSUMO","CONSUMO",B229="112 - CAFÉ ORGANICO","GOURMET",B229="172 - CAFÉ COSECHA","ESPECIALES",B229="176 - CAFE DESCAFEINADO","GOURMET",B229="147 - CAPSULAS","CAPSULAS",B229="130 - GALLETAS CAFECITAS","DERIVADOS",B229="140 - MERENGUES","DERIVADOS",B229="100 - CAFÉ ESPECIAL","ESPECIALES",B229="141 - AREQUIPE","DERIVADOS",B229="142 - MERMELADA","DERIVADOS",B229="131 - GALLETAS AVENA","DERIVADOS",B229="160 - SOUVENIR","OTROS",B229="148 - CARAMELOS","DERIVADOS",B229="143 - CHOCOFFES","DERIVADOS",B229="162 - CONVENIOS Y DSC POS ","OTROS"),"OTROS")</f>
        <v>BLEND</v>
      </c>
      <c r="K229" s="6"/>
      <c r="L229" s="27">
        <f t="shared" si="23"/>
        <v>5998400</v>
      </c>
      <c r="M229" s="27">
        <f t="shared" si="24"/>
        <v>5998400</v>
      </c>
    </row>
    <row r="230" spans="1:13" ht="15.75" hidden="1" customHeight="1" outlineLevel="2">
      <c r="A230" s="33"/>
      <c r="B230" s="45" t="s">
        <v>19</v>
      </c>
      <c r="C230" s="46">
        <v>10014416</v>
      </c>
      <c r="D230" s="46">
        <v>-171144</v>
      </c>
      <c r="E230" s="46"/>
      <c r="F230" s="35">
        <v>15024939.119999999</v>
      </c>
      <c r="G230" s="37">
        <f t="shared" si="25"/>
        <v>0.66651957255983885</v>
      </c>
      <c r="H230" s="23">
        <f t="shared" si="21"/>
        <v>-1.6802610754833313E-2</v>
      </c>
      <c r="I230" s="24">
        <f t="shared" si="21"/>
        <v>0</v>
      </c>
      <c r="J230" s="32" t="str" cm="1">
        <f t="array" ref="J230">IFERROR(_xlfn.IFS(B230="044 - BLEND TRADICION","BLEND",B230="113 - CAFÉ GOURMET","GOURMET",B230="114 - CAFÉ CONSUMO","CONSUMO",B230="112 - CAFÉ ORGANICO","GOURMET",B230="172 - CAFÉ COSECHA","ESPECIALES",B230="176 - CAFE DESCAFEINADO","GOURMET",B230="147 - CAPSULAS","CAPSULAS",B230="130 - GALLETAS CAFECITAS","DERIVADOS",B230="140 - MERENGUES","DERIVADOS",B230="100 - CAFÉ ESPECIAL","ESPECIALES",B230="141 - AREQUIPE","DERIVADOS",B230="142 - MERMELADA","DERIVADOS",B230="131 - GALLETAS AVENA","DERIVADOS",B230="160 - SOUVENIR","OTROS",B230="148 - CARAMELOS","DERIVADOS",B230="143 - CHOCOFFES","DERIVADOS",B230="162 - CONVENIOS Y DSC POS ","OTROS"),"OTROS")</f>
        <v>ESPECIALES</v>
      </c>
      <c r="K230" s="6"/>
      <c r="L230" s="27">
        <f t="shared" si="23"/>
        <v>10185560</v>
      </c>
      <c r="M230" s="27">
        <f t="shared" si="24"/>
        <v>10185560</v>
      </c>
    </row>
    <row r="231" spans="1:13" ht="15.75" hidden="1" customHeight="1" outlineLevel="2">
      <c r="A231" s="38"/>
      <c r="B231" s="45" t="s">
        <v>20</v>
      </c>
      <c r="C231" s="46">
        <v>5012197</v>
      </c>
      <c r="D231" s="46">
        <v>0</v>
      </c>
      <c r="E231" s="46">
        <v>0</v>
      </c>
      <c r="F231" s="36">
        <v>16967408.859999999</v>
      </c>
      <c r="G231" s="37">
        <f t="shared" si="25"/>
        <v>0.29540143939220193</v>
      </c>
      <c r="H231" s="23">
        <f t="shared" si="21"/>
        <v>0</v>
      </c>
      <c r="I231" s="24">
        <f t="shared" si="21"/>
        <v>0</v>
      </c>
      <c r="J231" s="32" t="str" cm="1">
        <f t="array" ref="J231">IFERROR(_xlfn.IFS(B231="044 - BLEND TRADICION","BLEND",B231="113 - CAFÉ GOURMET","GOURMET",B231="114 - CAFÉ CONSUMO","CONSUMO",B231="112 - CAFÉ ORGANICO","GOURMET",B231="172 - CAFÉ COSECHA","ESPECIALES",B231="176 - CAFE DESCAFEINADO","GOURMET",B231="147 - CAPSULAS","CAPSULAS",B231="130 - GALLETAS CAFECITAS","DERIVADOS",B231="140 - MERENGUES","DERIVADOS",B231="100 - CAFÉ ESPECIAL","ESPECIALES",B231="141 - AREQUIPE","DERIVADOS",B231="142 - MERMELADA","DERIVADOS",B231="131 - GALLETAS AVENA","DERIVADOS",B231="160 - SOUVENIR","OTROS",B231="148 - CARAMELOS","DERIVADOS",B231="143 - CHOCOFFES","DERIVADOS",B231="162 - CONVENIOS Y DSC POS ","OTROS"),"OTROS")</f>
        <v>GOURMET</v>
      </c>
      <c r="K231" s="6"/>
      <c r="L231" s="27">
        <f t="shared" si="23"/>
        <v>5012197</v>
      </c>
      <c r="M231" s="27">
        <f t="shared" si="24"/>
        <v>5012197</v>
      </c>
    </row>
    <row r="232" spans="1:13" ht="15.75" hidden="1" customHeight="1" outlineLevel="2">
      <c r="A232" s="38"/>
      <c r="B232" s="45" t="s">
        <v>21</v>
      </c>
      <c r="C232" s="46">
        <v>59947162</v>
      </c>
      <c r="D232" s="46">
        <v>0</v>
      </c>
      <c r="E232" s="46">
        <v>0</v>
      </c>
      <c r="F232" s="36">
        <v>189138509.15000001</v>
      </c>
      <c r="G232" s="37">
        <f t="shared" si="25"/>
        <v>0.3169484747945101</v>
      </c>
      <c r="H232" s="23">
        <f t="shared" si="21"/>
        <v>0</v>
      </c>
      <c r="I232" s="24">
        <f t="shared" si="21"/>
        <v>0</v>
      </c>
      <c r="J232" s="32" t="str" cm="1">
        <f t="array" ref="J232">IFERROR(_xlfn.IFS(B232="044 - BLEND TRADICION","BLEND",B232="113 - CAFÉ GOURMET","GOURMET",B232="114 - CAFÉ CONSUMO","CONSUMO",B232="112 - CAFÉ ORGANICO","GOURMET",B232="172 - CAFÉ COSECHA","ESPECIALES",B232="176 - CAFE DESCAFEINADO","GOURMET",B232="147 - CAPSULAS","CAPSULAS",B232="130 - GALLETAS CAFECITAS","DERIVADOS",B232="140 - MERENGUES","DERIVADOS",B232="100 - CAFÉ ESPECIAL","ESPECIALES",B232="141 - AREQUIPE","DERIVADOS",B232="142 - MERMELADA","DERIVADOS",B232="131 - GALLETAS AVENA","DERIVADOS",B232="160 - SOUVENIR","OTROS",B232="148 - CARAMELOS","DERIVADOS",B232="143 - CHOCOFFES","DERIVADOS",B232="162 - CONVENIOS Y DSC POS ","OTROS"),"OTROS")</f>
        <v>GOURMET</v>
      </c>
      <c r="K232" s="6"/>
      <c r="L232" s="27">
        <f t="shared" si="23"/>
        <v>59947162</v>
      </c>
      <c r="M232" s="27">
        <f t="shared" si="24"/>
        <v>59947162</v>
      </c>
    </row>
    <row r="233" spans="1:13" ht="15.75" hidden="1" customHeight="1" outlineLevel="2">
      <c r="A233" s="38"/>
      <c r="B233" s="45" t="s">
        <v>38</v>
      </c>
      <c r="C233" s="46">
        <v>0</v>
      </c>
      <c r="D233" s="46">
        <v>0</v>
      </c>
      <c r="E233" s="46">
        <v>0</v>
      </c>
      <c r="F233" s="36">
        <v>1194829.97</v>
      </c>
      <c r="G233" s="37">
        <f t="shared" si="25"/>
        <v>0</v>
      </c>
      <c r="H233" s="23">
        <f t="shared" si="21"/>
        <v>0</v>
      </c>
      <c r="I233" s="24">
        <f t="shared" si="21"/>
        <v>0</v>
      </c>
      <c r="J233" s="32" t="str" cm="1">
        <f t="array" ref="J233">IFERROR(_xlfn.IFS(B233="044 - BLEND TRADICION","BLEND",B233="113 - CAFÉ GOURMET","GOURMET",B233="114 - CAFÉ CONSUMO","CONSUMO",B233="112 - CAFÉ ORGANICO","GOURMET",B233="172 - CAFÉ COSECHA","ESPECIALES",B233="176 - CAFE DESCAFEINADO","GOURMET",B233="147 - CAPSULAS","CAPSULAS",B233="130 - GALLETAS CAFECITAS","DERIVADOS",B233="140 - MERENGUES","DERIVADOS",B233="100 - CAFÉ ESPECIAL","ESPECIALES",B233="141 - AREQUIPE","DERIVADOS",B233="142 - MERMELADA","DERIVADOS",B233="131 - GALLETAS AVENA","DERIVADOS",B233="160 - SOUVENIR","OTROS",B233="148 - CARAMELOS","DERIVADOS",B233="143 - CHOCOFFES","DERIVADOS",B233="162 - CONVENIOS Y DSC POS ","OTROS"),"OTROS")</f>
        <v>CONSUMO</v>
      </c>
      <c r="K233" s="6"/>
      <c r="L233" s="27">
        <f t="shared" si="23"/>
        <v>0</v>
      </c>
      <c r="M233" s="27">
        <f t="shared" si="24"/>
        <v>0</v>
      </c>
    </row>
    <row r="234" spans="1:13" ht="15.75" hidden="1" customHeight="1" outlineLevel="2">
      <c r="A234" s="38"/>
      <c r="B234" s="45" t="s">
        <v>22</v>
      </c>
      <c r="C234" s="46">
        <v>2894353</v>
      </c>
      <c r="D234" s="46">
        <v>-10640</v>
      </c>
      <c r="E234" s="46"/>
      <c r="F234" s="36">
        <v>4066253.4</v>
      </c>
      <c r="G234" s="37">
        <f t="shared" si="25"/>
        <v>0.71179848260317469</v>
      </c>
      <c r="H234" s="23">
        <f t="shared" si="21"/>
        <v>-3.6626594280950073E-3</v>
      </c>
      <c r="I234" s="24">
        <f t="shared" si="21"/>
        <v>0</v>
      </c>
      <c r="J234" s="32" t="str" cm="1">
        <f t="array" ref="J234">IFERROR(_xlfn.IFS(B234="044 - BLEND TRADICION","BLEND",B234="113 - CAFÉ GOURMET","GOURMET",B234="114 - CAFÉ CONSUMO","CONSUMO",B234="112 - CAFÉ ORGANICO","GOURMET",B234="172 - CAFÉ COSECHA","ESPECIALES",B234="176 - CAFE DESCAFEINADO","GOURMET",B234="147 - CAPSULAS","CAPSULAS",B234="130 - GALLETAS CAFECITAS","DERIVADOS",B234="140 - MERENGUES","DERIVADOS",B234="100 - CAFÉ ESPECIAL","ESPECIALES",B234="141 - AREQUIPE","DERIVADOS",B234="142 - MERMELADA","DERIVADOS",B234="131 - GALLETAS AVENA","DERIVADOS",B234="160 - SOUVENIR","OTROS",B234="148 - CARAMELOS","DERIVADOS",B234="143 - CHOCOFFES","DERIVADOS",B234="162 - CONVENIOS Y DSC POS ","OTROS"),"OTROS")</f>
        <v>DERIVADOS</v>
      </c>
      <c r="K234" s="6"/>
      <c r="L234" s="27">
        <f t="shared" si="23"/>
        <v>2904993</v>
      </c>
      <c r="M234" s="27">
        <f t="shared" si="24"/>
        <v>2904993</v>
      </c>
    </row>
    <row r="235" spans="1:13" ht="15.75" hidden="1" customHeight="1" outlineLevel="2">
      <c r="A235" s="38"/>
      <c r="B235" s="45" t="s">
        <v>24</v>
      </c>
      <c r="C235" s="46">
        <v>210683</v>
      </c>
      <c r="D235" s="46">
        <v>0</v>
      </c>
      <c r="E235" s="46"/>
      <c r="F235" s="36">
        <v>552955.56000000006</v>
      </c>
      <c r="G235" s="37">
        <f t="shared" si="25"/>
        <v>0.38101253561859472</v>
      </c>
      <c r="H235" s="23">
        <f t="shared" si="21"/>
        <v>0</v>
      </c>
      <c r="I235" s="24">
        <f t="shared" si="21"/>
        <v>0</v>
      </c>
      <c r="J235" s="32" t="str" cm="1">
        <f t="array" ref="J235">IFERROR(_xlfn.IFS(B235="044 - BLEND TRADICION","BLEND",B235="113 - CAFÉ GOURMET","GOURMET",B235="114 - CAFÉ CONSUMO","CONSUMO",B235="112 - CAFÉ ORGANICO","GOURMET",B235="172 - CAFÉ COSECHA","ESPECIALES",B235="176 - CAFE DESCAFEINADO","GOURMET",B235="147 - CAPSULAS","CAPSULAS",B235="130 - GALLETAS CAFECITAS","DERIVADOS",B235="140 - MERENGUES","DERIVADOS",B235="100 - CAFÉ ESPECIAL","ESPECIALES",B235="141 - AREQUIPE","DERIVADOS",B235="142 - MERMELADA","DERIVADOS",B235="131 - GALLETAS AVENA","DERIVADOS",B235="160 - SOUVENIR","OTROS",B235="148 - CARAMELOS","DERIVADOS",B235="143 - CHOCOFFES","DERIVADOS",B235="162 - CONVENIOS Y DSC POS ","OTROS"),"OTROS")</f>
        <v>DERIVADOS</v>
      </c>
      <c r="K235" s="6"/>
      <c r="L235" s="27">
        <f t="shared" si="23"/>
        <v>210683</v>
      </c>
      <c r="M235" s="27">
        <f t="shared" si="24"/>
        <v>210683</v>
      </c>
    </row>
    <row r="236" spans="1:13" ht="15.75" hidden="1" customHeight="1" outlineLevel="2">
      <c r="A236" s="38"/>
      <c r="B236" s="45" t="s">
        <v>25</v>
      </c>
      <c r="C236" s="46">
        <v>1473412</v>
      </c>
      <c r="D236" s="46">
        <v>0</v>
      </c>
      <c r="E236" s="46"/>
      <c r="F236" s="36">
        <v>2361213.7599999998</v>
      </c>
      <c r="G236" s="37">
        <f t="shared" si="25"/>
        <v>0.62400618908810701</v>
      </c>
      <c r="H236" s="23">
        <f t="shared" si="21"/>
        <v>0</v>
      </c>
      <c r="I236" s="24">
        <f t="shared" si="21"/>
        <v>0</v>
      </c>
      <c r="J236" s="32" t="str" cm="1">
        <f t="array" ref="J236">IFERROR(_xlfn.IFS(B236="044 - BLEND TRADICION","BLEND",B236="113 - CAFÉ GOURMET","GOURMET",B236="114 - CAFÉ CONSUMO","CONSUMO",B236="112 - CAFÉ ORGANICO","GOURMET",B236="172 - CAFÉ COSECHA","ESPECIALES",B236="176 - CAFE DESCAFEINADO","GOURMET",B236="147 - CAPSULAS","CAPSULAS",B236="130 - GALLETAS CAFECITAS","DERIVADOS",B236="140 - MERENGUES","DERIVADOS",B236="100 - CAFÉ ESPECIAL","ESPECIALES",B236="141 - AREQUIPE","DERIVADOS",B236="142 - MERMELADA","DERIVADOS",B236="131 - GALLETAS AVENA","DERIVADOS",B236="160 - SOUVENIR","OTROS",B236="148 - CARAMELOS","DERIVADOS",B236="143 - CHOCOFFES","DERIVADOS",B236="162 - CONVENIOS Y DSC POS ","OTROS"),"OTROS")</f>
        <v>DERIVADOS</v>
      </c>
      <c r="K236" s="6"/>
      <c r="L236" s="27">
        <f t="shared" si="23"/>
        <v>1473412</v>
      </c>
      <c r="M236" s="27">
        <f t="shared" si="24"/>
        <v>1473412</v>
      </c>
    </row>
    <row r="237" spans="1:13" ht="15.75" hidden="1" customHeight="1" outlineLevel="2">
      <c r="A237" s="38"/>
      <c r="B237" s="45" t="s">
        <v>26</v>
      </c>
      <c r="C237" s="46">
        <v>3766569</v>
      </c>
      <c r="D237" s="46">
        <v>0</v>
      </c>
      <c r="E237" s="46"/>
      <c r="F237" s="36">
        <v>4996182.5999999996</v>
      </c>
      <c r="G237" s="37">
        <f t="shared" si="25"/>
        <v>0.75388937946343282</v>
      </c>
      <c r="H237" s="23">
        <f t="shared" si="21"/>
        <v>0</v>
      </c>
      <c r="I237" s="24">
        <f t="shared" si="21"/>
        <v>0</v>
      </c>
      <c r="J237" s="32" t="str" cm="1">
        <f t="array" ref="J237">IFERROR(_xlfn.IFS(B237="044 - BLEND TRADICION","BLEND",B237="113 - CAFÉ GOURMET","GOURMET",B237="114 - CAFÉ CONSUMO","CONSUMO",B237="112 - CAFÉ ORGANICO","GOURMET",B237="172 - CAFÉ COSECHA","ESPECIALES",B237="176 - CAFE DESCAFEINADO","GOURMET",B237="147 - CAPSULAS","CAPSULAS",B237="130 - GALLETAS CAFECITAS","DERIVADOS",B237="140 - MERENGUES","DERIVADOS",B237="100 - CAFÉ ESPECIAL","ESPECIALES",B237="141 - AREQUIPE","DERIVADOS",B237="142 - MERMELADA","DERIVADOS",B237="131 - GALLETAS AVENA","DERIVADOS",B237="160 - SOUVENIR","OTROS",B237="148 - CARAMELOS","DERIVADOS",B237="143 - CHOCOFFES","DERIVADOS",B237="162 - CONVENIOS Y DSC POS ","OTROS"),"OTROS")</f>
        <v>CAPSULAS</v>
      </c>
      <c r="K237" s="6"/>
      <c r="L237" s="27">
        <f t="shared" si="23"/>
        <v>3766569</v>
      </c>
      <c r="M237" s="27">
        <f t="shared" si="24"/>
        <v>3766569</v>
      </c>
    </row>
    <row r="238" spans="1:13" ht="15.75" hidden="1" customHeight="1" outlineLevel="2">
      <c r="A238" s="38"/>
      <c r="B238" s="45" t="s">
        <v>27</v>
      </c>
      <c r="C238" s="46">
        <v>446486</v>
      </c>
      <c r="D238" s="46">
        <v>0</v>
      </c>
      <c r="E238" s="46">
        <v>0</v>
      </c>
      <c r="F238" s="36">
        <v>1098154.5900000001</v>
      </c>
      <c r="G238" s="37">
        <f t="shared" si="25"/>
        <v>0.4065784581385759</v>
      </c>
      <c r="H238" s="23">
        <f t="shared" si="21"/>
        <v>0</v>
      </c>
      <c r="I238" s="24">
        <f t="shared" si="21"/>
        <v>0</v>
      </c>
      <c r="J238" s="32" t="str" cm="1">
        <f t="array" ref="J238">IFERROR(_xlfn.IFS(B238="044 - BLEND TRADICION","BLEND",B238="113 - CAFÉ GOURMET","GOURMET",B238="114 - CAFÉ CONSUMO","CONSUMO",B238="112 - CAFÉ ORGANICO","GOURMET",B238="172 - CAFÉ COSECHA","ESPECIALES",B238="176 - CAFE DESCAFEINADO","GOURMET",B238="147 - CAPSULAS","CAPSULAS",B238="130 - GALLETAS CAFECITAS","DERIVADOS",B238="140 - MERENGUES","DERIVADOS",B238="100 - CAFÉ ESPECIAL","ESPECIALES",B238="141 - AREQUIPE","DERIVADOS",B238="142 - MERMELADA","DERIVADOS",B238="131 - GALLETAS AVENA","DERIVADOS",B238="160 - SOUVENIR","OTROS",B238="148 - CARAMELOS","DERIVADOS",B238="143 - CHOCOFFES","DERIVADOS",B238="162 - CONVENIOS Y DSC POS ","OTROS"),"OTROS")</f>
        <v>DERIVADOS</v>
      </c>
      <c r="K238" s="6"/>
      <c r="L238" s="27">
        <f t="shared" si="23"/>
        <v>446486</v>
      </c>
      <c r="M238" s="27">
        <f t="shared" si="24"/>
        <v>446486</v>
      </c>
    </row>
    <row r="239" spans="1:13" ht="15.75" hidden="1" customHeight="1" outlineLevel="2">
      <c r="A239" s="38"/>
      <c r="B239" s="45" t="s">
        <v>28</v>
      </c>
      <c r="C239" s="46">
        <v>4742418</v>
      </c>
      <c r="D239" s="46">
        <v>0</v>
      </c>
      <c r="E239" s="46"/>
      <c r="F239" s="36">
        <v>4332933.07</v>
      </c>
      <c r="G239" s="37">
        <f t="shared" si="25"/>
        <v>1.094505251612391</v>
      </c>
      <c r="H239" s="23">
        <f t="shared" si="21"/>
        <v>0</v>
      </c>
      <c r="I239" s="24">
        <f t="shared" si="21"/>
        <v>0</v>
      </c>
      <c r="J239" s="32" t="str" cm="1">
        <f t="array" ref="J239">IFERROR(_xlfn.IFS(B239="044 - BLEND TRADICION","BLEND",B239="113 - CAFÉ GOURMET","GOURMET",B239="114 - CAFÉ CONSUMO","CONSUMO",B239="112 - CAFÉ ORGANICO","GOURMET",B239="172 - CAFÉ COSECHA","ESPECIALES",B239="176 - CAFE DESCAFEINADO","GOURMET",B239="147 - CAPSULAS","CAPSULAS",B239="130 - GALLETAS CAFECITAS","DERIVADOS",B239="140 - MERENGUES","DERIVADOS",B239="100 - CAFÉ ESPECIAL","ESPECIALES",B239="141 - AREQUIPE","DERIVADOS",B239="142 - MERMELADA","DERIVADOS",B239="131 - GALLETAS AVENA","DERIVADOS",B239="160 - SOUVENIR","OTROS",B239="148 - CARAMELOS","DERIVADOS",B239="143 - CHOCOFFES","DERIVADOS",B239="162 - CONVENIOS Y DSC POS ","OTROS"),"OTROS")</f>
        <v>OTROS</v>
      </c>
      <c r="K239" s="6"/>
      <c r="L239" s="27">
        <f t="shared" si="23"/>
        <v>4742418</v>
      </c>
      <c r="M239" s="27">
        <f t="shared" si="24"/>
        <v>4742418</v>
      </c>
    </row>
    <row r="240" spans="1:13" ht="15.75" hidden="1" customHeight="1" outlineLevel="2">
      <c r="A240" s="38"/>
      <c r="B240" s="45" t="s">
        <v>29</v>
      </c>
      <c r="C240" s="46">
        <v>8846841</v>
      </c>
      <c r="D240" s="46">
        <v>-611280</v>
      </c>
      <c r="E240" s="46"/>
      <c r="F240" s="36">
        <v>19696186.350000001</v>
      </c>
      <c r="G240" s="37">
        <f t="shared" si="25"/>
        <v>0.44916517557217361</v>
      </c>
      <c r="H240" s="23">
        <f t="shared" si="21"/>
        <v>-6.463017337164538E-2</v>
      </c>
      <c r="I240" s="24">
        <f t="shared" si="21"/>
        <v>0</v>
      </c>
      <c r="J240" s="32" t="str" cm="1">
        <f t="array" ref="J240">IFERROR(_xlfn.IFS(B240="044 - BLEND TRADICION","BLEND",B240="113 - CAFÉ GOURMET","GOURMET",B240="114 - CAFÉ CONSUMO","CONSUMO",B240="112 - CAFÉ ORGANICO","GOURMET",B240="172 - CAFÉ COSECHA","ESPECIALES",B240="176 - CAFE DESCAFEINADO","GOURMET",B240="147 - CAPSULAS","CAPSULAS",B240="130 - GALLETAS CAFECITAS","DERIVADOS",B240="140 - MERENGUES","DERIVADOS",B240="100 - CAFÉ ESPECIAL","ESPECIALES",B240="141 - AREQUIPE","DERIVADOS",B240="142 - MERMELADA","DERIVADOS",B240="131 - GALLETAS AVENA","DERIVADOS",B240="160 - SOUVENIR","OTROS",B240="148 - CARAMELOS","DERIVADOS",B240="143 - CHOCOFFES","DERIVADOS",B240="162 - CONVENIOS Y DSC POS ","OTROS"),"OTROS")</f>
        <v>ESPECIALES</v>
      </c>
      <c r="K240" s="6"/>
      <c r="L240" s="27">
        <f t="shared" si="23"/>
        <v>9458121</v>
      </c>
      <c r="M240" s="27">
        <f t="shared" si="24"/>
        <v>9458121</v>
      </c>
    </row>
    <row r="241" spans="1:13" ht="15.75" hidden="1" customHeight="1" outlineLevel="2">
      <c r="A241" s="38"/>
      <c r="B241" s="45" t="s">
        <v>30</v>
      </c>
      <c r="C241" s="46">
        <v>3226362</v>
      </c>
      <c r="D241" s="46">
        <v>0</v>
      </c>
      <c r="E241" s="46"/>
      <c r="F241" s="36">
        <v>6569709</v>
      </c>
      <c r="G241" s="37">
        <f t="shared" si="25"/>
        <v>0.49109663761362948</v>
      </c>
      <c r="H241" s="23">
        <f t="shared" si="21"/>
        <v>0</v>
      </c>
      <c r="I241" s="24">
        <f>IFERROR(+E241/M241*100%,0)</f>
        <v>0</v>
      </c>
      <c r="J241" s="32" t="str" cm="1">
        <f t="array" ref="J241">IFERROR(_xlfn.IFS(B241="044 - BLEND TRADICION","BLEND",B241="113 - CAFÉ GOURMET","GOURMET",B241="114 - CAFÉ CONSUMO","CONSUMO",B241="112 - CAFÉ ORGANICO","GOURMET",B241="172 - CAFÉ COSECHA","ESPECIALES",B241="176 - CAFE DESCAFEINADO","GOURMET",B241="147 - CAPSULAS","CAPSULAS",B241="130 - GALLETAS CAFECITAS","DERIVADOS",B241="140 - MERENGUES","DERIVADOS",B241="100 - CAFÉ ESPECIAL","ESPECIALES",B241="141 - AREQUIPE","DERIVADOS",B241="142 - MERMELADA","DERIVADOS",B241="131 - GALLETAS AVENA","DERIVADOS",B241="160 - SOUVENIR","OTROS",B241="148 - CARAMELOS","DERIVADOS",B241="143 - CHOCOFFES","DERIVADOS",B241="162 - CONVENIOS Y DSC POS ","OTROS"),"OTROS")</f>
        <v>GOURMET</v>
      </c>
      <c r="K241" s="6"/>
      <c r="L241" s="27">
        <f>C241-(D241+E241)</f>
        <v>3226362</v>
      </c>
      <c r="M241" s="27">
        <f t="shared" si="24"/>
        <v>3226362</v>
      </c>
    </row>
    <row r="242" spans="1:13" ht="15.75" hidden="1" customHeight="1" outlineLevel="2">
      <c r="A242" s="19" t="s">
        <v>60</v>
      </c>
      <c r="B242" s="56" t="s">
        <v>32</v>
      </c>
      <c r="C242" s="54">
        <f>SUM(C229:C241)</f>
        <v>106579299</v>
      </c>
      <c r="D242" s="54">
        <f>SUM(D229:D241)</f>
        <v>-793064</v>
      </c>
      <c r="E242" s="54">
        <f>SUM(E229:E241)</f>
        <v>0</v>
      </c>
      <c r="F242" s="58">
        <f>SUM(F229:F241)</f>
        <v>278548044.25999999</v>
      </c>
      <c r="G242" s="55">
        <f t="shared" si="25"/>
        <v>0.38262447429183039</v>
      </c>
      <c r="H242" s="23">
        <f t="shared" si="21"/>
        <v>-7.3861092169499893E-3</v>
      </c>
      <c r="I242" s="24">
        <f>IFERROR(+E242/M242*100%,0)</f>
        <v>0</v>
      </c>
      <c r="J242" s="32" t="str" cm="1">
        <f t="array" ref="J242">IFERROR(_xlfn.IFS(B242="044 - BLEND TRADICION","BLEND",B242="113 - CAFÉ GOURMET","GOURMET",B242="114 - CAFÉ CONSUMO","CONSUMO",B242="112 - CAFÉ ORGANICO","GOURMET",B242="172 - CAFÉ COSECHA","ESPECIALES",B242="176 - CAFE DESCAFEINADO","GOURMET",B242="147 - CAPSULAS","CAPSULAS",B242="130 - GALLETAS CAFECITAS","DERIVADOS",B242="140 - MERENGUES","DERIVADOS",B242="100 - CAFÉ ESPECIAL","ESPECIALES",B242="141 - AREQUIPE","DERIVADOS",B242="142 - MERMELADA","DERIVADOS",B242="131 - GALLETAS AVENA","DERIVADOS",B242="160 - SOUVENIR","OTROS",B242="148 - CARAMELOS","DERIVADOS",B242="143 - CHOCOFFES","DERIVADOS",B242="162 - CONVENIOS Y DSC POS ","OTROS"),"OTROS")</f>
        <v>OTROS</v>
      </c>
      <c r="K242" s="6"/>
      <c r="L242" s="27">
        <f>C242-(D242+E242)</f>
        <v>107372363</v>
      </c>
      <c r="M242" s="27">
        <f t="shared" si="24"/>
        <v>107372363</v>
      </c>
    </row>
    <row r="243" spans="1:13" ht="16.5" collapsed="1">
      <c r="A243" s="28" t="s">
        <v>61</v>
      </c>
      <c r="B243" s="29" t="s">
        <v>17</v>
      </c>
      <c r="C243" s="30">
        <f>+C246+C254+C258</f>
        <v>217037419</v>
      </c>
      <c r="D243" s="30"/>
      <c r="E243" s="30">
        <f>+E246+E254+E258</f>
        <v>-185271</v>
      </c>
      <c r="F243" s="30">
        <f>+F246+F254+F258</f>
        <v>468781637.60000002</v>
      </c>
      <c r="G243" s="31">
        <f t="shared" si="25"/>
        <v>0.46298191224203356</v>
      </c>
      <c r="H243" s="23">
        <f t="shared" si="21"/>
        <v>0</v>
      </c>
      <c r="I243" s="24">
        <f t="shared" si="21"/>
        <v>-8.5290813772723282E-4</v>
      </c>
      <c r="J243" s="32" t="str" cm="1">
        <f t="array" ref="J243">IFERROR(_xlfn.IFS(B243="044 - BLEND TRADICION","BLEND",B243="113 - CAFÉ GOURMET","GOURMET",B243="114 - CAFÉ CONSUMO","CONSUMO",B243="112 - CAFÉ ORGANICO","GOURMET",B243="172 - CAFÉ COSECHA","ESPECIALES",B243="176 - CAFE DESCAFEINADO","GOURMET",B243="147 - CAPSULAS","CAPSULAS",B243="130 - GALLETAS CAFECITAS","DERIVADOS",B243="140 - MERENGUES","DERIVADOS",B243="100 - CAFÉ ESPECIAL","ESPECIALES",B243="141 - AREQUIPE","DERIVADOS",B243="142 - MERMELADA","DERIVADOS",B243="131 - GALLETAS AVENA","DERIVADOS",B243="160 - SOUVENIR","OTROS",B243="148 - CARAMELOS","DERIVADOS",B243="143 - CHOCOFFES","DERIVADOS",B243="162 - CONVENIOS Y DSC POS ","OTROS"),"OTROS")</f>
        <v>OTROS</v>
      </c>
      <c r="K243" s="6"/>
      <c r="L243" s="27">
        <f t="shared" ref="L243:L250" si="31">C243-(D243+E243)</f>
        <v>217222690</v>
      </c>
      <c r="M243" s="27">
        <f t="shared" si="24"/>
        <v>217222690</v>
      </c>
    </row>
    <row r="244" spans="1:13" ht="15.75" hidden="1" customHeight="1" outlineLevel="1">
      <c r="A244" s="33"/>
      <c r="B244" s="45" t="s">
        <v>62</v>
      </c>
      <c r="C244" s="46">
        <v>39351</v>
      </c>
      <c r="D244" s="46">
        <v>0</v>
      </c>
      <c r="E244" s="46">
        <v>0</v>
      </c>
      <c r="F244" s="46">
        <v>0</v>
      </c>
      <c r="G244" s="37" t="str">
        <f t="shared" si="25"/>
        <v>-</v>
      </c>
      <c r="H244" s="23">
        <f t="shared" si="21"/>
        <v>0</v>
      </c>
      <c r="I244" s="24">
        <f t="shared" si="21"/>
        <v>0</v>
      </c>
      <c r="J244" s="32" t="str" cm="1">
        <f t="array" ref="J244">IFERROR(_xlfn.IFS(B244="044 - BLEND TRADICION","BLEND",B244="113 - CAFÉ GOURMET","GOURMET",B244="114 - CAFÉ CONSUMO","CONSUMO",B244="112 - CAFÉ ORGANICO","GOURMET",B244="172 - CAFÉ COSECHA","ESPECIALES",B244="176 - CAFE DESCAFEINADO","GOURMET",B244="147 - CAPSULAS","CAPSULAS",B244="130 - GALLETAS CAFECITAS","DERIVADOS",B244="140 - MERENGUES","DERIVADOS",B244="100 - CAFÉ ESPECIAL","ESPECIALES",B244="141 - AREQUIPE","DERIVADOS",B244="142 - MERMELADA","DERIVADOS",B244="131 - GALLETAS AVENA","DERIVADOS",B244="160 - SOUVENIR","OTROS",B244="148 - CARAMELOS","DERIVADOS",B244="143 - CHOCOFFES","DERIVADOS",B244="162 - CONVENIOS Y DSC POS ","OTROS"),"OTROS")</f>
        <v>OTROS</v>
      </c>
      <c r="K244" s="6"/>
      <c r="L244" s="27">
        <f t="shared" si="31"/>
        <v>39351</v>
      </c>
      <c r="M244" s="27">
        <f t="shared" si="24"/>
        <v>39351</v>
      </c>
    </row>
    <row r="245" spans="1:13" ht="15.75" hidden="1" customHeight="1" outlineLevel="1">
      <c r="A245" s="33"/>
      <c r="B245" s="45" t="s">
        <v>39</v>
      </c>
      <c r="C245" s="46">
        <v>11800000</v>
      </c>
      <c r="D245" s="46">
        <v>0</v>
      </c>
      <c r="E245" s="46"/>
      <c r="F245" s="46">
        <v>0</v>
      </c>
      <c r="G245" s="37" t="str">
        <f t="shared" si="25"/>
        <v>-</v>
      </c>
      <c r="H245" s="23">
        <f t="shared" si="21"/>
        <v>0</v>
      </c>
      <c r="I245" s="24">
        <f t="shared" si="21"/>
        <v>0</v>
      </c>
      <c r="J245" s="32" t="str" cm="1">
        <f t="array" ref="J245">IFERROR(_xlfn.IFS(B245="044 - BLEND TRADICION","BLEND",B245="113 - CAFÉ GOURMET","GOURMET",B245="114 - CAFÉ CONSUMO","CONSUMO",B245="112 - CAFÉ ORGANICO","GOURMET",B245="172 - CAFÉ COSECHA","ESPECIALES",B245="176 - CAFE DESCAFEINADO","GOURMET",B245="147 - CAPSULAS","CAPSULAS",B245="130 - GALLETAS CAFECITAS","DERIVADOS",B245="140 - MERENGUES","DERIVADOS",B245="100 - CAFÉ ESPECIAL","ESPECIALES",B245="141 - AREQUIPE","DERIVADOS",B245="142 - MERMELADA","DERIVADOS",B245="131 - GALLETAS AVENA","DERIVADOS",B245="160 - SOUVENIR","OTROS",B245="148 - CARAMELOS","DERIVADOS",B245="143 - CHOCOFFES","DERIVADOS",B245="162 - CONVENIOS Y DSC POS ","OTROS"),"OTROS")</f>
        <v>OTROS</v>
      </c>
      <c r="K245" s="6"/>
      <c r="L245" s="27">
        <f t="shared" si="31"/>
        <v>11800000</v>
      </c>
      <c r="M245" s="27">
        <f t="shared" si="24"/>
        <v>11800000</v>
      </c>
    </row>
    <row r="246" spans="1:13" ht="15.75" hidden="1" customHeight="1" outlineLevel="1">
      <c r="A246" s="52" t="s">
        <v>63</v>
      </c>
      <c r="B246" s="20" t="s">
        <v>32</v>
      </c>
      <c r="C246" s="21">
        <f>SUM(C244:C245)</f>
        <v>11839351</v>
      </c>
      <c r="D246" s="21"/>
      <c r="E246" s="21">
        <v>0</v>
      </c>
      <c r="F246" s="21">
        <v>0</v>
      </c>
      <c r="G246" s="55" t="str">
        <f t="shared" si="25"/>
        <v>-</v>
      </c>
      <c r="H246" s="23">
        <f t="shared" si="21"/>
        <v>0</v>
      </c>
      <c r="I246" s="24">
        <f t="shared" si="21"/>
        <v>0</v>
      </c>
      <c r="J246" s="32" t="str" cm="1">
        <f t="array" ref="J246">IFERROR(_xlfn.IFS(B246="044 - BLEND TRADICION","BLEND",B246="113 - CAFÉ GOURMET","GOURMET",B246="114 - CAFÉ CONSUMO","CONSUMO",B246="112 - CAFÉ ORGANICO","GOURMET",B246="172 - CAFÉ COSECHA","ESPECIALES",B246="176 - CAFE DESCAFEINADO","GOURMET",B246="147 - CAPSULAS","CAPSULAS",B246="130 - GALLETAS CAFECITAS","DERIVADOS",B246="140 - MERENGUES","DERIVADOS",B246="100 - CAFÉ ESPECIAL","ESPECIALES",B246="141 - AREQUIPE","DERIVADOS",B246="142 - MERMELADA","DERIVADOS",B246="131 - GALLETAS AVENA","DERIVADOS",B246="160 - SOUVENIR","OTROS",B246="148 - CARAMELOS","DERIVADOS",B246="143 - CHOCOFFES","DERIVADOS",B246="162 - CONVENIOS Y DSC POS ","OTROS"),"OTROS")</f>
        <v>OTROS</v>
      </c>
      <c r="K246" s="6"/>
      <c r="L246" s="27">
        <f t="shared" si="31"/>
        <v>11839351</v>
      </c>
      <c r="M246" s="27">
        <f t="shared" si="24"/>
        <v>11839351</v>
      </c>
    </row>
    <row r="247" spans="1:13" ht="15.75" hidden="1" customHeight="1" outlineLevel="1">
      <c r="A247" s="33"/>
      <c r="B247" s="45" t="s">
        <v>18</v>
      </c>
      <c r="C247" s="151">
        <v>183551200</v>
      </c>
      <c r="D247" s="152">
        <v>0</v>
      </c>
      <c r="E247" s="36"/>
      <c r="F247" s="36">
        <v>413971911.05000001</v>
      </c>
      <c r="G247" s="37">
        <f t="shared" si="25"/>
        <v>0.44339046949934358</v>
      </c>
      <c r="H247" s="23">
        <f t="shared" si="21"/>
        <v>0</v>
      </c>
      <c r="I247" s="24">
        <f t="shared" si="21"/>
        <v>0</v>
      </c>
      <c r="J247" s="32" t="str" cm="1">
        <f t="array" ref="J247">IFERROR(_xlfn.IFS(B247="044 - BLEND TRADICION","BLEND",B247="113 - CAFÉ GOURMET","GOURMET",B247="114 - CAFÉ CONSUMO","CONSUMO",B247="112 - CAFÉ ORGANICO","GOURMET",B247="172 - CAFÉ COSECHA","ESPECIALES",B247="176 - CAFE DESCAFEINADO","GOURMET",B247="147 - CAPSULAS","CAPSULAS",B247="130 - GALLETAS CAFECITAS","DERIVADOS",B247="140 - MERENGUES","DERIVADOS",B247="100 - CAFÉ ESPECIAL","ESPECIALES",B247="141 - AREQUIPE","DERIVADOS",B247="142 - MERMELADA","DERIVADOS",B247="131 - GALLETAS AVENA","DERIVADOS",B247="160 - SOUVENIR","OTROS",B247="148 - CARAMELOS","DERIVADOS",B247="143 - CHOCOFFES","DERIVADOS",B247="162 - CONVENIOS Y DSC POS ","OTROS"),"OTROS")</f>
        <v>BLEND</v>
      </c>
      <c r="K247" s="6"/>
      <c r="L247" s="27">
        <f t="shared" si="31"/>
        <v>183551200</v>
      </c>
      <c r="M247" s="27">
        <f t="shared" si="24"/>
        <v>183551200</v>
      </c>
    </row>
    <row r="248" spans="1:13" ht="15.75" hidden="1" customHeight="1" outlineLevel="1">
      <c r="A248" s="33"/>
      <c r="B248" s="45" t="s">
        <v>20</v>
      </c>
      <c r="C248" s="151">
        <v>2053771</v>
      </c>
      <c r="D248" s="152">
        <v>0</v>
      </c>
      <c r="E248" s="36"/>
      <c r="F248" s="36">
        <v>4542701.25</v>
      </c>
      <c r="G248" s="37">
        <f t="shared" si="25"/>
        <v>0.45210347037459264</v>
      </c>
      <c r="H248" s="23">
        <f t="shared" si="21"/>
        <v>0</v>
      </c>
      <c r="I248" s="24">
        <f t="shared" si="21"/>
        <v>0</v>
      </c>
      <c r="J248" s="32" t="str" cm="1">
        <f t="array" ref="J248">IFERROR(_xlfn.IFS(B248="044 - BLEND TRADICION","BLEND",B248="113 - CAFÉ GOURMET","GOURMET",B248="114 - CAFÉ CONSUMO","CONSUMO",B248="112 - CAFÉ ORGANICO","GOURMET",B248="172 - CAFÉ COSECHA","ESPECIALES",B248="176 - CAFE DESCAFEINADO","GOURMET",B248="147 - CAPSULAS","CAPSULAS",B248="130 - GALLETAS CAFECITAS","DERIVADOS",B248="140 - MERENGUES","DERIVADOS",B248="100 - CAFÉ ESPECIAL","ESPECIALES",B248="141 - AREQUIPE","DERIVADOS",B248="142 - MERMELADA","DERIVADOS",B248="131 - GALLETAS AVENA","DERIVADOS",B248="160 - SOUVENIR","OTROS",B248="148 - CARAMELOS","DERIVADOS",B248="143 - CHOCOFFES","DERIVADOS",B248="162 - CONVENIOS Y DSC POS ","OTROS"),"OTROS")</f>
        <v>GOURMET</v>
      </c>
      <c r="K248" s="6"/>
      <c r="L248" s="27">
        <f t="shared" si="31"/>
        <v>2053771</v>
      </c>
      <c r="M248" s="27">
        <f t="shared" si="24"/>
        <v>2053771</v>
      </c>
    </row>
    <row r="249" spans="1:13" ht="15.75" hidden="1" customHeight="1" outlineLevel="1">
      <c r="A249" s="33"/>
      <c r="B249" s="45" t="s">
        <v>21</v>
      </c>
      <c r="C249" s="151">
        <v>11134326</v>
      </c>
      <c r="D249" s="152">
        <v>0</v>
      </c>
      <c r="E249" s="36"/>
      <c r="F249" s="36">
        <v>25938878.649999999</v>
      </c>
      <c r="G249" s="37">
        <f t="shared" si="25"/>
        <v>0.42925240332237724</v>
      </c>
      <c r="H249" s="23">
        <f t="shared" si="21"/>
        <v>0</v>
      </c>
      <c r="I249" s="24">
        <f t="shared" si="21"/>
        <v>0</v>
      </c>
      <c r="J249" s="32" t="str" cm="1">
        <f t="array" ref="J249">IFERROR(_xlfn.IFS(B249="044 - BLEND TRADICION","BLEND",B249="113 - CAFÉ GOURMET","GOURMET",B249="114 - CAFÉ CONSUMO","CONSUMO",B249="112 - CAFÉ ORGANICO","GOURMET",B249="172 - CAFÉ COSECHA","ESPECIALES",B249="176 - CAFE DESCAFEINADO","GOURMET",B249="147 - CAPSULAS","CAPSULAS",B249="130 - GALLETAS CAFECITAS","DERIVADOS",B249="140 - MERENGUES","DERIVADOS",B249="100 - CAFÉ ESPECIAL","ESPECIALES",B249="141 - AREQUIPE","DERIVADOS",B249="142 - MERMELADA","DERIVADOS",B249="131 - GALLETAS AVENA","DERIVADOS",B249="160 - SOUVENIR","OTROS",B249="148 - CARAMELOS","DERIVADOS",B249="143 - CHOCOFFES","DERIVADOS",B249="162 - CONVENIOS Y DSC POS ","OTROS"),"OTROS")</f>
        <v>GOURMET</v>
      </c>
      <c r="K249" s="6"/>
      <c r="L249" s="27">
        <f t="shared" si="31"/>
        <v>11134326</v>
      </c>
      <c r="M249" s="27">
        <f t="shared" si="24"/>
        <v>11134326</v>
      </c>
    </row>
    <row r="250" spans="1:13" ht="15.75" hidden="1" customHeight="1" outlineLevel="1">
      <c r="A250" s="33"/>
      <c r="B250" s="45" t="s">
        <v>22</v>
      </c>
      <c r="C250" s="151">
        <v>3510432</v>
      </c>
      <c r="D250" s="152">
        <v>0</v>
      </c>
      <c r="E250" s="36"/>
      <c r="F250" s="36">
        <v>21964513.23</v>
      </c>
      <c r="G250" s="37">
        <f t="shared" si="25"/>
        <v>0.1598228908257941</v>
      </c>
      <c r="H250" s="23">
        <f t="shared" si="21"/>
        <v>0</v>
      </c>
      <c r="I250" s="24">
        <f t="shared" si="21"/>
        <v>0</v>
      </c>
      <c r="J250" s="32" t="str" cm="1">
        <f t="array" ref="J250">IFERROR(_xlfn.IFS(B250="044 - BLEND TRADICION","BLEND",B250="113 - CAFÉ GOURMET","GOURMET",B250="114 - CAFÉ CONSUMO","CONSUMO",B250="112 - CAFÉ ORGANICO","GOURMET",B250="172 - CAFÉ COSECHA","ESPECIALES",B250="176 - CAFE DESCAFEINADO","GOURMET",B250="147 - CAPSULAS","CAPSULAS",B250="130 - GALLETAS CAFECITAS","DERIVADOS",B250="140 - MERENGUES","DERIVADOS",B250="100 - CAFÉ ESPECIAL","ESPECIALES",B250="141 - AREQUIPE","DERIVADOS",B250="142 - MERMELADA","DERIVADOS",B250="131 - GALLETAS AVENA","DERIVADOS",B250="160 - SOUVENIR","OTROS",B250="148 - CARAMELOS","DERIVADOS",B250="143 - CHOCOFFES","DERIVADOS",B250="162 - CONVENIOS Y DSC POS ","OTROS"),"OTROS")</f>
        <v>DERIVADOS</v>
      </c>
      <c r="K250" s="6"/>
      <c r="L250" s="27">
        <f t="shared" si="31"/>
        <v>3510432</v>
      </c>
      <c r="M250" s="27">
        <f t="shared" si="24"/>
        <v>3510432</v>
      </c>
    </row>
    <row r="251" spans="1:13" ht="15.75" hidden="1" customHeight="1" outlineLevel="1">
      <c r="A251" s="33"/>
      <c r="B251" s="45" t="s">
        <v>50</v>
      </c>
      <c r="C251" s="151">
        <v>-185271</v>
      </c>
      <c r="D251" s="152">
        <v>0</v>
      </c>
      <c r="E251" s="152">
        <v>-185271</v>
      </c>
      <c r="F251" s="36"/>
      <c r="G251" s="37"/>
      <c r="H251" s="23"/>
      <c r="I251" s="24"/>
      <c r="J251" s="32"/>
      <c r="K251" s="6"/>
      <c r="L251" s="27"/>
      <c r="M251" s="27"/>
    </row>
    <row r="252" spans="1:13" ht="15.75" hidden="1" customHeight="1" outlineLevel="1">
      <c r="A252" s="33"/>
      <c r="B252" s="45" t="s">
        <v>29</v>
      </c>
      <c r="C252" s="151">
        <v>0</v>
      </c>
      <c r="D252" s="152">
        <v>0</v>
      </c>
      <c r="E252" s="36">
        <v>0</v>
      </c>
      <c r="F252" s="36">
        <v>2363633.42</v>
      </c>
      <c r="G252" s="37">
        <f t="shared" ref="G252:G273" si="32">IFERROR(C252/F252*100%,"-")</f>
        <v>0</v>
      </c>
      <c r="H252" s="23">
        <f t="shared" ref="H252:I274" si="33">IFERROR(+D252/L252*100%,0)</f>
        <v>0</v>
      </c>
      <c r="I252" s="24">
        <f t="shared" si="33"/>
        <v>0</v>
      </c>
      <c r="J252" s="32" t="str" cm="1">
        <f t="array" ref="J252">IFERROR(_xlfn.IFS(B252="044 - BLEND TRADICION","BLEND",B252="113 - CAFÉ GOURMET","GOURMET",B252="114 - CAFÉ CONSUMO","CONSUMO",B252="112 - CAFÉ ORGANICO","GOURMET",B252="172 - CAFÉ COSECHA","ESPECIALES",B252="176 - CAFE DESCAFEINADO","GOURMET",B252="147 - CAPSULAS","CAPSULAS",B252="130 - GALLETAS CAFECITAS","DERIVADOS",B252="140 - MERENGUES","DERIVADOS",B252="100 - CAFÉ ESPECIAL","ESPECIALES",B252="141 - AREQUIPE","DERIVADOS",B252="142 - MERMELADA","DERIVADOS",B252="131 - GALLETAS AVENA","DERIVADOS",B252="160 - SOUVENIR","OTROS",B252="148 - CARAMELOS","DERIVADOS",B252="143 - CHOCOFFES","DERIVADOS",B252="162 - CONVENIOS Y DSC POS ","OTROS"),"OTROS")</f>
        <v>ESPECIALES</v>
      </c>
      <c r="K252" s="6"/>
      <c r="L252" s="27">
        <f t="shared" ref="L252:L255" si="34">C252-(D252+E252)</f>
        <v>0</v>
      </c>
      <c r="M252" s="27">
        <f t="shared" ref="M252:M273" si="35">L252</f>
        <v>0</v>
      </c>
    </row>
    <row r="253" spans="1:13" ht="15.75" hidden="1" customHeight="1" outlineLevel="1">
      <c r="A253" s="44"/>
      <c r="B253" s="45" t="s">
        <v>92</v>
      </c>
      <c r="C253" s="151">
        <v>5127360</v>
      </c>
      <c r="D253" s="152">
        <v>0</v>
      </c>
      <c r="E253" s="36">
        <v>0</v>
      </c>
      <c r="F253" s="36">
        <v>0</v>
      </c>
      <c r="G253" s="37" t="str">
        <f t="shared" si="32"/>
        <v>-</v>
      </c>
      <c r="H253" s="23">
        <f t="shared" si="33"/>
        <v>0</v>
      </c>
      <c r="I253" s="24">
        <f t="shared" si="33"/>
        <v>0</v>
      </c>
      <c r="J253" s="32" t="str" cm="1">
        <f t="array" ref="J253">IFERROR(_xlfn.IFS(B253="044 - BLEND TRADICION","BLEND",B253="113 - CAFÉ GOURMET","GOURMET",B253="114 - CAFÉ CONSUMO","CONSUMO",B253="112 - CAFÉ ORGANICO","GOURMET",B253="172 - CAFÉ COSECHA","ESPECIALES",B253="176 - CAFE DESCAFEINADO","GOURMET",B253="147 - CAPSULAS","CAPSULAS",B253="130 - GALLETAS CAFECITAS","DERIVADOS",B253="140 - MERENGUES","DERIVADOS",B253="100 - CAFÉ ESPECIAL","ESPECIALES",B253="141 - AREQUIPE","DERIVADOS",B253="142 - MERMELADA","DERIVADOS",B253="131 - GALLETAS AVENA","DERIVADOS",B253="160 - SOUVENIR","OTROS",B253="148 - CARAMELOS","DERIVADOS",B253="143 - CHOCOFFES","DERIVADOS",B253="162 - CONVENIOS Y DSC POS ","OTROS"),"OTROS")</f>
        <v>OTROS</v>
      </c>
      <c r="K253" s="6"/>
      <c r="L253" s="27">
        <f t="shared" si="34"/>
        <v>5127360</v>
      </c>
      <c r="M253" s="27">
        <f t="shared" si="35"/>
        <v>5127360</v>
      </c>
    </row>
    <row r="254" spans="1:13" ht="15.75" hidden="1" customHeight="1" outlineLevel="1">
      <c r="A254" s="19" t="s">
        <v>64</v>
      </c>
      <c r="B254" s="40" t="s">
        <v>32</v>
      </c>
      <c r="C254" s="54">
        <f>SUM(C247:C253)</f>
        <v>205191818</v>
      </c>
      <c r="D254" s="54">
        <f>SUM(D247:D253)</f>
        <v>0</v>
      </c>
      <c r="E254" s="54">
        <f>SUM(E247:E253)</f>
        <v>-185271</v>
      </c>
      <c r="F254" s="54">
        <f>SUM(F247:F253)</f>
        <v>468781637.60000002</v>
      </c>
      <c r="G254" s="55">
        <f t="shared" si="32"/>
        <v>0.43771300226372173</v>
      </c>
      <c r="H254" s="23">
        <f t="shared" si="33"/>
        <v>0</v>
      </c>
      <c r="I254" s="24">
        <f t="shared" si="33"/>
        <v>-9.021015971260553E-4</v>
      </c>
      <c r="J254" s="32" t="str" cm="1">
        <f t="array" ref="J254">IFERROR(_xlfn.IFS(B254="044 - BLEND TRADICION","BLEND",B254="113 - CAFÉ GOURMET","GOURMET",B254="114 - CAFÉ CONSUMO","CONSUMO",B254="112 - CAFÉ ORGANICO","GOURMET",B254="172 - CAFÉ COSECHA","ESPECIALES",B254="176 - CAFE DESCAFEINADO","GOURMET",B254="147 - CAPSULAS","CAPSULAS",B254="130 - GALLETAS CAFECITAS","DERIVADOS",B254="140 - MERENGUES","DERIVADOS",B254="100 - CAFÉ ESPECIAL","ESPECIALES",B254="141 - AREQUIPE","DERIVADOS",B254="142 - MERMELADA","DERIVADOS",B254="131 - GALLETAS AVENA","DERIVADOS",B254="160 - SOUVENIR","OTROS",B254="148 - CARAMELOS","DERIVADOS",B254="143 - CHOCOFFES","DERIVADOS",B254="162 - CONVENIOS Y DSC POS ","OTROS"),"OTROS")</f>
        <v>OTROS</v>
      </c>
      <c r="L254" s="27">
        <f t="shared" si="34"/>
        <v>205377089</v>
      </c>
      <c r="M254" s="27">
        <f t="shared" si="35"/>
        <v>205377089</v>
      </c>
    </row>
    <row r="255" spans="1:13" ht="15.75" hidden="1" customHeight="1" outlineLevel="1">
      <c r="A255" s="33"/>
      <c r="B255" s="39" t="s">
        <v>24</v>
      </c>
      <c r="C255" s="36">
        <v>4250</v>
      </c>
      <c r="D255" s="36"/>
      <c r="E255" s="36">
        <v>0</v>
      </c>
      <c r="F255" s="36">
        <v>0</v>
      </c>
      <c r="G255" s="37" t="str">
        <f t="shared" si="32"/>
        <v>-</v>
      </c>
      <c r="H255" s="23">
        <f t="shared" si="33"/>
        <v>0</v>
      </c>
      <c r="I255" s="24">
        <f t="shared" si="33"/>
        <v>0</v>
      </c>
      <c r="J255" s="32" t="str" cm="1">
        <f t="array" ref="J255">IFERROR(_xlfn.IFS(B255="044 - BLEND TRADICION","BLEND",B255="113 - CAFÉ GOURMET","GOURMET",B255="114 - CAFÉ CONSUMO","CONSUMO",B255="112 - CAFÉ ORGANICO","GOURMET",B255="172 - CAFÉ COSECHA","ESPECIALES",B255="176 - CAFE DESCAFEINADO","GOURMET",B255="147 - CAPSULAS","CAPSULAS",B255="130 - GALLETAS CAFECITAS","DERIVADOS",B255="140 - MERENGUES","DERIVADOS",B255="100 - CAFÉ ESPECIAL","ESPECIALES",B255="141 - AREQUIPE","DERIVADOS",B255="142 - MERMELADA","DERIVADOS",B255="131 - GALLETAS AVENA","DERIVADOS",B255="160 - SOUVENIR","OTROS",B255="148 - CARAMELOS","DERIVADOS",B255="143 - CHOCOFFES","DERIVADOS",B255="162 - CONVENIOS Y DSC POS ","OTROS"),"OTROS")</f>
        <v>DERIVADOS</v>
      </c>
      <c r="L255" s="27">
        <f t="shared" si="34"/>
        <v>4250</v>
      </c>
      <c r="M255" s="27">
        <f t="shared" si="35"/>
        <v>4250</v>
      </c>
    </row>
    <row r="256" spans="1:13" ht="15.75" hidden="1" customHeight="1" outlineLevel="1">
      <c r="A256" s="33"/>
      <c r="B256" s="39" t="s">
        <v>25</v>
      </c>
      <c r="C256" s="36">
        <v>2000</v>
      </c>
      <c r="D256" s="36">
        <v>0</v>
      </c>
      <c r="E256" s="36"/>
      <c r="F256" s="36">
        <v>0</v>
      </c>
      <c r="G256" s="37" t="str">
        <f t="shared" si="32"/>
        <v>-</v>
      </c>
      <c r="H256" s="23">
        <f t="shared" si="33"/>
        <v>0</v>
      </c>
      <c r="I256" s="24">
        <f t="shared" si="33"/>
        <v>0</v>
      </c>
      <c r="J256" s="32" t="str" cm="1">
        <f t="array" ref="J256">IFERROR(_xlfn.IFS(B256="044 - BLEND TRADICION","BLEND",B256="113 - CAFÉ GOURMET","GOURMET",B256="114 - CAFÉ CONSUMO","CONSUMO",B256="112 - CAFÉ ORGANICO","GOURMET",B256="172 - CAFÉ COSECHA","ESPECIALES",B256="176 - CAFE DESCAFEINADO","GOURMET",B256="147 - CAPSULAS","CAPSULAS",B256="130 - GALLETAS CAFECITAS","DERIVADOS",B256="140 - MERENGUES","DERIVADOS",B256="100 - CAFÉ ESPECIAL","ESPECIALES",B256="141 - AREQUIPE","DERIVADOS",B256="142 - MERMELADA","DERIVADOS",B256="131 - GALLETAS AVENA","DERIVADOS",B256="160 - SOUVENIR","OTROS",B256="148 - CARAMELOS","DERIVADOS",B256="143 - CHOCOFFES","DERIVADOS",B256="162 - CONVENIOS Y DSC POS ","OTROS"),"OTROS")</f>
        <v>DERIVADOS</v>
      </c>
      <c r="K256" s="6"/>
      <c r="L256" s="27">
        <f>C256-(D256+E256)</f>
        <v>2000</v>
      </c>
      <c r="M256" s="27">
        <f t="shared" si="35"/>
        <v>2000</v>
      </c>
    </row>
    <row r="257" spans="1:13" ht="15.75" hidden="1" customHeight="1" outlineLevel="1">
      <c r="A257" s="38"/>
      <c r="B257" s="39" t="s">
        <v>29</v>
      </c>
      <c r="C257" s="36">
        <v>0</v>
      </c>
      <c r="D257" s="36">
        <v>0</v>
      </c>
      <c r="E257" s="36">
        <v>0</v>
      </c>
      <c r="F257" s="36">
        <v>0</v>
      </c>
      <c r="G257" s="37" t="str">
        <f t="shared" si="32"/>
        <v>-</v>
      </c>
      <c r="H257" s="23">
        <f t="shared" si="33"/>
        <v>0</v>
      </c>
      <c r="I257" s="24">
        <f t="shared" si="33"/>
        <v>0</v>
      </c>
      <c r="J257" s="32" t="str" cm="1">
        <f t="array" ref="J257">IFERROR(_xlfn.IFS(B257="044 - BLEND TRADICION","BLEND",B257="113 - CAFÉ GOURMET","GOURMET",B257="114 - CAFÉ CONSUMO","CONSUMO",B257="112 - CAFÉ ORGANICO","GOURMET",B257="172 - CAFÉ COSECHA","ESPECIALES",B257="176 - CAFE DESCAFEINADO","GOURMET",B257="147 - CAPSULAS","CAPSULAS",B257="130 - GALLETAS CAFECITAS","DERIVADOS",B257="140 - MERENGUES","DERIVADOS",B257="100 - CAFÉ ESPECIAL","ESPECIALES",B257="141 - AREQUIPE","DERIVADOS",B257="142 - MERMELADA","DERIVADOS",B257="131 - GALLETAS AVENA","DERIVADOS",B257="160 - SOUVENIR","OTROS",B257="148 - CARAMELOS","DERIVADOS",B257="143 - CHOCOFFES","DERIVADOS",B257="162 - CONVENIOS Y DSC POS ","OTROS"),"OTROS")</f>
        <v>ESPECIALES</v>
      </c>
      <c r="K257" s="6"/>
      <c r="L257" s="27">
        <f t="shared" ref="L257:L274" si="36">C257-(D257+E257)</f>
        <v>0</v>
      </c>
      <c r="M257" s="27">
        <f t="shared" si="35"/>
        <v>0</v>
      </c>
    </row>
    <row r="258" spans="1:13" ht="15.75" hidden="1" customHeight="1" outlineLevel="1">
      <c r="A258" s="19" t="s">
        <v>65</v>
      </c>
      <c r="B258" s="56" t="s">
        <v>32</v>
      </c>
      <c r="C258" s="54">
        <f>SUM(C255:C257)</f>
        <v>6250</v>
      </c>
      <c r="D258" s="54">
        <f>SUM(D255:D257)</f>
        <v>0</v>
      </c>
      <c r="E258" s="57">
        <v>0</v>
      </c>
      <c r="F258" s="58">
        <v>0</v>
      </c>
      <c r="G258" s="55" t="str">
        <f t="shared" si="32"/>
        <v>-</v>
      </c>
      <c r="H258" s="23">
        <f t="shared" si="33"/>
        <v>0</v>
      </c>
      <c r="I258" s="24">
        <f t="shared" si="33"/>
        <v>0</v>
      </c>
      <c r="J258" s="32" t="str" cm="1">
        <f t="array" ref="J258">IFERROR(_xlfn.IFS(B258="044 - BLEND TRADICION","BLEND",B258="113 - CAFÉ GOURMET","GOURMET",B258="114 - CAFÉ CONSUMO","CONSUMO",B258="112 - CAFÉ ORGANICO","GOURMET",B258="172 - CAFÉ COSECHA","ESPECIALES",B258="176 - CAFE DESCAFEINADO","GOURMET",B258="147 - CAPSULAS","CAPSULAS",B258="130 - GALLETAS CAFECITAS","DERIVADOS",B258="140 - MERENGUES","DERIVADOS",B258="100 - CAFÉ ESPECIAL","ESPECIALES",B258="141 - AREQUIPE","DERIVADOS",B258="142 - MERMELADA","DERIVADOS",B258="131 - GALLETAS AVENA","DERIVADOS",B258="160 - SOUVENIR","OTROS",B258="148 - CARAMELOS","DERIVADOS",B258="143 - CHOCOFFES","DERIVADOS",B258="162 - CONVENIOS Y DSC POS ","OTROS"),"OTROS")</f>
        <v>OTROS</v>
      </c>
      <c r="K258" s="6"/>
      <c r="L258" s="27">
        <f t="shared" si="36"/>
        <v>6250</v>
      </c>
      <c r="M258" s="27">
        <f t="shared" si="35"/>
        <v>6250</v>
      </c>
    </row>
    <row r="259" spans="1:13" ht="17" collapsed="1" thickBot="1">
      <c r="A259" s="63" t="s">
        <v>66</v>
      </c>
      <c r="B259" s="64" t="s">
        <v>17</v>
      </c>
      <c r="C259" s="65">
        <f>+C273</f>
        <v>529341094</v>
      </c>
      <c r="D259" s="65">
        <f>+D273</f>
        <v>-61908290</v>
      </c>
      <c r="E259" s="65">
        <f>+E273</f>
        <v>0</v>
      </c>
      <c r="F259" s="65">
        <f>+F273</f>
        <v>3060120402.4200006</v>
      </c>
      <c r="G259" s="66">
        <f t="shared" si="32"/>
        <v>0.17298047932407729</v>
      </c>
      <c r="H259" s="23">
        <f t="shared" si="33"/>
        <v>-0.10470757632112815</v>
      </c>
      <c r="I259" s="24">
        <f t="shared" si="33"/>
        <v>0</v>
      </c>
      <c r="J259" s="32" t="str" cm="1">
        <f t="array" ref="J259">IFERROR(_xlfn.IFS(B259="044 - BLEND TRADICION","BLEND",B259="113 - CAFÉ GOURMET","GOURMET",B259="114 - CAFÉ CONSUMO","CONSUMO",B259="112 - CAFÉ ORGANICO","GOURMET",B259="172 - CAFÉ COSECHA","ESPECIALES",B259="176 - CAFE DESCAFEINADO","GOURMET",B259="147 - CAPSULAS","CAPSULAS",B259="130 - GALLETAS CAFECITAS","DERIVADOS",B259="140 - MERENGUES","DERIVADOS",B259="100 - CAFÉ ESPECIAL","ESPECIALES",B259="141 - AREQUIPE","DERIVADOS",B259="142 - MERMELADA","DERIVADOS",B259="131 - GALLETAS AVENA","DERIVADOS",B259="160 - SOUVENIR","OTROS",B259="148 - CARAMELOS","DERIVADOS",B259="143 - CHOCOFFES","DERIVADOS",B259="162 - CONVENIOS Y DSC POS ","OTROS"),"OTROS")</f>
        <v>OTROS</v>
      </c>
      <c r="K259" s="6"/>
      <c r="L259" s="27">
        <f t="shared" si="36"/>
        <v>591249384</v>
      </c>
      <c r="M259" s="27">
        <f t="shared" si="35"/>
        <v>591249384</v>
      </c>
    </row>
    <row r="260" spans="1:13" s="26" customFormat="1" ht="15.75" hidden="1" customHeight="1" outlineLevel="1">
      <c r="A260" s="67"/>
      <c r="B260" s="34" t="s">
        <v>18</v>
      </c>
      <c r="C260" s="68">
        <v>521600</v>
      </c>
      <c r="D260" s="68">
        <v>0</v>
      </c>
      <c r="E260" s="35">
        <v>0</v>
      </c>
      <c r="F260" s="35">
        <v>4301469.12</v>
      </c>
      <c r="G260" s="49">
        <f t="shared" si="32"/>
        <v>0.12126089609124056</v>
      </c>
      <c r="H260" s="23">
        <f t="shared" si="33"/>
        <v>0</v>
      </c>
      <c r="I260" s="24">
        <f t="shared" si="33"/>
        <v>0</v>
      </c>
      <c r="J260" s="32" t="str" cm="1">
        <f t="array" ref="J260">IFERROR(_xlfn.IFS(B260="044 - BLEND TRADICION","BLEND",B260="113 - CAFÉ GOURMET","GOURMET",B260="114 - CAFÉ CONSUMO","CONSUMO",B260="112 - CAFÉ ORGANICO","GOURMET",B260="172 - CAFÉ COSECHA","ESPECIALES",B260="176 - CAFE DESCAFEINADO","GOURMET",B260="147 - CAPSULAS","CAPSULAS",B260="130 - GALLETAS CAFECITAS","DERIVADOS",B260="140 - MERENGUES","DERIVADOS",B260="100 - CAFÉ ESPECIAL","ESPECIALES",B260="141 - AREQUIPE","DERIVADOS",B260="142 - MERMELADA","DERIVADOS",B260="131 - GALLETAS AVENA","DERIVADOS",B260="160 - SOUVENIR","OTROS",B260="148 - CARAMELOS","DERIVADOS",B260="143 - CHOCOFFES","DERIVADOS",B260="162 - CONVENIOS Y DSC POS ","OTROS"),"OTROS")</f>
        <v>BLEND</v>
      </c>
      <c r="L260" s="27">
        <f t="shared" si="36"/>
        <v>521600</v>
      </c>
      <c r="M260" s="27">
        <f t="shared" si="35"/>
        <v>521600</v>
      </c>
    </row>
    <row r="261" spans="1:13" s="26" customFormat="1" ht="15.75" hidden="1" customHeight="1" outlineLevel="1">
      <c r="A261" s="67"/>
      <c r="B261" s="39" t="s">
        <v>19</v>
      </c>
      <c r="C261" s="60">
        <v>51606098</v>
      </c>
      <c r="D261" s="60">
        <v>-7848862</v>
      </c>
      <c r="E261" s="36"/>
      <c r="F261" s="35">
        <v>133747007.69</v>
      </c>
      <c r="G261" s="37">
        <f t="shared" si="32"/>
        <v>0.3858486174106644</v>
      </c>
      <c r="H261" s="23">
        <f t="shared" si="33"/>
        <v>-0.13201357800930319</v>
      </c>
      <c r="I261" s="24">
        <f t="shared" si="33"/>
        <v>0</v>
      </c>
      <c r="J261" s="32" t="str" cm="1">
        <f t="array" ref="J261">IFERROR(_xlfn.IFS(B261="044 - BLEND TRADICION","BLEND",B261="113 - CAFÉ GOURMET","GOURMET",B261="114 - CAFÉ CONSUMO","CONSUMO",B261="112 - CAFÉ ORGANICO","GOURMET",B261="172 - CAFÉ COSECHA","ESPECIALES",B261="176 - CAFE DESCAFEINADO","GOURMET",B261="147 - CAPSULAS","CAPSULAS",B261="130 - GALLETAS CAFECITAS","DERIVADOS",B261="140 - MERENGUES","DERIVADOS",B261="100 - CAFÉ ESPECIAL","ESPECIALES",B261="141 - AREQUIPE","DERIVADOS",B261="142 - MERMELADA","DERIVADOS",B261="131 - GALLETAS AVENA","DERIVADOS",B261="160 - SOUVENIR","OTROS",B261="148 - CARAMELOS","DERIVADOS",B261="143 - CHOCOFFES","DERIVADOS",B261="162 - CONVENIOS Y DSC POS ","OTROS"),"OTROS")</f>
        <v>ESPECIALES</v>
      </c>
      <c r="L261" s="27">
        <f t="shared" si="36"/>
        <v>59454960</v>
      </c>
      <c r="M261" s="27">
        <f t="shared" si="35"/>
        <v>59454960</v>
      </c>
    </row>
    <row r="262" spans="1:13" s="26" customFormat="1" ht="15.75" hidden="1" customHeight="1" outlineLevel="1">
      <c r="A262" s="69"/>
      <c r="B262" s="39" t="s">
        <v>20</v>
      </c>
      <c r="C262" s="60">
        <v>25200823</v>
      </c>
      <c r="D262" s="60">
        <v>-927728</v>
      </c>
      <c r="E262" s="36">
        <v>0</v>
      </c>
      <c r="F262" s="36">
        <v>166140099.77000001</v>
      </c>
      <c r="G262" s="37">
        <f t="shared" si="32"/>
        <v>0.15168416917341063</v>
      </c>
      <c r="H262" s="23">
        <f t="shared" si="33"/>
        <v>-3.5506293479496819E-2</v>
      </c>
      <c r="I262" s="24">
        <f t="shared" si="33"/>
        <v>0</v>
      </c>
      <c r="J262" s="32" t="str" cm="1">
        <f t="array" ref="J262">IFERROR(_xlfn.IFS(B262="044 - BLEND TRADICION","BLEND",B262="113 - CAFÉ GOURMET","GOURMET",B262="114 - CAFÉ CONSUMO","CONSUMO",B262="112 - CAFÉ ORGANICO","GOURMET",B262="172 - CAFÉ COSECHA","ESPECIALES",B262="176 - CAFE DESCAFEINADO","GOURMET",B262="147 - CAPSULAS","CAPSULAS",B262="130 - GALLETAS CAFECITAS","DERIVADOS",B262="140 - MERENGUES","DERIVADOS",B262="100 - CAFÉ ESPECIAL","ESPECIALES",B262="141 - AREQUIPE","DERIVADOS",B262="142 - MERMELADA","DERIVADOS",B262="131 - GALLETAS AVENA","DERIVADOS",B262="160 - SOUVENIR","OTROS",B262="148 - CARAMELOS","DERIVADOS",B262="143 - CHOCOFFES","DERIVADOS",B262="162 - CONVENIOS Y DSC POS ","OTROS"),"OTROS")</f>
        <v>GOURMET</v>
      </c>
      <c r="L262" s="27">
        <f t="shared" si="36"/>
        <v>26128551</v>
      </c>
      <c r="M262" s="27">
        <f t="shared" si="35"/>
        <v>26128551</v>
      </c>
    </row>
    <row r="263" spans="1:13" s="26" customFormat="1" ht="15.75" hidden="1" customHeight="1" outlineLevel="1">
      <c r="A263" s="69"/>
      <c r="B263" s="39" t="s">
        <v>21</v>
      </c>
      <c r="C263" s="60">
        <v>407376961</v>
      </c>
      <c r="D263" s="60">
        <v>-15339248</v>
      </c>
      <c r="E263" s="36">
        <v>0</v>
      </c>
      <c r="F263" s="35">
        <v>2016617010.9000001</v>
      </c>
      <c r="G263" s="37">
        <f t="shared" si="32"/>
        <v>0.20201007866049434</v>
      </c>
      <c r="H263" s="23">
        <f t="shared" si="33"/>
        <v>-3.6287342839980856E-2</v>
      </c>
      <c r="I263" s="24">
        <f t="shared" si="33"/>
        <v>0</v>
      </c>
      <c r="J263" s="32" t="str" cm="1">
        <f t="array" ref="J263">IFERROR(_xlfn.IFS(B263="044 - BLEND TRADICION","BLEND",B263="113 - CAFÉ GOURMET","GOURMET",B263="114 - CAFÉ CONSUMO","CONSUMO",B263="112 - CAFÉ ORGANICO","GOURMET",B263="172 - CAFÉ COSECHA","ESPECIALES",B263="176 - CAFE DESCAFEINADO","GOURMET",B263="147 - CAPSULAS","CAPSULAS",B263="130 - GALLETAS CAFECITAS","DERIVADOS",B263="140 - MERENGUES","DERIVADOS",B263="100 - CAFÉ ESPECIAL","ESPECIALES",B263="141 - AREQUIPE","DERIVADOS",B263="142 - MERMELADA","DERIVADOS",B263="131 - GALLETAS AVENA","DERIVADOS",B263="160 - SOUVENIR","OTROS",B263="148 - CARAMELOS","DERIVADOS",B263="143 - CHOCOFFES","DERIVADOS",B263="162 - CONVENIOS Y DSC POS ","OTROS"),"OTROS")</f>
        <v>GOURMET</v>
      </c>
      <c r="L263" s="27">
        <f t="shared" si="36"/>
        <v>422716209</v>
      </c>
      <c r="M263" s="27">
        <f t="shared" si="35"/>
        <v>422716209</v>
      </c>
    </row>
    <row r="264" spans="1:13" s="26" customFormat="1" ht="15.75" hidden="1" customHeight="1" outlineLevel="1">
      <c r="A264" s="69"/>
      <c r="B264" s="39" t="s">
        <v>38</v>
      </c>
      <c r="C264" s="60">
        <v>-85592</v>
      </c>
      <c r="D264" s="60">
        <v>-85592</v>
      </c>
      <c r="E264" s="36">
        <v>0</v>
      </c>
      <c r="F264" s="36">
        <v>0</v>
      </c>
      <c r="G264" s="37" t="str">
        <f t="shared" si="32"/>
        <v>-</v>
      </c>
      <c r="H264" s="23">
        <f t="shared" si="33"/>
        <v>0</v>
      </c>
      <c r="I264" s="24">
        <f t="shared" si="33"/>
        <v>0</v>
      </c>
      <c r="J264" s="32" t="str" cm="1">
        <f t="array" ref="J264">IFERROR(_xlfn.IFS(B264="044 - BLEND TRADICION","BLEND",B264="113 - CAFÉ GOURMET","GOURMET",B264="114 - CAFÉ CONSUMO","CONSUMO",B264="112 - CAFÉ ORGANICO","GOURMET",B264="172 - CAFÉ COSECHA","ESPECIALES",B264="176 - CAFE DESCAFEINADO","GOURMET",B264="147 - CAPSULAS","CAPSULAS",B264="130 - GALLETAS CAFECITAS","DERIVADOS",B264="140 - MERENGUES","DERIVADOS",B264="100 - CAFÉ ESPECIAL","ESPECIALES",B264="141 - AREQUIPE","DERIVADOS",B264="142 - MERMELADA","DERIVADOS",B264="131 - GALLETAS AVENA","DERIVADOS",B264="160 - SOUVENIR","OTROS",B264="148 - CARAMELOS","DERIVADOS",B264="143 - CHOCOFFES","DERIVADOS",B264="162 - CONVENIOS Y DSC POS ","OTROS"),"OTROS")</f>
        <v>CONSUMO</v>
      </c>
      <c r="L264" s="27">
        <f t="shared" si="36"/>
        <v>0</v>
      </c>
      <c r="M264" s="27">
        <f t="shared" si="35"/>
        <v>0</v>
      </c>
    </row>
    <row r="265" spans="1:13" s="26" customFormat="1" ht="15.75" hidden="1" customHeight="1" outlineLevel="1">
      <c r="A265" s="69"/>
      <c r="B265" s="39" t="s">
        <v>22</v>
      </c>
      <c r="C265" s="60">
        <v>18534598</v>
      </c>
      <c r="D265" s="60">
        <v>-2367734</v>
      </c>
      <c r="E265" s="36"/>
      <c r="F265" s="35">
        <v>61087901.090000004</v>
      </c>
      <c r="G265" s="37">
        <f t="shared" si="32"/>
        <v>0.30340865653074606</v>
      </c>
      <c r="H265" s="23">
        <f t="shared" si="33"/>
        <v>-0.11327606890944035</v>
      </c>
      <c r="I265" s="24">
        <f t="shared" si="33"/>
        <v>0</v>
      </c>
      <c r="J265" s="32" t="str" cm="1">
        <f t="array" ref="J265">IFERROR(_xlfn.IFS(B265="044 - BLEND TRADICION","BLEND",B265="113 - CAFÉ GOURMET","GOURMET",B265="114 - CAFÉ CONSUMO","CONSUMO",B265="112 - CAFÉ ORGANICO","GOURMET",B265="172 - CAFÉ COSECHA","ESPECIALES",B265="176 - CAFE DESCAFEINADO","GOURMET",B265="147 - CAPSULAS","CAPSULAS",B265="130 - GALLETAS CAFECITAS","DERIVADOS",B265="140 - MERENGUES","DERIVADOS",B265="100 - CAFÉ ESPECIAL","ESPECIALES",B265="141 - AREQUIPE","DERIVADOS",B265="142 - MERMELADA","DERIVADOS",B265="131 - GALLETAS AVENA","DERIVADOS",B265="160 - SOUVENIR","OTROS",B265="148 - CARAMELOS","DERIVADOS",B265="143 - CHOCOFFES","DERIVADOS",B265="162 - CONVENIOS Y DSC POS ","OTROS"),"OTROS")</f>
        <v>DERIVADOS</v>
      </c>
      <c r="L265" s="27">
        <f t="shared" si="36"/>
        <v>20902332</v>
      </c>
      <c r="M265" s="27">
        <f t="shared" si="35"/>
        <v>20902332</v>
      </c>
    </row>
    <row r="266" spans="1:13" s="26" customFormat="1" ht="15.75" hidden="1" customHeight="1" outlineLevel="1">
      <c r="A266" s="69"/>
      <c r="B266" s="39" t="s">
        <v>24</v>
      </c>
      <c r="C266" s="60">
        <v>4472247</v>
      </c>
      <c r="D266" s="60">
        <v>-557241</v>
      </c>
      <c r="E266" s="36"/>
      <c r="F266" s="35">
        <v>7233101.0300000003</v>
      </c>
      <c r="G266" s="37">
        <f t="shared" si="32"/>
        <v>0.61830285260096796</v>
      </c>
      <c r="H266" s="23">
        <f t="shared" si="33"/>
        <v>-0.11079477672478789</v>
      </c>
      <c r="I266" s="24">
        <f t="shared" si="33"/>
        <v>0</v>
      </c>
      <c r="J266" s="32" t="str" cm="1">
        <f t="array" ref="J266">IFERROR(_xlfn.IFS(B266="044 - BLEND TRADICION","BLEND",B266="113 - CAFÉ GOURMET","GOURMET",B266="114 - CAFÉ CONSUMO","CONSUMO",B266="112 - CAFÉ ORGANICO","GOURMET",B266="172 - CAFÉ COSECHA","ESPECIALES",B266="176 - CAFE DESCAFEINADO","GOURMET",B266="147 - CAPSULAS","CAPSULAS",B266="130 - GALLETAS CAFECITAS","DERIVADOS",B266="140 - MERENGUES","DERIVADOS",B266="100 - CAFÉ ESPECIAL","ESPECIALES",B266="141 - AREQUIPE","DERIVADOS",B266="142 - MERMELADA","DERIVADOS",B266="131 - GALLETAS AVENA","DERIVADOS",B266="160 - SOUVENIR","OTROS",B266="148 - CARAMELOS","DERIVADOS",B266="143 - CHOCOFFES","DERIVADOS",B266="162 - CONVENIOS Y DSC POS ","OTROS"),"OTROS")</f>
        <v>DERIVADOS</v>
      </c>
      <c r="L266" s="27">
        <f t="shared" si="36"/>
        <v>5029488</v>
      </c>
      <c r="M266" s="27">
        <f t="shared" si="35"/>
        <v>5029488</v>
      </c>
    </row>
    <row r="267" spans="1:13" s="26" customFormat="1" ht="15.75" hidden="1" customHeight="1" outlineLevel="1">
      <c r="A267" s="69"/>
      <c r="B267" s="39" t="s">
        <v>25</v>
      </c>
      <c r="C267" s="60">
        <v>1536508</v>
      </c>
      <c r="D267" s="60">
        <v>-149012</v>
      </c>
      <c r="E267" s="36"/>
      <c r="F267" s="35">
        <v>8769038.3300000001</v>
      </c>
      <c r="G267" s="37">
        <f t="shared" si="32"/>
        <v>0.17521966972631536</v>
      </c>
      <c r="H267" s="23">
        <f t="shared" si="33"/>
        <v>-8.8407138449855233E-2</v>
      </c>
      <c r="I267" s="24">
        <f t="shared" si="33"/>
        <v>0</v>
      </c>
      <c r="J267" s="32" t="str" cm="1">
        <f t="array" ref="J267">IFERROR(_xlfn.IFS(B267="044 - BLEND TRADICION","BLEND",B267="113 - CAFÉ GOURMET","GOURMET",B267="114 - CAFÉ CONSUMO","CONSUMO",B267="112 - CAFÉ ORGANICO","GOURMET",B267="172 - CAFÉ COSECHA","ESPECIALES",B267="176 - CAFE DESCAFEINADO","GOURMET",B267="147 - CAPSULAS","CAPSULAS",B267="130 - GALLETAS CAFECITAS","DERIVADOS",B267="140 - MERENGUES","DERIVADOS",B267="100 - CAFÉ ESPECIAL","ESPECIALES",B267="141 - AREQUIPE","DERIVADOS",B267="142 - MERMELADA","DERIVADOS",B267="131 - GALLETAS AVENA","DERIVADOS",B267="160 - SOUVENIR","OTROS",B267="148 - CARAMELOS","DERIVADOS",B267="143 - CHOCOFFES","DERIVADOS",B267="162 - CONVENIOS Y DSC POS ","OTROS"),"OTROS")</f>
        <v>DERIVADOS</v>
      </c>
      <c r="L267" s="27">
        <f t="shared" si="36"/>
        <v>1685520</v>
      </c>
      <c r="M267" s="27">
        <f t="shared" si="35"/>
        <v>1685520</v>
      </c>
    </row>
    <row r="268" spans="1:13" s="26" customFormat="1" ht="15.75" hidden="1" customHeight="1" outlineLevel="1">
      <c r="A268" s="69"/>
      <c r="B268" s="39" t="s">
        <v>26</v>
      </c>
      <c r="C268" s="60">
        <v>-9522097</v>
      </c>
      <c r="D268" s="60">
        <v>-27042597</v>
      </c>
      <c r="E268" s="36">
        <v>0</v>
      </c>
      <c r="F268" s="36">
        <v>155253232.08000001</v>
      </c>
      <c r="G268" s="37">
        <f t="shared" si="32"/>
        <v>-6.1332681274508895E-2</v>
      </c>
      <c r="H268" s="23">
        <f t="shared" si="33"/>
        <v>-1.5434831768499757</v>
      </c>
      <c r="I268" s="24">
        <f t="shared" si="33"/>
        <v>0</v>
      </c>
      <c r="J268" s="32" t="str" cm="1">
        <f t="array" ref="J268">IFERROR(_xlfn.IFS(B268="044 - BLEND TRADICION","BLEND",B268="113 - CAFÉ GOURMET","GOURMET",B268="114 - CAFÉ CONSUMO","CONSUMO",B268="112 - CAFÉ ORGANICO","GOURMET",B268="172 - CAFÉ COSECHA","ESPECIALES",B268="176 - CAFE DESCAFEINADO","GOURMET",B268="147 - CAPSULAS","CAPSULAS",B268="130 - GALLETAS CAFECITAS","DERIVADOS",B268="140 - MERENGUES","DERIVADOS",B268="100 - CAFÉ ESPECIAL","ESPECIALES",B268="141 - AREQUIPE","DERIVADOS",B268="142 - MERMELADA","DERIVADOS",B268="131 - GALLETAS AVENA","DERIVADOS",B268="160 - SOUVENIR","OTROS",B268="148 - CARAMELOS","DERIVADOS",B268="143 - CHOCOFFES","DERIVADOS",B268="162 - CONVENIOS Y DSC POS ","OTROS"),"OTROS")</f>
        <v>CAPSULAS</v>
      </c>
      <c r="L268" s="27">
        <f t="shared" si="36"/>
        <v>17520500</v>
      </c>
      <c r="M268" s="27">
        <f t="shared" si="35"/>
        <v>17520500</v>
      </c>
    </row>
    <row r="269" spans="1:13" s="26" customFormat="1" ht="15.75" hidden="1" customHeight="1" outlineLevel="1">
      <c r="A269" s="69"/>
      <c r="B269" s="39" t="s">
        <v>27</v>
      </c>
      <c r="C269" s="60">
        <v>1068749</v>
      </c>
      <c r="D269" s="60">
        <v>0</v>
      </c>
      <c r="E269" s="36">
        <v>0</v>
      </c>
      <c r="F269" s="35">
        <v>5439026.3600000003</v>
      </c>
      <c r="G269" s="37">
        <f t="shared" si="32"/>
        <v>0.1964963817531489</v>
      </c>
      <c r="H269" s="23">
        <f t="shared" si="33"/>
        <v>0</v>
      </c>
      <c r="I269" s="24">
        <f t="shared" si="33"/>
        <v>0</v>
      </c>
      <c r="J269" s="32" t="str" cm="1">
        <f t="array" ref="J269">IFERROR(_xlfn.IFS(B269="044 - BLEND TRADICION","BLEND",B269="113 - CAFÉ GOURMET","GOURMET",B269="114 - CAFÉ CONSUMO","CONSUMO",B269="112 - CAFÉ ORGANICO","GOURMET",B269="172 - CAFÉ COSECHA","ESPECIALES",B269="176 - CAFE DESCAFEINADO","GOURMET",B269="147 - CAPSULAS","CAPSULAS",B269="130 - GALLETAS CAFECITAS","DERIVADOS",B269="140 - MERENGUES","DERIVADOS",B269="100 - CAFÉ ESPECIAL","ESPECIALES",B269="141 - AREQUIPE","DERIVADOS",B269="142 - MERMELADA","DERIVADOS",B269="131 - GALLETAS AVENA","DERIVADOS",B269="160 - SOUVENIR","OTROS",B269="148 - CARAMELOS","DERIVADOS",B269="143 - CHOCOFFES","DERIVADOS",B269="162 - CONVENIOS Y DSC POS ","OTROS"),"OTROS")</f>
        <v>DERIVADOS</v>
      </c>
      <c r="L269" s="27">
        <f t="shared" si="36"/>
        <v>1068749</v>
      </c>
      <c r="M269" s="27">
        <f t="shared" si="35"/>
        <v>1068749</v>
      </c>
    </row>
    <row r="270" spans="1:13" s="26" customFormat="1" ht="15.75" hidden="1" customHeight="1" outlineLevel="1">
      <c r="A270" s="69"/>
      <c r="B270" s="39" t="s">
        <v>28</v>
      </c>
      <c r="C270" s="60">
        <v>13789908</v>
      </c>
      <c r="D270" s="60">
        <v>-1217631</v>
      </c>
      <c r="E270" s="36">
        <v>0</v>
      </c>
      <c r="F270" s="36">
        <v>137373469.31999999</v>
      </c>
      <c r="G270" s="37">
        <f t="shared" si="32"/>
        <v>0.10038261440335007</v>
      </c>
      <c r="H270" s="23">
        <f t="shared" si="33"/>
        <v>-8.1134621739113927E-2</v>
      </c>
      <c r="I270" s="24">
        <f t="shared" si="33"/>
        <v>0</v>
      </c>
      <c r="J270" s="32" t="str" cm="1">
        <f t="array" ref="J270">IFERROR(_xlfn.IFS(B270="044 - BLEND TRADICION","BLEND",B270="113 - CAFÉ GOURMET","GOURMET",B270="114 - CAFÉ CONSUMO","CONSUMO",B270="112 - CAFÉ ORGANICO","GOURMET",B270="172 - CAFÉ COSECHA","ESPECIALES",B270="176 - CAFE DESCAFEINADO","GOURMET",B270="147 - CAPSULAS","CAPSULAS",B270="130 - GALLETAS CAFECITAS","DERIVADOS",B270="140 - MERENGUES","DERIVADOS",B270="100 - CAFÉ ESPECIAL","ESPECIALES",B270="141 - AREQUIPE","DERIVADOS",B270="142 - MERMELADA","DERIVADOS",B270="131 - GALLETAS AVENA","DERIVADOS",B270="160 - SOUVENIR","OTROS",B270="148 - CARAMELOS","DERIVADOS",B270="143 - CHOCOFFES","DERIVADOS",B270="162 - CONVENIOS Y DSC POS ","OTROS"),"OTROS")</f>
        <v>OTROS</v>
      </c>
      <c r="L270" s="27">
        <f t="shared" si="36"/>
        <v>15007539</v>
      </c>
      <c r="M270" s="27">
        <f t="shared" si="35"/>
        <v>15007539</v>
      </c>
    </row>
    <row r="271" spans="1:13" s="26" customFormat="1" ht="15.75" hidden="1" customHeight="1" outlineLevel="1">
      <c r="A271" s="69"/>
      <c r="B271" s="39" t="s">
        <v>29</v>
      </c>
      <c r="C271" s="60">
        <v>11878480</v>
      </c>
      <c r="D271" s="60">
        <v>-6274188</v>
      </c>
      <c r="E271" s="36">
        <v>0</v>
      </c>
      <c r="F271" s="36">
        <v>320749097.20999998</v>
      </c>
      <c r="G271" s="37">
        <f t="shared" si="32"/>
        <v>3.7033557080358527E-2</v>
      </c>
      <c r="H271" s="23">
        <f t="shared" si="33"/>
        <v>-0.34563448193951435</v>
      </c>
      <c r="I271" s="24">
        <f t="shared" si="33"/>
        <v>0</v>
      </c>
      <c r="J271" s="32" t="str" cm="1">
        <f t="array" ref="J271">IFERROR(_xlfn.IFS(B271="044 - BLEND TRADICION","BLEND",B271="113 - CAFÉ GOURMET","GOURMET",B271="114 - CAFÉ CONSUMO","CONSUMO",B271="112 - CAFÉ ORGANICO","GOURMET",B271="172 - CAFÉ COSECHA","ESPECIALES",B271="176 - CAFE DESCAFEINADO","GOURMET",B271="147 - CAPSULAS","CAPSULAS",B271="130 - GALLETAS CAFECITAS","DERIVADOS",B271="140 - MERENGUES","DERIVADOS",B271="100 - CAFÉ ESPECIAL","ESPECIALES",B271="141 - AREQUIPE","DERIVADOS",B271="142 - MERMELADA","DERIVADOS",B271="131 - GALLETAS AVENA","DERIVADOS",B271="160 - SOUVENIR","OTROS",B271="148 - CARAMELOS","DERIVADOS",B271="143 - CHOCOFFES","DERIVADOS",B271="162 - CONVENIOS Y DSC POS ","OTROS"),"OTROS")</f>
        <v>ESPECIALES</v>
      </c>
      <c r="L271" s="27">
        <f t="shared" si="36"/>
        <v>18152668</v>
      </c>
      <c r="M271" s="27">
        <f t="shared" si="35"/>
        <v>18152668</v>
      </c>
    </row>
    <row r="272" spans="1:13" s="26" customFormat="1" ht="15.75" hidden="1" customHeight="1" outlineLevel="1">
      <c r="A272" s="69"/>
      <c r="B272" s="39" t="s">
        <v>30</v>
      </c>
      <c r="C272" s="60">
        <v>2962811</v>
      </c>
      <c r="D272" s="60">
        <v>-98457</v>
      </c>
      <c r="E272" s="60">
        <v>0</v>
      </c>
      <c r="F272" s="36">
        <v>43409949.520000003</v>
      </c>
      <c r="G272" s="37">
        <f t="shared" si="32"/>
        <v>6.8251887706871489E-2</v>
      </c>
      <c r="H272" s="23">
        <f t="shared" si="33"/>
        <v>-3.2162162868458431E-2</v>
      </c>
      <c r="I272" s="24">
        <f t="shared" si="33"/>
        <v>0</v>
      </c>
      <c r="J272" s="32" t="str" cm="1">
        <f t="array" ref="J272">IFERROR(_xlfn.IFS(B272="044 - BLEND TRADICION","BLEND",B272="113 - CAFÉ GOURMET","GOURMET",B272="114 - CAFÉ CONSUMO","CONSUMO",B272="112 - CAFÉ ORGANICO","GOURMET",B272="172 - CAFÉ COSECHA","ESPECIALES",B272="176 - CAFE DESCAFEINADO","GOURMET",B272="147 - CAPSULAS","CAPSULAS",B272="130 - GALLETAS CAFECITAS","DERIVADOS",B272="140 - MERENGUES","DERIVADOS",B272="100 - CAFÉ ESPECIAL","ESPECIALES",B272="141 - AREQUIPE","DERIVADOS",B272="142 - MERMELADA","DERIVADOS",B272="131 - GALLETAS AVENA","DERIVADOS",B272="160 - SOUVENIR","OTROS",B272="148 - CARAMELOS","DERIVADOS",B272="143 - CHOCOFFES","DERIVADOS",B272="162 - CONVENIOS Y DSC POS ","OTROS"),"OTROS")</f>
        <v>GOURMET</v>
      </c>
      <c r="L272" s="27">
        <f t="shared" si="36"/>
        <v>3061268</v>
      </c>
      <c r="M272" s="27">
        <f t="shared" si="35"/>
        <v>3061268</v>
      </c>
    </row>
    <row r="273" spans="1:13" s="26" customFormat="1" ht="15.75" hidden="1" customHeight="1" outlineLevel="1" thickBot="1">
      <c r="A273" s="70" t="s">
        <v>66</v>
      </c>
      <c r="B273" s="56" t="s">
        <v>32</v>
      </c>
      <c r="C273" s="54">
        <f>SUM(C260:C272)</f>
        <v>529341094</v>
      </c>
      <c r="D273" s="54">
        <f>SUM(D260:D272)</f>
        <v>-61908290</v>
      </c>
      <c r="E273" s="54">
        <f>SUM(E260:E272)</f>
        <v>0</v>
      </c>
      <c r="F273" s="71">
        <f>SUM(F260:F272)</f>
        <v>3060120402.4200006</v>
      </c>
      <c r="G273" s="72">
        <f t="shared" si="32"/>
        <v>0.17298047932407729</v>
      </c>
      <c r="H273" s="73">
        <f t="shared" si="33"/>
        <v>-0.10470757632112815</v>
      </c>
      <c r="I273" s="74">
        <f t="shared" si="33"/>
        <v>0</v>
      </c>
      <c r="J273" s="32"/>
      <c r="L273" s="27">
        <f t="shared" si="36"/>
        <v>591249384</v>
      </c>
      <c r="M273" s="27">
        <f t="shared" si="35"/>
        <v>591249384</v>
      </c>
    </row>
    <row r="274" spans="1:13" s="26" customFormat="1" ht="17" collapsed="1" thickBot="1">
      <c r="A274" s="181" t="s">
        <v>67</v>
      </c>
      <c r="B274" s="182"/>
      <c r="C274" s="75">
        <f>+C62+C111+C195+C211+C243+C5+C228+C259+C21</f>
        <v>1758550212</v>
      </c>
      <c r="D274" s="75">
        <f>+D62+D111+D195+D211+D243+D5+D228+D259+D21</f>
        <v>-82770085</v>
      </c>
      <c r="E274" s="75">
        <f>+E62+E111+E195+E211+E243+E5+E228+E259+E21</f>
        <v>-2584562</v>
      </c>
      <c r="F274" s="75">
        <f>+F62+F111+F195+F211+F243+F5+F228+F259+F21</f>
        <v>6068096467.1400003</v>
      </c>
      <c r="G274" s="76">
        <f>IFERROR(C274/F274*100%,"-")</f>
        <v>0.28980261298133836</v>
      </c>
      <c r="H274" s="76">
        <f t="shared" si="33"/>
        <v>-4.4888479248809225E-2</v>
      </c>
      <c r="I274" s="77">
        <f t="shared" si="33"/>
        <v>-1.4016786101435183E-3</v>
      </c>
      <c r="J274" s="32"/>
      <c r="L274" s="27">
        <f t="shared" si="36"/>
        <v>1843904859</v>
      </c>
      <c r="M274" s="27">
        <f>L274</f>
        <v>1843904859</v>
      </c>
    </row>
    <row r="275" spans="1:13" s="26" customFormat="1" ht="16.5">
      <c r="A275" s="6" t="s">
        <v>68</v>
      </c>
      <c r="B275" s="6" t="s">
        <v>68</v>
      </c>
      <c r="C275" s="78"/>
      <c r="D275" s="78"/>
      <c r="E275" s="78"/>
      <c r="F275" s="79"/>
      <c r="G275" s="79"/>
      <c r="H275" s="6"/>
      <c r="I275" s="6"/>
      <c r="J275" s="32"/>
    </row>
    <row r="276" spans="1:13" s="26" customFormat="1" ht="16.5">
      <c r="A276" s="183" t="s">
        <v>69</v>
      </c>
      <c r="B276" s="184"/>
      <c r="C276" s="187"/>
      <c r="D276" s="187"/>
      <c r="E276" s="187"/>
      <c r="F276" s="188"/>
      <c r="G276" s="79"/>
      <c r="H276" s="6"/>
      <c r="I276" s="6"/>
      <c r="J276" s="32"/>
    </row>
    <row r="277" spans="1:13" s="26" customFormat="1" ht="16.5">
      <c r="A277" s="185"/>
      <c r="B277" s="186"/>
      <c r="C277" s="171"/>
      <c r="D277" s="171"/>
      <c r="E277" s="171"/>
      <c r="F277" s="172"/>
      <c r="G277" s="79"/>
      <c r="H277" s="6"/>
      <c r="I277" s="6"/>
      <c r="J277" s="32"/>
    </row>
    <row r="278" spans="1:13" s="26" customFormat="1" ht="16.5">
      <c r="A278" s="80"/>
      <c r="B278" s="12" t="s">
        <v>2</v>
      </c>
      <c r="C278" s="13" t="s">
        <v>3</v>
      </c>
      <c r="D278" s="13" t="s">
        <v>4</v>
      </c>
      <c r="E278" s="13" t="s">
        <v>6</v>
      </c>
      <c r="F278" s="15" t="s">
        <v>7</v>
      </c>
      <c r="G278" s="81" t="s">
        <v>8</v>
      </c>
      <c r="H278" s="6"/>
      <c r="I278" s="6"/>
      <c r="J278" s="32"/>
    </row>
    <row r="279" spans="1:13" s="26" customFormat="1" ht="16.5">
      <c r="A279" s="82"/>
      <c r="B279" s="83" t="s">
        <v>62</v>
      </c>
      <c r="C279" s="84">
        <v>18333</v>
      </c>
      <c r="D279" s="84">
        <v>0</v>
      </c>
      <c r="E279" s="84">
        <v>0</v>
      </c>
      <c r="F279" s="85" t="str">
        <f>IFERROR(C279/E279*100%,"-")</f>
        <v>-</v>
      </c>
      <c r="G279" s="85">
        <f t="shared" ref="G279:G301" si="37">IFERROR((D279/C279)*100%,"-")</f>
        <v>0</v>
      </c>
      <c r="H279" s="6"/>
      <c r="I279" s="6"/>
      <c r="J279" s="32"/>
    </row>
    <row r="280" spans="1:13" s="26" customFormat="1" ht="16.5">
      <c r="A280" s="82"/>
      <c r="B280" s="83" t="s">
        <v>34</v>
      </c>
      <c r="C280" s="84">
        <v>31799699</v>
      </c>
      <c r="D280" s="84">
        <v>-3928366</v>
      </c>
      <c r="E280" s="84">
        <v>54501464.539999999</v>
      </c>
      <c r="F280" s="85">
        <f t="shared" ref="F280:F301" si="38">IFERROR(C280/E280*100%,"-")</f>
        <v>0.58346503655257553</v>
      </c>
      <c r="G280" s="85">
        <f t="shared" si="37"/>
        <v>-0.12353469131893355</v>
      </c>
      <c r="H280" s="6"/>
      <c r="I280" s="6"/>
      <c r="J280" s="32"/>
    </row>
    <row r="281" spans="1:13" s="26" customFormat="1" ht="16.5">
      <c r="A281" s="82"/>
      <c r="B281" s="83" t="s">
        <v>95</v>
      </c>
      <c r="C281" s="84">
        <v>522421</v>
      </c>
      <c r="D281" s="84">
        <v>-82846</v>
      </c>
      <c r="E281" s="84">
        <v>0</v>
      </c>
      <c r="F281" s="85" t="str">
        <f t="shared" si="38"/>
        <v>-</v>
      </c>
      <c r="G281" s="85">
        <f t="shared" si="37"/>
        <v>-0.15858091462632629</v>
      </c>
      <c r="H281" s="6"/>
      <c r="I281" s="6"/>
      <c r="J281" s="32"/>
    </row>
    <row r="282" spans="1:13" s="26" customFormat="1" ht="16.5">
      <c r="A282" s="82"/>
      <c r="B282" s="83" t="s">
        <v>42</v>
      </c>
      <c r="C282" s="84">
        <v>436199</v>
      </c>
      <c r="D282" s="84">
        <v>0</v>
      </c>
      <c r="E282" s="84">
        <v>0</v>
      </c>
      <c r="F282" s="85" t="str">
        <f t="shared" ref="F282:F300" si="39">IFERROR(C282/E282*100%,"-")</f>
        <v>-</v>
      </c>
      <c r="G282" s="85">
        <f t="shared" ref="G282:G300" si="40">IFERROR((D282/C282)*100%,"-")</f>
        <v>0</v>
      </c>
      <c r="H282" s="6"/>
      <c r="I282" s="6"/>
      <c r="J282" s="32"/>
    </row>
    <row r="283" spans="1:13" s="26" customFormat="1" ht="16.5">
      <c r="A283" s="82"/>
      <c r="B283" s="83" t="s">
        <v>18</v>
      </c>
      <c r="C283" s="84">
        <v>212553764</v>
      </c>
      <c r="D283" s="84">
        <v>0</v>
      </c>
      <c r="E283" s="84">
        <v>507299188.97000003</v>
      </c>
      <c r="F283" s="85">
        <f t="shared" si="39"/>
        <v>0.41899093990581898</v>
      </c>
      <c r="G283" s="85">
        <f t="shared" si="40"/>
        <v>0</v>
      </c>
      <c r="H283" s="6"/>
      <c r="I283" s="6"/>
      <c r="J283" s="32"/>
    </row>
    <row r="284" spans="1:13" s="26" customFormat="1" ht="16.5">
      <c r="A284" s="82"/>
      <c r="B284" s="83" t="s">
        <v>36</v>
      </c>
      <c r="C284" s="84">
        <v>38539</v>
      </c>
      <c r="D284" s="84">
        <v>0</v>
      </c>
      <c r="E284" s="84">
        <v>0</v>
      </c>
      <c r="F284" s="85" t="str">
        <f t="shared" si="39"/>
        <v>-</v>
      </c>
      <c r="G284" s="85">
        <f t="shared" si="40"/>
        <v>0</v>
      </c>
      <c r="H284" s="6"/>
      <c r="I284" s="6"/>
      <c r="J284" s="32"/>
    </row>
    <row r="285" spans="1:13" s="26" customFormat="1" ht="16.5">
      <c r="A285" s="82"/>
      <c r="B285" s="83" t="s">
        <v>19</v>
      </c>
      <c r="C285" s="84">
        <v>79994330</v>
      </c>
      <c r="D285" s="84">
        <v>-8020006</v>
      </c>
      <c r="E285" s="84">
        <v>191019804.03</v>
      </c>
      <c r="F285" s="85">
        <f t="shared" si="39"/>
        <v>0.41877506055569375</v>
      </c>
      <c r="G285" s="85">
        <f t="shared" si="40"/>
        <v>-0.10025718072768408</v>
      </c>
      <c r="H285" s="6"/>
      <c r="I285" s="6"/>
      <c r="J285" s="32"/>
    </row>
    <row r="286" spans="1:13" s="26" customFormat="1" ht="16.5">
      <c r="A286" s="82"/>
      <c r="B286" s="83" t="s">
        <v>20</v>
      </c>
      <c r="C286" s="84">
        <v>46954164</v>
      </c>
      <c r="D286" s="84">
        <v>-927728</v>
      </c>
      <c r="E286" s="84">
        <v>223501100.75</v>
      </c>
      <c r="F286" s="85">
        <f t="shared" si="39"/>
        <v>0.21008471028749509</v>
      </c>
      <c r="G286" s="85">
        <f t="shared" si="40"/>
        <v>-1.9758162449660482E-2</v>
      </c>
      <c r="H286" s="6"/>
      <c r="I286" s="6"/>
      <c r="J286" s="32"/>
    </row>
    <row r="287" spans="1:13" s="26" customFormat="1" ht="16.5">
      <c r="A287" s="82"/>
      <c r="B287" s="83" t="s">
        <v>21</v>
      </c>
      <c r="C287" s="84">
        <v>1035138167</v>
      </c>
      <c r="D287" s="84">
        <v>-27817576</v>
      </c>
      <c r="E287" s="84">
        <v>3601471598.6100001</v>
      </c>
      <c r="F287" s="85">
        <f t="shared" si="39"/>
        <v>0.28742088856108572</v>
      </c>
      <c r="G287" s="85">
        <f t="shared" si="40"/>
        <v>-2.6873297581732392E-2</v>
      </c>
      <c r="H287" s="6"/>
      <c r="I287" s="6"/>
      <c r="J287" s="32"/>
    </row>
    <row r="288" spans="1:13" s="26" customFormat="1" ht="16.5">
      <c r="A288" s="82"/>
      <c r="B288" s="83" t="s">
        <v>38</v>
      </c>
      <c r="C288" s="84">
        <v>29689837</v>
      </c>
      <c r="D288" s="84">
        <v>-85592</v>
      </c>
      <c r="E288" s="84">
        <v>53476353.159999996</v>
      </c>
      <c r="F288" s="85">
        <f t="shared" si="39"/>
        <v>0.55519561910231052</v>
      </c>
      <c r="G288" s="85">
        <f t="shared" si="40"/>
        <v>-2.8828720076839762E-3</v>
      </c>
      <c r="H288" s="6"/>
      <c r="I288" s="6"/>
      <c r="J288" s="32"/>
    </row>
    <row r="289" spans="1:31" s="26" customFormat="1" ht="16.5">
      <c r="A289" s="82"/>
      <c r="B289" s="83" t="s">
        <v>22</v>
      </c>
      <c r="C289" s="84">
        <v>63840462</v>
      </c>
      <c r="D289" s="84">
        <v>-2577335</v>
      </c>
      <c r="E289" s="84">
        <v>217515060.65000001</v>
      </c>
      <c r="F289" s="85">
        <f t="shared" si="39"/>
        <v>0.29349904236159841</v>
      </c>
      <c r="G289" s="85">
        <f t="shared" si="40"/>
        <v>-4.0371496684970733E-2</v>
      </c>
      <c r="H289" s="6"/>
      <c r="I289" s="6"/>
      <c r="J289" s="32"/>
    </row>
    <row r="290" spans="1:31" s="26" customFormat="1" ht="16.5">
      <c r="A290" s="82"/>
      <c r="B290" s="83" t="s">
        <v>23</v>
      </c>
      <c r="C290" s="84">
        <v>190109</v>
      </c>
      <c r="D290" s="84">
        <v>-343068</v>
      </c>
      <c r="E290" s="84">
        <v>2178053.21</v>
      </c>
      <c r="F290" s="85">
        <f t="shared" si="39"/>
        <v>8.7283909836160523E-2</v>
      </c>
      <c r="G290" s="85">
        <f t="shared" si="40"/>
        <v>-1.8045857902571683</v>
      </c>
      <c r="H290" s="6"/>
      <c r="I290" s="6"/>
      <c r="J290" s="32"/>
    </row>
    <row r="291" spans="1:31" s="26" customFormat="1" ht="16.5">
      <c r="A291" s="82"/>
      <c r="B291" s="83" t="s">
        <v>24</v>
      </c>
      <c r="C291" s="84">
        <v>10534546</v>
      </c>
      <c r="D291" s="84">
        <v>-557241</v>
      </c>
      <c r="E291" s="84">
        <v>22254856.469999999</v>
      </c>
      <c r="F291" s="85">
        <f t="shared" si="39"/>
        <v>0.47335942220974481</v>
      </c>
      <c r="G291" s="85">
        <f t="shared" si="40"/>
        <v>-5.2896536784784079E-2</v>
      </c>
      <c r="H291" s="6"/>
      <c r="I291" s="6"/>
      <c r="J291" s="32"/>
    </row>
    <row r="292" spans="1:31" s="26" customFormat="1" ht="16.5">
      <c r="A292" s="82"/>
      <c r="B292" s="83" t="s">
        <v>25</v>
      </c>
      <c r="C292" s="84">
        <v>28429992</v>
      </c>
      <c r="D292" s="84">
        <v>-183413</v>
      </c>
      <c r="E292" s="84">
        <v>73446237.840000004</v>
      </c>
      <c r="F292" s="85">
        <f t="shared" si="39"/>
        <v>0.3870857491970347</v>
      </c>
      <c r="G292" s="85">
        <f t="shared" si="40"/>
        <v>-6.4513911927938632E-3</v>
      </c>
      <c r="H292" s="6"/>
      <c r="I292" s="6"/>
      <c r="J292" s="32"/>
    </row>
    <row r="293" spans="1:31" s="26" customFormat="1" ht="16.5">
      <c r="A293" s="82"/>
      <c r="B293" s="83" t="s">
        <v>26</v>
      </c>
      <c r="C293" s="84">
        <v>66876835</v>
      </c>
      <c r="D293" s="84">
        <v>-28885122</v>
      </c>
      <c r="E293" s="84">
        <v>283274900.44</v>
      </c>
      <c r="F293" s="85">
        <f t="shared" si="39"/>
        <v>0.23608457684081005</v>
      </c>
      <c r="G293" s="85">
        <f t="shared" si="40"/>
        <v>-0.43191520651358578</v>
      </c>
      <c r="H293" s="6"/>
      <c r="I293" s="6"/>
      <c r="J293" s="32"/>
    </row>
    <row r="294" spans="1:31" s="26" customFormat="1" ht="16.5">
      <c r="A294" s="82"/>
      <c r="B294" s="83" t="s">
        <v>27</v>
      </c>
      <c r="C294" s="84">
        <v>31393983</v>
      </c>
      <c r="D294" s="84">
        <v>0</v>
      </c>
      <c r="E294" s="84">
        <v>86150297.260000005</v>
      </c>
      <c r="F294" s="85">
        <f t="shared" si="39"/>
        <v>0.36440945647875755</v>
      </c>
      <c r="G294" s="85">
        <f t="shared" si="40"/>
        <v>0</v>
      </c>
      <c r="H294" s="6"/>
      <c r="I294" s="6"/>
      <c r="J294" s="32"/>
    </row>
    <row r="295" spans="1:31" s="26" customFormat="1" ht="16.5">
      <c r="A295" s="82"/>
      <c r="B295" s="83" t="s">
        <v>28</v>
      </c>
      <c r="C295" s="84">
        <v>49937237</v>
      </c>
      <c r="D295" s="84">
        <v>-1217631</v>
      </c>
      <c r="E295" s="84">
        <v>247793209.88999999</v>
      </c>
      <c r="F295" s="85">
        <f t="shared" si="39"/>
        <v>0.20152786681349366</v>
      </c>
      <c r="G295" s="85">
        <f t="shared" si="40"/>
        <v>-2.4383227289887906E-2</v>
      </c>
      <c r="H295" s="6"/>
      <c r="I295" s="6"/>
      <c r="J295" s="32"/>
    </row>
    <row r="296" spans="1:31" s="26" customFormat="1" ht="16.5">
      <c r="A296" s="82"/>
      <c r="B296" s="83" t="s">
        <v>39</v>
      </c>
      <c r="C296" s="84">
        <v>81408</v>
      </c>
      <c r="D296" s="84">
        <v>0</v>
      </c>
      <c r="E296" s="84">
        <v>0</v>
      </c>
      <c r="F296" s="85" t="str">
        <f t="shared" si="39"/>
        <v>-</v>
      </c>
      <c r="G296" s="85">
        <f t="shared" si="40"/>
        <v>0</v>
      </c>
      <c r="H296" s="6"/>
      <c r="I296" s="6"/>
      <c r="J296" s="32"/>
    </row>
    <row r="297" spans="1:31" s="26" customFormat="1" ht="16.5">
      <c r="A297" s="82"/>
      <c r="B297" s="83" t="s">
        <v>50</v>
      </c>
      <c r="C297" s="84">
        <v>9215438</v>
      </c>
      <c r="D297" s="84">
        <v>-2584562</v>
      </c>
      <c r="E297" s="84">
        <v>0</v>
      </c>
      <c r="F297" s="85" t="str">
        <f t="shared" si="39"/>
        <v>-</v>
      </c>
      <c r="G297" s="85">
        <f t="shared" si="40"/>
        <v>-0.28046002805292597</v>
      </c>
      <c r="H297" s="6"/>
      <c r="I297" s="6"/>
      <c r="J297" s="32"/>
    </row>
    <row r="298" spans="1:31" s="26" customFormat="1" ht="16.5">
      <c r="A298" s="82"/>
      <c r="B298" s="83" t="s">
        <v>29</v>
      </c>
      <c r="C298" s="84">
        <v>44585740</v>
      </c>
      <c r="D298" s="84">
        <v>-6885468</v>
      </c>
      <c r="E298" s="84">
        <v>442463603.77999997</v>
      </c>
      <c r="F298" s="85">
        <f t="shared" si="39"/>
        <v>0.10076702268638744</v>
      </c>
      <c r="G298" s="85">
        <f t="shared" si="40"/>
        <v>-0.15443206729326461</v>
      </c>
      <c r="H298" s="6"/>
      <c r="I298" s="6"/>
      <c r="J298" s="32"/>
    </row>
    <row r="299" spans="1:31" s="26" customFormat="1" ht="16.5">
      <c r="A299" s="82"/>
      <c r="B299" s="83" t="s">
        <v>30</v>
      </c>
      <c r="C299" s="84">
        <v>11530385</v>
      </c>
      <c r="D299" s="84">
        <v>-98457</v>
      </c>
      <c r="E299" s="84">
        <v>61750737.539999999</v>
      </c>
      <c r="F299" s="85">
        <f t="shared" si="39"/>
        <v>0.18672465235789312</v>
      </c>
      <c r="G299" s="85">
        <f t="shared" si="40"/>
        <v>-8.5389169572395018E-3</v>
      </c>
      <c r="H299" s="6"/>
      <c r="I299" s="6"/>
      <c r="J299" s="32"/>
    </row>
    <row r="300" spans="1:31" s="26" customFormat="1" ht="16.5">
      <c r="A300" s="82"/>
      <c r="B300" s="83" t="s">
        <v>92</v>
      </c>
      <c r="C300" s="84">
        <v>5127360</v>
      </c>
      <c r="D300" s="84">
        <v>0</v>
      </c>
      <c r="E300" s="84">
        <v>0</v>
      </c>
      <c r="F300" s="85" t="str">
        <f t="shared" si="39"/>
        <v>-</v>
      </c>
      <c r="G300" s="85">
        <f t="shared" si="40"/>
        <v>0</v>
      </c>
      <c r="H300" s="6"/>
      <c r="I300" s="6"/>
      <c r="J300" s="32"/>
    </row>
    <row r="301" spans="1:31" s="26" customFormat="1">
      <c r="A301" s="82"/>
      <c r="B301" s="83" t="s">
        <v>31</v>
      </c>
      <c r="C301" s="84">
        <v>-338736</v>
      </c>
      <c r="D301" s="84">
        <v>-1160236</v>
      </c>
      <c r="E301" s="84">
        <v>0</v>
      </c>
      <c r="F301" s="85" t="str">
        <f t="shared" si="38"/>
        <v>-</v>
      </c>
      <c r="G301" s="85">
        <f t="shared" si="37"/>
        <v>3.4251924802796276</v>
      </c>
      <c r="H301" s="6"/>
      <c r="I301" s="6"/>
    </row>
    <row r="302" spans="1:31" s="79" customFormat="1" ht="16.5">
      <c r="A302" s="82"/>
      <c r="B302" s="86" t="s">
        <v>32</v>
      </c>
      <c r="C302" s="87">
        <f>SUM(C279:C301)</f>
        <v>1758550212</v>
      </c>
      <c r="D302" s="87">
        <f>SUM(D279:D301)</f>
        <v>-85354647</v>
      </c>
      <c r="E302" s="87">
        <f>SUM(E279:E301)</f>
        <v>6068096467.1399994</v>
      </c>
      <c r="F302" s="88">
        <f>C302/E302*100%</f>
        <v>0.28980261298133841</v>
      </c>
      <c r="G302" s="88">
        <v>2.1700000000000001E-2</v>
      </c>
      <c r="H302" s="6"/>
      <c r="I302" s="27"/>
      <c r="J302" s="32"/>
      <c r="K302" s="26"/>
      <c r="L302" s="26"/>
      <c r="M302" s="26"/>
      <c r="O302" s="26"/>
      <c r="P302" s="26"/>
      <c r="R302" s="26"/>
      <c r="S302" s="26"/>
      <c r="U302" s="26"/>
      <c r="V302" s="26"/>
      <c r="X302" s="26"/>
      <c r="Y302" s="26"/>
      <c r="Z302" s="26"/>
      <c r="AA302" s="26"/>
      <c r="AB302" s="26"/>
      <c r="AC302" s="26"/>
      <c r="AD302" s="26"/>
      <c r="AE302" s="26"/>
    </row>
    <row r="303" spans="1:31" s="79" customFormat="1">
      <c r="A303" s="89"/>
      <c r="B303" s="90"/>
      <c r="C303" s="91"/>
      <c r="D303" s="91"/>
      <c r="E303" s="91"/>
      <c r="F303" s="92"/>
      <c r="H303" s="6"/>
      <c r="I303" s="6"/>
      <c r="J303" s="83" t="s">
        <v>50</v>
      </c>
      <c r="K303" s="26"/>
      <c r="L303" s="93"/>
      <c r="M303" s="26"/>
      <c r="O303" s="26"/>
      <c r="P303" s="26"/>
      <c r="R303" s="26"/>
      <c r="S303" s="26"/>
      <c r="X303" s="26"/>
      <c r="Y303" s="26"/>
      <c r="Z303" s="26"/>
      <c r="AA303" s="26"/>
      <c r="AB303" s="26"/>
      <c r="AD303" s="26"/>
      <c r="AE303" s="26"/>
    </row>
    <row r="304" spans="1:31" s="79" customFormat="1" ht="16.5">
      <c r="A304" s="165">
        <f>+A1</f>
        <v>46247</v>
      </c>
      <c r="B304" s="166"/>
      <c r="C304" s="169"/>
      <c r="D304" s="169"/>
      <c r="E304" s="169"/>
      <c r="F304" s="170"/>
      <c r="H304" s="6"/>
      <c r="I304" s="6"/>
      <c r="J304" s="32"/>
      <c r="K304" s="26"/>
      <c r="L304" s="27"/>
      <c r="M304" s="26"/>
      <c r="O304" s="26"/>
      <c r="P304" s="26"/>
      <c r="R304" s="26"/>
      <c r="S304" s="26"/>
      <c r="X304" s="26"/>
      <c r="Y304" s="26"/>
      <c r="Z304" s="26"/>
      <c r="AA304" s="26"/>
      <c r="AB304" s="26"/>
      <c r="AD304" s="26"/>
      <c r="AE304" s="26"/>
    </row>
    <row r="305" spans="1:31" s="78" customFormat="1">
      <c r="A305" s="167"/>
      <c r="B305" s="168"/>
      <c r="C305" s="171"/>
      <c r="D305" s="171"/>
      <c r="E305" s="171"/>
      <c r="F305" s="172"/>
      <c r="G305" s="94">
        <f>+H2</f>
        <v>0.38095238095238093</v>
      </c>
      <c r="H305" s="6"/>
      <c r="I305" s="6"/>
      <c r="J305" s="27"/>
      <c r="K305" s="26"/>
      <c r="L305" s="26"/>
      <c r="M305" s="26"/>
      <c r="O305" s="26"/>
      <c r="P305" s="26"/>
      <c r="R305" s="26"/>
      <c r="S305" s="26"/>
      <c r="U305" s="79"/>
      <c r="V305" s="79"/>
      <c r="X305" s="26"/>
      <c r="Y305" s="26"/>
      <c r="Z305" s="26"/>
      <c r="AA305" s="26"/>
      <c r="AB305" s="26"/>
      <c r="AC305" s="79"/>
      <c r="AD305" s="26"/>
      <c r="AE305" s="26"/>
    </row>
    <row r="306" spans="1:31">
      <c r="A306" s="95" t="s">
        <v>1</v>
      </c>
      <c r="B306" s="12" t="s">
        <v>2</v>
      </c>
      <c r="C306" s="13" t="s">
        <v>3</v>
      </c>
      <c r="D306" s="13" t="s">
        <v>4</v>
      </c>
      <c r="E306" s="13" t="s">
        <v>6</v>
      </c>
      <c r="F306" s="15" t="s">
        <v>7</v>
      </c>
      <c r="G306" s="81" t="s">
        <v>8</v>
      </c>
      <c r="O306" s="26"/>
      <c r="P306" s="26"/>
      <c r="R306" s="26"/>
      <c r="S306" s="26"/>
      <c r="U306" s="78"/>
      <c r="V306" s="78"/>
      <c r="X306" s="26"/>
      <c r="Y306" s="26"/>
      <c r="Z306" s="79"/>
      <c r="AA306" s="26"/>
      <c r="AB306" s="26"/>
      <c r="AC306" s="78"/>
      <c r="AD306" s="79"/>
      <c r="AE306" s="79"/>
    </row>
    <row r="307" spans="1:31">
      <c r="A307" s="173" t="s">
        <v>69</v>
      </c>
      <c r="B307" s="174"/>
      <c r="C307" s="96">
        <f>+C5+C62+C111+C195+C211+C228+C243+C259+C21</f>
        <v>1758550212</v>
      </c>
      <c r="D307" s="96">
        <f>+D5+D62+D111+D195+D211+D228+D243+D259+D21</f>
        <v>-82770085</v>
      </c>
      <c r="E307" s="97">
        <f>+F62+F111+F195+F211+F5+F243+F228+F259+F21</f>
        <v>6068096467.1400003</v>
      </c>
      <c r="F307" s="31">
        <f>C307/E307*100%</f>
        <v>0.28980261298133836</v>
      </c>
      <c r="G307" s="31">
        <f>D307/C307*100%</f>
        <v>-4.7067228695088295E-2</v>
      </c>
      <c r="L307" s="98"/>
      <c r="M307" s="98"/>
      <c r="O307" s="26"/>
      <c r="P307" s="26"/>
      <c r="R307" s="26"/>
      <c r="S307" s="26"/>
      <c r="X307" s="79"/>
      <c r="Y307" s="79"/>
      <c r="Z307" s="79"/>
      <c r="AA307" s="26"/>
      <c r="AB307" s="26"/>
      <c r="AD307" s="79"/>
      <c r="AE307" s="79"/>
    </row>
    <row r="308" spans="1:31" s="26" customFormat="1">
      <c r="A308" s="99"/>
      <c r="B308" s="6"/>
      <c r="C308" s="78"/>
      <c r="D308" s="6"/>
      <c r="E308" s="6"/>
      <c r="F308" s="6"/>
      <c r="G308" s="6"/>
      <c r="H308" s="6"/>
      <c r="I308" s="6"/>
      <c r="J308" s="6"/>
      <c r="L308" s="98"/>
      <c r="M308" s="98"/>
      <c r="U308" s="6"/>
      <c r="V308" s="6"/>
      <c r="X308" s="79"/>
      <c r="Y308" s="79"/>
      <c r="Z308" s="79"/>
      <c r="AC308" s="6"/>
      <c r="AD308" s="79"/>
      <c r="AE308" s="79"/>
    </row>
    <row r="309" spans="1:31">
      <c r="J309" s="78"/>
      <c r="O309" s="26"/>
      <c r="P309" s="26"/>
      <c r="R309" s="26"/>
      <c r="S309" s="26"/>
      <c r="X309" s="26"/>
      <c r="Y309" s="26"/>
      <c r="Z309" s="26"/>
      <c r="AA309" s="26"/>
      <c r="AB309" s="26"/>
      <c r="AD309" s="26"/>
      <c r="AE309" s="26"/>
    </row>
    <row r="310" spans="1:31">
      <c r="O310" s="26"/>
      <c r="P310" s="26"/>
      <c r="R310" s="26"/>
      <c r="S310" s="26"/>
      <c r="X310" s="26"/>
      <c r="Y310" s="26"/>
      <c r="Z310" s="26"/>
      <c r="AA310" s="26"/>
      <c r="AB310" s="26"/>
      <c r="AD310" s="26"/>
      <c r="AE310" s="26"/>
    </row>
    <row r="311" spans="1:31">
      <c r="O311" s="26"/>
      <c r="P311" s="26"/>
      <c r="R311" s="26"/>
      <c r="S311" s="26"/>
      <c r="X311" s="26"/>
      <c r="Y311" s="26"/>
      <c r="Z311" s="26"/>
      <c r="AA311" s="26"/>
      <c r="AB311" s="26"/>
      <c r="AD311" s="26"/>
      <c r="AE311" s="26"/>
    </row>
    <row r="312" spans="1:31">
      <c r="O312" s="26"/>
      <c r="P312" s="26"/>
      <c r="R312" s="26"/>
      <c r="S312" s="26"/>
      <c r="X312" s="26"/>
      <c r="Y312" s="26"/>
      <c r="AA312" s="26"/>
      <c r="AB312" s="26"/>
    </row>
    <row r="313" spans="1:31">
      <c r="O313" s="26"/>
      <c r="P313" s="26"/>
      <c r="R313" s="26"/>
      <c r="S313" s="26"/>
      <c r="AA313" s="26"/>
      <c r="AB313" s="26"/>
    </row>
    <row r="314" spans="1:31">
      <c r="O314" s="26"/>
      <c r="P314" s="26"/>
      <c r="R314" s="26"/>
      <c r="S314" s="26"/>
      <c r="AA314" s="26"/>
      <c r="AB314" s="26"/>
    </row>
  </sheetData>
  <mergeCells count="10">
    <mergeCell ref="A304:B305"/>
    <mergeCell ref="C304:F304"/>
    <mergeCell ref="C305:F305"/>
    <mergeCell ref="A307:B307"/>
    <mergeCell ref="A1:B2"/>
    <mergeCell ref="C2:G2"/>
    <mergeCell ref="A274:B274"/>
    <mergeCell ref="A276:B277"/>
    <mergeCell ref="C276:F276"/>
    <mergeCell ref="C277:F277"/>
  </mergeCells>
  <conditionalFormatting sqref="F279:F301">
    <cfRule type="top10" dxfId="5" priority="7" bottom="1" rank="3"/>
    <cfRule type="top10" dxfId="4" priority="8" rank="3"/>
  </conditionalFormatting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37992-1508-42A7-8D2D-EF94E60C46EC}">
  <dimension ref="A1:AE319"/>
  <sheetViews>
    <sheetView showGridLines="0" zoomScale="70" zoomScaleNormal="70" zoomScaleSheetLayoutView="70" workbookViewId="0">
      <selection activeCell="N289" sqref="N289"/>
    </sheetView>
  </sheetViews>
  <sheetFormatPr baseColWidth="10" defaultColWidth="11.453125" defaultRowHeight="15.5" outlineLevelRow="2"/>
  <cols>
    <col min="1" max="1" width="36.7265625" style="6" customWidth="1"/>
    <col min="2" max="2" width="30.7265625" style="6" customWidth="1"/>
    <col min="3" max="3" width="18.81640625" style="78" bestFit="1" customWidth="1"/>
    <col min="4" max="4" width="18" style="78" customWidth="1"/>
    <col min="5" max="5" width="28.7265625" style="78" customWidth="1"/>
    <col min="6" max="6" width="22.26953125" style="79" bestFit="1" customWidth="1"/>
    <col min="7" max="7" width="18.7265625" style="79" bestFit="1" customWidth="1"/>
    <col min="8" max="8" width="11.81640625" style="6" customWidth="1"/>
    <col min="9" max="9" width="13.1796875" style="6" bestFit="1" customWidth="1"/>
    <col min="10" max="10" width="13.81640625" style="6" customWidth="1"/>
    <col min="11" max="11" width="3.26953125" style="26" customWidth="1"/>
    <col min="12" max="12" width="19.54296875" style="26" customWidth="1"/>
    <col min="13" max="13" width="18.81640625" style="26" customWidth="1"/>
    <col min="14" max="14" width="11.453125" style="6"/>
    <col min="15" max="15" width="21.7265625" style="6" bestFit="1" customWidth="1"/>
    <col min="16" max="16" width="13" style="6" bestFit="1" customWidth="1"/>
    <col min="17" max="17" width="11.453125" style="6"/>
    <col min="18" max="18" width="21.7265625" style="6" bestFit="1" customWidth="1"/>
    <col min="19" max="19" width="13" style="6" bestFit="1" customWidth="1"/>
    <col min="20" max="20" width="11.453125" style="6"/>
    <col min="21" max="21" width="22.26953125" style="6" bestFit="1" customWidth="1"/>
    <col min="22" max="22" width="13.54296875" style="6" bestFit="1" customWidth="1"/>
    <col min="23" max="23" width="11.453125" style="6"/>
    <col min="24" max="24" width="22.26953125" style="6" bestFit="1" customWidth="1"/>
    <col min="25" max="25" width="14.26953125" style="6" bestFit="1" customWidth="1"/>
    <col min="26" max="26" width="11.453125" style="6"/>
    <col min="27" max="27" width="22.26953125" style="6" bestFit="1" customWidth="1"/>
    <col min="28" max="28" width="13" style="6" bestFit="1" customWidth="1"/>
    <col min="29" max="29" width="11.453125" style="6"/>
    <col min="30" max="30" width="26.54296875" style="6" bestFit="1" customWidth="1"/>
    <col min="31" max="31" width="14.26953125" style="6" bestFit="1" customWidth="1"/>
    <col min="32" max="16384" width="11.453125" style="6"/>
  </cols>
  <sheetData>
    <row r="1" spans="1:13">
      <c r="A1" s="175">
        <v>46248</v>
      </c>
      <c r="B1" s="176"/>
      <c r="C1" s="1"/>
      <c r="D1" s="1"/>
      <c r="E1" s="1"/>
      <c r="F1" s="2"/>
      <c r="G1" s="2"/>
      <c r="H1" s="3"/>
      <c r="I1" s="4" t="s">
        <v>0</v>
      </c>
      <c r="J1" s="5"/>
      <c r="K1" s="6"/>
      <c r="L1" s="6"/>
      <c r="M1" s="6"/>
    </row>
    <row r="2" spans="1:13">
      <c r="A2" s="177"/>
      <c r="B2" s="178"/>
      <c r="C2" s="179"/>
      <c r="D2" s="179"/>
      <c r="E2" s="179"/>
      <c r="F2" s="179"/>
      <c r="G2" s="180"/>
      <c r="H2" s="7">
        <f>+M2/100</f>
        <v>0.42857142857142855</v>
      </c>
      <c r="I2" s="8">
        <v>9</v>
      </c>
      <c r="J2" s="9"/>
      <c r="K2" s="6"/>
      <c r="L2" s="10">
        <f>100/21</f>
        <v>4.7619047619047619</v>
      </c>
      <c r="M2" s="10">
        <f>L2*I2</f>
        <v>42.857142857142854</v>
      </c>
    </row>
    <row r="3" spans="1:13" ht="31">
      <c r="A3" s="11" t="s">
        <v>1</v>
      </c>
      <c r="B3" s="12" t="s">
        <v>2</v>
      </c>
      <c r="C3" s="13" t="s">
        <v>3</v>
      </c>
      <c r="D3" s="13" t="s">
        <v>4</v>
      </c>
      <c r="E3" s="14" t="s">
        <v>5</v>
      </c>
      <c r="F3" s="13" t="s">
        <v>6</v>
      </c>
      <c r="G3" s="15" t="s">
        <v>7</v>
      </c>
      <c r="H3" s="16" t="s">
        <v>8</v>
      </c>
      <c r="I3" s="17" t="s">
        <v>9</v>
      </c>
      <c r="J3" s="18" t="s">
        <v>10</v>
      </c>
      <c r="K3" s="6"/>
      <c r="L3" s="6"/>
      <c r="M3" s="6"/>
    </row>
    <row r="4" spans="1:13" ht="18.75" hidden="1" customHeight="1" outlineLevel="1">
      <c r="A4" s="19" t="s">
        <v>11</v>
      </c>
      <c r="B4" s="20" t="s">
        <v>12</v>
      </c>
      <c r="C4" s="21" t="s">
        <v>13</v>
      </c>
      <c r="D4" s="21" t="s">
        <v>14</v>
      </c>
      <c r="E4" s="14" t="s">
        <v>5</v>
      </c>
      <c r="F4" s="21" t="s">
        <v>6</v>
      </c>
      <c r="G4" s="22" t="s">
        <v>15</v>
      </c>
      <c r="H4" s="23">
        <f t="shared" ref="H4:I19" si="0">IFERROR(+D4/L4*100%,0)</f>
        <v>0</v>
      </c>
      <c r="I4" s="24">
        <f t="shared" si="0"/>
        <v>0</v>
      </c>
      <c r="J4" s="25"/>
      <c r="L4" s="27"/>
      <c r="M4" s="27"/>
    </row>
    <row r="5" spans="1:13" ht="16.5" collapsed="1">
      <c r="A5" s="28" t="s">
        <v>16</v>
      </c>
      <c r="B5" s="29" t="s">
        <v>17</v>
      </c>
      <c r="C5" s="30">
        <f>+C20</f>
        <v>39817344</v>
      </c>
      <c r="D5" s="30">
        <f>+D20</f>
        <v>-1160236</v>
      </c>
      <c r="E5" s="30">
        <f>+E20</f>
        <v>0</v>
      </c>
      <c r="F5" s="30">
        <f>+F20</f>
        <v>132391087.09</v>
      </c>
      <c r="G5" s="31">
        <f t="shared" ref="G5" si="1">IFERROR(C5/F5*100%,"-")</f>
        <v>0.30075547285847126</v>
      </c>
      <c r="H5" s="23">
        <f t="shared" si="0"/>
        <v>-2.8313921905588374E-2</v>
      </c>
      <c r="I5" s="24">
        <f t="shared" si="0"/>
        <v>0</v>
      </c>
      <c r="J5" s="32"/>
      <c r="L5" s="27">
        <f t="shared" ref="L5:L72" si="2">C5-(D5+E5)</f>
        <v>40977580</v>
      </c>
      <c r="M5" s="27">
        <f t="shared" ref="M5:M72" si="3">L5</f>
        <v>40977580</v>
      </c>
    </row>
    <row r="6" spans="1:13" ht="16.5" hidden="1" outlineLevel="1">
      <c r="A6" s="33"/>
      <c r="B6" s="34" t="s">
        <v>18</v>
      </c>
      <c r="C6" s="35">
        <v>0</v>
      </c>
      <c r="D6" s="36">
        <v>0</v>
      </c>
      <c r="E6" s="36">
        <v>0</v>
      </c>
      <c r="F6" s="35">
        <v>2190251</v>
      </c>
      <c r="G6" s="37">
        <f>IFERROR(C6/F6*100%,"-")</f>
        <v>0</v>
      </c>
      <c r="H6" s="23">
        <f t="shared" si="0"/>
        <v>0</v>
      </c>
      <c r="I6" s="24">
        <f t="shared" si="0"/>
        <v>0</v>
      </c>
      <c r="J6" s="32" t="str" cm="1">
        <f t="array" ref="J6">IFERROR(_xlfn.IFS(B6="044 - BLEND TRADICION","BLEND",B6="113 - CAFÉ GOURMET","GOURMET",B6="114 - CAFÉ CONSUMO","CONSUMO",B6="112 - CAFÉ ORGANICO","GOURMET",B6="172 - CAFÉ COSECHA","ESPECIALES",B6="176 - CAFE DESCAFEINADO","GOURMET",B6="147 - CAPSULAS","CAPSULAS",B6="130 - GALLETAS CAFECITAS","DERIVADOS",B6="140 - MERENGUES","DERIVADOS",B6="100 - CAFÉ ESPECIAL","ESPECIALES",B6="141 - AREQUIPE","DERIVADOS",B6="142 - MERMELADA","DERIVADOS",B6="131 - GALLETAS AVENA","DERIVADOS",B6="160 - SOUVENIR","OTROS",B6="148 - CARAMELOS","DERIVADOS",B6="143 - CHOCOFFES","DERIVADOS",B6="162 - CONVENIOS Y DSC POS ","OTROS"),"OTROS")</f>
        <v>BLEND</v>
      </c>
      <c r="L6" s="27">
        <f t="shared" si="2"/>
        <v>0</v>
      </c>
      <c r="M6" s="27">
        <f t="shared" si="3"/>
        <v>0</v>
      </c>
    </row>
    <row r="7" spans="1:13" ht="16.5" hidden="1" outlineLevel="1">
      <c r="A7" s="33"/>
      <c r="B7" s="34" t="s">
        <v>19</v>
      </c>
      <c r="C7" s="35">
        <v>122080</v>
      </c>
      <c r="D7" s="36">
        <v>0</v>
      </c>
      <c r="E7" s="36"/>
      <c r="F7" s="35">
        <v>3013430.38</v>
      </c>
      <c r="G7" s="37">
        <f t="shared" ref="G7:G18" si="4">IFERROR(C7/F7*100%,"-")</f>
        <v>4.0511969617828041E-2</v>
      </c>
      <c r="H7" s="23">
        <f t="shared" si="0"/>
        <v>0</v>
      </c>
      <c r="I7" s="24">
        <f t="shared" si="0"/>
        <v>0</v>
      </c>
      <c r="J7" s="32" t="str" cm="1">
        <f t="array" ref="J7">IFERROR(_xlfn.IFS(B7="044 - BLEND TRADICION","BLEND",B7="113 - CAFÉ GOURMET","GOURMET",B7="114 - CAFÉ CONSUMO","CONSUMO",B7="112 - CAFÉ ORGANICO","GOURMET",B7="172 - CAFÉ COSECHA","ESPECIALES",B7="176 - CAFE DESCAFEINADO","GOURMET",B7="147 - CAPSULAS","CAPSULAS",B7="130 - GALLETAS CAFECITAS","DERIVADOS",B7="140 - MERENGUES","DERIVADOS",B7="100 - CAFÉ ESPECIAL","ESPECIALES",B7="141 - AREQUIPE","DERIVADOS",B7="142 - MERMELADA","DERIVADOS",B7="131 - GALLETAS AVENA","DERIVADOS",B7="160 - SOUVENIR","OTROS",B7="148 - CARAMELOS","DERIVADOS",B7="143 - CHOCOFFES","DERIVADOS",B7="162 - CONVENIOS Y DSC POS ","OTROS"),"OTROS")</f>
        <v>ESPECIALES</v>
      </c>
      <c r="L7" s="27">
        <f t="shared" si="2"/>
        <v>122080</v>
      </c>
      <c r="M7" s="27">
        <f t="shared" si="3"/>
        <v>122080</v>
      </c>
    </row>
    <row r="8" spans="1:13" ht="16.5" hidden="1" outlineLevel="1">
      <c r="A8" s="38"/>
      <c r="B8" s="39" t="s">
        <v>20</v>
      </c>
      <c r="C8" s="36">
        <v>136918</v>
      </c>
      <c r="D8" s="36">
        <v>0</v>
      </c>
      <c r="E8" s="36">
        <v>0</v>
      </c>
      <c r="F8" s="36">
        <v>2838463.33</v>
      </c>
      <c r="G8" s="37">
        <f t="shared" si="4"/>
        <v>4.8236663321629028E-2</v>
      </c>
      <c r="H8" s="23">
        <f t="shared" si="0"/>
        <v>0</v>
      </c>
      <c r="I8" s="24">
        <f t="shared" si="0"/>
        <v>0</v>
      </c>
      <c r="J8" s="32" t="str" cm="1">
        <f t="array" ref="J8">IFERROR(_xlfn.IFS(B8="044 - BLEND TRADICION","BLEND",B8="113 - CAFÉ GOURMET","GOURMET",B8="114 - CAFÉ CONSUMO","CONSUMO",B8="112 - CAFÉ ORGANICO","GOURMET",B8="172 - CAFÉ COSECHA","ESPECIALES",B8="176 - CAFE DESCAFEINADO","GOURMET",B8="147 - CAPSULAS","CAPSULAS",B8="130 - GALLETAS CAFECITAS","DERIVADOS",B8="140 - MERENGUES","DERIVADOS",B8="100 - CAFÉ ESPECIAL","ESPECIALES",B8="141 - AREQUIPE","DERIVADOS",B8="142 - MERMELADA","DERIVADOS",B8="131 - GALLETAS AVENA","DERIVADOS",B8="160 - SOUVENIR","OTROS",B8="148 - CARAMELOS","DERIVADOS",B8="143 - CHOCOFFES","DERIVADOS",B8="162 - CONVENIOS Y DSC POS ","OTROS"),"OTROS")</f>
        <v>GOURMET</v>
      </c>
      <c r="L8" s="27">
        <f t="shared" si="2"/>
        <v>136918</v>
      </c>
      <c r="M8" s="27">
        <f t="shared" si="3"/>
        <v>136918</v>
      </c>
    </row>
    <row r="9" spans="1:13" ht="16.5" hidden="1" outlineLevel="1">
      <c r="A9" s="38"/>
      <c r="B9" s="39" t="s">
        <v>21</v>
      </c>
      <c r="C9" s="36">
        <v>28019684</v>
      </c>
      <c r="D9" s="36">
        <v>0</v>
      </c>
      <c r="E9" s="36">
        <v>0</v>
      </c>
      <c r="F9" s="36">
        <v>87912157.530000001</v>
      </c>
      <c r="G9" s="37">
        <f t="shared" si="4"/>
        <v>0.31872365310154388</v>
      </c>
      <c r="H9" s="23">
        <f t="shared" si="0"/>
        <v>0</v>
      </c>
      <c r="I9" s="24">
        <f t="shared" si="0"/>
        <v>0</v>
      </c>
      <c r="J9" s="32" t="str" cm="1">
        <f t="array" ref="J9">IFERROR(_xlfn.IFS(B9="044 - BLEND TRADICION","BLEND",B9="113 - CAFÉ GOURMET","GOURMET",B9="114 - CAFÉ CONSUMO","CONSUMO",B9="112 - CAFÉ ORGANICO","GOURMET",B9="172 - CAFÉ COSECHA","ESPECIALES",B9="176 - CAFE DESCAFEINADO","GOURMET",B9="147 - CAPSULAS","CAPSULAS",B9="130 - GALLETAS CAFECITAS","DERIVADOS",B9="140 - MERENGUES","DERIVADOS",B9="100 - CAFÉ ESPECIAL","ESPECIALES",B9="141 - AREQUIPE","DERIVADOS",B9="142 - MERMELADA","DERIVADOS",B9="131 - GALLETAS AVENA","DERIVADOS",B9="160 - SOUVENIR","OTROS",B9="148 - CARAMELOS","DERIVADOS",B9="143 - CHOCOFFES","DERIVADOS",B9="162 - CONVENIOS Y DSC POS ","OTROS"),"OTROS")</f>
        <v>GOURMET</v>
      </c>
      <c r="L9" s="27">
        <f t="shared" si="2"/>
        <v>28019684</v>
      </c>
      <c r="M9" s="27">
        <f t="shared" si="3"/>
        <v>28019684</v>
      </c>
    </row>
    <row r="10" spans="1:13" ht="16.5" hidden="1" outlineLevel="1">
      <c r="A10" s="38"/>
      <c r="B10" s="39" t="s">
        <v>22</v>
      </c>
      <c r="C10" s="36">
        <v>616017</v>
      </c>
      <c r="D10" s="36">
        <v>0</v>
      </c>
      <c r="E10" s="36">
        <v>0</v>
      </c>
      <c r="F10" s="36">
        <v>4458765.92</v>
      </c>
      <c r="G10" s="37">
        <f t="shared" si="4"/>
        <v>0.13815863201896905</v>
      </c>
      <c r="H10" s="23">
        <f t="shared" si="0"/>
        <v>0</v>
      </c>
      <c r="I10" s="24">
        <f t="shared" si="0"/>
        <v>0</v>
      </c>
      <c r="J10" s="32" t="str" cm="1">
        <f t="array" ref="J10">IFERROR(_xlfn.IFS(B10="044 - BLEND TRADICION","BLEND",B10="113 - CAFÉ GOURMET","GOURMET",B10="114 - CAFÉ CONSUMO","CONSUMO",B10="112 - CAFÉ ORGANICO","GOURMET",B10="172 - CAFÉ COSECHA","ESPECIALES",B10="176 - CAFE DESCAFEINADO","GOURMET",B10="147 - CAPSULAS","CAPSULAS",B10="130 - GALLETAS CAFECITAS","DERIVADOS",B10="140 - MERENGUES","DERIVADOS",B10="100 - CAFÉ ESPECIAL","ESPECIALES",B10="141 - AREQUIPE","DERIVADOS",B10="142 - MERMELADA","DERIVADOS",B10="131 - GALLETAS AVENA","DERIVADOS",B10="160 - SOUVENIR","OTROS",B10="148 - CARAMELOS","DERIVADOS",B10="143 - CHOCOFFES","DERIVADOS",B10="162 - CONVENIOS Y DSC POS ","OTROS"),"OTROS")</f>
        <v>DERIVADOS</v>
      </c>
      <c r="L10" s="27">
        <f t="shared" si="2"/>
        <v>616017</v>
      </c>
      <c r="M10" s="27">
        <f t="shared" si="3"/>
        <v>616017</v>
      </c>
    </row>
    <row r="11" spans="1:13" ht="16.5" hidden="1" outlineLevel="1">
      <c r="A11" s="38"/>
      <c r="B11" s="39" t="s">
        <v>23</v>
      </c>
      <c r="C11" s="36">
        <v>63836</v>
      </c>
      <c r="D11" s="36">
        <v>0</v>
      </c>
      <c r="E11" s="36">
        <v>0</v>
      </c>
      <c r="F11" s="36">
        <v>347556.62</v>
      </c>
      <c r="G11" s="37">
        <f t="shared" si="4"/>
        <v>0.18367079297755859</v>
      </c>
      <c r="H11" s="23">
        <f t="shared" si="0"/>
        <v>0</v>
      </c>
      <c r="I11" s="24">
        <f t="shared" si="0"/>
        <v>0</v>
      </c>
      <c r="J11" s="32" t="str" cm="1">
        <f t="array" ref="J11">IFERROR(_xlfn.IFS(B11="044 - BLEND TRADICION","BLEND",B11="113 - CAFÉ GOURMET","GOURMET",B11="114 - CAFÉ CONSUMO","CONSUMO",B11="112 - CAFÉ ORGANICO","GOURMET",B11="172 - CAFÉ COSECHA","ESPECIALES",B11="176 - CAFE DESCAFEINADO","GOURMET",B11="147 - CAPSULAS","CAPSULAS",B11="130 - GALLETAS CAFECITAS","DERIVADOS",B11="140 - MERENGUES","DERIVADOS",B11="100 - CAFÉ ESPECIAL","ESPECIALES",B11="141 - AREQUIPE","DERIVADOS",B11="142 - MERMELADA","DERIVADOS",B11="131 - GALLETAS AVENA","DERIVADOS",B11="160 - SOUVENIR","OTROS",B11="148 - CARAMELOS","DERIVADOS",B11="143 - CHOCOFFES","DERIVADOS",B11="162 - CONVENIOS Y DSC POS ","OTROS"),"OTROS")</f>
        <v>DERIVADOS</v>
      </c>
      <c r="L11" s="27">
        <f t="shared" si="2"/>
        <v>63836</v>
      </c>
      <c r="M11" s="27">
        <f t="shared" si="3"/>
        <v>63836</v>
      </c>
    </row>
    <row r="12" spans="1:13" ht="16.5" hidden="1" outlineLevel="1">
      <c r="A12" s="38"/>
      <c r="B12" s="39" t="s">
        <v>24</v>
      </c>
      <c r="C12" s="36">
        <v>48741</v>
      </c>
      <c r="D12" s="36">
        <v>0</v>
      </c>
      <c r="E12" s="36"/>
      <c r="F12" s="36">
        <v>1108552.25</v>
      </c>
      <c r="G12" s="37">
        <f t="shared" si="4"/>
        <v>4.3968157567674415E-2</v>
      </c>
      <c r="H12" s="23">
        <f t="shared" si="0"/>
        <v>0</v>
      </c>
      <c r="I12" s="24">
        <f t="shared" si="0"/>
        <v>0</v>
      </c>
      <c r="J12" s="32" t="str" cm="1">
        <f t="array" ref="J12">IFERROR(_xlfn.IFS(B12="044 - BLEND TRADICION","BLEND",B12="113 - CAFÉ GOURMET","GOURMET",B12="114 - CAFÉ CONSUMO","CONSUMO",B12="112 - CAFÉ ORGANICO","GOURMET",B12="172 - CAFÉ COSECHA","ESPECIALES",B12="176 - CAFE DESCAFEINADO","GOURMET",B12="147 - CAPSULAS","CAPSULAS",B12="130 - GALLETAS CAFECITAS","DERIVADOS",B12="140 - MERENGUES","DERIVADOS",B12="100 - CAFÉ ESPECIAL","ESPECIALES",B12="141 - AREQUIPE","DERIVADOS",B12="142 - MERMELADA","DERIVADOS",B12="131 - GALLETAS AVENA","DERIVADOS",B12="160 - SOUVENIR","OTROS",B12="148 - CARAMELOS","DERIVADOS",B12="143 - CHOCOFFES","DERIVADOS",B12="162 - CONVENIOS Y DSC POS ","OTROS"),"OTROS")</f>
        <v>DERIVADOS</v>
      </c>
      <c r="L12" s="27">
        <f t="shared" si="2"/>
        <v>48741</v>
      </c>
      <c r="M12" s="27">
        <f t="shared" si="3"/>
        <v>48741</v>
      </c>
    </row>
    <row r="13" spans="1:13" ht="16.5" hidden="1" outlineLevel="1">
      <c r="A13" s="38"/>
      <c r="B13" s="39" t="s">
        <v>25</v>
      </c>
      <c r="C13" s="36">
        <v>140478</v>
      </c>
      <c r="D13" s="36">
        <v>0</v>
      </c>
      <c r="E13" s="36"/>
      <c r="F13" s="36">
        <v>5164325.42</v>
      </c>
      <c r="G13" s="37">
        <f t="shared" si="4"/>
        <v>2.7201616585966419E-2</v>
      </c>
      <c r="H13" s="23">
        <f t="shared" si="0"/>
        <v>0</v>
      </c>
      <c r="I13" s="24">
        <f t="shared" si="0"/>
        <v>0</v>
      </c>
      <c r="J13" s="32" t="str" cm="1">
        <f t="array" ref="J13">IFERROR(_xlfn.IFS(B13="044 - BLEND TRADICION","BLEND",B13="113 - CAFÉ GOURMET","GOURMET",B13="114 - CAFÉ CONSUMO","CONSUMO",B13="112 - CAFÉ ORGANICO","GOURMET",B13="172 - CAFÉ COSECHA","ESPECIALES",B13="176 - CAFE DESCAFEINADO","GOURMET",B13="147 - CAPSULAS","CAPSULAS",B13="130 - GALLETAS CAFECITAS","DERIVADOS",B13="140 - MERENGUES","DERIVADOS",B13="100 - CAFÉ ESPECIAL","ESPECIALES",B13="141 - AREQUIPE","DERIVADOS",B13="142 - MERMELADA","DERIVADOS",B13="131 - GALLETAS AVENA","DERIVADOS",B13="160 - SOUVENIR","OTROS",B13="148 - CARAMELOS","DERIVADOS",B13="143 - CHOCOFFES","DERIVADOS",B13="162 - CONVENIOS Y DSC POS ","OTROS"),"OTROS")</f>
        <v>DERIVADOS</v>
      </c>
      <c r="L13" s="27">
        <f t="shared" si="2"/>
        <v>140478</v>
      </c>
      <c r="M13" s="27">
        <f t="shared" si="3"/>
        <v>140478</v>
      </c>
    </row>
    <row r="14" spans="1:13" ht="16.5" hidden="1" outlineLevel="1">
      <c r="A14" s="38"/>
      <c r="B14" s="39" t="s">
        <v>26</v>
      </c>
      <c r="C14" s="36">
        <v>0</v>
      </c>
      <c r="D14" s="36">
        <v>0</v>
      </c>
      <c r="E14" s="36"/>
      <c r="F14" s="36">
        <v>2621339.7000000002</v>
      </c>
      <c r="G14" s="37">
        <f t="shared" si="4"/>
        <v>0</v>
      </c>
      <c r="H14" s="23">
        <f t="shared" si="0"/>
        <v>0</v>
      </c>
      <c r="I14" s="24">
        <f t="shared" si="0"/>
        <v>0</v>
      </c>
      <c r="J14" s="32" t="str" cm="1">
        <f t="array" ref="J14">IFERROR(_xlfn.IFS(B14="044 - BLEND TRADICION","BLEND",B14="113 - CAFÉ GOURMET","GOURMET",B14="114 - CAFÉ CONSUMO","CONSUMO",B14="112 - CAFÉ ORGANICO","GOURMET",B14="172 - CAFÉ COSECHA","ESPECIALES",B14="176 - CAFE DESCAFEINADO","GOURMET",B14="147 - CAPSULAS","CAPSULAS",B14="130 - GALLETAS CAFECITAS","DERIVADOS",B14="140 - MERENGUES","DERIVADOS",B14="100 - CAFÉ ESPECIAL","ESPECIALES",B14="141 - AREQUIPE","DERIVADOS",B14="142 - MERMELADA","DERIVADOS",B14="131 - GALLETAS AVENA","DERIVADOS",B14="160 - SOUVENIR","OTROS",B14="148 - CARAMELOS","DERIVADOS",B14="143 - CHOCOFFES","DERIVADOS",B14="162 - CONVENIOS Y DSC POS ","OTROS"),"OTROS")</f>
        <v>CAPSULAS</v>
      </c>
      <c r="L14" s="27">
        <f t="shared" si="2"/>
        <v>0</v>
      </c>
      <c r="M14" s="27">
        <f t="shared" si="3"/>
        <v>0</v>
      </c>
    </row>
    <row r="15" spans="1:13" ht="16.5" hidden="1" outlineLevel="1">
      <c r="A15" s="38"/>
      <c r="B15" s="39" t="s">
        <v>27</v>
      </c>
      <c r="C15" s="36">
        <v>187764</v>
      </c>
      <c r="D15" s="36">
        <v>0</v>
      </c>
      <c r="E15" s="36"/>
      <c r="F15" s="36">
        <v>4581829.2699999996</v>
      </c>
      <c r="G15" s="37">
        <f t="shared" si="4"/>
        <v>4.0980138921675714E-2</v>
      </c>
      <c r="H15" s="23">
        <f t="shared" si="0"/>
        <v>0</v>
      </c>
      <c r="I15" s="24">
        <f t="shared" si="0"/>
        <v>0</v>
      </c>
      <c r="J15" s="32" t="str" cm="1">
        <f t="array" ref="J15">IFERROR(_xlfn.IFS(B15="044 - BLEND TRADICION","BLEND",B15="113 - CAFÉ GOURMET","GOURMET",B15="114 - CAFÉ CONSUMO","CONSUMO",B15="112 - CAFÉ ORGANICO","GOURMET",B15="172 - CAFÉ COSECHA","ESPECIALES",B15="176 - CAFE DESCAFEINADO","GOURMET",B15="147 - CAPSULAS","CAPSULAS",B15="130 - GALLETAS CAFECITAS","DERIVADOS",B15="140 - MERENGUES","DERIVADOS",B15="100 - CAFÉ ESPECIAL","ESPECIALES",B15="141 - AREQUIPE","DERIVADOS",B15="142 - MERMELADA","DERIVADOS",B15="131 - GALLETAS AVENA","DERIVADOS",B15="160 - SOUVENIR","OTROS",B15="148 - CARAMELOS","DERIVADOS",B15="143 - CHOCOFFES","DERIVADOS",B15="162 - CONVENIOS Y DSC POS ","OTROS"),"OTROS")</f>
        <v>DERIVADOS</v>
      </c>
      <c r="L15" s="27">
        <f t="shared" si="2"/>
        <v>187764</v>
      </c>
      <c r="M15" s="27">
        <f t="shared" si="3"/>
        <v>187764</v>
      </c>
    </row>
    <row r="16" spans="1:13" ht="16.5" hidden="1" outlineLevel="1">
      <c r="A16" s="38"/>
      <c r="B16" s="39" t="s">
        <v>28</v>
      </c>
      <c r="C16" s="36">
        <v>10598690</v>
      </c>
      <c r="D16" s="36">
        <v>0</v>
      </c>
      <c r="E16" s="36"/>
      <c r="F16" s="36">
        <v>11251446.380000001</v>
      </c>
      <c r="G16" s="37">
        <f t="shared" si="4"/>
        <v>0.94198466953010529</v>
      </c>
      <c r="H16" s="23">
        <f t="shared" si="0"/>
        <v>0</v>
      </c>
      <c r="I16" s="24">
        <f t="shared" si="0"/>
        <v>0</v>
      </c>
      <c r="J16" s="32" t="str" cm="1">
        <f t="array" ref="J16">IFERROR(_xlfn.IFS(B16="044 - BLEND TRADICION","BLEND",B16="113 - CAFÉ GOURMET","GOURMET",B16="114 - CAFÉ CONSUMO","CONSUMO",B16="112 - CAFÉ ORGANICO","GOURMET",B16="172 - CAFÉ COSECHA","ESPECIALES",B16="176 - CAFE DESCAFEINADO","GOURMET",B16="147 - CAPSULAS","CAPSULAS",B16="130 - GALLETAS CAFECITAS","DERIVADOS",B16="140 - MERENGUES","DERIVADOS",B16="100 - CAFÉ ESPECIAL","ESPECIALES",B16="141 - AREQUIPE","DERIVADOS",B16="142 - MERMELADA","DERIVADOS",B16="131 - GALLETAS AVENA","DERIVADOS",B16="160 - SOUVENIR","OTROS",B16="148 - CARAMELOS","DERIVADOS",B16="143 - CHOCOFFES","DERIVADOS",B16="162 - CONVENIOS Y DSC POS ","OTROS"),"OTROS")</f>
        <v>OTROS</v>
      </c>
      <c r="L16" s="27">
        <f t="shared" si="2"/>
        <v>10598690</v>
      </c>
      <c r="M16" s="27">
        <f t="shared" si="3"/>
        <v>10598690</v>
      </c>
    </row>
    <row r="17" spans="1:13" ht="16.5" hidden="1" outlineLevel="1">
      <c r="A17" s="38"/>
      <c r="B17" s="39" t="s">
        <v>29</v>
      </c>
      <c r="C17" s="36">
        <v>163521</v>
      </c>
      <c r="D17" s="36">
        <v>0</v>
      </c>
      <c r="E17" s="36"/>
      <c r="F17" s="36">
        <v>6227226.4500000002</v>
      </c>
      <c r="G17" s="37">
        <f t="shared" si="4"/>
        <v>2.625904185642711E-2</v>
      </c>
      <c r="H17" s="23">
        <f t="shared" si="0"/>
        <v>0</v>
      </c>
      <c r="I17" s="24">
        <f t="shared" si="0"/>
        <v>0</v>
      </c>
      <c r="J17" s="32" t="str" cm="1">
        <f t="array" ref="J17">IFERROR(_xlfn.IFS(B17="044 - BLEND TRADICION","BLEND",B17="113 - CAFÉ GOURMET","GOURMET",B17="114 - CAFÉ CONSUMO","CONSUMO",B17="112 - CAFÉ ORGANICO","GOURMET",B17="172 - CAFÉ COSECHA","ESPECIALES",B17="176 - CAFE DESCAFEINADO","GOURMET",B17="147 - CAPSULAS","CAPSULAS",B17="130 - GALLETAS CAFECITAS","DERIVADOS",B17="140 - MERENGUES","DERIVADOS",B17="100 - CAFÉ ESPECIAL","ESPECIALES",B17="141 - AREQUIPE","DERIVADOS",B17="142 - MERMELADA","DERIVADOS",B17="131 - GALLETAS AVENA","DERIVADOS",B17="160 - SOUVENIR","OTROS",B17="148 - CARAMELOS","DERIVADOS",B17="143 - CHOCOFFES","DERIVADOS",B17="162 - CONVENIOS Y DSC POS ","OTROS"),"OTROS")</f>
        <v>ESPECIALES</v>
      </c>
      <c r="L17" s="27">
        <f t="shared" si="2"/>
        <v>163521</v>
      </c>
      <c r="M17" s="27">
        <f t="shared" si="3"/>
        <v>163521</v>
      </c>
    </row>
    <row r="18" spans="1:13" ht="16.5" hidden="1" outlineLevel="1">
      <c r="A18" s="38"/>
      <c r="B18" s="39" t="s">
        <v>30</v>
      </c>
      <c r="C18" s="36">
        <v>216351</v>
      </c>
      <c r="D18" s="36">
        <v>0</v>
      </c>
      <c r="E18" s="36"/>
      <c r="F18" s="36">
        <v>675742.84</v>
      </c>
      <c r="G18" s="37">
        <f t="shared" si="4"/>
        <v>0.32016765431062505</v>
      </c>
      <c r="H18" s="23">
        <f t="shared" si="0"/>
        <v>0</v>
      </c>
      <c r="I18" s="24">
        <f t="shared" si="0"/>
        <v>0</v>
      </c>
      <c r="J18" s="32" t="str" cm="1">
        <f t="array" ref="J18">IFERROR(_xlfn.IFS(B18="044 - BLEND TRADICION","BLEND",B18="113 - CAFÉ GOURMET","GOURMET",B18="114 - CAFÉ CONSUMO","CONSUMO",B18="112 - CAFÉ ORGANICO","GOURMET",B18="172 - CAFÉ COSECHA","ESPECIALES",B18="176 - CAFE DESCAFEINADO","GOURMET",B18="147 - CAPSULAS","CAPSULAS",B18="130 - GALLETAS CAFECITAS","DERIVADOS",B18="140 - MERENGUES","DERIVADOS",B18="100 - CAFÉ ESPECIAL","ESPECIALES",B18="141 - AREQUIPE","DERIVADOS",B18="142 - MERMELADA","DERIVADOS",B18="131 - GALLETAS AVENA","DERIVADOS",B18="160 - SOUVENIR","OTROS",B18="148 - CARAMELOS","DERIVADOS",B18="143 - CHOCOFFES","DERIVADOS",B18="162 - CONVENIOS Y DSC POS ","OTROS"),"OTROS")</f>
        <v>GOURMET</v>
      </c>
      <c r="L18" s="27">
        <f t="shared" si="2"/>
        <v>216351</v>
      </c>
      <c r="M18" s="27">
        <f t="shared" si="3"/>
        <v>216351</v>
      </c>
    </row>
    <row r="19" spans="1:13" ht="16.5" hidden="1" outlineLevel="1">
      <c r="A19" s="38"/>
      <c r="B19" s="39" t="s">
        <v>31</v>
      </c>
      <c r="C19" s="36">
        <v>-496736</v>
      </c>
      <c r="D19" s="36">
        <v>-1160236</v>
      </c>
      <c r="E19" s="36"/>
      <c r="F19" s="36"/>
      <c r="G19" s="37"/>
      <c r="H19" s="23">
        <f t="shared" si="0"/>
        <v>-1.7486601356443106</v>
      </c>
      <c r="I19" s="24">
        <f t="shared" si="0"/>
        <v>0</v>
      </c>
      <c r="J19" s="32" t="str" cm="1">
        <f t="array" ref="J19">IFERROR(_xlfn.IFS(B19="044 - BLEND TRADICION","BLEND",B19="113 - CAFÉ GOURMET","GOURMET",B19="114 - CAFÉ CONSUMO","CONSUMO",B19="112 - CAFÉ ORGANICO","GOURMET",B19="172 - CAFÉ COSECHA","ESPECIALES",B19="176 - CAFE DESCAFEINADO","GOURMET",B19="147 - CAPSULAS","CAPSULAS",B19="130 - GALLETAS CAFECITAS","DERIVADOS",B19="140 - MERENGUES","DERIVADOS",B19="100 - CAFÉ ESPECIAL","ESPECIALES",B19="141 - AREQUIPE","DERIVADOS",B19="142 - MERMELADA","DERIVADOS",B19="131 - GALLETAS AVENA","DERIVADOS",B19="160 - SOUVENIR","OTROS",B19="148 - CARAMELOS","DERIVADOS",B19="143 - CHOCOFFES","DERIVADOS",B19="162 - CONVENIOS Y DSC POS ","OTROS"),"OTROS")</f>
        <v>OTROS</v>
      </c>
      <c r="L19" s="27">
        <f t="shared" si="2"/>
        <v>663500</v>
      </c>
      <c r="M19" s="27">
        <f t="shared" si="3"/>
        <v>663500</v>
      </c>
    </row>
    <row r="20" spans="1:13" ht="16.5" hidden="1" outlineLevel="1">
      <c r="A20" s="19" t="s">
        <v>16</v>
      </c>
      <c r="B20" s="40" t="s">
        <v>32</v>
      </c>
      <c r="C20" s="41">
        <f>SUM(C6:C19)</f>
        <v>39817344</v>
      </c>
      <c r="D20" s="41">
        <f>SUM(D6:D19)</f>
        <v>-1160236</v>
      </c>
      <c r="E20" s="41">
        <f>SUM(E6:E19)</f>
        <v>0</v>
      </c>
      <c r="F20" s="41">
        <f>SUM(F6:F19)</f>
        <v>132391087.09</v>
      </c>
      <c r="G20" s="42">
        <f t="shared" ref="G20:G92" si="5">IFERROR(C20/F20*100%,"-")</f>
        <v>0.30075547285847126</v>
      </c>
      <c r="H20" s="43">
        <f t="shared" ref="H20:I36" si="6">IFERROR(+D20/L20*100%,0)</f>
        <v>-2.8313921905588374E-2</v>
      </c>
      <c r="I20" s="24">
        <f t="shared" si="6"/>
        <v>0</v>
      </c>
      <c r="J20" s="32" t="str" cm="1">
        <f t="array" ref="J20">IFERROR(_xlfn.IFS(B20="044 - BLEND TRADICION","BLEND",B20="113 - CAFÉ GOURMET","GOURMET",B20="114 - CAFÉ CONSUMO","CONSUMO",B20="112 - CAFÉ ORGANICO","GOURMET",B20="172 - CAFÉ COSECHA","ESPECIALES",B20="176 - CAFE DESCAFEINADO","GOURMET",B20="147 - CAPSULAS","CAPSULAS",B20="130 - GALLETAS CAFECITAS","DERIVADOS",B20="140 - MERENGUES","DERIVADOS",B20="100 - CAFÉ ESPECIAL","ESPECIALES",B20="141 - AREQUIPE","DERIVADOS",B20="142 - MERMELADA","DERIVADOS",B20="131 - GALLETAS AVENA","DERIVADOS",B20="160 - SOUVENIR","OTROS",B20="148 - CARAMELOS","DERIVADOS",B20="143 - CHOCOFFES","DERIVADOS",B20="162 - CONVENIOS Y DSC POS ","OTROS"),"OTROS")</f>
        <v>OTROS</v>
      </c>
      <c r="L20" s="27">
        <f t="shared" si="2"/>
        <v>40977580</v>
      </c>
      <c r="M20" s="27">
        <f t="shared" si="3"/>
        <v>40977580</v>
      </c>
    </row>
    <row r="21" spans="1:13" ht="16.5" collapsed="1">
      <c r="A21" s="28" t="s">
        <v>33</v>
      </c>
      <c r="B21" s="29" t="s">
        <v>17</v>
      </c>
      <c r="C21" s="30">
        <f>+C26+C62+C42</f>
        <v>219684695</v>
      </c>
      <c r="D21" s="30">
        <f>+D26+D62+D42</f>
        <v>-13844750</v>
      </c>
      <c r="E21" s="30">
        <f>+E26+E62+E42</f>
        <v>0</v>
      </c>
      <c r="F21" s="30">
        <f>+F26+F62+F42</f>
        <v>482062133.13</v>
      </c>
      <c r="G21" s="31">
        <f t="shared" si="5"/>
        <v>0.45571863023880488</v>
      </c>
      <c r="H21" s="43">
        <f t="shared" si="6"/>
        <v>-5.9284815240322267E-2</v>
      </c>
      <c r="I21" s="24">
        <f t="shared" si="6"/>
        <v>0</v>
      </c>
      <c r="J21" s="32" t="str" cm="1">
        <f t="array" ref="J21">IFERROR(_xlfn.IFS(B21="044 - BLEND TRADICION","BLEND",B21="113 - CAFÉ GOURMET","GOURMET",B21="114 - CAFÉ CONSUMO","CONSUMO",B21="112 - CAFÉ ORGANICO","GOURMET",B21="172 - CAFÉ COSECHA","ESPECIALES",B21="176 - CAFE DESCAFEINADO","GOURMET",B21="147 - CAPSULAS","CAPSULAS",B21="130 - GALLETAS CAFECITAS","DERIVADOS",B21="140 - MERENGUES","DERIVADOS",B21="100 - CAFÉ ESPECIAL","ESPECIALES",B21="141 - AREQUIPE","DERIVADOS",B21="142 - MERMELADA","DERIVADOS",B21="131 - GALLETAS AVENA","DERIVADOS",B21="160 - SOUVENIR","OTROS",B21="148 - CARAMELOS","DERIVADOS",B21="143 - CHOCOFFES","DERIVADOS",B21="162 - CONVENIOS Y DSC POS ","OTROS"),"OTROS")</f>
        <v>OTROS</v>
      </c>
      <c r="L21" s="27">
        <f t="shared" si="2"/>
        <v>233529445</v>
      </c>
      <c r="M21" s="27">
        <f t="shared" si="3"/>
        <v>233529445</v>
      </c>
    </row>
    <row r="22" spans="1:13" ht="16.5" hidden="1" outlineLevel="1">
      <c r="A22" s="44"/>
      <c r="B22" s="45" t="s">
        <v>34</v>
      </c>
      <c r="C22" s="46">
        <v>26048700</v>
      </c>
      <c r="D22" s="47">
        <v>0</v>
      </c>
      <c r="E22" s="48"/>
      <c r="F22" s="48">
        <v>43207145.729999997</v>
      </c>
      <c r="G22" s="49">
        <f t="shared" si="5"/>
        <v>0.60287944412661398</v>
      </c>
      <c r="H22" s="43">
        <f t="shared" si="6"/>
        <v>0</v>
      </c>
      <c r="I22" s="24">
        <f t="shared" si="6"/>
        <v>0</v>
      </c>
      <c r="J22" s="32" t="str" cm="1">
        <f t="array" ref="J22">IFERROR(_xlfn.IFS(B22="044 - BLEND TRADICION","BLEND",B22="113 - CAFÉ GOURMET","GOURMET",B22="114 - CAFÉ CONSUMO","CONSUMO",B22="112 - CAFÉ ORGANICO","GOURMET",B22="172 - CAFÉ COSECHA","ESPECIALES",B22="176 - CAFE DESCAFEINADO","GOURMET",B22="147 - CAPSULAS","CAPSULAS",B22="130 - GALLETAS CAFECITAS","DERIVADOS",B22="140 - MERENGUES","DERIVADOS",B22="100 - CAFÉ ESPECIAL","ESPECIALES",B22="141 - AREQUIPE","DERIVADOS",B22="142 - MERMELADA","DERIVADOS",B22="131 - GALLETAS AVENA","DERIVADOS",B22="160 - SOUVENIR","OTROS",B22="148 - CARAMELOS","DERIVADOS",B22="143 - CHOCOFFES","DERIVADOS",B22="162 - CONVENIOS Y DSC POS ","OTROS"),"OTROS")</f>
        <v>OTROS</v>
      </c>
      <c r="L22" s="27">
        <f t="shared" si="2"/>
        <v>26048700</v>
      </c>
      <c r="M22" s="27">
        <f t="shared" si="3"/>
        <v>26048700</v>
      </c>
    </row>
    <row r="23" spans="1:13" ht="16.5" hidden="1" outlineLevel="1">
      <c r="A23" s="44"/>
      <c r="B23" s="45" t="s">
        <v>21</v>
      </c>
      <c r="C23" s="46">
        <v>17902500</v>
      </c>
      <c r="D23" s="50">
        <v>0</v>
      </c>
      <c r="E23" s="51"/>
      <c r="F23" s="51">
        <v>40827157.719999999</v>
      </c>
      <c r="G23" s="49">
        <f t="shared" si="5"/>
        <v>0.43849488918083812</v>
      </c>
      <c r="H23" s="43">
        <f t="shared" si="6"/>
        <v>0</v>
      </c>
      <c r="I23" s="24">
        <f t="shared" si="6"/>
        <v>0</v>
      </c>
      <c r="J23" s="32" t="str" cm="1">
        <f t="array" ref="J23">IFERROR(_xlfn.IFS(B23="044 - BLEND TRADICION","BLEND",B23="113 - CAFÉ GOURMET","GOURMET",B23="114 - CAFÉ CONSUMO","CONSUMO",B23="112 - CAFÉ ORGANICO","GOURMET",B23="172 - CAFÉ COSECHA","ESPECIALES",B23="176 - CAFE DESCAFEINADO","GOURMET",B23="147 - CAPSULAS","CAPSULAS",B23="130 - GALLETAS CAFECITAS","DERIVADOS",B23="140 - MERENGUES","DERIVADOS",B23="100 - CAFÉ ESPECIAL","ESPECIALES",B23="141 - AREQUIPE","DERIVADOS",B23="142 - MERMELADA","DERIVADOS",B23="131 - GALLETAS AVENA","DERIVADOS",B23="160 - SOUVENIR","OTROS",B23="148 - CARAMELOS","DERIVADOS",B23="143 - CHOCOFFES","DERIVADOS",B23="162 - CONVENIOS Y DSC POS ","OTROS"),"OTROS")</f>
        <v>GOURMET</v>
      </c>
      <c r="L23" s="27">
        <f t="shared" si="2"/>
        <v>17902500</v>
      </c>
      <c r="M23" s="27">
        <f t="shared" si="3"/>
        <v>17902500</v>
      </c>
    </row>
    <row r="24" spans="1:13" ht="16.5" hidden="1" outlineLevel="1">
      <c r="A24" s="44"/>
      <c r="B24" s="45" t="s">
        <v>26</v>
      </c>
      <c r="C24" s="46">
        <v>0</v>
      </c>
      <c r="D24" s="50">
        <v>0</v>
      </c>
      <c r="E24" s="51"/>
      <c r="F24" s="51">
        <v>72407.34</v>
      </c>
      <c r="G24" s="49">
        <f t="shared" si="5"/>
        <v>0</v>
      </c>
      <c r="H24" s="43">
        <f t="shared" si="6"/>
        <v>0</v>
      </c>
      <c r="I24" s="24">
        <f t="shared" si="6"/>
        <v>0</v>
      </c>
      <c r="J24" s="32" t="str" cm="1">
        <f t="array" ref="J24">IFERROR(_xlfn.IFS(B24="044 - BLEND TRADICION","BLEND",B24="113 - CAFÉ GOURMET","GOURMET",B24="114 - CAFÉ CONSUMO","CONSUMO",B24="112 - CAFÉ ORGANICO","GOURMET",B24="172 - CAFÉ COSECHA","ESPECIALES",B24="176 - CAFE DESCAFEINADO","GOURMET",B24="147 - CAPSULAS","CAPSULAS",B24="130 - GALLETAS CAFECITAS","DERIVADOS",B24="140 - MERENGUES","DERIVADOS",B24="100 - CAFÉ ESPECIAL","ESPECIALES",B24="141 - AREQUIPE","DERIVADOS",B24="142 - MERMELADA","DERIVADOS",B24="131 - GALLETAS AVENA","DERIVADOS",B24="160 - SOUVENIR","OTROS",B24="148 - CARAMELOS","DERIVADOS",B24="143 - CHOCOFFES","DERIVADOS",B24="162 - CONVENIOS Y DSC POS ","OTROS"),"OTROS")</f>
        <v>CAPSULAS</v>
      </c>
      <c r="L24" s="27">
        <f t="shared" si="2"/>
        <v>0</v>
      </c>
      <c r="M24" s="27">
        <f t="shared" si="3"/>
        <v>0</v>
      </c>
    </row>
    <row r="25" spans="1:13" ht="16.5" hidden="1" outlineLevel="1">
      <c r="A25" s="44"/>
      <c r="B25" s="45" t="s">
        <v>28</v>
      </c>
      <c r="C25" s="46">
        <v>0</v>
      </c>
      <c r="D25" s="50">
        <v>0</v>
      </c>
      <c r="E25" s="51"/>
      <c r="F25" s="51">
        <v>7805453.8099999996</v>
      </c>
      <c r="G25" s="49">
        <f t="shared" si="5"/>
        <v>0</v>
      </c>
      <c r="H25" s="43">
        <f t="shared" si="6"/>
        <v>0</v>
      </c>
      <c r="I25" s="24">
        <f t="shared" si="6"/>
        <v>0</v>
      </c>
      <c r="J25" s="32" t="str" cm="1">
        <f t="array" ref="J25">IFERROR(_xlfn.IFS(B25="044 - BLEND TRADICION","BLEND",B25="113 - CAFÉ GOURMET","GOURMET",B25="114 - CAFÉ CONSUMO","CONSUMO",B25="112 - CAFÉ ORGANICO","GOURMET",B25="172 - CAFÉ COSECHA","ESPECIALES",B25="176 - CAFE DESCAFEINADO","GOURMET",B25="147 - CAPSULAS","CAPSULAS",B25="130 - GALLETAS CAFECITAS","DERIVADOS",B25="140 - MERENGUES","DERIVADOS",B25="100 - CAFÉ ESPECIAL","ESPECIALES",B25="141 - AREQUIPE","DERIVADOS",B25="142 - MERMELADA","DERIVADOS",B25="131 - GALLETAS AVENA","DERIVADOS",B25="160 - SOUVENIR","OTROS",B25="148 - CARAMELOS","DERIVADOS",B25="143 - CHOCOFFES","DERIVADOS",B25="162 - CONVENIOS Y DSC POS ","OTROS"),"OTROS")</f>
        <v>OTROS</v>
      </c>
      <c r="L25" s="27">
        <f t="shared" si="2"/>
        <v>0</v>
      </c>
      <c r="M25" s="27">
        <f t="shared" si="3"/>
        <v>0</v>
      </c>
    </row>
    <row r="26" spans="1:13" ht="16.5" hidden="1" outlineLevel="1">
      <c r="A26" s="52" t="s">
        <v>35</v>
      </c>
      <c r="B26" s="20" t="s">
        <v>32</v>
      </c>
      <c r="C26" s="21">
        <f>SUM(C22:C25)</f>
        <v>43951200</v>
      </c>
      <c r="D26" s="53">
        <f t="shared" ref="D26:E26" si="7">SUM(D22)</f>
        <v>0</v>
      </c>
      <c r="E26" s="54">
        <f t="shared" si="7"/>
        <v>0</v>
      </c>
      <c r="F26" s="54">
        <f>SUM(F22:F25)</f>
        <v>91912164.599999994</v>
      </c>
      <c r="G26" s="55">
        <f t="shared" si="5"/>
        <v>0.47818697548115413</v>
      </c>
      <c r="H26" s="43">
        <f t="shared" si="6"/>
        <v>0</v>
      </c>
      <c r="I26" s="24">
        <f t="shared" si="6"/>
        <v>0</v>
      </c>
      <c r="J26" s="32" t="str" cm="1">
        <f t="array" ref="J26">IFERROR(_xlfn.IFS(B26="044 - BLEND TRADICION","BLEND",B26="113 - CAFÉ GOURMET","GOURMET",B26="114 - CAFÉ CONSUMO","CONSUMO",B26="112 - CAFÉ ORGANICO","GOURMET",B26="172 - CAFÉ COSECHA","ESPECIALES",B26="176 - CAFE DESCAFEINADO","GOURMET",B26="147 - CAPSULAS","CAPSULAS",B26="130 - GALLETAS CAFECITAS","DERIVADOS",B26="140 - MERENGUES","DERIVADOS",B26="100 - CAFÉ ESPECIAL","ESPECIALES",B26="141 - AREQUIPE","DERIVADOS",B26="142 - MERMELADA","DERIVADOS",B26="131 - GALLETAS AVENA","DERIVADOS",B26="160 - SOUVENIR","OTROS",B26="148 - CARAMELOS","DERIVADOS",B26="143 - CHOCOFFES","DERIVADOS",B26="162 - CONVENIOS Y DSC POS ","OTROS"),"OTROS")</f>
        <v>OTROS</v>
      </c>
      <c r="L26" s="27">
        <f t="shared" si="2"/>
        <v>43951200</v>
      </c>
      <c r="M26" s="27">
        <f t="shared" si="3"/>
        <v>43951200</v>
      </c>
    </row>
    <row r="27" spans="1:13" ht="16.5" hidden="1" outlineLevel="1">
      <c r="A27" s="44"/>
      <c r="B27" s="45" t="s">
        <v>34</v>
      </c>
      <c r="C27" s="46">
        <v>3692240</v>
      </c>
      <c r="D27" s="47">
        <v>-3928366</v>
      </c>
      <c r="E27" s="48">
        <v>0</v>
      </c>
      <c r="F27" s="48">
        <v>6545773.3099999996</v>
      </c>
      <c r="G27" s="49">
        <f t="shared" si="5"/>
        <v>0.56406475219044827</v>
      </c>
      <c r="H27" s="43">
        <f t="shared" si="6"/>
        <v>-0.51549259993234131</v>
      </c>
      <c r="I27" s="24">
        <f t="shared" si="6"/>
        <v>0</v>
      </c>
      <c r="J27" s="32" t="str" cm="1">
        <f t="array" ref="J27">IFERROR(_xlfn.IFS(B27="044 - BLEND TRADICION","BLEND",B27="113 - CAFÉ GOURMET","GOURMET",B27="114 - CAFÉ CONSUMO","CONSUMO",B27="112 - CAFÉ ORGANICO","GOURMET",B27="172 - CAFÉ COSECHA","ESPECIALES",B27="176 - CAFE DESCAFEINADO","GOURMET",B27="147 - CAPSULAS","CAPSULAS",B27="130 - GALLETAS CAFECITAS","DERIVADOS",B27="140 - MERENGUES","DERIVADOS",B27="100 - CAFÉ ESPECIAL","ESPECIALES",B27="141 - AREQUIPE","DERIVADOS",B27="142 - MERMELADA","DERIVADOS",B27="131 - GALLETAS AVENA","DERIVADOS",B27="160 - SOUVENIR","OTROS",B27="148 - CARAMELOS","DERIVADOS",B27="143 - CHOCOFFES","DERIVADOS",B27="162 - CONVENIOS Y DSC POS ","OTROS"),"OTROS")</f>
        <v>OTROS</v>
      </c>
      <c r="L27" s="27">
        <f t="shared" si="2"/>
        <v>7620606</v>
      </c>
      <c r="M27" s="27">
        <f t="shared" si="3"/>
        <v>7620606</v>
      </c>
    </row>
    <row r="28" spans="1:13" ht="16.5" hidden="1" outlineLevel="1">
      <c r="A28" s="38"/>
      <c r="B28" s="34" t="s">
        <v>19</v>
      </c>
      <c r="C28" s="35">
        <v>1330340</v>
      </c>
      <c r="D28" s="36">
        <v>0</v>
      </c>
      <c r="E28" s="48">
        <v>0</v>
      </c>
      <c r="F28" s="48">
        <v>4061262.59</v>
      </c>
      <c r="G28" s="49">
        <f t="shared" si="5"/>
        <v>0.3275680827129181</v>
      </c>
      <c r="H28" s="23">
        <f t="shared" si="6"/>
        <v>0</v>
      </c>
      <c r="I28" s="24">
        <f t="shared" si="6"/>
        <v>0</v>
      </c>
      <c r="J28" s="32" t="str" cm="1">
        <f t="array" ref="J28">IFERROR(_xlfn.IFS(B28="044 - BLEND TRADICION","BLEND",B28="113 - CAFÉ GOURMET","GOURMET",B28="114 - CAFÉ CONSUMO","CONSUMO",B28="112 - CAFÉ ORGANICO","GOURMET",B28="172 - CAFÉ COSECHA","ESPECIALES",B28="176 - CAFE DESCAFEINADO","GOURMET",B28="147 - CAPSULAS","CAPSULAS",B28="130 - GALLETAS CAFECITAS","DERIVADOS",B28="140 - MERENGUES","DERIVADOS",B28="100 - CAFÉ ESPECIAL","ESPECIALES",B28="141 - AREQUIPE","DERIVADOS",B28="142 - MERMELADA","DERIVADOS",B28="131 - GALLETAS AVENA","DERIVADOS",B28="160 - SOUVENIR","OTROS",B28="148 - CARAMELOS","DERIVADOS",B28="143 - CHOCOFFES","DERIVADOS",B28="162 - CONVENIOS Y DSC POS ","OTROS"),"OTROS")</f>
        <v>ESPECIALES</v>
      </c>
      <c r="L28" s="27">
        <f t="shared" si="2"/>
        <v>1330340</v>
      </c>
      <c r="M28" s="27">
        <f t="shared" si="3"/>
        <v>1330340</v>
      </c>
    </row>
    <row r="29" spans="1:13" ht="16.5" hidden="1" outlineLevel="1">
      <c r="A29" s="38"/>
      <c r="B29" s="39" t="s">
        <v>20</v>
      </c>
      <c r="C29" s="36">
        <v>639804</v>
      </c>
      <c r="D29" s="36">
        <v>0</v>
      </c>
      <c r="E29" s="48">
        <v>0</v>
      </c>
      <c r="F29" s="48">
        <v>1222472.22</v>
      </c>
      <c r="G29" s="49">
        <f t="shared" si="5"/>
        <v>0.52336894821217284</v>
      </c>
      <c r="H29" s="23">
        <f t="shared" si="6"/>
        <v>0</v>
      </c>
      <c r="I29" s="24">
        <f t="shared" si="6"/>
        <v>0</v>
      </c>
      <c r="J29" s="32" t="str" cm="1">
        <f t="array" ref="J29">IFERROR(_xlfn.IFS(B29="044 - BLEND TRADICION","BLEND",B29="113 - CAFÉ GOURMET","GOURMET",B29="114 - CAFÉ CONSUMO","CONSUMO",B29="112 - CAFÉ ORGANICO","GOURMET",B29="172 - CAFÉ COSECHA","ESPECIALES",B29="176 - CAFE DESCAFEINADO","GOURMET",B29="147 - CAPSULAS","CAPSULAS",B29="130 - GALLETAS CAFECITAS","DERIVADOS",B29="140 - MERENGUES","DERIVADOS",B29="100 - CAFÉ ESPECIAL","ESPECIALES",B29="141 - AREQUIPE","DERIVADOS",B29="142 - MERMELADA","DERIVADOS",B29="131 - GALLETAS AVENA","DERIVADOS",B29="160 - SOUVENIR","OTROS",B29="148 - CARAMELOS","DERIVADOS",B29="143 - CHOCOFFES","DERIVADOS",B29="162 - CONVENIOS Y DSC POS ","OTROS"),"OTROS")</f>
        <v>GOURMET</v>
      </c>
      <c r="L29" s="27">
        <f t="shared" si="2"/>
        <v>639804</v>
      </c>
      <c r="M29" s="27">
        <f t="shared" si="3"/>
        <v>639804</v>
      </c>
    </row>
    <row r="30" spans="1:13" ht="16.5" hidden="1" outlineLevel="1">
      <c r="A30" s="38"/>
      <c r="B30" s="39" t="s">
        <v>21</v>
      </c>
      <c r="C30" s="36">
        <v>105892228</v>
      </c>
      <c r="D30" s="36">
        <v>-8013700</v>
      </c>
      <c r="E30" s="48">
        <v>0</v>
      </c>
      <c r="F30" s="48">
        <v>223480484.16999999</v>
      </c>
      <c r="G30" s="49">
        <f t="shared" si="5"/>
        <v>0.47383210392299197</v>
      </c>
      <c r="H30" s="23">
        <f t="shared" si="6"/>
        <v>-7.0353669389357859E-2</v>
      </c>
      <c r="I30" s="24">
        <f t="shared" si="6"/>
        <v>0</v>
      </c>
      <c r="J30" s="32" t="str" cm="1">
        <f t="array" ref="J30">IFERROR(_xlfn.IFS(B30="044 - BLEND TRADICION","BLEND",B30="113 - CAFÉ GOURMET","GOURMET",B30="114 - CAFÉ CONSUMO","CONSUMO",B30="112 - CAFÉ ORGANICO","GOURMET",B30="172 - CAFÉ COSECHA","ESPECIALES",B30="176 - CAFE DESCAFEINADO","GOURMET",B30="147 - CAPSULAS","CAPSULAS",B30="130 - GALLETAS CAFECITAS","DERIVADOS",B30="140 - MERENGUES","DERIVADOS",B30="100 - CAFÉ ESPECIAL","ESPECIALES",B30="141 - AREQUIPE","DERIVADOS",B30="142 - MERMELADA","DERIVADOS",B30="131 - GALLETAS AVENA","DERIVADOS",B30="160 - SOUVENIR","OTROS",B30="148 - CARAMELOS","DERIVADOS",B30="143 - CHOCOFFES","DERIVADOS",B30="162 - CONVENIOS Y DSC POS ","OTROS"),"OTROS")</f>
        <v>GOURMET</v>
      </c>
      <c r="L30" s="27">
        <f t="shared" si="2"/>
        <v>113905928</v>
      </c>
      <c r="M30" s="27">
        <f t="shared" si="3"/>
        <v>113905928</v>
      </c>
    </row>
    <row r="31" spans="1:13" ht="16.5" hidden="1" outlineLevel="1">
      <c r="A31" s="38"/>
      <c r="B31" s="39" t="s">
        <v>38</v>
      </c>
      <c r="C31" s="36">
        <v>14257425</v>
      </c>
      <c r="D31" s="36">
        <v>0</v>
      </c>
      <c r="E31" s="48">
        <v>0</v>
      </c>
      <c r="F31" s="48">
        <v>12078505</v>
      </c>
      <c r="G31" s="49">
        <f t="shared" si="5"/>
        <v>1.1803964977453749</v>
      </c>
      <c r="H31" s="23">
        <f t="shared" si="6"/>
        <v>0</v>
      </c>
      <c r="I31" s="24">
        <f t="shared" si="6"/>
        <v>0</v>
      </c>
      <c r="J31" s="32" t="str" cm="1">
        <f t="array" ref="J31">IFERROR(_xlfn.IFS(B31="044 - BLEND TRADICION","BLEND",B31="113 - CAFÉ GOURMET","GOURMET",B31="114 - CAFÉ CONSUMO","CONSUMO",B31="112 - CAFÉ ORGANICO","GOURMET",B31="172 - CAFÉ COSECHA","ESPECIALES",B31="176 - CAFE DESCAFEINADO","GOURMET",B31="147 - CAPSULAS","CAPSULAS",B31="130 - GALLETAS CAFECITAS","DERIVADOS",B31="140 - MERENGUES","DERIVADOS",B31="100 - CAFÉ ESPECIAL","ESPECIALES",B31="141 - AREQUIPE","DERIVADOS",B31="142 - MERMELADA","DERIVADOS",B31="131 - GALLETAS AVENA","DERIVADOS",B31="160 - SOUVENIR","OTROS",B31="148 - CARAMELOS","DERIVADOS",B31="143 - CHOCOFFES","DERIVADOS",B31="162 - CONVENIOS Y DSC POS ","OTROS"),"OTROS")</f>
        <v>CONSUMO</v>
      </c>
      <c r="L31" s="27">
        <f t="shared" si="2"/>
        <v>14257425</v>
      </c>
      <c r="M31" s="27">
        <f t="shared" si="3"/>
        <v>14257425</v>
      </c>
    </row>
    <row r="32" spans="1:13" ht="16.5" hidden="1" outlineLevel="1">
      <c r="A32" s="38"/>
      <c r="B32" s="39" t="s">
        <v>22</v>
      </c>
      <c r="C32" s="36">
        <v>1377980</v>
      </c>
      <c r="D32" s="36">
        <v>0</v>
      </c>
      <c r="E32" s="48">
        <v>0</v>
      </c>
      <c r="F32" s="48">
        <v>876245.45</v>
      </c>
      <c r="G32" s="49">
        <f t="shared" si="5"/>
        <v>1.5725958976448895</v>
      </c>
      <c r="H32" s="23">
        <f t="shared" si="6"/>
        <v>0</v>
      </c>
      <c r="I32" s="24">
        <f t="shared" si="6"/>
        <v>0</v>
      </c>
      <c r="J32" s="32" t="str" cm="1">
        <f t="array" ref="J32">IFERROR(_xlfn.IFS(B32="044 - BLEND TRADICION","BLEND",B32="113 - CAFÉ GOURMET","GOURMET",B32="114 - CAFÉ CONSUMO","CONSUMO",B32="112 - CAFÉ ORGANICO","GOURMET",B32="172 - CAFÉ COSECHA","ESPECIALES",B32="176 - CAFE DESCAFEINADO","GOURMET",B32="147 - CAPSULAS","CAPSULAS",B32="130 - GALLETAS CAFECITAS","DERIVADOS",B32="140 - MERENGUES","DERIVADOS",B32="100 - CAFÉ ESPECIAL","ESPECIALES",B32="141 - AREQUIPE","DERIVADOS",B32="142 - MERMELADA","DERIVADOS",B32="131 - GALLETAS AVENA","DERIVADOS",B32="160 - SOUVENIR","OTROS",B32="148 - CARAMELOS","DERIVADOS",B32="143 - CHOCOFFES","DERIVADOS",B32="162 - CONVENIOS Y DSC POS ","OTROS"),"OTROS")</f>
        <v>DERIVADOS</v>
      </c>
      <c r="L32" s="27">
        <f t="shared" si="2"/>
        <v>1377980</v>
      </c>
      <c r="M32" s="27">
        <f t="shared" si="3"/>
        <v>1377980</v>
      </c>
    </row>
    <row r="33" spans="1:13" ht="16.5" hidden="1" outlineLevel="1">
      <c r="A33" s="38"/>
      <c r="B33" s="39" t="s">
        <v>23</v>
      </c>
      <c r="C33" s="36">
        <v>169037</v>
      </c>
      <c r="D33" s="36">
        <v>0</v>
      </c>
      <c r="E33" s="48"/>
      <c r="F33" s="48">
        <v>315313</v>
      </c>
      <c r="G33" s="49">
        <f t="shared" si="5"/>
        <v>0.5360927078807407</v>
      </c>
      <c r="H33" s="23">
        <f t="shared" si="6"/>
        <v>0</v>
      </c>
      <c r="I33" s="24">
        <f t="shared" si="6"/>
        <v>0</v>
      </c>
      <c r="J33" s="32" t="str" cm="1">
        <f t="array" ref="J33">IFERROR(_xlfn.IFS(B33="044 - BLEND TRADICION","BLEND",B33="113 - CAFÉ GOURMET","GOURMET",B33="114 - CAFÉ CONSUMO","CONSUMO",B33="112 - CAFÉ ORGANICO","GOURMET",B33="172 - CAFÉ COSECHA","ESPECIALES",B33="176 - CAFE DESCAFEINADO","GOURMET",B33="147 - CAPSULAS","CAPSULAS",B33="130 - GALLETAS CAFECITAS","DERIVADOS",B33="140 - MERENGUES","DERIVADOS",B33="100 - CAFÉ ESPECIAL","ESPECIALES",B33="141 - AREQUIPE","DERIVADOS",B33="142 - MERMELADA","DERIVADOS",B33="131 - GALLETAS AVENA","DERIVADOS",B33="160 - SOUVENIR","OTROS",B33="148 - CARAMELOS","DERIVADOS",B33="143 - CHOCOFFES","DERIVADOS",B33="162 - CONVENIOS Y DSC POS ","OTROS"),"OTROS")</f>
        <v>DERIVADOS</v>
      </c>
      <c r="L33" s="27">
        <f t="shared" si="2"/>
        <v>169037</v>
      </c>
      <c r="M33" s="27">
        <f t="shared" si="3"/>
        <v>169037</v>
      </c>
    </row>
    <row r="34" spans="1:13" ht="16.5" hidden="1" outlineLevel="1">
      <c r="A34" s="38"/>
      <c r="B34" s="39" t="s">
        <v>24</v>
      </c>
      <c r="C34" s="36">
        <v>388295</v>
      </c>
      <c r="D34" s="36">
        <v>0</v>
      </c>
      <c r="E34" s="48"/>
      <c r="F34" s="48">
        <v>443819.64</v>
      </c>
      <c r="G34" s="49">
        <f t="shared" si="5"/>
        <v>0.87489368429031211</v>
      </c>
      <c r="H34" s="23">
        <f t="shared" si="6"/>
        <v>0</v>
      </c>
      <c r="I34" s="24">
        <f t="shared" si="6"/>
        <v>0</v>
      </c>
      <c r="J34" s="32" t="str" cm="1">
        <f t="array" ref="J34">IFERROR(_xlfn.IFS(B34="044 - BLEND TRADICION","BLEND",B34="113 - CAFÉ GOURMET","GOURMET",B34="114 - CAFÉ CONSUMO","CONSUMO",B34="112 - CAFÉ ORGANICO","GOURMET",B34="172 - CAFÉ COSECHA","ESPECIALES",B34="176 - CAFE DESCAFEINADO","GOURMET",B34="147 - CAPSULAS","CAPSULAS",B34="130 - GALLETAS CAFECITAS","DERIVADOS",B34="140 - MERENGUES","DERIVADOS",B34="100 - CAFÉ ESPECIAL","ESPECIALES",B34="141 - AREQUIPE","DERIVADOS",B34="142 - MERMELADA","DERIVADOS",B34="131 - GALLETAS AVENA","DERIVADOS",B34="160 - SOUVENIR","OTROS",B34="148 - CARAMELOS","DERIVADOS",B34="143 - CHOCOFFES","DERIVADOS",B34="162 - CONVENIOS Y DSC POS ","OTROS"),"OTROS")</f>
        <v>DERIVADOS</v>
      </c>
      <c r="L34" s="27">
        <f t="shared" si="2"/>
        <v>388295</v>
      </c>
      <c r="M34" s="27">
        <f t="shared" si="3"/>
        <v>388295</v>
      </c>
    </row>
    <row r="35" spans="1:13" ht="16.5" hidden="1" outlineLevel="1">
      <c r="A35" s="38"/>
      <c r="B35" s="39" t="s">
        <v>25</v>
      </c>
      <c r="C35" s="36">
        <v>211752</v>
      </c>
      <c r="D35" s="36">
        <v>0</v>
      </c>
      <c r="E35" s="48"/>
      <c r="F35" s="48">
        <v>253263.49</v>
      </c>
      <c r="G35" s="49">
        <f t="shared" si="5"/>
        <v>0.83609366671840468</v>
      </c>
      <c r="H35" s="23">
        <f t="shared" si="6"/>
        <v>0</v>
      </c>
      <c r="I35" s="24">
        <f t="shared" si="6"/>
        <v>0</v>
      </c>
      <c r="J35" s="32" t="str" cm="1">
        <f t="array" ref="J35">IFERROR(_xlfn.IFS(B35="044 - BLEND TRADICION","BLEND",B35="113 - CAFÉ GOURMET","GOURMET",B35="114 - CAFÉ CONSUMO","CONSUMO",B35="112 - CAFÉ ORGANICO","GOURMET",B35="172 - CAFÉ COSECHA","ESPECIALES",B35="176 - CAFE DESCAFEINADO","GOURMET",B35="147 - CAPSULAS","CAPSULAS",B35="130 - GALLETAS CAFECITAS","DERIVADOS",B35="140 - MERENGUES","DERIVADOS",B35="100 - CAFÉ ESPECIAL","ESPECIALES",B35="141 - AREQUIPE","DERIVADOS",B35="142 - MERMELADA","DERIVADOS",B35="131 - GALLETAS AVENA","DERIVADOS",B35="160 - SOUVENIR","OTROS",B35="148 - CARAMELOS","DERIVADOS",B35="143 - CHOCOFFES","DERIVADOS",B35="162 - CONVENIOS Y DSC POS ","OTROS"),"OTROS")</f>
        <v>DERIVADOS</v>
      </c>
      <c r="L35" s="27">
        <f t="shared" si="2"/>
        <v>211752</v>
      </c>
      <c r="M35" s="27">
        <f t="shared" si="3"/>
        <v>211752</v>
      </c>
    </row>
    <row r="36" spans="1:13" ht="16.5" hidden="1" outlineLevel="1">
      <c r="A36" s="38"/>
      <c r="B36" s="39" t="s">
        <v>26</v>
      </c>
      <c r="C36" s="36">
        <v>13752381</v>
      </c>
      <c r="D36" s="36">
        <v>-1819838</v>
      </c>
      <c r="E36" s="48"/>
      <c r="F36" s="48">
        <v>19346780.550000001</v>
      </c>
      <c r="G36" s="49">
        <f t="shared" si="5"/>
        <v>0.71083563306350728</v>
      </c>
      <c r="H36" s="23">
        <f t="shared" si="6"/>
        <v>-0.11686439806683942</v>
      </c>
      <c r="I36" s="24">
        <f t="shared" si="6"/>
        <v>0</v>
      </c>
      <c r="J36" s="32" t="str" cm="1">
        <f t="array" ref="J36">IFERROR(_xlfn.IFS(B36="044 - BLEND TRADICION","BLEND",B36="113 - CAFÉ GOURMET","GOURMET",B36="114 - CAFÉ CONSUMO","CONSUMO",B36="112 - CAFÉ ORGANICO","GOURMET",B36="172 - CAFÉ COSECHA","ESPECIALES",B36="176 - CAFE DESCAFEINADO","GOURMET",B36="147 - CAPSULAS","CAPSULAS",B36="130 - GALLETAS CAFECITAS","DERIVADOS",B36="140 - MERENGUES","DERIVADOS",B36="100 - CAFÉ ESPECIAL","ESPECIALES",B36="141 - AREQUIPE","DERIVADOS",B36="142 - MERMELADA","DERIVADOS",B36="131 - GALLETAS AVENA","DERIVADOS",B36="160 - SOUVENIR","OTROS",B36="148 - CARAMELOS","DERIVADOS",B36="143 - CHOCOFFES","DERIVADOS",B36="162 - CONVENIOS Y DSC POS ","OTROS"),"OTROS")</f>
        <v>CAPSULAS</v>
      </c>
      <c r="L36" s="27">
        <f t="shared" si="2"/>
        <v>15572219</v>
      </c>
      <c r="M36" s="27">
        <f t="shared" si="3"/>
        <v>15572219</v>
      </c>
    </row>
    <row r="37" spans="1:13" ht="16.5" hidden="1" outlineLevel="1">
      <c r="A37" s="38"/>
      <c r="B37" s="39" t="s">
        <v>27</v>
      </c>
      <c r="C37" s="36">
        <v>337636</v>
      </c>
      <c r="D37" s="36">
        <v>0</v>
      </c>
      <c r="E37" s="48"/>
      <c r="F37" s="48">
        <v>709870.17</v>
      </c>
      <c r="G37" s="49">
        <f t="shared" si="5"/>
        <v>0.47563063538787659</v>
      </c>
      <c r="H37" s="23">
        <f t="shared" ref="H37:I93" si="8">IFERROR(+D37/L37*100%,0)</f>
        <v>0</v>
      </c>
      <c r="I37" s="24">
        <f t="shared" si="8"/>
        <v>0</v>
      </c>
      <c r="J37" s="32" t="str" cm="1">
        <f t="array" ref="J37">IFERROR(_xlfn.IFS(B37="044 - BLEND TRADICION","BLEND",B37="113 - CAFÉ GOURMET","GOURMET",B37="114 - CAFÉ CONSUMO","CONSUMO",B37="112 - CAFÉ ORGANICO","GOURMET",B37="172 - CAFÉ COSECHA","ESPECIALES",B37="176 - CAFE DESCAFEINADO","GOURMET",B37="147 - CAPSULAS","CAPSULAS",B37="130 - GALLETAS CAFECITAS","DERIVADOS",B37="140 - MERENGUES","DERIVADOS",B37="100 - CAFÉ ESPECIAL","ESPECIALES",B37="141 - AREQUIPE","DERIVADOS",B37="142 - MERMELADA","DERIVADOS",B37="131 - GALLETAS AVENA","DERIVADOS",B37="160 - SOUVENIR","OTROS",B37="148 - CARAMELOS","DERIVADOS",B37="143 - CHOCOFFES","DERIVADOS",B37="162 - CONVENIOS Y DSC POS ","OTROS"),"OTROS")</f>
        <v>DERIVADOS</v>
      </c>
      <c r="L37" s="27">
        <f t="shared" si="2"/>
        <v>337636</v>
      </c>
      <c r="M37" s="27">
        <f t="shared" si="3"/>
        <v>337636</v>
      </c>
    </row>
    <row r="38" spans="1:13" ht="16.5" hidden="1" outlineLevel="1">
      <c r="A38" s="38"/>
      <c r="B38" s="39" t="s">
        <v>28</v>
      </c>
      <c r="C38" s="36">
        <v>368139</v>
      </c>
      <c r="D38" s="36">
        <v>0</v>
      </c>
      <c r="E38" s="48"/>
      <c r="F38" s="48">
        <v>926563.16</v>
      </c>
      <c r="G38" s="49">
        <f t="shared" si="5"/>
        <v>0.39731668157408717</v>
      </c>
      <c r="H38" s="23">
        <f t="shared" si="8"/>
        <v>0</v>
      </c>
      <c r="I38" s="24">
        <f t="shared" si="8"/>
        <v>0</v>
      </c>
      <c r="J38" s="32" t="str" cm="1">
        <f t="array" ref="J38">IFERROR(_xlfn.IFS(B38="044 - BLEND TRADICION","BLEND",B38="113 - CAFÉ GOURMET","GOURMET",B38="114 - CAFÉ CONSUMO","CONSUMO",B38="112 - CAFÉ ORGANICO","GOURMET",B38="172 - CAFÉ COSECHA","ESPECIALES",B38="176 - CAFE DESCAFEINADO","GOURMET",B38="147 - CAPSULAS","CAPSULAS",B38="130 - GALLETAS CAFECITAS","DERIVADOS",B38="140 - MERENGUES","DERIVADOS",B38="100 - CAFÉ ESPECIAL","ESPECIALES",B38="141 - AREQUIPE","DERIVADOS",B38="142 - MERMELADA","DERIVADOS",B38="131 - GALLETAS AVENA","DERIVADOS",B38="160 - SOUVENIR","OTROS",B38="148 - CARAMELOS","DERIVADOS",B38="143 - CHOCOFFES","DERIVADOS",B38="162 - CONVENIOS Y DSC POS ","OTROS"),"OTROS")</f>
        <v>OTROS</v>
      </c>
      <c r="L38" s="27">
        <f t="shared" si="2"/>
        <v>368139</v>
      </c>
      <c r="M38" s="27">
        <f t="shared" si="3"/>
        <v>368139</v>
      </c>
    </row>
    <row r="39" spans="1:13" ht="16.5" hidden="1" outlineLevel="1">
      <c r="A39" s="38"/>
      <c r="B39" s="39" t="s">
        <v>29</v>
      </c>
      <c r="C39" s="36">
        <v>218101</v>
      </c>
      <c r="D39" s="36">
        <v>0</v>
      </c>
      <c r="E39" s="48"/>
      <c r="F39" s="48">
        <v>1035996.29</v>
      </c>
      <c r="G39" s="49">
        <f t="shared" si="5"/>
        <v>0.21052295467197088</v>
      </c>
      <c r="H39" s="23">
        <f t="shared" si="8"/>
        <v>0</v>
      </c>
      <c r="I39" s="24">
        <f t="shared" si="8"/>
        <v>0</v>
      </c>
      <c r="J39" s="32" t="str" cm="1">
        <f t="array" ref="J39">IFERROR(_xlfn.IFS(B39="044 - BLEND TRADICION","BLEND",B39="113 - CAFÉ GOURMET","GOURMET",B39="114 - CAFÉ CONSUMO","CONSUMO",B39="112 - CAFÉ ORGANICO","GOURMET",B39="172 - CAFÉ COSECHA","ESPECIALES",B39="176 - CAFE DESCAFEINADO","GOURMET",B39="147 - CAPSULAS","CAPSULAS",B39="130 - GALLETAS CAFECITAS","DERIVADOS",B39="140 - MERENGUES","DERIVADOS",B39="100 - CAFÉ ESPECIAL","ESPECIALES",B39="141 - AREQUIPE","DERIVADOS",B39="142 - MERMELADA","DERIVADOS",B39="131 - GALLETAS AVENA","DERIVADOS",B39="160 - SOUVENIR","OTROS",B39="148 - CARAMELOS","DERIVADOS",B39="143 - CHOCOFFES","DERIVADOS",B39="162 - CONVENIOS Y DSC POS ","OTROS"),"OTROS")</f>
        <v>ESPECIALES</v>
      </c>
      <c r="L39" s="27">
        <f t="shared" si="2"/>
        <v>218101</v>
      </c>
      <c r="M39" s="27">
        <f t="shared" si="3"/>
        <v>218101</v>
      </c>
    </row>
    <row r="40" spans="1:13" ht="16.5" hidden="1" outlineLevel="1">
      <c r="A40" s="38"/>
      <c r="B40" s="39" t="s">
        <v>30</v>
      </c>
      <c r="C40" s="36">
        <v>63262</v>
      </c>
      <c r="D40" s="36">
        <v>0</v>
      </c>
      <c r="E40" s="48"/>
      <c r="F40" s="48">
        <v>573972.9</v>
      </c>
      <c r="G40" s="49">
        <f t="shared" si="5"/>
        <v>0.11021774721419773</v>
      </c>
      <c r="H40" s="23">
        <f t="shared" si="8"/>
        <v>0</v>
      </c>
      <c r="I40" s="24">
        <f t="shared" si="8"/>
        <v>0</v>
      </c>
      <c r="J40" s="32" t="str" cm="1">
        <f t="array" ref="J40">IFERROR(_xlfn.IFS(B40="044 - BLEND TRADICION","BLEND",B40="113 - CAFÉ GOURMET","GOURMET",B40="114 - CAFÉ CONSUMO","CONSUMO",B40="112 - CAFÉ ORGANICO","GOURMET",B40="172 - CAFÉ COSECHA","ESPECIALES",B40="176 - CAFE DESCAFEINADO","GOURMET",B40="147 - CAPSULAS","CAPSULAS",B40="130 - GALLETAS CAFECITAS","DERIVADOS",B40="140 - MERENGUES","DERIVADOS",B40="100 - CAFÉ ESPECIAL","ESPECIALES",B40="141 - AREQUIPE","DERIVADOS",B40="142 - MERMELADA","DERIVADOS",B40="131 - GALLETAS AVENA","DERIVADOS",B40="160 - SOUVENIR","OTROS",B40="148 - CARAMELOS","DERIVADOS",B40="143 - CHOCOFFES","DERIVADOS",B40="162 - CONVENIOS Y DSC POS ","OTROS"),"OTROS")</f>
        <v>GOURMET</v>
      </c>
      <c r="L40" s="27">
        <f t="shared" si="2"/>
        <v>63262</v>
      </c>
      <c r="M40" s="27">
        <f t="shared" si="3"/>
        <v>63262</v>
      </c>
    </row>
    <row r="41" spans="1:13" ht="16.5" hidden="1" outlineLevel="1">
      <c r="A41" s="38"/>
      <c r="B41" s="39" t="s">
        <v>31</v>
      </c>
      <c r="C41" s="36">
        <v>24000</v>
      </c>
      <c r="D41" s="36">
        <v>0</v>
      </c>
      <c r="E41" s="48"/>
      <c r="F41" s="48">
        <v>0</v>
      </c>
      <c r="G41" s="49" t="str">
        <f t="shared" si="5"/>
        <v>-</v>
      </c>
      <c r="H41" s="23">
        <f t="shared" si="8"/>
        <v>0</v>
      </c>
      <c r="I41" s="24">
        <f t="shared" si="8"/>
        <v>0</v>
      </c>
      <c r="J41" s="32" t="str" cm="1">
        <f t="array" ref="J41">IFERROR(_xlfn.IFS(B41="044 - BLEND TRADICION","BLEND",B41="113 - CAFÉ GOURMET","GOURMET",B41="114 - CAFÉ CONSUMO","CONSUMO",B41="112 - CAFÉ ORGANICO","GOURMET",B41="172 - CAFÉ COSECHA","ESPECIALES",B41="176 - CAFE DESCAFEINADO","GOURMET",B41="147 - CAPSULAS","CAPSULAS",B41="130 - GALLETAS CAFECITAS","DERIVADOS",B41="140 - MERENGUES","DERIVADOS",B41="100 - CAFÉ ESPECIAL","ESPECIALES",B41="141 - AREQUIPE","DERIVADOS",B41="142 - MERMELADA","DERIVADOS",B41="131 - GALLETAS AVENA","DERIVADOS",B41="160 - SOUVENIR","OTROS",B41="148 - CARAMELOS","DERIVADOS",B41="143 - CHOCOFFES","DERIVADOS",B41="162 - CONVENIOS Y DSC POS ","OTROS"),"OTROS")</f>
        <v>OTROS</v>
      </c>
      <c r="L41" s="27">
        <f t="shared" si="2"/>
        <v>24000</v>
      </c>
      <c r="M41" s="27">
        <f t="shared" si="3"/>
        <v>24000</v>
      </c>
    </row>
    <row r="42" spans="1:13" ht="16.5" hidden="1" outlineLevel="1">
      <c r="A42" s="19" t="s">
        <v>37</v>
      </c>
      <c r="B42" s="56" t="s">
        <v>32</v>
      </c>
      <c r="C42" s="54">
        <f>SUM(C27:C41)</f>
        <v>142722620</v>
      </c>
      <c r="D42" s="54">
        <f>SUM(D27:D41)</f>
        <v>-13761904</v>
      </c>
      <c r="E42" s="54">
        <f>SUM(E27:E41)</f>
        <v>0</v>
      </c>
      <c r="F42" s="54">
        <f>SUM(F27:F41)</f>
        <v>271870321.94</v>
      </c>
      <c r="G42" s="55">
        <f t="shared" si="5"/>
        <v>0.52496579612502892</v>
      </c>
      <c r="H42" s="23">
        <f t="shared" si="8"/>
        <v>-8.7944185458237387E-2</v>
      </c>
      <c r="I42" s="24">
        <f t="shared" si="8"/>
        <v>0</v>
      </c>
      <c r="J42" s="32" t="str" cm="1">
        <f t="array" ref="J42">IFERROR(_xlfn.IFS(B42="044 - BLEND TRADICION","BLEND",B42="113 - CAFÉ GOURMET","GOURMET",B42="114 - CAFÉ CONSUMO","CONSUMO",B42="112 - CAFÉ ORGANICO","GOURMET",B42="172 - CAFÉ COSECHA","ESPECIALES",B42="176 - CAFE DESCAFEINADO","GOURMET",B42="147 - CAPSULAS","CAPSULAS",B42="130 - GALLETAS CAFECITAS","DERIVADOS",B42="140 - MERENGUES","DERIVADOS",B42="100 - CAFÉ ESPECIAL","ESPECIALES",B42="141 - AREQUIPE","DERIVADOS",B42="142 - MERMELADA","DERIVADOS",B42="131 - GALLETAS AVENA","DERIVADOS",B42="160 - SOUVENIR","OTROS",B42="148 - CARAMELOS","DERIVADOS",B42="143 - CHOCOFFES","DERIVADOS",B42="162 - CONVENIOS Y DSC POS ","OTROS"),"OTROS")</f>
        <v>OTROS</v>
      </c>
      <c r="L42" s="27">
        <f t="shared" si="2"/>
        <v>156484524</v>
      </c>
      <c r="M42" s="27">
        <f t="shared" si="3"/>
        <v>156484524</v>
      </c>
    </row>
    <row r="43" spans="1:13" ht="16.5" hidden="1" outlineLevel="1">
      <c r="A43" s="38"/>
      <c r="B43" s="39" t="s">
        <v>34</v>
      </c>
      <c r="C43" s="36">
        <v>7510</v>
      </c>
      <c r="D43" s="36">
        <v>0</v>
      </c>
      <c r="E43" s="48">
        <v>0</v>
      </c>
      <c r="F43" s="48">
        <v>16995.71</v>
      </c>
      <c r="G43" s="49">
        <f t="shared" si="5"/>
        <v>0.44187621464475452</v>
      </c>
      <c r="H43" s="23">
        <f t="shared" si="8"/>
        <v>0</v>
      </c>
      <c r="I43" s="24">
        <f t="shared" si="8"/>
        <v>0</v>
      </c>
      <c r="J43" s="32" t="str" cm="1">
        <f t="array" ref="J43">IFERROR(_xlfn.IFS(B43="044 - BLEND TRADICION","BLEND",B43="113 - CAFÉ GOURMET","GOURMET",B43="114 - CAFÉ CONSUMO","CONSUMO",B43="112 - CAFÉ ORGANICO","GOURMET",B43="172 - CAFÉ COSECHA","ESPECIALES",B43="176 - CAFE DESCAFEINADO","GOURMET",B43="147 - CAPSULAS","CAPSULAS",B43="130 - GALLETAS CAFECITAS","DERIVADOS",B43="140 - MERENGUES","DERIVADOS",B43="100 - CAFÉ ESPECIAL","ESPECIALES",B43="141 - AREQUIPE","DERIVADOS",B43="142 - MERMELADA","DERIVADOS",B43="131 - GALLETAS AVENA","DERIVADOS",B43="160 - SOUVENIR","OTROS",B43="148 - CARAMELOS","DERIVADOS",B43="143 - CHOCOFFES","DERIVADOS",B43="162 - CONVENIOS Y DSC POS ","OTROS"),"OTROS")</f>
        <v>OTROS</v>
      </c>
      <c r="L43" s="27">
        <f t="shared" si="2"/>
        <v>7510</v>
      </c>
      <c r="M43" s="27">
        <f t="shared" si="3"/>
        <v>7510</v>
      </c>
    </row>
    <row r="44" spans="1:13" ht="16.5" hidden="1" outlineLevel="1">
      <c r="A44" s="38"/>
      <c r="B44" s="39" t="s">
        <v>95</v>
      </c>
      <c r="C44" s="36">
        <v>522421</v>
      </c>
      <c r="D44" s="36">
        <v>-82846</v>
      </c>
      <c r="E44" s="48">
        <v>0</v>
      </c>
      <c r="F44" s="48">
        <v>0</v>
      </c>
      <c r="G44" s="49" t="str">
        <f t="shared" si="5"/>
        <v>-</v>
      </c>
      <c r="H44" s="23">
        <f t="shared" si="8"/>
        <v>-0.1368751311404719</v>
      </c>
      <c r="I44" s="24">
        <f t="shared" si="8"/>
        <v>0</v>
      </c>
      <c r="J44" s="32" t="str" cm="1">
        <f t="array" ref="J44">IFERROR(_xlfn.IFS(B44="044 - BLEND TRADICION","BLEND",B44="113 - CAFÉ GOURMET","GOURMET",B44="114 - CAFÉ CONSUMO","CONSUMO",B44="112 - CAFÉ ORGANICO","GOURMET",B44="172 - CAFÉ COSECHA","ESPECIALES",B44="176 - CAFE DESCAFEINADO","GOURMET",B44="147 - CAPSULAS","CAPSULAS",B44="130 - GALLETAS CAFECITAS","DERIVADOS",B44="140 - MERENGUES","DERIVADOS",B44="100 - CAFÉ ESPECIAL","ESPECIALES",B44="141 - AREQUIPE","DERIVADOS",B44="142 - MERMELADA","DERIVADOS",B44="131 - GALLETAS AVENA","DERIVADOS",B44="160 - SOUVENIR","OTROS",B44="148 - CARAMELOS","DERIVADOS",B44="143 - CHOCOFFES","DERIVADOS",B44="162 - CONVENIOS Y DSC POS ","OTROS"),"OTROS")</f>
        <v>OTROS</v>
      </c>
      <c r="L44" s="27">
        <f t="shared" si="2"/>
        <v>605267</v>
      </c>
      <c r="M44" s="27">
        <f t="shared" si="3"/>
        <v>605267</v>
      </c>
    </row>
    <row r="45" spans="1:13" ht="16.5" hidden="1" outlineLevel="1">
      <c r="A45" s="38"/>
      <c r="B45" s="39" t="s">
        <v>42</v>
      </c>
      <c r="C45" s="36">
        <v>348131</v>
      </c>
      <c r="D45" s="36">
        <v>0</v>
      </c>
      <c r="E45" s="48">
        <v>0</v>
      </c>
      <c r="F45" s="48">
        <v>0</v>
      </c>
      <c r="G45" s="49" t="str">
        <f t="shared" si="5"/>
        <v>-</v>
      </c>
      <c r="H45" s="23">
        <f t="shared" si="8"/>
        <v>0</v>
      </c>
      <c r="I45" s="24">
        <f t="shared" si="8"/>
        <v>0</v>
      </c>
      <c r="J45" s="32" t="str" cm="1">
        <f t="array" ref="J45">IFERROR(_xlfn.IFS(B45="044 - BLEND TRADICION","BLEND",B45="113 - CAFÉ GOURMET","GOURMET",B45="114 - CAFÉ CONSUMO","CONSUMO",B45="112 - CAFÉ ORGANICO","GOURMET",B45="172 - CAFÉ COSECHA","ESPECIALES",B45="176 - CAFE DESCAFEINADO","GOURMET",B45="147 - CAPSULAS","CAPSULAS",B45="130 - GALLETAS CAFECITAS","DERIVADOS",B45="140 - MERENGUES","DERIVADOS",B45="100 - CAFÉ ESPECIAL","ESPECIALES",B45="141 - AREQUIPE","DERIVADOS",B45="142 - MERMELADA","DERIVADOS",B45="131 - GALLETAS AVENA","DERIVADOS",B45="160 - SOUVENIR","OTROS",B45="148 - CARAMELOS","DERIVADOS",B45="143 - CHOCOFFES","DERIVADOS",B45="162 - CONVENIOS Y DSC POS ","OTROS"),"OTROS")</f>
        <v>OTROS</v>
      </c>
      <c r="L45" s="27">
        <f t="shared" si="2"/>
        <v>348131</v>
      </c>
      <c r="M45" s="27">
        <f t="shared" si="3"/>
        <v>348131</v>
      </c>
    </row>
    <row r="46" spans="1:13" ht="16.5" hidden="1" outlineLevel="1">
      <c r="A46" s="38"/>
      <c r="B46" s="39" t="s">
        <v>18</v>
      </c>
      <c r="C46" s="36">
        <v>0</v>
      </c>
      <c r="D46" s="36">
        <v>0</v>
      </c>
      <c r="E46" s="48">
        <v>0</v>
      </c>
      <c r="F46" s="48">
        <v>89635.4</v>
      </c>
      <c r="G46" s="49">
        <f t="shared" si="5"/>
        <v>0</v>
      </c>
      <c r="H46" s="23">
        <f t="shared" si="8"/>
        <v>0</v>
      </c>
      <c r="I46" s="24">
        <f t="shared" si="8"/>
        <v>0</v>
      </c>
      <c r="J46" s="32" t="str" cm="1">
        <f t="array" ref="J46">IFERROR(_xlfn.IFS(B46="044 - BLEND TRADICION","BLEND",B46="113 - CAFÉ GOURMET","GOURMET",B46="114 - CAFÉ CONSUMO","CONSUMO",B46="112 - CAFÉ ORGANICO","GOURMET",B46="172 - CAFÉ COSECHA","ESPECIALES",B46="176 - CAFE DESCAFEINADO","GOURMET",B46="147 - CAPSULAS","CAPSULAS",B46="130 - GALLETAS CAFECITAS","DERIVADOS",B46="140 - MERENGUES","DERIVADOS",B46="100 - CAFÉ ESPECIAL","ESPECIALES",B46="141 - AREQUIPE","DERIVADOS",B46="142 - MERMELADA","DERIVADOS",B46="131 - GALLETAS AVENA","DERIVADOS",B46="160 - SOUVENIR","OTROS",B46="148 - CARAMELOS","DERIVADOS",B46="143 - CHOCOFFES","DERIVADOS",B46="162 - CONVENIOS Y DSC POS ","OTROS"),"OTROS")</f>
        <v>BLEND</v>
      </c>
      <c r="L46" s="27">
        <f t="shared" si="2"/>
        <v>0</v>
      </c>
      <c r="M46" s="27">
        <f t="shared" si="3"/>
        <v>0</v>
      </c>
    </row>
    <row r="47" spans="1:13" ht="16.5" hidden="1" outlineLevel="1">
      <c r="A47" s="38"/>
      <c r="B47" s="39" t="s">
        <v>36</v>
      </c>
      <c r="C47" s="36">
        <v>38539</v>
      </c>
      <c r="D47" s="36">
        <v>0</v>
      </c>
      <c r="E47" s="48"/>
      <c r="F47" s="48">
        <v>0</v>
      </c>
      <c r="G47" s="49" t="str">
        <f t="shared" ref="G47:G54" si="9">IFERROR(C47/F47*100%,"-")</f>
        <v>-</v>
      </c>
      <c r="H47" s="23">
        <f t="shared" ref="H47:H54" si="10">IFERROR(+D47/L47*100%,0)</f>
        <v>0</v>
      </c>
      <c r="I47" s="24">
        <f t="shared" ref="I47:I54" si="11">IFERROR(+E47/M47*100%,0)</f>
        <v>0</v>
      </c>
      <c r="J47" s="32" t="str" cm="1">
        <f t="array" ref="J47">IFERROR(_xlfn.IFS(B47="044 - BLEND TRADICION","BLEND",B47="113 - CAFÉ GOURMET","GOURMET",B47="114 - CAFÉ CONSUMO","CONSUMO",B47="112 - CAFÉ ORGANICO","GOURMET",B47="172 - CAFÉ COSECHA","ESPECIALES",B47="176 - CAFE DESCAFEINADO","GOURMET",B47="147 - CAPSULAS","CAPSULAS",B47="130 - GALLETAS CAFECITAS","DERIVADOS",B47="140 - MERENGUES","DERIVADOS",B47="100 - CAFÉ ESPECIAL","ESPECIALES",B47="141 - AREQUIPE","DERIVADOS",B47="142 - MERMELADA","DERIVADOS",B47="131 - GALLETAS AVENA","DERIVADOS",B47="160 - SOUVENIR","OTROS",B47="148 - CARAMELOS","DERIVADOS",B47="143 - CHOCOFFES","DERIVADOS",B47="162 - CONVENIOS Y DSC POS ","OTROS"),"OTROS")</f>
        <v>OTROS</v>
      </c>
      <c r="L47" s="27">
        <f t="shared" ref="L47:L54" si="12">C47-(D47+E47)</f>
        <v>38539</v>
      </c>
      <c r="M47" s="27">
        <f t="shared" ref="M47:M54" si="13">L47</f>
        <v>38539</v>
      </c>
    </row>
    <row r="48" spans="1:13" ht="16.5" hidden="1" outlineLevel="1">
      <c r="A48" s="38"/>
      <c r="B48" s="39" t="s">
        <v>19</v>
      </c>
      <c r="C48" s="36">
        <v>0</v>
      </c>
      <c r="D48" s="36">
        <v>0</v>
      </c>
      <c r="E48" s="48"/>
      <c r="F48" s="48">
        <v>94237.05</v>
      </c>
      <c r="G48" s="49">
        <f t="shared" si="9"/>
        <v>0</v>
      </c>
      <c r="H48" s="23">
        <f t="shared" si="10"/>
        <v>0</v>
      </c>
      <c r="I48" s="24">
        <f t="shared" si="11"/>
        <v>0</v>
      </c>
      <c r="J48" s="32" t="str" cm="1">
        <f t="array" ref="J48">IFERROR(_xlfn.IFS(B48="044 - BLEND TRADICION","BLEND",B48="113 - CAFÉ GOURMET","GOURMET",B48="114 - CAFÉ CONSUMO","CONSUMO",B48="112 - CAFÉ ORGANICO","GOURMET",B48="172 - CAFÉ COSECHA","ESPECIALES",B48="176 - CAFE DESCAFEINADO","GOURMET",B48="147 - CAPSULAS","CAPSULAS",B48="130 - GALLETAS CAFECITAS","DERIVADOS",B48="140 - MERENGUES","DERIVADOS",B48="100 - CAFÉ ESPECIAL","ESPECIALES",B48="141 - AREQUIPE","DERIVADOS",B48="142 - MERMELADA","DERIVADOS",B48="131 - GALLETAS AVENA","DERIVADOS",B48="160 - SOUVENIR","OTROS",B48="148 - CARAMELOS","DERIVADOS",B48="143 - CHOCOFFES","DERIVADOS",B48="162 - CONVENIOS Y DSC POS ","OTROS"),"OTROS")</f>
        <v>ESPECIALES</v>
      </c>
      <c r="L48" s="27">
        <f t="shared" si="12"/>
        <v>0</v>
      </c>
      <c r="M48" s="27">
        <f t="shared" si="13"/>
        <v>0</v>
      </c>
    </row>
    <row r="49" spans="1:13" ht="16.5" hidden="1" outlineLevel="1">
      <c r="A49" s="38"/>
      <c r="B49" s="39" t="s">
        <v>20</v>
      </c>
      <c r="C49" s="36">
        <v>0</v>
      </c>
      <c r="D49" s="36">
        <v>0</v>
      </c>
      <c r="E49" s="48"/>
      <c r="F49" s="48">
        <v>136038.93</v>
      </c>
      <c r="G49" s="49">
        <f t="shared" si="9"/>
        <v>0</v>
      </c>
      <c r="H49" s="23">
        <f t="shared" si="10"/>
        <v>0</v>
      </c>
      <c r="I49" s="24">
        <f t="shared" si="11"/>
        <v>0</v>
      </c>
      <c r="J49" s="32" t="str" cm="1">
        <f t="array" ref="J49">IFERROR(_xlfn.IFS(B49="044 - BLEND TRADICION","BLEND",B49="113 - CAFÉ GOURMET","GOURMET",B49="114 - CAFÉ CONSUMO","CONSUMO",B49="112 - CAFÉ ORGANICO","GOURMET",B49="172 - CAFÉ COSECHA","ESPECIALES",B49="176 - CAFE DESCAFEINADO","GOURMET",B49="147 - CAPSULAS","CAPSULAS",B49="130 - GALLETAS CAFECITAS","DERIVADOS",B49="140 - MERENGUES","DERIVADOS",B49="100 - CAFÉ ESPECIAL","ESPECIALES",B49="141 - AREQUIPE","DERIVADOS",B49="142 - MERMELADA","DERIVADOS",B49="131 - GALLETAS AVENA","DERIVADOS",B49="160 - SOUVENIR","OTROS",B49="148 - CARAMELOS","DERIVADOS",B49="143 - CHOCOFFES","DERIVADOS",B49="162 - CONVENIOS Y DSC POS ","OTROS"),"OTROS")</f>
        <v>GOURMET</v>
      </c>
      <c r="L49" s="27">
        <f t="shared" si="12"/>
        <v>0</v>
      </c>
      <c r="M49" s="27">
        <f t="shared" si="13"/>
        <v>0</v>
      </c>
    </row>
    <row r="50" spans="1:13" ht="16.5" hidden="1" outlineLevel="1">
      <c r="A50" s="38"/>
      <c r="B50" s="39" t="s">
        <v>21</v>
      </c>
      <c r="C50" s="36">
        <v>22477579</v>
      </c>
      <c r="D50" s="36">
        <v>0</v>
      </c>
      <c r="E50" s="48"/>
      <c r="F50" s="48">
        <v>69823497.540000007</v>
      </c>
      <c r="G50" s="49">
        <f t="shared" si="9"/>
        <v>0.3219199809795148</v>
      </c>
      <c r="H50" s="23">
        <f t="shared" si="10"/>
        <v>0</v>
      </c>
      <c r="I50" s="24">
        <f t="shared" si="11"/>
        <v>0</v>
      </c>
      <c r="J50" s="32" t="str" cm="1">
        <f t="array" ref="J50">IFERROR(_xlfn.IFS(B50="044 - BLEND TRADICION","BLEND",B50="113 - CAFÉ GOURMET","GOURMET",B50="114 - CAFÉ CONSUMO","CONSUMO",B50="112 - CAFÉ ORGANICO","GOURMET",B50="172 - CAFÉ COSECHA","ESPECIALES",B50="176 - CAFE DESCAFEINADO","GOURMET",B50="147 - CAPSULAS","CAPSULAS",B50="130 - GALLETAS CAFECITAS","DERIVADOS",B50="140 - MERENGUES","DERIVADOS",B50="100 - CAFÉ ESPECIAL","ESPECIALES",B50="141 - AREQUIPE","DERIVADOS",B50="142 - MERMELADA","DERIVADOS",B50="131 - GALLETAS AVENA","DERIVADOS",B50="160 - SOUVENIR","OTROS",B50="148 - CARAMELOS","DERIVADOS",B50="143 - CHOCOFFES","DERIVADOS",B50="162 - CONVENIOS Y DSC POS ","OTROS"),"OTROS")</f>
        <v>GOURMET</v>
      </c>
      <c r="L50" s="27">
        <f t="shared" si="12"/>
        <v>22477579</v>
      </c>
      <c r="M50" s="27">
        <f t="shared" si="13"/>
        <v>22477579</v>
      </c>
    </row>
    <row r="51" spans="1:13" ht="16.5" hidden="1" outlineLevel="1">
      <c r="A51" s="38"/>
      <c r="B51" s="39" t="s">
        <v>38</v>
      </c>
      <c r="C51" s="36">
        <v>3568526</v>
      </c>
      <c r="D51" s="36">
        <v>0</v>
      </c>
      <c r="E51" s="48"/>
      <c r="F51" s="48">
        <v>14106647.08</v>
      </c>
      <c r="G51" s="49">
        <f t="shared" si="9"/>
        <v>0.25296769528312324</v>
      </c>
      <c r="H51" s="23">
        <f t="shared" si="10"/>
        <v>0</v>
      </c>
      <c r="I51" s="24">
        <f t="shared" si="11"/>
        <v>0</v>
      </c>
      <c r="J51" s="32" t="str" cm="1">
        <f t="array" ref="J51">IFERROR(_xlfn.IFS(B51="044 - BLEND TRADICION","BLEND",B51="113 - CAFÉ GOURMET","GOURMET",B51="114 - CAFÉ CONSUMO","CONSUMO",B51="112 - CAFÉ ORGANICO","GOURMET",B51="172 - CAFÉ COSECHA","ESPECIALES",B51="176 - CAFE DESCAFEINADO","GOURMET",B51="147 - CAPSULAS","CAPSULAS",B51="130 - GALLETAS CAFECITAS","DERIVADOS",B51="140 - MERENGUES","DERIVADOS",B51="100 - CAFÉ ESPECIAL","ESPECIALES",B51="141 - AREQUIPE","DERIVADOS",B51="142 - MERMELADA","DERIVADOS",B51="131 - GALLETAS AVENA","DERIVADOS",B51="160 - SOUVENIR","OTROS",B51="148 - CARAMELOS","DERIVADOS",B51="143 - CHOCOFFES","DERIVADOS",B51="162 - CONVENIOS Y DSC POS ","OTROS"),"OTROS")</f>
        <v>CONSUMO</v>
      </c>
      <c r="L51" s="27">
        <f t="shared" si="12"/>
        <v>3568526</v>
      </c>
      <c r="M51" s="27">
        <f t="shared" si="13"/>
        <v>3568526</v>
      </c>
    </row>
    <row r="52" spans="1:13" ht="16.5" hidden="1" outlineLevel="1">
      <c r="A52" s="38"/>
      <c r="B52" s="39" t="s">
        <v>22</v>
      </c>
      <c r="C52" s="36">
        <v>1347760</v>
      </c>
      <c r="D52" s="36">
        <v>0</v>
      </c>
      <c r="E52" s="48"/>
      <c r="F52" s="48">
        <v>2927476.03</v>
      </c>
      <c r="G52" s="49">
        <f t="shared" si="9"/>
        <v>0.46038293266572028</v>
      </c>
      <c r="H52" s="23">
        <f t="shared" si="10"/>
        <v>0</v>
      </c>
      <c r="I52" s="24">
        <f t="shared" si="11"/>
        <v>0</v>
      </c>
      <c r="J52" s="32" t="str" cm="1">
        <f t="array" ref="J52">IFERROR(_xlfn.IFS(B52="044 - BLEND TRADICION","BLEND",B52="113 - CAFÉ GOURMET","GOURMET",B52="114 - CAFÉ CONSUMO","CONSUMO",B52="112 - CAFÉ ORGANICO","GOURMET",B52="172 - CAFÉ COSECHA","ESPECIALES",B52="176 - CAFE DESCAFEINADO","GOURMET",B52="147 - CAPSULAS","CAPSULAS",B52="130 - GALLETAS CAFECITAS","DERIVADOS",B52="140 - MERENGUES","DERIVADOS",B52="100 - CAFÉ ESPECIAL","ESPECIALES",B52="141 - AREQUIPE","DERIVADOS",B52="142 - MERMELADA","DERIVADOS",B52="131 - GALLETAS AVENA","DERIVADOS",B52="160 - SOUVENIR","OTROS",B52="148 - CARAMELOS","DERIVADOS",B52="143 - CHOCOFFES","DERIVADOS",B52="162 - CONVENIOS Y DSC POS ","OTROS"),"OTROS")</f>
        <v>DERIVADOS</v>
      </c>
      <c r="L52" s="27">
        <f t="shared" si="12"/>
        <v>1347760</v>
      </c>
      <c r="M52" s="27">
        <f t="shared" si="13"/>
        <v>1347760</v>
      </c>
    </row>
    <row r="53" spans="1:13" ht="16.5" hidden="1" outlineLevel="1">
      <c r="A53" s="38"/>
      <c r="B53" s="39" t="s">
        <v>23</v>
      </c>
      <c r="C53" s="36">
        <v>59660</v>
      </c>
      <c r="D53" s="36">
        <v>0</v>
      </c>
      <c r="E53" s="48"/>
      <c r="F53" s="48">
        <v>256078.41</v>
      </c>
      <c r="G53" s="49">
        <f t="shared" si="9"/>
        <v>0.2329755171472675</v>
      </c>
      <c r="H53" s="23">
        <f t="shared" si="10"/>
        <v>0</v>
      </c>
      <c r="I53" s="24">
        <f t="shared" si="11"/>
        <v>0</v>
      </c>
      <c r="J53" s="32" t="str" cm="1">
        <f t="array" ref="J53">IFERROR(_xlfn.IFS(B53="044 - BLEND TRADICION","BLEND",B53="113 - CAFÉ GOURMET","GOURMET",B53="114 - CAFÉ CONSUMO","CONSUMO",B53="112 - CAFÉ ORGANICO","GOURMET",B53="172 - CAFÉ COSECHA","ESPECIALES",B53="176 - CAFE DESCAFEINADO","GOURMET",B53="147 - CAPSULAS","CAPSULAS",B53="130 - GALLETAS CAFECITAS","DERIVADOS",B53="140 - MERENGUES","DERIVADOS",B53="100 - CAFÉ ESPECIAL","ESPECIALES",B53="141 - AREQUIPE","DERIVADOS",B53="142 - MERMELADA","DERIVADOS",B53="131 - GALLETAS AVENA","DERIVADOS",B53="160 - SOUVENIR","OTROS",B53="148 - CARAMELOS","DERIVADOS",B53="143 - CHOCOFFES","DERIVADOS",B53="162 - CONVENIOS Y DSC POS ","OTROS"),"OTROS")</f>
        <v>DERIVADOS</v>
      </c>
      <c r="L53" s="27">
        <f t="shared" si="12"/>
        <v>59660</v>
      </c>
      <c r="M53" s="27">
        <f t="shared" si="13"/>
        <v>59660</v>
      </c>
    </row>
    <row r="54" spans="1:13" ht="16.5" hidden="1" outlineLevel="1">
      <c r="A54" s="38"/>
      <c r="B54" s="39" t="s">
        <v>24</v>
      </c>
      <c r="C54" s="36">
        <v>341418</v>
      </c>
      <c r="D54" s="36">
        <v>0</v>
      </c>
      <c r="E54" s="48"/>
      <c r="F54" s="48">
        <v>589663.42000000004</v>
      </c>
      <c r="G54" s="49">
        <f t="shared" si="9"/>
        <v>0.57900488383695226</v>
      </c>
      <c r="H54" s="23">
        <f t="shared" si="10"/>
        <v>0</v>
      </c>
      <c r="I54" s="24">
        <f t="shared" si="11"/>
        <v>0</v>
      </c>
      <c r="J54" s="32" t="str" cm="1">
        <f t="array" ref="J54">IFERROR(_xlfn.IFS(B54="044 - BLEND TRADICION","BLEND",B54="113 - CAFÉ GOURMET","GOURMET",B54="114 - CAFÉ CONSUMO","CONSUMO",B54="112 - CAFÉ ORGANICO","GOURMET",B54="172 - CAFÉ COSECHA","ESPECIALES",B54="176 - CAFE DESCAFEINADO","GOURMET",B54="147 - CAPSULAS","CAPSULAS",B54="130 - GALLETAS CAFECITAS","DERIVADOS",B54="140 - MERENGUES","DERIVADOS",B54="100 - CAFÉ ESPECIAL","ESPECIALES",B54="141 - AREQUIPE","DERIVADOS",B54="142 - MERMELADA","DERIVADOS",B54="131 - GALLETAS AVENA","DERIVADOS",B54="160 - SOUVENIR","OTROS",B54="148 - CARAMELOS","DERIVADOS",B54="143 - CHOCOFFES","DERIVADOS",B54="162 - CONVENIOS Y DSC POS ","OTROS"),"OTROS")</f>
        <v>DERIVADOS</v>
      </c>
      <c r="L54" s="27">
        <f t="shared" si="12"/>
        <v>341418</v>
      </c>
      <c r="M54" s="27">
        <f t="shared" si="13"/>
        <v>341418</v>
      </c>
    </row>
    <row r="55" spans="1:13" ht="16.5" hidden="1" outlineLevel="1">
      <c r="A55" s="38"/>
      <c r="B55" s="39" t="s">
        <v>25</v>
      </c>
      <c r="C55" s="36">
        <v>13114</v>
      </c>
      <c r="D55" s="36">
        <v>0</v>
      </c>
      <c r="E55" s="48"/>
      <c r="F55" s="48">
        <v>1309142.77</v>
      </c>
      <c r="G55" s="49">
        <f t="shared" si="5"/>
        <v>1.0017242046106246E-2</v>
      </c>
      <c r="H55" s="23">
        <f t="shared" ref="H55:H59" si="14">IFERROR(+D55/L55*100%,0)</f>
        <v>0</v>
      </c>
      <c r="I55" s="24">
        <f t="shared" ref="I55:I59" si="15">IFERROR(+E55/M55*100%,0)</f>
        <v>0</v>
      </c>
      <c r="J55" s="32" t="str" cm="1">
        <f t="array" ref="J55">IFERROR(_xlfn.IFS(B55="044 - BLEND TRADICION","BLEND",B55="113 - CAFÉ GOURMET","GOURMET",B55="114 - CAFÉ CONSUMO","CONSUMO",B55="112 - CAFÉ ORGANICO","GOURMET",B55="172 - CAFÉ COSECHA","ESPECIALES",B55="176 - CAFE DESCAFEINADO","GOURMET",B55="147 - CAPSULAS","CAPSULAS",B55="130 - GALLETAS CAFECITAS","DERIVADOS",B55="140 - MERENGUES","DERIVADOS",B55="100 - CAFÉ ESPECIAL","ESPECIALES",B55="141 - AREQUIPE","DERIVADOS",B55="142 - MERMELADA","DERIVADOS",B55="131 - GALLETAS AVENA","DERIVADOS",B55="160 - SOUVENIR","OTROS",B55="148 - CARAMELOS","DERIVADOS",B55="143 - CHOCOFFES","DERIVADOS",B55="162 - CONVENIOS Y DSC POS ","OTROS"),"OTROS")</f>
        <v>DERIVADOS</v>
      </c>
      <c r="L55" s="27">
        <f t="shared" ref="L55:L59" si="16">C55-(D55+E55)</f>
        <v>13114</v>
      </c>
      <c r="M55" s="27">
        <f t="shared" ref="M55:M59" si="17">L55</f>
        <v>13114</v>
      </c>
    </row>
    <row r="56" spans="1:13" ht="16.5" hidden="1" outlineLevel="1">
      <c r="A56" s="38"/>
      <c r="B56" s="39" t="s">
        <v>26</v>
      </c>
      <c r="C56" s="36">
        <v>3006822</v>
      </c>
      <c r="D56" s="36">
        <v>0</v>
      </c>
      <c r="E56" s="48"/>
      <c r="F56" s="48">
        <v>11209211.369999999</v>
      </c>
      <c r="G56" s="49">
        <f t="shared" si="5"/>
        <v>0.26824563305562865</v>
      </c>
      <c r="H56" s="23">
        <f t="shared" si="14"/>
        <v>0</v>
      </c>
      <c r="I56" s="24">
        <f t="shared" si="15"/>
        <v>0</v>
      </c>
      <c r="J56" s="32" t="str" cm="1">
        <f t="array" ref="J56">IFERROR(_xlfn.IFS(B56="044 - BLEND TRADICION","BLEND",B56="113 - CAFÉ GOURMET","GOURMET",B56="114 - CAFÉ CONSUMO","CONSUMO",B56="112 - CAFÉ ORGANICO","GOURMET",B56="172 - CAFÉ COSECHA","ESPECIALES",B56="176 - CAFE DESCAFEINADO","GOURMET",B56="147 - CAPSULAS","CAPSULAS",B56="130 - GALLETAS CAFECITAS","DERIVADOS",B56="140 - MERENGUES","DERIVADOS",B56="100 - CAFÉ ESPECIAL","ESPECIALES",B56="141 - AREQUIPE","DERIVADOS",B56="142 - MERMELADA","DERIVADOS",B56="131 - GALLETAS AVENA","DERIVADOS",B56="160 - SOUVENIR","OTROS",B56="148 - CARAMELOS","DERIVADOS",B56="143 - CHOCOFFES","DERIVADOS",B56="162 - CONVENIOS Y DSC POS ","OTROS"),"OTROS")</f>
        <v>CAPSULAS</v>
      </c>
      <c r="L56" s="27">
        <f t="shared" si="16"/>
        <v>3006822</v>
      </c>
      <c r="M56" s="27">
        <f t="shared" si="17"/>
        <v>3006822</v>
      </c>
    </row>
    <row r="57" spans="1:13" ht="16.5" hidden="1" outlineLevel="1">
      <c r="A57" s="38"/>
      <c r="B57" s="39" t="s">
        <v>27</v>
      </c>
      <c r="C57" s="36">
        <v>559325</v>
      </c>
      <c r="D57" s="36">
        <v>0</v>
      </c>
      <c r="E57" s="48"/>
      <c r="F57" s="48">
        <v>1035181.45</v>
      </c>
      <c r="G57" s="49">
        <f t="shared" si="5"/>
        <v>0.54031590307187216</v>
      </c>
      <c r="H57" s="23">
        <f t="shared" si="14"/>
        <v>0</v>
      </c>
      <c r="I57" s="24">
        <f t="shared" si="15"/>
        <v>0</v>
      </c>
      <c r="J57" s="32" t="str" cm="1">
        <f t="array" ref="J57">IFERROR(_xlfn.IFS(B57="044 - BLEND TRADICION","BLEND",B57="113 - CAFÉ GOURMET","GOURMET",B57="114 - CAFÉ CONSUMO","CONSUMO",B57="112 - CAFÉ ORGANICO","GOURMET",B57="172 - CAFÉ COSECHA","ESPECIALES",B57="176 - CAFE DESCAFEINADO","GOURMET",B57="147 - CAPSULAS","CAPSULAS",B57="130 - GALLETAS CAFECITAS","DERIVADOS",B57="140 - MERENGUES","DERIVADOS",B57="100 - CAFÉ ESPECIAL","ESPECIALES",B57="141 - AREQUIPE","DERIVADOS",B57="142 - MERMELADA","DERIVADOS",B57="131 - GALLETAS AVENA","DERIVADOS",B57="160 - SOUVENIR","OTROS",B57="148 - CARAMELOS","DERIVADOS",B57="143 - CHOCOFFES","DERIVADOS",B57="162 - CONVENIOS Y DSC POS ","OTROS"),"OTROS")</f>
        <v>DERIVADOS</v>
      </c>
      <c r="L57" s="27">
        <f t="shared" si="16"/>
        <v>559325</v>
      </c>
      <c r="M57" s="27">
        <f t="shared" si="17"/>
        <v>559325</v>
      </c>
    </row>
    <row r="58" spans="1:13" ht="16.5" hidden="1" outlineLevel="1">
      <c r="A58" s="38"/>
      <c r="B58" s="39" t="s">
        <v>28</v>
      </c>
      <c r="C58" s="36">
        <v>0</v>
      </c>
      <c r="D58" s="36">
        <v>0</v>
      </c>
      <c r="E58" s="48">
        <v>0</v>
      </c>
      <c r="F58" s="48">
        <v>11765277.34</v>
      </c>
      <c r="G58" s="49">
        <f t="shared" si="5"/>
        <v>0</v>
      </c>
      <c r="H58" s="23">
        <f t="shared" si="14"/>
        <v>0</v>
      </c>
      <c r="I58" s="24">
        <f t="shared" si="15"/>
        <v>0</v>
      </c>
      <c r="J58" s="32" t="str" cm="1">
        <f t="array" ref="J58">IFERROR(_xlfn.IFS(B58="044 - BLEND TRADICION","BLEND",B58="113 - CAFÉ GOURMET","GOURMET",B58="114 - CAFÉ CONSUMO","CONSUMO",B58="112 - CAFÉ ORGANICO","GOURMET",B58="172 - CAFÉ COSECHA","ESPECIALES",B58="176 - CAFE DESCAFEINADO","GOURMET",B58="147 - CAPSULAS","CAPSULAS",B58="130 - GALLETAS CAFECITAS","DERIVADOS",B58="140 - MERENGUES","DERIVADOS",B58="100 - CAFÉ ESPECIAL","ESPECIALES",B58="141 - AREQUIPE","DERIVADOS",B58="142 - MERMELADA","DERIVADOS",B58="131 - GALLETAS AVENA","DERIVADOS",B58="160 - SOUVENIR","OTROS",B58="148 - CARAMELOS","DERIVADOS",B58="143 - CHOCOFFES","DERIVADOS",B58="162 - CONVENIOS Y DSC POS ","OTROS"),"OTROS")</f>
        <v>OTROS</v>
      </c>
      <c r="L58" s="27">
        <f>C58-(D58+E58)</f>
        <v>0</v>
      </c>
      <c r="M58" s="27">
        <f t="shared" si="17"/>
        <v>0</v>
      </c>
    </row>
    <row r="59" spans="1:13" ht="16.5" hidden="1" outlineLevel="1">
      <c r="A59" s="38"/>
      <c r="B59" s="39" t="s">
        <v>39</v>
      </c>
      <c r="C59" s="36">
        <v>60390</v>
      </c>
      <c r="D59" s="36">
        <v>0</v>
      </c>
      <c r="E59" s="48"/>
      <c r="F59" s="48">
        <v>0</v>
      </c>
      <c r="G59" s="49" t="str">
        <f t="shared" si="5"/>
        <v>-</v>
      </c>
      <c r="H59" s="23">
        <f t="shared" si="14"/>
        <v>0</v>
      </c>
      <c r="I59" s="24">
        <f t="shared" si="15"/>
        <v>0</v>
      </c>
      <c r="J59" s="32" t="str" cm="1">
        <f t="array" ref="J59">IFERROR(_xlfn.IFS(B59="044 - BLEND TRADICION","BLEND",B59="113 - CAFÉ GOURMET","GOURMET",B59="114 - CAFÉ CONSUMO","CONSUMO",B59="112 - CAFÉ ORGANICO","GOURMET",B59="172 - CAFÉ COSECHA","ESPECIALES",B59="176 - CAFE DESCAFEINADO","GOURMET",B59="147 - CAPSULAS","CAPSULAS",B59="130 - GALLETAS CAFECITAS","DERIVADOS",B59="140 - MERENGUES","DERIVADOS",B59="100 - CAFÉ ESPECIAL","ESPECIALES",B59="141 - AREQUIPE","DERIVADOS",B59="142 - MERMELADA","DERIVADOS",B59="131 - GALLETAS AVENA","DERIVADOS",B59="160 - SOUVENIR","OTROS",B59="148 - CARAMELOS","DERIVADOS",B59="143 - CHOCOFFES","DERIVADOS",B59="162 - CONVENIOS Y DSC POS ","OTROS"),"OTROS")</f>
        <v>OTROS</v>
      </c>
      <c r="L59" s="27">
        <f t="shared" si="16"/>
        <v>60390</v>
      </c>
      <c r="M59" s="27">
        <f t="shared" si="17"/>
        <v>60390</v>
      </c>
    </row>
    <row r="60" spans="1:13" ht="16.5" hidden="1" outlineLevel="1">
      <c r="A60" s="38"/>
      <c r="B60" s="39" t="s">
        <v>29</v>
      </c>
      <c r="C60" s="36">
        <v>646680</v>
      </c>
      <c r="D60" s="36">
        <v>0</v>
      </c>
      <c r="E60" s="48"/>
      <c r="F60" s="48">
        <v>4920564.09</v>
      </c>
      <c r="G60" s="49">
        <f t="shared" si="5"/>
        <v>0.13142395631310638</v>
      </c>
      <c r="H60" s="23">
        <f t="shared" si="8"/>
        <v>0</v>
      </c>
      <c r="I60" s="24">
        <f t="shared" si="8"/>
        <v>0</v>
      </c>
      <c r="J60" s="32" t="str" cm="1">
        <f t="array" ref="J60">IFERROR(_xlfn.IFS(B60="044 - BLEND TRADICION","BLEND",B60="113 - CAFÉ GOURMET","GOURMET",B60="114 - CAFÉ CONSUMO","CONSUMO",B60="112 - CAFÉ ORGANICO","GOURMET",B60="172 - CAFÉ COSECHA","ESPECIALES",B60="176 - CAFE DESCAFEINADO","GOURMET",B60="147 - CAPSULAS","CAPSULAS",B60="130 - GALLETAS CAFECITAS","DERIVADOS",B60="140 - MERENGUES","DERIVADOS",B60="100 - CAFÉ ESPECIAL","ESPECIALES",B60="141 - AREQUIPE","DERIVADOS",B60="142 - MERMELADA","DERIVADOS",B60="131 - GALLETAS AVENA","DERIVADOS",B60="160 - SOUVENIR","OTROS",B60="148 - CARAMELOS","DERIVADOS",B60="143 - CHOCOFFES","DERIVADOS",B60="162 - CONVENIOS Y DSC POS ","OTROS"),"OTROS")</f>
        <v>ESPECIALES</v>
      </c>
      <c r="L60" s="27">
        <f t="shared" si="2"/>
        <v>646680</v>
      </c>
      <c r="M60" s="27">
        <f t="shared" si="3"/>
        <v>646680</v>
      </c>
    </row>
    <row r="61" spans="1:13" ht="16.5" hidden="1" outlineLevel="1">
      <c r="A61" s="38"/>
      <c r="B61" s="39" t="s">
        <v>31</v>
      </c>
      <c r="C61" s="36">
        <v>13000</v>
      </c>
      <c r="D61" s="36">
        <v>0</v>
      </c>
      <c r="E61" s="48"/>
      <c r="F61" s="48">
        <v>0</v>
      </c>
      <c r="G61" s="49" t="str">
        <f t="shared" si="5"/>
        <v>-</v>
      </c>
      <c r="H61" s="23">
        <f t="shared" si="8"/>
        <v>0</v>
      </c>
      <c r="I61" s="24">
        <f t="shared" si="8"/>
        <v>0</v>
      </c>
      <c r="J61" s="32" t="str" cm="1">
        <f t="array" ref="J61">IFERROR(_xlfn.IFS(B61="044 - BLEND TRADICION","BLEND",B61="113 - CAFÉ GOURMET","GOURMET",B61="114 - CAFÉ CONSUMO","CONSUMO",B61="112 - CAFÉ ORGANICO","GOURMET",B61="172 - CAFÉ COSECHA","ESPECIALES",B61="176 - CAFE DESCAFEINADO","GOURMET",B61="147 - CAPSULAS","CAPSULAS",B61="130 - GALLETAS CAFECITAS","DERIVADOS",B61="140 - MERENGUES","DERIVADOS",B61="100 - CAFÉ ESPECIAL","ESPECIALES",B61="141 - AREQUIPE","DERIVADOS",B61="142 - MERMELADA","DERIVADOS",B61="131 - GALLETAS AVENA","DERIVADOS",B61="160 - SOUVENIR","OTROS",B61="148 - CARAMELOS","DERIVADOS",B61="143 - CHOCOFFES","DERIVADOS",B61="162 - CONVENIOS Y DSC POS ","OTROS"),"OTROS")</f>
        <v>OTROS</v>
      </c>
      <c r="L61" s="27">
        <f t="shared" si="2"/>
        <v>13000</v>
      </c>
      <c r="M61" s="27">
        <f t="shared" si="3"/>
        <v>13000</v>
      </c>
    </row>
    <row r="62" spans="1:13" ht="16.5" hidden="1" outlineLevel="1">
      <c r="A62" s="19" t="s">
        <v>40</v>
      </c>
      <c r="B62" s="56" t="s">
        <v>32</v>
      </c>
      <c r="C62" s="54">
        <f>SUM(C43:C61)</f>
        <v>33010875</v>
      </c>
      <c r="D62" s="54">
        <f>SUM(D43:D61)</f>
        <v>-82846</v>
      </c>
      <c r="E62" s="54">
        <f>SUM(E43:E61)</f>
        <v>0</v>
      </c>
      <c r="F62" s="54">
        <f>SUM(F43:F61)</f>
        <v>118279646.59000002</v>
      </c>
      <c r="G62" s="55">
        <f t="shared" si="5"/>
        <v>0.27909176220679471</v>
      </c>
      <c r="H62" s="23">
        <f t="shared" si="8"/>
        <v>-2.5033751870936483E-3</v>
      </c>
      <c r="I62" s="24">
        <f t="shared" si="8"/>
        <v>0</v>
      </c>
      <c r="J62" s="32" t="str" cm="1">
        <f t="array" ref="J62">IFERROR(_xlfn.IFS(B62="044 - BLEND TRADICION","BLEND",B62="113 - CAFÉ GOURMET","GOURMET",B62="114 - CAFÉ CONSUMO","CONSUMO",B62="112 - CAFÉ ORGANICO","GOURMET",B62="172 - CAFÉ COSECHA","ESPECIALES",B62="176 - CAFE DESCAFEINADO","GOURMET",B62="147 - CAPSULAS","CAPSULAS",B62="130 - GALLETAS CAFECITAS","DERIVADOS",B62="140 - MERENGUES","DERIVADOS",B62="100 - CAFÉ ESPECIAL","ESPECIALES",B62="141 - AREQUIPE","DERIVADOS",B62="142 - MERMELADA","DERIVADOS",B62="131 - GALLETAS AVENA","DERIVADOS",B62="160 - SOUVENIR","OTROS",B62="148 - CARAMELOS","DERIVADOS",B62="143 - CHOCOFFES","DERIVADOS",B62="162 - CONVENIOS Y DSC POS ","OTROS"),"OTROS")</f>
        <v>OTROS</v>
      </c>
      <c r="L62" s="27">
        <f t="shared" si="2"/>
        <v>33093721</v>
      </c>
      <c r="M62" s="27">
        <f t="shared" si="3"/>
        <v>33093721</v>
      </c>
    </row>
    <row r="63" spans="1:13" ht="16.5" collapsed="1">
      <c r="A63" s="28" t="s">
        <v>41</v>
      </c>
      <c r="B63" s="29" t="s">
        <v>17</v>
      </c>
      <c r="C63" s="30">
        <f>+C83+C98+C112+C66</f>
        <v>205399623</v>
      </c>
      <c r="D63" s="30">
        <f>+D83+D98+D112+D66</f>
        <v>-3869363</v>
      </c>
      <c r="E63" s="30">
        <f>+E83+E98+E112+E66</f>
        <v>-2347272</v>
      </c>
      <c r="F63" s="30">
        <f>+F83+F98+F112+F66</f>
        <v>488313278.77999997</v>
      </c>
      <c r="G63" s="31">
        <f t="shared" si="5"/>
        <v>0.42063083664890216</v>
      </c>
      <c r="H63" s="23">
        <f t="shared" si="8"/>
        <v>-1.8284809667128695E-2</v>
      </c>
      <c r="I63" s="24">
        <f t="shared" si="8"/>
        <v>-1.109211561618295E-2</v>
      </c>
      <c r="J63" s="32" t="str" cm="1">
        <f t="array" ref="J63">IFERROR(_xlfn.IFS(B63="044 - BLEND TRADICION","BLEND",B63="113 - CAFÉ GOURMET","GOURMET",B63="114 - CAFÉ CONSUMO","CONSUMO",B63="112 - CAFÉ ORGANICO","GOURMET",B63="172 - CAFÉ COSECHA","ESPECIALES",B63="176 - CAFE DESCAFEINADO","GOURMET",B63="147 - CAPSULAS","CAPSULAS",B63="130 - GALLETAS CAFECITAS","DERIVADOS",B63="140 - MERENGUES","DERIVADOS",B63="100 - CAFÉ ESPECIAL","ESPECIALES",B63="141 - AREQUIPE","DERIVADOS",B63="142 - MERMELADA","DERIVADOS",B63="131 - GALLETAS AVENA","DERIVADOS",B63="160 - SOUVENIR","OTROS",B63="148 - CARAMELOS","DERIVADOS",B63="143 - CHOCOFFES","DERIVADOS",B63="162 - CONVENIOS Y DSC POS ","OTROS"),"OTROS")</f>
        <v>OTROS</v>
      </c>
      <c r="L63" s="27">
        <f t="shared" si="2"/>
        <v>211616258</v>
      </c>
      <c r="M63" s="27">
        <f t="shared" si="3"/>
        <v>211616258</v>
      </c>
    </row>
    <row r="64" spans="1:13" ht="16.5" hidden="1" outlineLevel="1">
      <c r="A64" s="38"/>
      <c r="B64" s="39" t="s">
        <v>42</v>
      </c>
      <c r="C64" s="36">
        <v>0</v>
      </c>
      <c r="D64" s="36">
        <v>0</v>
      </c>
      <c r="E64" s="48"/>
      <c r="F64" s="48">
        <v>0</v>
      </c>
      <c r="G64" s="49" t="str">
        <f t="shared" si="5"/>
        <v>-</v>
      </c>
      <c r="H64" s="23">
        <f t="shared" si="8"/>
        <v>0</v>
      </c>
      <c r="I64" s="24">
        <f t="shared" si="8"/>
        <v>0</v>
      </c>
      <c r="J64" s="32" t="str" cm="1">
        <f t="array" ref="J64">IFERROR(_xlfn.IFS(B64="044 - BLEND TRADICION","BLEND",B64="113 - CAFÉ GOURMET","GOURMET",B64="114 - CAFÉ CONSUMO","CONSUMO",B64="112 - CAFÉ ORGANICO","GOURMET",B64="172 - CAFÉ COSECHA","ESPECIALES",B64="176 - CAFE DESCAFEINADO","GOURMET",B64="147 - CAPSULAS","CAPSULAS",B64="130 - GALLETAS CAFECITAS","DERIVADOS",B64="140 - MERENGUES","DERIVADOS",B64="100 - CAFÉ ESPECIAL","ESPECIALES",B64="141 - AREQUIPE","DERIVADOS",B64="142 - MERMELADA","DERIVADOS",B64="131 - GALLETAS AVENA","DERIVADOS",B64="160 - SOUVENIR","OTROS",B64="148 - CARAMELOS","DERIVADOS",B64="143 - CHOCOFFES","DERIVADOS",B64="162 - CONVENIOS Y DSC POS ","OTROS"),"OTROS")</f>
        <v>OTROS</v>
      </c>
      <c r="L64" s="27">
        <f t="shared" si="2"/>
        <v>0</v>
      </c>
      <c r="M64" s="27">
        <f t="shared" si="3"/>
        <v>0</v>
      </c>
    </row>
    <row r="65" spans="1:13" ht="16.5" hidden="1" outlineLevel="1">
      <c r="A65" s="38"/>
      <c r="B65" s="39" t="s">
        <v>21</v>
      </c>
      <c r="C65" s="36">
        <v>0</v>
      </c>
      <c r="D65" s="36">
        <v>0</v>
      </c>
      <c r="E65" s="48"/>
      <c r="F65" s="48">
        <v>0</v>
      </c>
      <c r="G65" s="49" t="str">
        <f t="shared" si="5"/>
        <v>-</v>
      </c>
      <c r="H65" s="23">
        <f t="shared" si="8"/>
        <v>0</v>
      </c>
      <c r="I65" s="24">
        <f t="shared" si="8"/>
        <v>0</v>
      </c>
      <c r="J65" s="32" t="str" cm="1">
        <f t="array" ref="J65">IFERROR(_xlfn.IFS(B65="044 - BLEND TRADICION","BLEND",B65="113 - CAFÉ GOURMET","GOURMET",B65="114 - CAFÉ CONSUMO","CONSUMO",B65="112 - CAFÉ ORGANICO","GOURMET",B65="172 - CAFÉ COSECHA","ESPECIALES",B65="176 - CAFE DESCAFEINADO","GOURMET",B65="147 - CAPSULAS","CAPSULAS",B65="130 - GALLETAS CAFECITAS","DERIVADOS",B65="140 - MERENGUES","DERIVADOS",B65="100 - CAFÉ ESPECIAL","ESPECIALES",B65="141 - AREQUIPE","DERIVADOS",B65="142 - MERMELADA","DERIVADOS",B65="131 - GALLETAS AVENA","DERIVADOS",B65="160 - SOUVENIR","OTROS",B65="148 - CARAMELOS","DERIVADOS",B65="143 - CHOCOFFES","DERIVADOS",B65="162 - CONVENIOS Y DSC POS ","OTROS"),"OTROS")</f>
        <v>GOURMET</v>
      </c>
      <c r="L65" s="27">
        <f t="shared" si="2"/>
        <v>0</v>
      </c>
      <c r="M65" s="27">
        <f t="shared" si="3"/>
        <v>0</v>
      </c>
    </row>
    <row r="66" spans="1:13" ht="16.5" hidden="1" outlineLevel="1">
      <c r="A66" s="19" t="s">
        <v>43</v>
      </c>
      <c r="B66" s="56" t="s">
        <v>32</v>
      </c>
      <c r="C66" s="54">
        <f>SUM(C64:C65)</f>
        <v>0</v>
      </c>
      <c r="D66" s="54">
        <f>SUM(D64:D65)</f>
        <v>0</v>
      </c>
      <c r="E66" s="54">
        <f>SUM(E64:E65)</f>
        <v>0</v>
      </c>
      <c r="F66" s="54">
        <f>SUM(F64:F65)</f>
        <v>0</v>
      </c>
      <c r="G66" s="55" t="str">
        <f t="shared" si="5"/>
        <v>-</v>
      </c>
      <c r="H66" s="23">
        <f t="shared" si="8"/>
        <v>0</v>
      </c>
      <c r="I66" s="24">
        <f t="shared" si="8"/>
        <v>0</v>
      </c>
      <c r="J66" s="32" t="str" cm="1">
        <f t="array" ref="J66">IFERROR(_xlfn.IFS(B66="044 - BLEND TRADICION","BLEND",B66="113 - CAFÉ GOURMET","GOURMET",B66="114 - CAFÉ CONSUMO","CONSUMO",B66="112 - CAFÉ ORGANICO","GOURMET",B66="172 - CAFÉ COSECHA","ESPECIALES",B66="176 - CAFE DESCAFEINADO","GOURMET",B66="147 - CAPSULAS","CAPSULAS",B66="130 - GALLETAS CAFECITAS","DERIVADOS",B66="140 - MERENGUES","DERIVADOS",B66="100 - CAFÉ ESPECIAL","ESPECIALES",B66="141 - AREQUIPE","DERIVADOS",B66="142 - MERMELADA","DERIVADOS",B66="131 - GALLETAS AVENA","DERIVADOS",B66="160 - SOUVENIR","OTROS",B66="148 - CARAMELOS","DERIVADOS",B66="143 - CHOCOFFES","DERIVADOS",B66="162 - CONVENIOS Y DSC POS ","OTROS"),"OTROS")</f>
        <v>OTROS</v>
      </c>
      <c r="L66" s="27">
        <f t="shared" si="2"/>
        <v>0</v>
      </c>
      <c r="M66" s="27">
        <f t="shared" si="3"/>
        <v>0</v>
      </c>
    </row>
    <row r="67" spans="1:13" ht="16.5" hidden="1" outlineLevel="1">
      <c r="A67" s="33"/>
      <c r="B67" s="39" t="s">
        <v>34</v>
      </c>
      <c r="C67" s="36">
        <v>0</v>
      </c>
      <c r="D67" s="36">
        <v>0</v>
      </c>
      <c r="E67" s="48">
        <v>0</v>
      </c>
      <c r="F67" s="48">
        <v>142340.04</v>
      </c>
      <c r="G67" s="49">
        <f t="shared" si="5"/>
        <v>0</v>
      </c>
      <c r="H67" s="23">
        <f t="shared" si="8"/>
        <v>0</v>
      </c>
      <c r="I67" s="24">
        <f t="shared" si="8"/>
        <v>0</v>
      </c>
      <c r="J67" s="32" t="str" cm="1">
        <f t="array" ref="J67">IFERROR(_xlfn.IFS(B67="044 - BLEND TRADICION","BLEND",B67="113 - CAFÉ GOURMET","GOURMET",B67="114 - CAFÉ CONSUMO","CONSUMO",B67="112 - CAFÉ ORGANICO","GOURMET",B67="172 - CAFÉ COSECHA","ESPECIALES",B67="176 - CAFE DESCAFEINADO","GOURMET",B67="147 - CAPSULAS","CAPSULAS",B67="130 - GALLETAS CAFECITAS","DERIVADOS",B67="140 - MERENGUES","DERIVADOS",B67="100 - CAFÉ ESPECIAL","ESPECIALES",B67="141 - AREQUIPE","DERIVADOS",B67="142 - MERMELADA","DERIVADOS",B67="131 - GALLETAS AVENA","DERIVADOS",B67="160 - SOUVENIR","OTROS",B67="148 - CARAMELOS","DERIVADOS",B67="143 - CHOCOFFES","DERIVADOS",B67="162 - CONVENIOS Y DSC POS ","OTROS"),"OTROS")</f>
        <v>OTROS</v>
      </c>
      <c r="L67" s="27">
        <f t="shared" si="2"/>
        <v>0</v>
      </c>
      <c r="M67" s="27">
        <f t="shared" si="3"/>
        <v>0</v>
      </c>
    </row>
    <row r="68" spans="1:13" ht="16.5" hidden="1" outlineLevel="1">
      <c r="A68" s="38"/>
      <c r="B68" s="39" t="s">
        <v>18</v>
      </c>
      <c r="C68" s="36">
        <v>326000</v>
      </c>
      <c r="D68" s="36">
        <v>0</v>
      </c>
      <c r="E68" s="48">
        <v>0</v>
      </c>
      <c r="F68" s="48">
        <v>1206734.55</v>
      </c>
      <c r="G68" s="49">
        <f t="shared" si="5"/>
        <v>0.27015054802234673</v>
      </c>
      <c r="H68" s="23">
        <f t="shared" si="8"/>
        <v>0</v>
      </c>
      <c r="I68" s="24">
        <f t="shared" si="8"/>
        <v>0</v>
      </c>
      <c r="J68" s="32" t="str" cm="1">
        <f t="array" ref="J68">IFERROR(_xlfn.IFS(B68="044 - BLEND TRADICION","BLEND",B68="113 - CAFÉ GOURMET","GOURMET",B68="114 - CAFÉ CONSUMO","CONSUMO",B68="112 - CAFÉ ORGANICO","GOURMET",B68="172 - CAFÉ COSECHA","ESPECIALES",B68="176 - CAFE DESCAFEINADO","GOURMET",B68="147 - CAPSULAS","CAPSULAS",B68="130 - GALLETAS CAFECITAS","DERIVADOS",B68="140 - MERENGUES","DERIVADOS",B68="100 - CAFÉ ESPECIAL","ESPECIALES",B68="141 - AREQUIPE","DERIVADOS",B68="142 - MERMELADA","DERIVADOS",B68="131 - GALLETAS AVENA","DERIVADOS",B68="160 - SOUVENIR","OTROS",B68="148 - CARAMELOS","DERIVADOS",B68="143 - CHOCOFFES","DERIVADOS",B68="162 - CONVENIOS Y DSC POS ","OTROS"),"OTROS")</f>
        <v>BLEND</v>
      </c>
      <c r="L68" s="27">
        <f t="shared" si="2"/>
        <v>326000</v>
      </c>
      <c r="M68" s="27">
        <f t="shared" si="3"/>
        <v>326000</v>
      </c>
    </row>
    <row r="69" spans="1:13" ht="16.5" hidden="1" outlineLevel="1">
      <c r="A69" s="38"/>
      <c r="B69" s="39" t="s">
        <v>19</v>
      </c>
      <c r="C69" s="36">
        <v>1630537</v>
      </c>
      <c r="D69" s="36">
        <v>0</v>
      </c>
      <c r="E69" s="48">
        <v>0</v>
      </c>
      <c r="F69" s="48">
        <v>3072107.02</v>
      </c>
      <c r="G69" s="49">
        <f t="shared" si="5"/>
        <v>0.53075527297222869</v>
      </c>
      <c r="H69" s="23">
        <f t="shared" si="8"/>
        <v>0</v>
      </c>
      <c r="I69" s="24">
        <f t="shared" si="8"/>
        <v>0</v>
      </c>
      <c r="J69" s="32" t="str" cm="1">
        <f t="array" ref="J69">IFERROR(_xlfn.IFS(B69="044 - BLEND TRADICION","BLEND",B69="113 - CAFÉ GOURMET","GOURMET",B69="114 - CAFÉ CONSUMO","CONSUMO",B69="112 - CAFÉ ORGANICO","GOURMET",B69="172 - CAFÉ COSECHA","ESPECIALES",B69="176 - CAFE DESCAFEINADO","GOURMET",B69="147 - CAPSULAS","CAPSULAS",B69="130 - GALLETAS CAFECITAS","DERIVADOS",B69="140 - MERENGUES","DERIVADOS",B69="100 - CAFÉ ESPECIAL","ESPECIALES",B69="141 - AREQUIPE","DERIVADOS",B69="142 - MERMELADA","DERIVADOS",B69="131 - GALLETAS AVENA","DERIVADOS",B69="160 - SOUVENIR","OTROS",B69="148 - CARAMELOS","DERIVADOS",B69="143 - CHOCOFFES","DERIVADOS",B69="162 - CONVENIOS Y DSC POS ","OTROS"),"OTROS")</f>
        <v>ESPECIALES</v>
      </c>
      <c r="L69" s="27">
        <f t="shared" si="2"/>
        <v>1630537</v>
      </c>
      <c r="M69" s="27">
        <f t="shared" si="3"/>
        <v>1630537</v>
      </c>
    </row>
    <row r="70" spans="1:13" ht="16.5" hidden="1" outlineLevel="1">
      <c r="A70" s="38"/>
      <c r="B70" s="39" t="s">
        <v>20</v>
      </c>
      <c r="C70" s="36">
        <v>98210</v>
      </c>
      <c r="D70" s="36">
        <v>0</v>
      </c>
      <c r="E70" s="48"/>
      <c r="F70" s="48">
        <v>457781.38</v>
      </c>
      <c r="G70" s="49">
        <f t="shared" si="5"/>
        <v>0.21453471960786172</v>
      </c>
      <c r="H70" s="23">
        <f t="shared" si="8"/>
        <v>0</v>
      </c>
      <c r="I70" s="24">
        <f t="shared" si="8"/>
        <v>0</v>
      </c>
      <c r="J70" s="32" t="str" cm="1">
        <f t="array" ref="J70">IFERROR(_xlfn.IFS(B70="044 - BLEND TRADICION","BLEND",B70="113 - CAFÉ GOURMET","GOURMET",B70="114 - CAFÉ CONSUMO","CONSUMO",B70="112 - CAFÉ ORGANICO","GOURMET",B70="172 - CAFÉ COSECHA","ESPECIALES",B70="176 - CAFE DESCAFEINADO","GOURMET",B70="147 - CAPSULAS","CAPSULAS",B70="130 - GALLETAS CAFECITAS","DERIVADOS",B70="140 - MERENGUES","DERIVADOS",B70="100 - CAFÉ ESPECIAL","ESPECIALES",B70="141 - AREQUIPE","DERIVADOS",B70="142 - MERMELADA","DERIVADOS",B70="131 - GALLETAS AVENA","DERIVADOS",B70="160 - SOUVENIR","OTROS",B70="148 - CARAMELOS","DERIVADOS",B70="143 - CHOCOFFES","DERIVADOS",B70="162 - CONVENIOS Y DSC POS ","OTROS"),"OTROS")</f>
        <v>GOURMET</v>
      </c>
      <c r="L70" s="27">
        <f t="shared" si="2"/>
        <v>98210</v>
      </c>
      <c r="M70" s="27">
        <f t="shared" si="3"/>
        <v>98210</v>
      </c>
    </row>
    <row r="71" spans="1:13" ht="16.5" hidden="1" outlineLevel="1">
      <c r="A71" s="38"/>
      <c r="B71" s="39" t="s">
        <v>21</v>
      </c>
      <c r="C71" s="36">
        <v>60984054</v>
      </c>
      <c r="D71" s="36">
        <v>0</v>
      </c>
      <c r="E71" s="48"/>
      <c r="F71" s="48">
        <v>106018093.81999999</v>
      </c>
      <c r="G71" s="49">
        <f t="shared" si="5"/>
        <v>0.57522307563405317</v>
      </c>
      <c r="H71" s="23">
        <f t="shared" si="8"/>
        <v>0</v>
      </c>
      <c r="I71" s="24">
        <f t="shared" si="8"/>
        <v>0</v>
      </c>
      <c r="J71" s="32" t="str" cm="1">
        <f t="array" ref="J71">IFERROR(_xlfn.IFS(B71="044 - BLEND TRADICION","BLEND",B71="113 - CAFÉ GOURMET","GOURMET",B71="114 - CAFÉ CONSUMO","CONSUMO",B71="112 - CAFÉ ORGANICO","GOURMET",B71="172 - CAFÉ COSECHA","ESPECIALES",B71="176 - CAFE DESCAFEINADO","GOURMET",B71="147 - CAPSULAS","CAPSULAS",B71="130 - GALLETAS CAFECITAS","DERIVADOS",B71="140 - MERENGUES","DERIVADOS",B71="100 - CAFÉ ESPECIAL","ESPECIALES",B71="141 - AREQUIPE","DERIVADOS",B71="142 - MERMELADA","DERIVADOS",B71="131 - GALLETAS AVENA","DERIVADOS",B71="160 - SOUVENIR","OTROS",B71="148 - CARAMELOS","DERIVADOS",B71="143 - CHOCOFFES","DERIVADOS",B71="162 - CONVENIOS Y DSC POS ","OTROS"),"OTROS")</f>
        <v>GOURMET</v>
      </c>
      <c r="L71" s="27">
        <f t="shared" si="2"/>
        <v>60984054</v>
      </c>
      <c r="M71" s="27">
        <f t="shared" si="3"/>
        <v>60984054</v>
      </c>
    </row>
    <row r="72" spans="1:13" ht="16.5" hidden="1" outlineLevel="1">
      <c r="A72" s="38"/>
      <c r="B72" s="39" t="s">
        <v>22</v>
      </c>
      <c r="C72" s="36">
        <v>3293952</v>
      </c>
      <c r="D72" s="36">
        <v>0</v>
      </c>
      <c r="E72" s="48"/>
      <c r="F72" s="48">
        <v>5082259.87</v>
      </c>
      <c r="G72" s="49">
        <f t="shared" si="5"/>
        <v>0.64812742446403082</v>
      </c>
      <c r="H72" s="23">
        <f t="shared" si="8"/>
        <v>0</v>
      </c>
      <c r="I72" s="24">
        <f t="shared" si="8"/>
        <v>0</v>
      </c>
      <c r="J72" s="32" t="str" cm="1">
        <f t="array" ref="J72">IFERROR(_xlfn.IFS(B72="044 - BLEND TRADICION","BLEND",B72="113 - CAFÉ GOURMET","GOURMET",B72="114 - CAFÉ CONSUMO","CONSUMO",B72="112 - CAFÉ ORGANICO","GOURMET",B72="172 - CAFÉ COSECHA","ESPECIALES",B72="176 - CAFE DESCAFEINADO","GOURMET",B72="147 - CAPSULAS","CAPSULAS",B72="130 - GALLETAS CAFECITAS","DERIVADOS",B72="140 - MERENGUES","DERIVADOS",B72="100 - CAFÉ ESPECIAL","ESPECIALES",B72="141 - AREQUIPE","DERIVADOS",B72="142 - MERMELADA","DERIVADOS",B72="131 - GALLETAS AVENA","DERIVADOS",B72="160 - SOUVENIR","OTROS",B72="148 - CARAMELOS","DERIVADOS",B72="143 - CHOCOFFES","DERIVADOS",B72="162 - CONVENIOS Y DSC POS ","OTROS"),"OTROS")</f>
        <v>DERIVADOS</v>
      </c>
      <c r="L72" s="27">
        <f t="shared" si="2"/>
        <v>3293952</v>
      </c>
      <c r="M72" s="27">
        <f t="shared" si="3"/>
        <v>3293952</v>
      </c>
    </row>
    <row r="73" spans="1:13" ht="16.5" hidden="1" outlineLevel="1">
      <c r="A73" s="38"/>
      <c r="B73" s="39" t="s">
        <v>23</v>
      </c>
      <c r="C73" s="36">
        <v>0</v>
      </c>
      <c r="D73" s="36">
        <v>0</v>
      </c>
      <c r="E73" s="48"/>
      <c r="F73" s="48">
        <v>42776.35</v>
      </c>
      <c r="G73" s="49">
        <f t="shared" si="5"/>
        <v>0</v>
      </c>
      <c r="H73" s="23">
        <f t="shared" si="8"/>
        <v>0</v>
      </c>
      <c r="I73" s="24">
        <f t="shared" si="8"/>
        <v>0</v>
      </c>
      <c r="J73" s="32" t="str" cm="1">
        <f t="array" ref="J73">IFERROR(_xlfn.IFS(B73="044 - BLEND TRADICION","BLEND",B73="113 - CAFÉ GOURMET","GOURMET",B73="114 - CAFÉ CONSUMO","CONSUMO",B73="112 - CAFÉ ORGANICO","GOURMET",B73="172 - CAFÉ COSECHA","ESPECIALES",B73="176 - CAFE DESCAFEINADO","GOURMET",B73="147 - CAPSULAS","CAPSULAS",B73="130 - GALLETAS CAFECITAS","DERIVADOS",B73="140 - MERENGUES","DERIVADOS",B73="100 - CAFÉ ESPECIAL","ESPECIALES",B73="141 - AREQUIPE","DERIVADOS",B73="142 - MERMELADA","DERIVADOS",B73="131 - GALLETAS AVENA","DERIVADOS",B73="160 - SOUVENIR","OTROS",B73="148 - CARAMELOS","DERIVADOS",B73="143 - CHOCOFFES","DERIVADOS",B73="162 - CONVENIOS Y DSC POS ","OTROS"),"OTROS")</f>
        <v>DERIVADOS</v>
      </c>
      <c r="L73" s="27">
        <f t="shared" ref="L73:L138" si="18">C73-(D73+E73)</f>
        <v>0</v>
      </c>
      <c r="M73" s="27">
        <f t="shared" ref="M73:M138" si="19">L73</f>
        <v>0</v>
      </c>
    </row>
    <row r="74" spans="1:13" ht="16.5" hidden="1" outlineLevel="1">
      <c r="A74" s="38"/>
      <c r="B74" s="39" t="s">
        <v>24</v>
      </c>
      <c r="C74" s="36">
        <v>169530</v>
      </c>
      <c r="D74" s="36">
        <v>0</v>
      </c>
      <c r="E74" s="48"/>
      <c r="F74" s="48">
        <v>253296.1</v>
      </c>
      <c r="G74" s="49">
        <f t="shared" si="5"/>
        <v>0.66929573728138725</v>
      </c>
      <c r="H74" s="23">
        <f t="shared" si="8"/>
        <v>0</v>
      </c>
      <c r="I74" s="24">
        <f t="shared" si="8"/>
        <v>0</v>
      </c>
      <c r="J74" s="32" t="str" cm="1">
        <f t="array" ref="J74">IFERROR(_xlfn.IFS(B74="044 - BLEND TRADICION","BLEND",B74="113 - CAFÉ GOURMET","GOURMET",B74="114 - CAFÉ CONSUMO","CONSUMO",B74="112 - CAFÉ ORGANICO","GOURMET",B74="172 - CAFÉ COSECHA","ESPECIALES",B74="176 - CAFE DESCAFEINADO","GOURMET",B74="147 - CAPSULAS","CAPSULAS",B74="130 - GALLETAS CAFECITAS","DERIVADOS",B74="140 - MERENGUES","DERIVADOS",B74="100 - CAFÉ ESPECIAL","ESPECIALES",B74="141 - AREQUIPE","DERIVADOS",B74="142 - MERMELADA","DERIVADOS",B74="131 - GALLETAS AVENA","DERIVADOS",B74="160 - SOUVENIR","OTROS",B74="148 - CARAMELOS","DERIVADOS",B74="143 - CHOCOFFES","DERIVADOS",B74="162 - CONVENIOS Y DSC POS ","OTROS"),"OTROS")</f>
        <v>DERIVADOS</v>
      </c>
      <c r="L74" s="27">
        <f t="shared" si="18"/>
        <v>169530</v>
      </c>
      <c r="M74" s="27">
        <f t="shared" si="19"/>
        <v>169530</v>
      </c>
    </row>
    <row r="75" spans="1:13" ht="16.5" hidden="1" outlineLevel="1">
      <c r="A75" s="38"/>
      <c r="B75" s="39" t="s">
        <v>25</v>
      </c>
      <c r="C75" s="36">
        <v>7577200</v>
      </c>
      <c r="D75" s="36">
        <v>0</v>
      </c>
      <c r="E75" s="48"/>
      <c r="F75" s="48">
        <v>6237513.8499999996</v>
      </c>
      <c r="G75" s="49">
        <f t="shared" si="5"/>
        <v>1.2147788657815968</v>
      </c>
      <c r="H75" s="23">
        <f t="shared" si="8"/>
        <v>0</v>
      </c>
      <c r="I75" s="24">
        <f t="shared" si="8"/>
        <v>0</v>
      </c>
      <c r="J75" s="32" t="str" cm="1">
        <f t="array" ref="J75">IFERROR(_xlfn.IFS(B75="044 - BLEND TRADICION","BLEND",B75="113 - CAFÉ GOURMET","GOURMET",B75="114 - CAFÉ CONSUMO","CONSUMO",B75="112 - CAFÉ ORGANICO","GOURMET",B75="172 - CAFÉ COSECHA","ESPECIALES",B75="176 - CAFE DESCAFEINADO","GOURMET",B75="147 - CAPSULAS","CAPSULAS",B75="130 - GALLETAS CAFECITAS","DERIVADOS",B75="140 - MERENGUES","DERIVADOS",B75="100 - CAFÉ ESPECIAL","ESPECIALES",B75="141 - AREQUIPE","DERIVADOS",B75="142 - MERMELADA","DERIVADOS",B75="131 - GALLETAS AVENA","DERIVADOS",B75="160 - SOUVENIR","OTROS",B75="148 - CARAMELOS","DERIVADOS",B75="143 - CHOCOFFES","DERIVADOS",B75="162 - CONVENIOS Y DSC POS ","OTROS"),"OTROS")</f>
        <v>DERIVADOS</v>
      </c>
      <c r="L75" s="27">
        <f t="shared" si="18"/>
        <v>7577200</v>
      </c>
      <c r="M75" s="27">
        <f t="shared" si="19"/>
        <v>7577200</v>
      </c>
    </row>
    <row r="76" spans="1:13" ht="16.5" hidden="1" outlineLevel="1">
      <c r="A76" s="38"/>
      <c r="B76" s="39" t="s">
        <v>26</v>
      </c>
      <c r="C76" s="36">
        <v>0</v>
      </c>
      <c r="D76" s="36">
        <v>0</v>
      </c>
      <c r="E76" s="48">
        <v>0</v>
      </c>
      <c r="F76" s="48">
        <v>834555.96</v>
      </c>
      <c r="G76" s="49">
        <f t="shared" si="5"/>
        <v>0</v>
      </c>
      <c r="H76" s="23">
        <f t="shared" si="8"/>
        <v>0</v>
      </c>
      <c r="I76" s="24">
        <f t="shared" si="8"/>
        <v>0</v>
      </c>
      <c r="J76" s="32" t="str" cm="1">
        <f t="array" ref="J76">IFERROR(_xlfn.IFS(B76="044 - BLEND TRADICION","BLEND",B76="113 - CAFÉ GOURMET","GOURMET",B76="114 - CAFÉ CONSUMO","CONSUMO",B76="112 - CAFÉ ORGANICO","GOURMET",B76="172 - CAFÉ COSECHA","ESPECIALES",B76="176 - CAFE DESCAFEINADO","GOURMET",B76="147 - CAPSULAS","CAPSULAS",B76="130 - GALLETAS CAFECITAS","DERIVADOS",B76="140 - MERENGUES","DERIVADOS",B76="100 - CAFÉ ESPECIAL","ESPECIALES",B76="141 - AREQUIPE","DERIVADOS",B76="142 - MERMELADA","DERIVADOS",B76="131 - GALLETAS AVENA","DERIVADOS",B76="160 - SOUVENIR","OTROS",B76="148 - CARAMELOS","DERIVADOS",B76="143 - CHOCOFFES","DERIVADOS",B76="162 - CONVENIOS Y DSC POS ","OTROS"),"OTROS")</f>
        <v>CAPSULAS</v>
      </c>
      <c r="L76" s="27">
        <f t="shared" si="18"/>
        <v>0</v>
      </c>
      <c r="M76" s="27">
        <f t="shared" si="19"/>
        <v>0</v>
      </c>
    </row>
    <row r="77" spans="1:13" ht="16.5" hidden="1" outlineLevel="1">
      <c r="A77" s="38"/>
      <c r="B77" s="39" t="s">
        <v>27</v>
      </c>
      <c r="C77" s="36">
        <v>7720799</v>
      </c>
      <c r="D77" s="36">
        <v>0</v>
      </c>
      <c r="E77" s="48"/>
      <c r="F77" s="48">
        <v>6191934.2800000003</v>
      </c>
      <c r="G77" s="49">
        <f t="shared" si="5"/>
        <v>1.2469122976544254</v>
      </c>
      <c r="H77" s="23">
        <f t="shared" si="8"/>
        <v>0</v>
      </c>
      <c r="I77" s="24">
        <f t="shared" si="8"/>
        <v>0</v>
      </c>
      <c r="J77" s="32" t="str" cm="1">
        <f t="array" ref="J77">IFERROR(_xlfn.IFS(B77="044 - BLEND TRADICION","BLEND",B77="113 - CAFÉ GOURMET","GOURMET",B77="114 - CAFÉ CONSUMO","CONSUMO",B77="112 - CAFÉ ORGANICO","GOURMET",B77="172 - CAFÉ COSECHA","ESPECIALES",B77="176 - CAFE DESCAFEINADO","GOURMET",B77="147 - CAPSULAS","CAPSULAS",B77="130 - GALLETAS CAFECITAS","DERIVADOS",B77="140 - MERENGUES","DERIVADOS",B77="100 - CAFÉ ESPECIAL","ESPECIALES",B77="141 - AREQUIPE","DERIVADOS",B77="142 - MERMELADA","DERIVADOS",B77="131 - GALLETAS AVENA","DERIVADOS",B77="160 - SOUVENIR","OTROS",B77="148 - CARAMELOS","DERIVADOS",B77="143 - CHOCOFFES","DERIVADOS",B77="162 - CONVENIOS Y DSC POS ","OTROS"),"OTROS")</f>
        <v>DERIVADOS</v>
      </c>
      <c r="L77" s="27">
        <f t="shared" si="18"/>
        <v>7720799</v>
      </c>
      <c r="M77" s="27">
        <f t="shared" si="19"/>
        <v>7720799</v>
      </c>
    </row>
    <row r="78" spans="1:13" ht="16.5" hidden="1" outlineLevel="1">
      <c r="A78" s="38"/>
      <c r="B78" s="39" t="s">
        <v>28</v>
      </c>
      <c r="C78" s="36">
        <v>5226600</v>
      </c>
      <c r="D78" s="36">
        <v>0</v>
      </c>
      <c r="E78" s="48">
        <v>0</v>
      </c>
      <c r="F78" s="48">
        <v>6313546.5</v>
      </c>
      <c r="G78" s="49">
        <f t="shared" si="5"/>
        <v>0.82783899667168048</v>
      </c>
      <c r="H78" s="23">
        <f t="shared" si="8"/>
        <v>0</v>
      </c>
      <c r="I78" s="24">
        <f t="shared" si="8"/>
        <v>0</v>
      </c>
      <c r="J78" s="32" t="str" cm="1">
        <f t="array" ref="J78">IFERROR(_xlfn.IFS(B78="044 - BLEND TRADICION","BLEND",B78="113 - CAFÉ GOURMET","GOURMET",B78="114 - CAFÉ CONSUMO","CONSUMO",B78="112 - CAFÉ ORGANICO","GOURMET",B78="172 - CAFÉ COSECHA","ESPECIALES",B78="176 - CAFE DESCAFEINADO","GOURMET",B78="147 - CAPSULAS","CAPSULAS",B78="130 - GALLETAS CAFECITAS","DERIVADOS",B78="140 - MERENGUES","DERIVADOS",B78="100 - CAFÉ ESPECIAL","ESPECIALES",B78="141 - AREQUIPE","DERIVADOS",B78="142 - MERMELADA","DERIVADOS",B78="131 - GALLETAS AVENA","DERIVADOS",B78="160 - SOUVENIR","OTROS",B78="148 - CARAMELOS","DERIVADOS",B78="143 - CHOCOFFES","DERIVADOS",B78="162 - CONVENIOS Y DSC POS ","OTROS"),"OTROS")</f>
        <v>OTROS</v>
      </c>
      <c r="L78" s="27">
        <f t="shared" si="18"/>
        <v>5226600</v>
      </c>
      <c r="M78" s="27">
        <f t="shared" si="19"/>
        <v>5226600</v>
      </c>
    </row>
    <row r="79" spans="1:13" ht="16.5" hidden="1" outlineLevel="1">
      <c r="A79" s="38"/>
      <c r="B79" s="39" t="s">
        <v>50</v>
      </c>
      <c r="C79" s="36">
        <v>-2347272</v>
      </c>
      <c r="D79" s="36">
        <v>0</v>
      </c>
      <c r="E79" s="36">
        <v>-2347272</v>
      </c>
      <c r="F79" s="48">
        <v>0</v>
      </c>
      <c r="G79" s="49" t="str">
        <f t="shared" si="5"/>
        <v>-</v>
      </c>
      <c r="H79" s="23">
        <f t="shared" si="8"/>
        <v>0</v>
      </c>
      <c r="I79" s="24">
        <f t="shared" si="8"/>
        <v>0</v>
      </c>
      <c r="J79" s="32" t="str" cm="1">
        <f t="array" ref="J79">IFERROR(_xlfn.IFS(B79="044 - BLEND TRADICION","BLEND",B79="113 - CAFÉ GOURMET","GOURMET",B79="114 - CAFÉ CONSUMO","CONSUMO",B79="112 - CAFÉ ORGANICO","GOURMET",B79="172 - CAFÉ COSECHA","ESPECIALES",B79="176 - CAFE DESCAFEINADO","GOURMET",B79="147 - CAPSULAS","CAPSULAS",B79="130 - GALLETAS CAFECITAS","DERIVADOS",B79="140 - MERENGUES","DERIVADOS",B79="100 - CAFÉ ESPECIAL","ESPECIALES",B79="141 - AREQUIPE","DERIVADOS",B79="142 - MERMELADA","DERIVADOS",B79="131 - GALLETAS AVENA","DERIVADOS",B79="160 - SOUVENIR","OTROS",B79="148 - CARAMELOS","DERIVADOS",B79="143 - CHOCOFFES","DERIVADOS",B79="162 - CONVENIOS Y DSC POS ","OTROS"),"OTROS")</f>
        <v>OTROS</v>
      </c>
      <c r="L79" s="27">
        <f t="shared" si="18"/>
        <v>0</v>
      </c>
      <c r="M79" s="27">
        <f t="shared" si="19"/>
        <v>0</v>
      </c>
    </row>
    <row r="80" spans="1:13" ht="16.5" hidden="1" outlineLevel="1">
      <c r="A80" s="38"/>
      <c r="B80" s="39" t="s">
        <v>29</v>
      </c>
      <c r="C80" s="36">
        <v>1763175</v>
      </c>
      <c r="D80" s="36">
        <v>0</v>
      </c>
      <c r="E80" s="48"/>
      <c r="F80" s="48">
        <v>10016848.720000001</v>
      </c>
      <c r="G80" s="49">
        <f t="shared" si="5"/>
        <v>0.17602092726823171</v>
      </c>
      <c r="H80" s="23">
        <f t="shared" si="8"/>
        <v>0</v>
      </c>
      <c r="I80" s="24">
        <f t="shared" si="8"/>
        <v>0</v>
      </c>
      <c r="J80" s="32" t="str" cm="1">
        <f t="array" ref="J80">IFERROR(_xlfn.IFS(B80="044 - BLEND TRADICION","BLEND",B80="113 - CAFÉ GOURMET","GOURMET",B80="114 - CAFÉ CONSUMO","CONSUMO",B80="112 - CAFÉ ORGANICO","GOURMET",B80="172 - CAFÉ COSECHA","ESPECIALES",B80="176 - CAFE DESCAFEINADO","GOURMET",B80="147 - CAPSULAS","CAPSULAS",B80="130 - GALLETAS CAFECITAS","DERIVADOS",B80="140 - MERENGUES","DERIVADOS",B80="100 - CAFÉ ESPECIAL","ESPECIALES",B80="141 - AREQUIPE","DERIVADOS",B80="142 - MERMELADA","DERIVADOS",B80="131 - GALLETAS AVENA","DERIVADOS",B80="160 - SOUVENIR","OTROS",B80="148 - CARAMELOS","DERIVADOS",B80="143 - CHOCOFFES","DERIVADOS",B80="162 - CONVENIOS Y DSC POS ","OTROS"),"OTROS")</f>
        <v>ESPECIALES</v>
      </c>
      <c r="L80" s="27">
        <f t="shared" si="18"/>
        <v>1763175</v>
      </c>
      <c r="M80" s="27">
        <f t="shared" si="19"/>
        <v>1763175</v>
      </c>
    </row>
    <row r="81" spans="1:13" ht="16.5" hidden="1" outlineLevel="1">
      <c r="A81" s="38"/>
      <c r="B81" s="39" t="s">
        <v>30</v>
      </c>
      <c r="C81" s="36">
        <v>194214</v>
      </c>
      <c r="D81" s="36">
        <v>0</v>
      </c>
      <c r="E81" s="48">
        <v>0</v>
      </c>
      <c r="F81" s="48">
        <v>1809439.28</v>
      </c>
      <c r="G81" s="49">
        <f t="shared" si="5"/>
        <v>0.1073338034310828</v>
      </c>
      <c r="H81" s="23">
        <f t="shared" si="8"/>
        <v>0</v>
      </c>
      <c r="I81" s="24">
        <f t="shared" si="8"/>
        <v>0</v>
      </c>
      <c r="J81" s="32" t="str" cm="1">
        <f t="array" ref="J81">IFERROR(_xlfn.IFS(B81="044 - BLEND TRADICION","BLEND",B81="113 - CAFÉ GOURMET","GOURMET",B81="114 - CAFÉ CONSUMO","CONSUMO",B81="112 - CAFÉ ORGANICO","GOURMET",B81="172 - CAFÉ COSECHA","ESPECIALES",B81="176 - CAFE DESCAFEINADO","GOURMET",B81="147 - CAPSULAS","CAPSULAS",B81="130 - GALLETAS CAFECITAS","DERIVADOS",B81="140 - MERENGUES","DERIVADOS",B81="100 - CAFÉ ESPECIAL","ESPECIALES",B81="141 - AREQUIPE","DERIVADOS",B81="142 - MERMELADA","DERIVADOS",B81="131 - GALLETAS AVENA","DERIVADOS",B81="160 - SOUVENIR","OTROS",B81="148 - CARAMELOS","DERIVADOS",B81="143 - CHOCOFFES","DERIVADOS",B81="162 - CONVENIOS Y DSC POS ","OTROS"),"OTROS")</f>
        <v>GOURMET</v>
      </c>
      <c r="L81" s="27">
        <f t="shared" si="18"/>
        <v>194214</v>
      </c>
      <c r="M81" s="27">
        <f t="shared" si="19"/>
        <v>194214</v>
      </c>
    </row>
    <row r="82" spans="1:13" ht="16.5" hidden="1" outlineLevel="1">
      <c r="A82" s="38"/>
      <c r="B82" s="39" t="s">
        <v>31</v>
      </c>
      <c r="C82" s="36">
        <v>36000</v>
      </c>
      <c r="D82" s="36">
        <v>0</v>
      </c>
      <c r="E82" s="48">
        <v>0</v>
      </c>
      <c r="F82" s="48">
        <v>0</v>
      </c>
      <c r="G82" s="49" t="str">
        <f t="shared" si="5"/>
        <v>-</v>
      </c>
      <c r="H82" s="23">
        <f t="shared" si="8"/>
        <v>0</v>
      </c>
      <c r="I82" s="24">
        <f t="shared" si="8"/>
        <v>0</v>
      </c>
      <c r="J82" s="32" t="str" cm="1">
        <f t="array" ref="J82">IFERROR(_xlfn.IFS(B82="044 - BLEND TRADICION","BLEND",B82="113 - CAFÉ GOURMET","GOURMET",B82="114 - CAFÉ CONSUMO","CONSUMO",B82="112 - CAFÉ ORGANICO","GOURMET",B82="172 - CAFÉ COSECHA","ESPECIALES",B82="176 - CAFE DESCAFEINADO","GOURMET",B82="147 - CAPSULAS","CAPSULAS",B82="130 - GALLETAS CAFECITAS","DERIVADOS",B82="140 - MERENGUES","DERIVADOS",B82="100 - CAFÉ ESPECIAL","ESPECIALES",B82="141 - AREQUIPE","DERIVADOS",B82="142 - MERMELADA","DERIVADOS",B82="131 - GALLETAS AVENA","DERIVADOS",B82="160 - SOUVENIR","OTROS",B82="148 - CARAMELOS","DERIVADOS",B82="143 - CHOCOFFES","DERIVADOS",B82="162 - CONVENIOS Y DSC POS ","OTROS"),"OTROS")</f>
        <v>OTROS</v>
      </c>
      <c r="L82" s="27">
        <f t="shared" si="18"/>
        <v>36000</v>
      </c>
      <c r="M82" s="27">
        <f t="shared" si="19"/>
        <v>36000</v>
      </c>
    </row>
    <row r="83" spans="1:13" ht="16.5" hidden="1" outlineLevel="1">
      <c r="A83" s="19" t="s">
        <v>44</v>
      </c>
      <c r="B83" s="56" t="s">
        <v>32</v>
      </c>
      <c r="C83" s="54">
        <f>SUM(C67:C82)</f>
        <v>86672999</v>
      </c>
      <c r="D83" s="54">
        <f>SUM(D67:D82)</f>
        <v>0</v>
      </c>
      <c r="E83" s="58">
        <f>SUM(E67:E82)</f>
        <v>-2347272</v>
      </c>
      <c r="F83" s="58">
        <f>SUM(F67:F82)</f>
        <v>147679227.71999997</v>
      </c>
      <c r="G83" s="55">
        <f t="shared" si="5"/>
        <v>0.58690040798650522</v>
      </c>
      <c r="H83" s="23">
        <f t="shared" si="8"/>
        <v>0</v>
      </c>
      <c r="I83" s="24">
        <f t="shared" si="8"/>
        <v>-2.6367837051405964E-2</v>
      </c>
      <c r="J83" s="32" t="str" cm="1">
        <f t="array" ref="J83">IFERROR(_xlfn.IFS(B83="044 - BLEND TRADICION","BLEND",B83="113 - CAFÉ GOURMET","GOURMET",B83="114 - CAFÉ CONSUMO","CONSUMO",B83="112 - CAFÉ ORGANICO","GOURMET",B83="172 - CAFÉ COSECHA","ESPECIALES",B83="176 - CAFE DESCAFEINADO","GOURMET",B83="147 - CAPSULAS","CAPSULAS",B83="130 - GALLETAS CAFECITAS","DERIVADOS",B83="140 - MERENGUES","DERIVADOS",B83="100 - CAFÉ ESPECIAL","ESPECIALES",B83="141 - AREQUIPE","DERIVADOS",B83="142 - MERMELADA","DERIVADOS",B83="131 - GALLETAS AVENA","DERIVADOS",B83="160 - SOUVENIR","OTROS",B83="148 - CARAMELOS","DERIVADOS",B83="143 - CHOCOFFES","DERIVADOS",B83="162 - CONVENIOS Y DSC POS ","OTROS"),"OTROS")</f>
        <v>OTROS</v>
      </c>
      <c r="L83" s="27">
        <f t="shared" si="18"/>
        <v>89020271</v>
      </c>
      <c r="M83" s="27">
        <f t="shared" si="19"/>
        <v>89020271</v>
      </c>
    </row>
    <row r="84" spans="1:13" ht="16.5" hidden="1" outlineLevel="1">
      <c r="A84" s="59"/>
      <c r="B84" s="39" t="s">
        <v>19</v>
      </c>
      <c r="C84" s="36">
        <v>2352274</v>
      </c>
      <c r="D84" s="36">
        <v>0</v>
      </c>
      <c r="E84" s="36">
        <v>0</v>
      </c>
      <c r="F84" s="48">
        <v>2429943.91</v>
      </c>
      <c r="G84" s="49">
        <f t="shared" si="5"/>
        <v>0.96803633627905417</v>
      </c>
      <c r="H84" s="23">
        <f t="shared" si="8"/>
        <v>0</v>
      </c>
      <c r="I84" s="24">
        <f t="shared" si="8"/>
        <v>0</v>
      </c>
      <c r="J84" s="32" t="str" cm="1">
        <f t="array" ref="J84">IFERROR(_xlfn.IFS(B84="044 - BLEND TRADICION","BLEND",B84="113 - CAFÉ GOURMET","GOURMET",B84="114 - CAFÉ CONSUMO","CONSUMO",B84="112 - CAFÉ ORGANICO","GOURMET",B84="172 - CAFÉ COSECHA","ESPECIALES",B84="176 - CAFE DESCAFEINADO","GOURMET",B84="147 - CAPSULAS","CAPSULAS",B84="130 - GALLETAS CAFECITAS","DERIVADOS",B84="140 - MERENGUES","DERIVADOS",B84="100 - CAFÉ ESPECIAL","ESPECIALES",B84="141 - AREQUIPE","DERIVADOS",B84="142 - MERMELADA","DERIVADOS",B84="131 - GALLETAS AVENA","DERIVADOS",B84="160 - SOUVENIR","OTROS",B84="148 - CARAMELOS","DERIVADOS",B84="143 - CHOCOFFES","DERIVADOS",B84="162 - CONVENIOS Y DSC POS ","OTROS"),"OTROS")</f>
        <v>ESPECIALES</v>
      </c>
      <c r="L84" s="27">
        <f t="shared" si="18"/>
        <v>2352274</v>
      </c>
      <c r="M84" s="27">
        <f t="shared" si="19"/>
        <v>2352274</v>
      </c>
    </row>
    <row r="85" spans="1:13" ht="16.5" hidden="1" outlineLevel="1">
      <c r="A85" s="59"/>
      <c r="B85" s="39" t="s">
        <v>20</v>
      </c>
      <c r="C85" s="36">
        <v>308385</v>
      </c>
      <c r="D85" s="36">
        <v>0</v>
      </c>
      <c r="E85" s="36">
        <v>0</v>
      </c>
      <c r="F85" s="48">
        <v>2531872.7599999998</v>
      </c>
      <c r="G85" s="49">
        <f t="shared" si="5"/>
        <v>0.12180114454092868</v>
      </c>
      <c r="H85" s="23">
        <f t="shared" si="8"/>
        <v>0</v>
      </c>
      <c r="I85" s="24">
        <f t="shared" si="8"/>
        <v>0</v>
      </c>
      <c r="J85" s="32" t="str" cm="1">
        <f t="array" ref="J85">IFERROR(_xlfn.IFS(B85="044 - BLEND TRADICION","BLEND",B85="113 - CAFÉ GOURMET","GOURMET",B85="114 - CAFÉ CONSUMO","CONSUMO",B85="112 - CAFÉ ORGANICO","GOURMET",B85="172 - CAFÉ COSECHA","ESPECIALES",B85="176 - CAFE DESCAFEINADO","GOURMET",B85="147 - CAPSULAS","CAPSULAS",B85="130 - GALLETAS CAFECITAS","DERIVADOS",B85="140 - MERENGUES","DERIVADOS",B85="100 - CAFÉ ESPECIAL","ESPECIALES",B85="141 - AREQUIPE","DERIVADOS",B85="142 - MERMELADA","DERIVADOS",B85="131 - GALLETAS AVENA","DERIVADOS",B85="160 - SOUVENIR","OTROS",B85="148 - CARAMELOS","DERIVADOS",B85="143 - CHOCOFFES","DERIVADOS",B85="162 - CONVENIOS Y DSC POS ","OTROS"),"OTROS")</f>
        <v>GOURMET</v>
      </c>
      <c r="L85" s="27">
        <f t="shared" si="18"/>
        <v>308385</v>
      </c>
      <c r="M85" s="27">
        <f t="shared" si="19"/>
        <v>308385</v>
      </c>
    </row>
    <row r="86" spans="1:13" ht="16.5" hidden="1" outlineLevel="1">
      <c r="A86" s="59"/>
      <c r="B86" s="39" t="s">
        <v>21</v>
      </c>
      <c r="C86" s="36">
        <v>37809988</v>
      </c>
      <c r="D86" s="36">
        <v>-3107055</v>
      </c>
      <c r="E86" s="36">
        <v>0</v>
      </c>
      <c r="F86" s="48">
        <v>112116243.56</v>
      </c>
      <c r="G86" s="49">
        <f t="shared" si="5"/>
        <v>0.33723916177913726</v>
      </c>
      <c r="H86" s="23">
        <f t="shared" si="8"/>
        <v>-7.5935472658666958E-2</v>
      </c>
      <c r="I86" s="24">
        <f t="shared" si="8"/>
        <v>0</v>
      </c>
      <c r="J86" s="32" t="str" cm="1">
        <f t="array" ref="J86">IFERROR(_xlfn.IFS(B86="044 - BLEND TRADICION","BLEND",B86="113 - CAFÉ GOURMET","GOURMET",B86="114 - CAFÉ CONSUMO","CONSUMO",B86="112 - CAFÉ ORGANICO","GOURMET",B86="172 - CAFÉ COSECHA","ESPECIALES",B86="176 - CAFE DESCAFEINADO","GOURMET",B86="147 - CAPSULAS","CAPSULAS",B86="130 - GALLETAS CAFECITAS","DERIVADOS",B86="140 - MERENGUES","DERIVADOS",B86="100 - CAFÉ ESPECIAL","ESPECIALES",B86="141 - AREQUIPE","DERIVADOS",B86="142 - MERMELADA","DERIVADOS",B86="131 - GALLETAS AVENA","DERIVADOS",B86="160 - SOUVENIR","OTROS",B86="148 - CARAMELOS","DERIVADOS",B86="143 - CHOCOFFES","DERIVADOS",B86="162 - CONVENIOS Y DSC POS ","OTROS"),"OTROS")</f>
        <v>GOURMET</v>
      </c>
      <c r="L86" s="27">
        <f t="shared" si="18"/>
        <v>40917043</v>
      </c>
      <c r="M86" s="27">
        <f t="shared" si="19"/>
        <v>40917043</v>
      </c>
    </row>
    <row r="87" spans="1:13" ht="16.5" hidden="1" outlineLevel="1">
      <c r="A87" s="59"/>
      <c r="B87" s="39" t="s">
        <v>22</v>
      </c>
      <c r="C87" s="36">
        <v>1382358</v>
      </c>
      <c r="D87" s="36">
        <v>0</v>
      </c>
      <c r="E87" s="36"/>
      <c r="F87" s="48"/>
      <c r="G87" s="49"/>
      <c r="H87" s="23"/>
      <c r="I87" s="24"/>
      <c r="J87" s="32"/>
      <c r="L87" s="27"/>
      <c r="M87" s="27"/>
    </row>
    <row r="88" spans="1:13" ht="16.5" hidden="1" outlineLevel="1">
      <c r="A88" s="59"/>
      <c r="B88" s="39" t="s">
        <v>23</v>
      </c>
      <c r="C88" s="36">
        <v>-104428</v>
      </c>
      <c r="D88" s="36">
        <v>-343068</v>
      </c>
      <c r="E88" s="36">
        <v>0</v>
      </c>
      <c r="F88" s="48">
        <v>3725758.66</v>
      </c>
      <c r="G88" s="49">
        <f t="shared" si="5"/>
        <v>-2.8028653901055415E-2</v>
      </c>
      <c r="H88" s="23">
        <f t="shared" si="8"/>
        <v>-1.4375963794837412</v>
      </c>
      <c r="I88" s="24">
        <f t="shared" si="8"/>
        <v>0</v>
      </c>
      <c r="J88" s="32" t="str" cm="1">
        <f t="array" ref="J88">IFERROR(_xlfn.IFS(B88="044 - BLEND TRADICION","BLEND",B88="113 - CAFÉ GOURMET","GOURMET",B88="114 - CAFÉ CONSUMO","CONSUMO",B88="112 - CAFÉ ORGANICO","GOURMET",B88="172 - CAFÉ COSECHA","ESPECIALES",B88="176 - CAFE DESCAFEINADO","GOURMET",B88="147 - CAPSULAS","CAPSULAS",B88="130 - GALLETAS CAFECITAS","DERIVADOS",B88="140 - MERENGUES","DERIVADOS",B88="100 - CAFÉ ESPECIAL","ESPECIALES",B88="141 - AREQUIPE","DERIVADOS",B88="142 - MERMELADA","DERIVADOS",B88="131 - GALLETAS AVENA","DERIVADOS",B88="160 - SOUVENIR","OTROS",B88="148 - CARAMELOS","DERIVADOS",B88="143 - CHOCOFFES","DERIVADOS",B88="162 - CONVENIOS Y DSC POS ","OTROS"),"OTROS")</f>
        <v>DERIVADOS</v>
      </c>
      <c r="L88" s="27">
        <f t="shared" si="18"/>
        <v>238640</v>
      </c>
      <c r="M88" s="27">
        <f t="shared" si="19"/>
        <v>238640</v>
      </c>
    </row>
    <row r="89" spans="1:13" ht="16.5" hidden="1" outlineLevel="1">
      <c r="A89" s="59"/>
      <c r="B89" s="39" t="s">
        <v>24</v>
      </c>
      <c r="C89" s="36">
        <v>637730</v>
      </c>
      <c r="D89" s="36">
        <v>0</v>
      </c>
      <c r="E89" s="36"/>
      <c r="F89" s="48">
        <v>530387.72</v>
      </c>
      <c r="G89" s="49">
        <f t="shared" si="5"/>
        <v>1.202384549928871</v>
      </c>
      <c r="H89" s="23">
        <f t="shared" si="8"/>
        <v>0</v>
      </c>
      <c r="I89" s="24">
        <f t="shared" si="8"/>
        <v>0</v>
      </c>
      <c r="J89" s="32" t="str" cm="1">
        <f t="array" ref="J89">IFERROR(_xlfn.IFS(B89="044 - BLEND TRADICION","BLEND",B89="113 - CAFÉ GOURMET","GOURMET",B89="114 - CAFÉ CONSUMO","CONSUMO",B89="112 - CAFÉ ORGANICO","GOURMET",B89="172 - CAFÉ COSECHA","ESPECIALES",B89="176 - CAFE DESCAFEINADO","GOURMET",B89="147 - CAPSULAS","CAPSULAS",B89="130 - GALLETAS CAFECITAS","DERIVADOS",B89="140 - MERENGUES","DERIVADOS",B89="100 - CAFÉ ESPECIAL","ESPECIALES",B89="141 - AREQUIPE","DERIVADOS",B89="142 - MERMELADA","DERIVADOS",B89="131 - GALLETAS AVENA","DERIVADOS",B89="160 - SOUVENIR","OTROS",B89="148 - CARAMELOS","DERIVADOS",B89="143 - CHOCOFFES","DERIVADOS",B89="162 - CONVENIOS Y DSC POS ","OTROS"),"OTROS")</f>
        <v>DERIVADOS</v>
      </c>
      <c r="L89" s="27">
        <f t="shared" si="18"/>
        <v>637730</v>
      </c>
      <c r="M89" s="27">
        <f t="shared" si="19"/>
        <v>637730</v>
      </c>
    </row>
    <row r="90" spans="1:13" ht="16.5" hidden="1" outlineLevel="1">
      <c r="A90" s="59"/>
      <c r="B90" s="39" t="s">
        <v>25</v>
      </c>
      <c r="C90" s="36">
        <v>196710</v>
      </c>
      <c r="D90" s="36">
        <v>0</v>
      </c>
      <c r="E90" s="36"/>
      <c r="F90" s="48">
        <v>1022579.12</v>
      </c>
      <c r="G90" s="49">
        <f t="shared" si="5"/>
        <v>0.19236653296812867</v>
      </c>
      <c r="H90" s="23">
        <f t="shared" si="8"/>
        <v>0</v>
      </c>
      <c r="I90" s="24">
        <f t="shared" si="8"/>
        <v>0</v>
      </c>
      <c r="J90" s="32" t="str" cm="1">
        <f t="array" ref="J90">IFERROR(_xlfn.IFS(B90="044 - BLEND TRADICION","BLEND",B90="113 - CAFÉ GOURMET","GOURMET",B90="114 - CAFÉ CONSUMO","CONSUMO",B90="112 - CAFÉ ORGANICO","GOURMET",B90="172 - CAFÉ COSECHA","ESPECIALES",B90="176 - CAFE DESCAFEINADO","GOURMET",B90="147 - CAPSULAS","CAPSULAS",B90="130 - GALLETAS CAFECITAS","DERIVADOS",B90="140 - MERENGUES","DERIVADOS",B90="100 - CAFÉ ESPECIAL","ESPECIALES",B90="141 - AREQUIPE","DERIVADOS",B90="142 - MERMELADA","DERIVADOS",B90="131 - GALLETAS AVENA","DERIVADOS",B90="160 - SOUVENIR","OTROS",B90="148 - CARAMELOS","DERIVADOS",B90="143 - CHOCOFFES","DERIVADOS",B90="162 - CONVENIOS Y DSC POS ","OTROS"),"OTROS")</f>
        <v>DERIVADOS</v>
      </c>
      <c r="L90" s="27">
        <f t="shared" si="18"/>
        <v>196710</v>
      </c>
      <c r="M90" s="27">
        <f t="shared" si="19"/>
        <v>196710</v>
      </c>
    </row>
    <row r="91" spans="1:13" ht="16.5" hidden="1" outlineLevel="1">
      <c r="A91" s="59"/>
      <c r="B91" s="39" t="s">
        <v>26</v>
      </c>
      <c r="C91" s="36">
        <v>1173705</v>
      </c>
      <c r="D91" s="36">
        <v>0</v>
      </c>
      <c r="E91" s="36"/>
      <c r="F91" s="48">
        <v>1766197.25</v>
      </c>
      <c r="G91" s="49">
        <f t="shared" si="5"/>
        <v>0.6645378934883972</v>
      </c>
      <c r="H91" s="23">
        <f t="shared" si="8"/>
        <v>0</v>
      </c>
      <c r="I91" s="24">
        <f t="shared" si="8"/>
        <v>0</v>
      </c>
      <c r="J91" s="32" t="str" cm="1">
        <f t="array" ref="J91">IFERROR(_xlfn.IFS(B91="044 - BLEND TRADICION","BLEND",B91="113 - CAFÉ GOURMET","GOURMET",B91="114 - CAFÉ CONSUMO","CONSUMO",B91="112 - CAFÉ ORGANICO","GOURMET",B91="172 - CAFÉ COSECHA","ESPECIALES",B91="176 - CAFE DESCAFEINADO","GOURMET",B91="147 - CAPSULAS","CAPSULAS",B91="130 - GALLETAS CAFECITAS","DERIVADOS",B91="140 - MERENGUES","DERIVADOS",B91="100 - CAFÉ ESPECIAL","ESPECIALES",B91="141 - AREQUIPE","DERIVADOS",B91="142 - MERMELADA","DERIVADOS",B91="131 - GALLETAS AVENA","DERIVADOS",B91="160 - SOUVENIR","OTROS",B91="148 - CARAMELOS","DERIVADOS",B91="143 - CHOCOFFES","DERIVADOS",B91="162 - CONVENIOS Y DSC POS ","OTROS"),"OTROS")</f>
        <v>CAPSULAS</v>
      </c>
      <c r="L91" s="27">
        <f t="shared" si="18"/>
        <v>1173705</v>
      </c>
      <c r="M91" s="27">
        <f t="shared" si="19"/>
        <v>1173705</v>
      </c>
    </row>
    <row r="92" spans="1:13" ht="16.5" hidden="1" outlineLevel="1">
      <c r="A92" s="59"/>
      <c r="B92" s="39" t="s">
        <v>27</v>
      </c>
      <c r="C92" s="36">
        <v>595312</v>
      </c>
      <c r="D92" s="36">
        <v>0</v>
      </c>
      <c r="E92" s="36"/>
      <c r="F92" s="48">
        <v>2921002.36</v>
      </c>
      <c r="G92" s="49">
        <f t="shared" si="5"/>
        <v>0.20380401198991158</v>
      </c>
      <c r="H92" s="23">
        <f t="shared" si="8"/>
        <v>0</v>
      </c>
      <c r="I92" s="24">
        <f t="shared" si="8"/>
        <v>0</v>
      </c>
      <c r="J92" s="32" t="str" cm="1">
        <f t="array" ref="J92">IFERROR(_xlfn.IFS(B92="044 - BLEND TRADICION","BLEND",B92="113 - CAFÉ GOURMET","GOURMET",B92="114 - CAFÉ CONSUMO","CONSUMO",B92="112 - CAFÉ ORGANICO","GOURMET",B92="172 - CAFÉ COSECHA","ESPECIALES",B92="176 - CAFE DESCAFEINADO","GOURMET",B92="147 - CAPSULAS","CAPSULAS",B92="130 - GALLETAS CAFECITAS","DERIVADOS",B92="140 - MERENGUES","DERIVADOS",B92="100 - CAFÉ ESPECIAL","ESPECIALES",B92="141 - AREQUIPE","DERIVADOS",B92="142 - MERMELADA","DERIVADOS",B92="131 - GALLETAS AVENA","DERIVADOS",B92="160 - SOUVENIR","OTROS",B92="148 - CARAMELOS","DERIVADOS",B92="143 - CHOCOFFES","DERIVADOS",B92="162 - CONVENIOS Y DSC POS ","OTROS"),"OTROS")</f>
        <v>DERIVADOS</v>
      </c>
      <c r="L92" s="27">
        <f t="shared" si="18"/>
        <v>595312</v>
      </c>
      <c r="M92" s="27">
        <f t="shared" si="19"/>
        <v>595312</v>
      </c>
    </row>
    <row r="93" spans="1:13" ht="16.5" hidden="1" outlineLevel="1">
      <c r="A93" s="59"/>
      <c r="B93" s="39" t="s">
        <v>28</v>
      </c>
      <c r="C93" s="36">
        <v>55124</v>
      </c>
      <c r="D93" s="36">
        <v>0</v>
      </c>
      <c r="E93" s="36"/>
      <c r="F93" s="48">
        <v>1719908.5</v>
      </c>
      <c r="G93" s="49">
        <f t="shared" ref="G93:G137" si="20">IFERROR(C93/F93*100%,"-")</f>
        <v>3.2050542223612477E-2</v>
      </c>
      <c r="H93" s="23">
        <f t="shared" si="8"/>
        <v>0</v>
      </c>
      <c r="I93" s="24">
        <f t="shared" si="8"/>
        <v>0</v>
      </c>
      <c r="J93" s="32" t="str" cm="1">
        <f t="array" ref="J93">IFERROR(_xlfn.IFS(B93="044 - BLEND TRADICION","BLEND",B93="113 - CAFÉ GOURMET","GOURMET",B93="114 - CAFÉ CONSUMO","CONSUMO",B93="112 - CAFÉ ORGANICO","GOURMET",B93="172 - CAFÉ COSECHA","ESPECIALES",B93="176 - CAFE DESCAFEINADO","GOURMET",B93="147 - CAPSULAS","CAPSULAS",B93="130 - GALLETAS CAFECITAS","DERIVADOS",B93="140 - MERENGUES","DERIVADOS",B93="100 - CAFÉ ESPECIAL","ESPECIALES",B93="141 - AREQUIPE","DERIVADOS",B93="142 - MERMELADA","DERIVADOS",B93="131 - GALLETAS AVENA","DERIVADOS",B93="160 - SOUVENIR","OTROS",B93="148 - CARAMELOS","DERIVADOS",B93="143 - CHOCOFFES","DERIVADOS",B93="162 - CONVENIOS Y DSC POS ","OTROS"),"OTROS")</f>
        <v>OTROS</v>
      </c>
      <c r="L93" s="27">
        <f t="shared" si="18"/>
        <v>55124</v>
      </c>
      <c r="M93" s="27">
        <f t="shared" si="19"/>
        <v>55124</v>
      </c>
    </row>
    <row r="94" spans="1:13" ht="16.5" hidden="1" outlineLevel="1">
      <c r="A94" s="59"/>
      <c r="B94" s="39" t="s">
        <v>50</v>
      </c>
      <c r="C94" s="36">
        <v>-264542</v>
      </c>
      <c r="D94" s="36">
        <v>0</v>
      </c>
      <c r="E94" s="36"/>
      <c r="F94" s="48">
        <v>6824547.4699999997</v>
      </c>
      <c r="G94" s="49">
        <f t="shared" si="20"/>
        <v>-3.8763302792294889E-2</v>
      </c>
      <c r="H94" s="23">
        <f t="shared" ref="H94:I110" si="21">IFERROR(+D94/L94*100%,0)</f>
        <v>0</v>
      </c>
      <c r="I94" s="24">
        <f t="shared" si="21"/>
        <v>0</v>
      </c>
      <c r="J94" s="32" t="str" cm="1">
        <f t="array" ref="J94">IFERROR(_xlfn.IFS(B94="044 - BLEND TRADICION","BLEND",B94="113 - CAFÉ GOURMET","GOURMET",B94="114 - CAFÉ CONSUMO","CONSUMO",B94="112 - CAFÉ ORGANICO","GOURMET",B94="172 - CAFÉ COSECHA","ESPECIALES",B94="176 - CAFE DESCAFEINADO","GOURMET",B94="147 - CAPSULAS","CAPSULAS",B94="130 - GALLETAS CAFECITAS","DERIVADOS",B94="140 - MERENGUES","DERIVADOS",B94="100 - CAFÉ ESPECIAL","ESPECIALES",B94="141 - AREQUIPE","DERIVADOS",B94="142 - MERMELADA","DERIVADOS",B94="131 - GALLETAS AVENA","DERIVADOS",B94="160 - SOUVENIR","OTROS",B94="148 - CARAMELOS","DERIVADOS",B94="143 - CHOCOFFES","DERIVADOS",B94="162 - CONVENIOS Y DSC POS ","OTROS"),"OTROS")</f>
        <v>OTROS</v>
      </c>
      <c r="L94" s="27">
        <f t="shared" si="18"/>
        <v>-264542</v>
      </c>
      <c r="M94" s="27">
        <f t="shared" si="19"/>
        <v>-264542</v>
      </c>
    </row>
    <row r="95" spans="1:13" ht="16.5" hidden="1" outlineLevel="1">
      <c r="A95" s="59"/>
      <c r="B95" s="39" t="s">
        <v>29</v>
      </c>
      <c r="C95" s="36">
        <v>203763</v>
      </c>
      <c r="D95" s="36">
        <v>0</v>
      </c>
      <c r="E95" s="36"/>
      <c r="F95" s="48">
        <v>1667302.64</v>
      </c>
      <c r="G95" s="49">
        <f t="shared" si="20"/>
        <v>0.12221116617436653</v>
      </c>
      <c r="H95" s="23">
        <f t="shared" si="21"/>
        <v>0</v>
      </c>
      <c r="I95" s="24">
        <f t="shared" si="21"/>
        <v>0</v>
      </c>
      <c r="J95" s="32" t="str" cm="1">
        <f t="array" ref="J95">IFERROR(_xlfn.IFS(B95="044 - BLEND TRADICION","BLEND",B95="113 - CAFÉ GOURMET","GOURMET",B95="114 - CAFÉ CONSUMO","CONSUMO",B95="112 - CAFÉ ORGANICO","GOURMET",B95="172 - CAFÉ COSECHA","ESPECIALES",B95="176 - CAFE DESCAFEINADO","GOURMET",B95="147 - CAPSULAS","CAPSULAS",B95="130 - GALLETAS CAFECITAS","DERIVADOS",B95="140 - MERENGUES","DERIVADOS",B95="100 - CAFÉ ESPECIAL","ESPECIALES",B95="141 - AREQUIPE","DERIVADOS",B95="142 - MERMELADA","DERIVADOS",B95="131 - GALLETAS AVENA","DERIVADOS",B95="160 - SOUVENIR","OTROS",B95="148 - CARAMELOS","DERIVADOS",B95="143 - CHOCOFFES","DERIVADOS",B95="162 - CONVENIOS Y DSC POS ","OTROS"),"OTROS")</f>
        <v>ESPECIALES</v>
      </c>
      <c r="L95" s="27">
        <f t="shared" si="18"/>
        <v>203763</v>
      </c>
      <c r="M95" s="27">
        <f t="shared" si="19"/>
        <v>203763</v>
      </c>
    </row>
    <row r="96" spans="1:13" ht="16.5" hidden="1" outlineLevel="1">
      <c r="A96" s="59"/>
      <c r="B96" s="39" t="s">
        <v>30</v>
      </c>
      <c r="C96" s="36">
        <v>189786</v>
      </c>
      <c r="D96" s="36">
        <v>0</v>
      </c>
      <c r="E96" s="36"/>
      <c r="F96" s="48">
        <v>382592.22</v>
      </c>
      <c r="G96" s="49">
        <f t="shared" si="20"/>
        <v>0.49605295162562379</v>
      </c>
      <c r="H96" s="23">
        <f t="shared" si="21"/>
        <v>0</v>
      </c>
      <c r="I96" s="24">
        <f t="shared" si="21"/>
        <v>0</v>
      </c>
      <c r="J96" s="32" t="str" cm="1">
        <f t="array" ref="J96">IFERROR(_xlfn.IFS(B96="044 - BLEND TRADICION","BLEND",B96="113 - CAFÉ GOURMET","GOURMET",B96="114 - CAFÉ CONSUMO","CONSUMO",B96="112 - CAFÉ ORGANICO","GOURMET",B96="172 - CAFÉ COSECHA","ESPECIALES",B96="176 - CAFE DESCAFEINADO","GOURMET",B96="147 - CAPSULAS","CAPSULAS",B96="130 - GALLETAS CAFECITAS","DERIVADOS",B96="140 - MERENGUES","DERIVADOS",B96="100 - CAFÉ ESPECIAL","ESPECIALES",B96="141 - AREQUIPE","DERIVADOS",B96="142 - MERMELADA","DERIVADOS",B96="131 - GALLETAS AVENA","DERIVADOS",B96="160 - SOUVENIR","OTROS",B96="148 - CARAMELOS","DERIVADOS",B96="143 - CHOCOFFES","DERIVADOS",B96="162 - CONVENIOS Y DSC POS ","OTROS"),"OTROS")</f>
        <v>GOURMET</v>
      </c>
      <c r="L96" s="27">
        <f t="shared" si="18"/>
        <v>189786</v>
      </c>
      <c r="M96" s="27">
        <f t="shared" si="19"/>
        <v>189786</v>
      </c>
    </row>
    <row r="97" spans="1:13" ht="16.5" hidden="1" outlineLevel="1">
      <c r="A97" s="59"/>
      <c r="B97" s="39" t="s">
        <v>31</v>
      </c>
      <c r="C97" s="36">
        <v>36000</v>
      </c>
      <c r="D97" s="36">
        <v>0</v>
      </c>
      <c r="E97" s="36"/>
      <c r="F97" s="48">
        <v>0</v>
      </c>
      <c r="G97" s="49" t="str">
        <f t="shared" si="20"/>
        <v>-</v>
      </c>
      <c r="H97" s="23">
        <f t="shared" si="21"/>
        <v>0</v>
      </c>
      <c r="I97" s="24">
        <f t="shared" si="21"/>
        <v>0</v>
      </c>
      <c r="J97" s="32" t="str" cm="1">
        <f t="array" ref="J97">IFERROR(_xlfn.IFS(B97="044 - BLEND TRADICION","BLEND",B97="113 - CAFÉ GOURMET","GOURMET",B97="114 - CAFÉ CONSUMO","CONSUMO",B97="112 - CAFÉ ORGANICO","GOURMET",B97="172 - CAFÉ COSECHA","ESPECIALES",B97="176 - CAFE DESCAFEINADO","GOURMET",B97="147 - CAPSULAS","CAPSULAS",B97="130 - GALLETAS CAFECITAS","DERIVADOS",B97="140 - MERENGUES","DERIVADOS",B97="100 - CAFÉ ESPECIAL","ESPECIALES",B97="141 - AREQUIPE","DERIVADOS",B97="142 - MERMELADA","DERIVADOS",B97="131 - GALLETAS AVENA","DERIVADOS",B97="160 - SOUVENIR","OTROS",B97="148 - CARAMELOS","DERIVADOS",B97="143 - CHOCOFFES","DERIVADOS",B97="162 - CONVENIOS Y DSC POS ","OTROS"),"OTROS")</f>
        <v>OTROS</v>
      </c>
      <c r="L97" s="27">
        <f t="shared" si="18"/>
        <v>36000</v>
      </c>
      <c r="M97" s="27">
        <f t="shared" si="19"/>
        <v>36000</v>
      </c>
    </row>
    <row r="98" spans="1:13" ht="16.5" hidden="1" outlineLevel="1">
      <c r="A98" s="19" t="s">
        <v>45</v>
      </c>
      <c r="B98" s="56" t="s">
        <v>32</v>
      </c>
      <c r="C98" s="54">
        <f>SUM(C84:C97)</f>
        <v>44572165</v>
      </c>
      <c r="D98" s="54">
        <f>SUM(D84:D97)</f>
        <v>-3450123</v>
      </c>
      <c r="E98" s="57">
        <v>0</v>
      </c>
      <c r="F98" s="58">
        <f>SUM(F84:F97)</f>
        <v>137638336.16999999</v>
      </c>
      <c r="G98" s="55">
        <f t="shared" si="20"/>
        <v>0.32383539528513328</v>
      </c>
      <c r="H98" s="23">
        <f t="shared" si="21"/>
        <v>-7.1844202841813781E-2</v>
      </c>
      <c r="I98" s="24">
        <f t="shared" si="21"/>
        <v>0</v>
      </c>
      <c r="J98" s="32" t="str" cm="1">
        <f t="array" ref="J98">IFERROR(_xlfn.IFS(B98="044 - BLEND TRADICION","BLEND",B98="113 - CAFÉ GOURMET","GOURMET",B98="114 - CAFÉ CONSUMO","CONSUMO",B98="112 - CAFÉ ORGANICO","GOURMET",B98="172 - CAFÉ COSECHA","ESPECIALES",B98="176 - CAFE DESCAFEINADO","GOURMET",B98="147 - CAPSULAS","CAPSULAS",B98="130 - GALLETAS CAFECITAS","DERIVADOS",B98="140 - MERENGUES","DERIVADOS",B98="100 - CAFÉ ESPECIAL","ESPECIALES",B98="141 - AREQUIPE","DERIVADOS",B98="142 - MERMELADA","DERIVADOS",B98="131 - GALLETAS AVENA","DERIVADOS",B98="160 - SOUVENIR","OTROS",B98="148 - CARAMELOS","DERIVADOS",B98="143 - CHOCOFFES","DERIVADOS",B98="162 - CONVENIOS Y DSC POS ","OTROS"),"OTROS")</f>
        <v>OTROS</v>
      </c>
      <c r="L98" s="27">
        <f t="shared" si="18"/>
        <v>48022288</v>
      </c>
      <c r="M98" s="27">
        <f t="shared" si="19"/>
        <v>48022288</v>
      </c>
    </row>
    <row r="99" spans="1:13" ht="16.5" hidden="1" outlineLevel="1">
      <c r="A99" s="59"/>
      <c r="B99" s="39" t="s">
        <v>18</v>
      </c>
      <c r="C99" s="60">
        <v>1467000</v>
      </c>
      <c r="D99" s="60">
        <v>0</v>
      </c>
      <c r="E99" s="36">
        <v>0</v>
      </c>
      <c r="F99" s="48">
        <v>4980625.03</v>
      </c>
      <c r="G99" s="49">
        <f t="shared" si="20"/>
        <v>0.29454134594830156</v>
      </c>
      <c r="H99" s="23">
        <f t="shared" si="21"/>
        <v>0</v>
      </c>
      <c r="I99" s="24">
        <f t="shared" si="21"/>
        <v>0</v>
      </c>
      <c r="J99" s="32" t="str" cm="1">
        <f t="array" ref="J99">IFERROR(_xlfn.IFS(B99="044 - BLEND TRADICION","BLEND",B99="113 - CAFÉ GOURMET","GOURMET",B99="114 - CAFÉ CONSUMO","CONSUMO",B99="112 - CAFÉ ORGANICO","GOURMET",B99="172 - CAFÉ COSECHA","ESPECIALES",B99="176 - CAFE DESCAFEINADO","GOURMET",B99="147 - CAPSULAS","CAPSULAS",B99="130 - GALLETAS CAFECITAS","DERIVADOS",B99="140 - MERENGUES","DERIVADOS",B99="100 - CAFÉ ESPECIAL","ESPECIALES",B99="141 - AREQUIPE","DERIVADOS",B99="142 - MERMELADA","DERIVADOS",B99="131 - GALLETAS AVENA","DERIVADOS",B99="160 - SOUVENIR","OTROS",B99="148 - CARAMELOS","DERIVADOS",B99="143 - CHOCOFFES","DERIVADOS",B99="162 - CONVENIOS Y DSC POS ","OTROS"),"OTROS")</f>
        <v>BLEND</v>
      </c>
      <c r="L99" s="27">
        <f t="shared" si="18"/>
        <v>1467000</v>
      </c>
      <c r="M99" s="27">
        <f t="shared" si="19"/>
        <v>1467000</v>
      </c>
    </row>
    <row r="100" spans="1:13" ht="16.5" hidden="1" outlineLevel="1">
      <c r="A100" s="59"/>
      <c r="B100" s="39" t="s">
        <v>19</v>
      </c>
      <c r="C100" s="60">
        <v>1984720</v>
      </c>
      <c r="D100" s="60">
        <v>0</v>
      </c>
      <c r="E100" s="36">
        <v>0</v>
      </c>
      <c r="F100" s="48">
        <v>4364104.07</v>
      </c>
      <c r="G100" s="49">
        <f t="shared" si="20"/>
        <v>0.45478292180140423</v>
      </c>
      <c r="H100" s="23">
        <f t="shared" si="21"/>
        <v>0</v>
      </c>
      <c r="I100" s="24">
        <f t="shared" si="21"/>
        <v>0</v>
      </c>
      <c r="J100" s="32" t="str" cm="1">
        <f t="array" ref="J100">IFERROR(_xlfn.IFS(B100="044 - BLEND TRADICION","BLEND",B100="113 - CAFÉ GOURMET","GOURMET",B100="114 - CAFÉ CONSUMO","CONSUMO",B100="112 - CAFÉ ORGANICO","GOURMET",B100="172 - CAFÉ COSECHA","ESPECIALES",B100="176 - CAFE DESCAFEINADO","GOURMET",B100="147 - CAPSULAS","CAPSULAS",B100="130 - GALLETAS CAFECITAS","DERIVADOS",B100="140 - MERENGUES","DERIVADOS",B100="100 - CAFÉ ESPECIAL","ESPECIALES",B100="141 - AREQUIPE","DERIVADOS",B100="142 - MERMELADA","DERIVADOS",B100="131 - GALLETAS AVENA","DERIVADOS",B100="160 - SOUVENIR","OTROS",B100="148 - CARAMELOS","DERIVADOS",B100="143 - CHOCOFFES","DERIVADOS",B100="162 - CONVENIOS Y DSC POS ","OTROS"),"OTROS")</f>
        <v>ESPECIALES</v>
      </c>
      <c r="L100" s="27">
        <f t="shared" si="18"/>
        <v>1984720</v>
      </c>
      <c r="M100" s="27">
        <f t="shared" si="19"/>
        <v>1984720</v>
      </c>
    </row>
    <row r="101" spans="1:13" ht="16.5" hidden="1" outlineLevel="1">
      <c r="A101" s="59"/>
      <c r="B101" s="39" t="s">
        <v>20</v>
      </c>
      <c r="C101" s="60">
        <v>2584131</v>
      </c>
      <c r="D101" s="60">
        <v>0</v>
      </c>
      <c r="E101" s="36">
        <v>0</v>
      </c>
      <c r="F101" s="48">
        <v>6833481.9699999997</v>
      </c>
      <c r="G101" s="49">
        <f t="shared" si="20"/>
        <v>0.3781572866285034</v>
      </c>
      <c r="H101" s="23">
        <f t="shared" si="21"/>
        <v>0</v>
      </c>
      <c r="I101" s="24">
        <f t="shared" si="21"/>
        <v>0</v>
      </c>
      <c r="J101" s="32" t="str" cm="1">
        <f t="array" ref="J101">IFERROR(_xlfn.IFS(B101="044 - BLEND TRADICION","BLEND",B101="113 - CAFÉ GOURMET","GOURMET",B101="114 - CAFÉ CONSUMO","CONSUMO",B101="112 - CAFÉ ORGANICO","GOURMET",B101="172 - CAFÉ COSECHA","ESPECIALES",B101="176 - CAFE DESCAFEINADO","GOURMET",B101="147 - CAPSULAS","CAPSULAS",B101="130 - GALLETAS CAFECITAS","DERIVADOS",B101="140 - MERENGUES","DERIVADOS",B101="100 - CAFÉ ESPECIAL","ESPECIALES",B101="141 - AREQUIPE","DERIVADOS",B101="142 - MERMELADA","DERIVADOS",B101="131 - GALLETAS AVENA","DERIVADOS",B101="160 - SOUVENIR","OTROS",B101="148 - CARAMELOS","DERIVADOS",B101="143 - CHOCOFFES","DERIVADOS",B101="162 - CONVENIOS Y DSC POS ","OTROS"),"OTROS")</f>
        <v>GOURMET</v>
      </c>
      <c r="L101" s="27">
        <f t="shared" si="18"/>
        <v>2584131</v>
      </c>
      <c r="M101" s="27">
        <f t="shared" si="19"/>
        <v>2584131</v>
      </c>
    </row>
    <row r="102" spans="1:13" ht="16.5" hidden="1" outlineLevel="1">
      <c r="A102" s="59"/>
      <c r="B102" s="39" t="s">
        <v>21</v>
      </c>
      <c r="C102" s="60">
        <v>53848707</v>
      </c>
      <c r="D102" s="60">
        <v>-419240</v>
      </c>
      <c r="E102" s="36"/>
      <c r="F102" s="48">
        <v>128071723.90000001</v>
      </c>
      <c r="G102" s="49">
        <f t="shared" si="20"/>
        <v>0.42045742307682016</v>
      </c>
      <c r="H102" s="23">
        <f t="shared" si="21"/>
        <v>-7.7253705580570421E-3</v>
      </c>
      <c r="I102" s="24">
        <f t="shared" si="21"/>
        <v>0</v>
      </c>
      <c r="J102" s="32" t="str" cm="1">
        <f t="array" ref="J102">IFERROR(_xlfn.IFS(B102="044 - BLEND TRADICION","BLEND",B102="113 - CAFÉ GOURMET","GOURMET",B102="114 - CAFÉ CONSUMO","CONSUMO",B102="112 - CAFÉ ORGANICO","GOURMET",B102="172 - CAFÉ COSECHA","ESPECIALES",B102="176 - CAFE DESCAFEINADO","GOURMET",B102="147 - CAPSULAS","CAPSULAS",B102="130 - GALLETAS CAFECITAS","DERIVADOS",B102="140 - MERENGUES","DERIVADOS",B102="100 - CAFÉ ESPECIAL","ESPECIALES",B102="141 - AREQUIPE","DERIVADOS",B102="142 - MERMELADA","DERIVADOS",B102="131 - GALLETAS AVENA","DERIVADOS",B102="160 - SOUVENIR","OTROS",B102="148 - CARAMELOS","DERIVADOS",B102="143 - CHOCOFFES","DERIVADOS",B102="162 - CONVENIOS Y DSC POS ","OTROS"),"OTROS")</f>
        <v>GOURMET</v>
      </c>
      <c r="L102" s="27">
        <f t="shared" si="18"/>
        <v>54267947</v>
      </c>
      <c r="M102" s="27">
        <f t="shared" si="19"/>
        <v>54267947</v>
      </c>
    </row>
    <row r="103" spans="1:13" ht="16.5" hidden="1" outlineLevel="1">
      <c r="A103" s="59"/>
      <c r="B103" s="39" t="s">
        <v>22</v>
      </c>
      <c r="C103" s="60">
        <v>1742522</v>
      </c>
      <c r="D103" s="60">
        <v>0</v>
      </c>
      <c r="E103" s="36">
        <v>0</v>
      </c>
      <c r="F103" s="48">
        <v>5287340.72</v>
      </c>
      <c r="G103" s="49">
        <f t="shared" si="20"/>
        <v>0.32956491595268333</v>
      </c>
      <c r="H103" s="23">
        <f t="shared" si="21"/>
        <v>0</v>
      </c>
      <c r="I103" s="24">
        <f t="shared" si="21"/>
        <v>0</v>
      </c>
      <c r="J103" s="32" t="str" cm="1">
        <f t="array" ref="J103">IFERROR(_xlfn.IFS(B103="044 - BLEND TRADICION","BLEND",B103="113 - CAFÉ GOURMET","GOURMET",B103="114 - CAFÉ CONSUMO","CONSUMO",B103="112 - CAFÉ ORGANICO","GOURMET",B103="172 - CAFÉ COSECHA","ESPECIALES",B103="176 - CAFE DESCAFEINADO","GOURMET",B103="147 - CAPSULAS","CAPSULAS",B103="130 - GALLETAS CAFECITAS","DERIVADOS",B103="140 - MERENGUES","DERIVADOS",B103="100 - CAFÉ ESPECIAL","ESPECIALES",B103="141 - AREQUIPE","DERIVADOS",B103="142 - MERMELADA","DERIVADOS",B103="131 - GALLETAS AVENA","DERIVADOS",B103="160 - SOUVENIR","OTROS",B103="148 - CARAMELOS","DERIVADOS",B103="143 - CHOCOFFES","DERIVADOS",B103="162 - CONVENIOS Y DSC POS ","OTROS"),"OTROS")</f>
        <v>DERIVADOS</v>
      </c>
      <c r="L103" s="27">
        <f t="shared" si="18"/>
        <v>1742522</v>
      </c>
      <c r="M103" s="27">
        <f t="shared" si="19"/>
        <v>1742522</v>
      </c>
    </row>
    <row r="104" spans="1:13" ht="16.5" hidden="1" outlineLevel="1">
      <c r="A104" s="59"/>
      <c r="B104" s="39" t="s">
        <v>23</v>
      </c>
      <c r="C104" s="60">
        <v>59660</v>
      </c>
      <c r="D104" s="60">
        <v>0</v>
      </c>
      <c r="E104" s="36">
        <v>0</v>
      </c>
      <c r="F104" s="48">
        <v>0</v>
      </c>
      <c r="G104" s="49" t="str">
        <f t="shared" si="20"/>
        <v>-</v>
      </c>
      <c r="H104" s="23">
        <f t="shared" si="21"/>
        <v>0</v>
      </c>
      <c r="I104" s="24">
        <f t="shared" si="21"/>
        <v>0</v>
      </c>
      <c r="J104" s="32" t="str" cm="1">
        <f t="array" ref="J104">IFERROR(_xlfn.IFS(B104="044 - BLEND TRADICION","BLEND",B104="113 - CAFÉ GOURMET","GOURMET",B104="114 - CAFÉ CONSUMO","CONSUMO",B104="112 - CAFÉ ORGANICO","GOURMET",B104="172 - CAFÉ COSECHA","ESPECIALES",B104="176 - CAFE DESCAFEINADO","GOURMET",B104="147 - CAPSULAS","CAPSULAS",B104="130 - GALLETAS CAFECITAS","DERIVADOS",B104="140 - MERENGUES","DERIVADOS",B104="100 - CAFÉ ESPECIAL","ESPECIALES",B104="141 - AREQUIPE","DERIVADOS",B104="142 - MERMELADA","DERIVADOS",B104="131 - GALLETAS AVENA","DERIVADOS",B104="160 - SOUVENIR","OTROS",B104="148 - CARAMELOS","DERIVADOS",B104="143 - CHOCOFFES","DERIVADOS",B104="162 - CONVENIOS Y DSC POS ","OTROS"),"OTROS")</f>
        <v>DERIVADOS</v>
      </c>
      <c r="L104" s="27">
        <f t="shared" si="18"/>
        <v>59660</v>
      </c>
      <c r="M104" s="27">
        <f t="shared" si="19"/>
        <v>59660</v>
      </c>
    </row>
    <row r="105" spans="1:13" ht="16.5" hidden="1" outlineLevel="1">
      <c r="A105" s="59"/>
      <c r="B105" s="39" t="s">
        <v>24</v>
      </c>
      <c r="C105" s="60">
        <v>989937</v>
      </c>
      <c r="D105" s="60">
        <v>0</v>
      </c>
      <c r="E105" s="36"/>
      <c r="F105" s="48">
        <v>843982.64</v>
      </c>
      <c r="G105" s="49">
        <f t="shared" si="20"/>
        <v>1.1729352632182102</v>
      </c>
      <c r="H105" s="23">
        <f t="shared" si="21"/>
        <v>0</v>
      </c>
      <c r="I105" s="24">
        <f t="shared" si="21"/>
        <v>0</v>
      </c>
      <c r="J105" s="32" t="str" cm="1">
        <f t="array" ref="J105">IFERROR(_xlfn.IFS(B105="044 - BLEND TRADICION","BLEND",B105="113 - CAFÉ GOURMET","GOURMET",B105="114 - CAFÉ CONSUMO","CONSUMO",B105="112 - CAFÉ ORGANICO","GOURMET",B105="172 - CAFÉ COSECHA","ESPECIALES",B105="176 - CAFE DESCAFEINADO","GOURMET",B105="147 - CAPSULAS","CAPSULAS",B105="130 - GALLETAS CAFECITAS","DERIVADOS",B105="140 - MERENGUES","DERIVADOS",B105="100 - CAFÉ ESPECIAL","ESPECIALES",B105="141 - AREQUIPE","DERIVADOS",B105="142 - MERMELADA","DERIVADOS",B105="131 - GALLETAS AVENA","DERIVADOS",B105="160 - SOUVENIR","OTROS",B105="148 - CARAMELOS","DERIVADOS",B105="143 - CHOCOFFES","DERIVADOS",B105="162 - CONVENIOS Y DSC POS ","OTROS"),"OTROS")</f>
        <v>DERIVADOS</v>
      </c>
      <c r="L105" s="27">
        <f t="shared" si="18"/>
        <v>989937</v>
      </c>
      <c r="M105" s="27">
        <f t="shared" si="19"/>
        <v>989937</v>
      </c>
    </row>
    <row r="106" spans="1:13" ht="16.5" hidden="1" outlineLevel="1">
      <c r="A106" s="59"/>
      <c r="B106" s="39" t="s">
        <v>25</v>
      </c>
      <c r="C106" s="60">
        <v>1020035</v>
      </c>
      <c r="D106" s="60">
        <v>0</v>
      </c>
      <c r="E106" s="36"/>
      <c r="F106" s="48">
        <v>5547744.04</v>
      </c>
      <c r="G106" s="49">
        <f t="shared" si="20"/>
        <v>0.18386482733258905</v>
      </c>
      <c r="H106" s="23">
        <f t="shared" si="21"/>
        <v>0</v>
      </c>
      <c r="I106" s="24">
        <f t="shared" si="21"/>
        <v>0</v>
      </c>
      <c r="J106" s="32" t="str" cm="1">
        <f t="array" ref="J106">IFERROR(_xlfn.IFS(B106="044 - BLEND TRADICION","BLEND",B106="113 - CAFÉ GOURMET","GOURMET",B106="114 - CAFÉ CONSUMO","CONSUMO",B106="112 - CAFÉ ORGANICO","GOURMET",B106="172 - CAFÉ COSECHA","ESPECIALES",B106="176 - CAFE DESCAFEINADO","GOURMET",B106="147 - CAPSULAS","CAPSULAS",B106="130 - GALLETAS CAFECITAS","DERIVADOS",B106="140 - MERENGUES","DERIVADOS",B106="100 - CAFÉ ESPECIAL","ESPECIALES",B106="141 - AREQUIPE","DERIVADOS",B106="142 - MERMELADA","DERIVADOS",B106="131 - GALLETAS AVENA","DERIVADOS",B106="160 - SOUVENIR","OTROS",B106="148 - CARAMELOS","DERIVADOS",B106="143 - CHOCOFFES","DERIVADOS",B106="162 - CONVENIOS Y DSC POS ","OTROS"),"OTROS")</f>
        <v>DERIVADOS</v>
      </c>
      <c r="L106" s="27">
        <f t="shared" si="18"/>
        <v>1020035</v>
      </c>
      <c r="M106" s="27">
        <f t="shared" si="19"/>
        <v>1020035</v>
      </c>
    </row>
    <row r="107" spans="1:13" ht="16.5" hidden="1" outlineLevel="1">
      <c r="A107" s="59"/>
      <c r="B107" s="39" t="s">
        <v>26</v>
      </c>
      <c r="C107" s="60">
        <v>512940</v>
      </c>
      <c r="D107" s="60">
        <v>0</v>
      </c>
      <c r="E107" s="36"/>
      <c r="F107" s="48">
        <v>1612858.44</v>
      </c>
      <c r="G107" s="49">
        <f t="shared" si="20"/>
        <v>0.31803163084790009</v>
      </c>
      <c r="H107" s="23">
        <f t="shared" si="21"/>
        <v>0</v>
      </c>
      <c r="I107" s="24">
        <f t="shared" si="21"/>
        <v>0</v>
      </c>
      <c r="J107" s="32" t="str" cm="1">
        <f t="array" ref="J107">IFERROR(_xlfn.IFS(B107="044 - BLEND TRADICION","BLEND",B107="113 - CAFÉ GOURMET","GOURMET",B107="114 - CAFÉ CONSUMO","CONSUMO",B107="112 - CAFÉ ORGANICO","GOURMET",B107="172 - CAFÉ COSECHA","ESPECIALES",B107="176 - CAFE DESCAFEINADO","GOURMET",B107="147 - CAPSULAS","CAPSULAS",B107="130 - GALLETAS CAFECITAS","DERIVADOS",B107="140 - MERENGUES","DERIVADOS",B107="100 - CAFÉ ESPECIAL","ESPECIALES",B107="141 - AREQUIPE","DERIVADOS",B107="142 - MERMELADA","DERIVADOS",B107="131 - GALLETAS AVENA","DERIVADOS",B107="160 - SOUVENIR","OTROS",B107="148 - CARAMELOS","DERIVADOS",B107="143 - CHOCOFFES","DERIVADOS",B107="162 - CONVENIOS Y DSC POS ","OTROS"),"OTROS")</f>
        <v>CAPSULAS</v>
      </c>
      <c r="L107" s="27">
        <f t="shared" si="18"/>
        <v>512940</v>
      </c>
      <c r="M107" s="27">
        <f t="shared" si="19"/>
        <v>512940</v>
      </c>
    </row>
    <row r="108" spans="1:13" ht="16.5" hidden="1" outlineLevel="1">
      <c r="A108" s="59"/>
      <c r="B108" s="39" t="s">
        <v>27</v>
      </c>
      <c r="C108" s="60">
        <v>1589353</v>
      </c>
      <c r="D108" s="60">
        <v>0</v>
      </c>
      <c r="E108" s="36"/>
      <c r="F108" s="48">
        <v>6748851.9699999997</v>
      </c>
      <c r="G108" s="49">
        <f t="shared" si="20"/>
        <v>0.23549975715351185</v>
      </c>
      <c r="H108" s="23">
        <f t="shared" si="21"/>
        <v>0</v>
      </c>
      <c r="I108" s="24">
        <f t="shared" si="21"/>
        <v>0</v>
      </c>
      <c r="J108" s="32" t="str" cm="1">
        <f t="array" ref="J108">IFERROR(_xlfn.IFS(B108="044 - BLEND TRADICION","BLEND",B108="113 - CAFÉ GOURMET","GOURMET",B108="114 - CAFÉ CONSUMO","CONSUMO",B108="112 - CAFÉ ORGANICO","GOURMET",B108="172 - CAFÉ COSECHA","ESPECIALES",B108="176 - CAFE DESCAFEINADO","GOURMET",B108="147 - CAPSULAS","CAPSULAS",B108="130 - GALLETAS CAFECITAS","DERIVADOS",B108="140 - MERENGUES","DERIVADOS",B108="100 - CAFÉ ESPECIAL","ESPECIALES",B108="141 - AREQUIPE","DERIVADOS",B108="142 - MERMELADA","DERIVADOS",B108="131 - GALLETAS AVENA","DERIVADOS",B108="160 - SOUVENIR","OTROS",B108="148 - CARAMELOS","DERIVADOS",B108="143 - CHOCOFFES","DERIVADOS",B108="162 - CONVENIOS Y DSC POS ","OTROS"),"OTROS")</f>
        <v>DERIVADOS</v>
      </c>
      <c r="L108" s="27">
        <f t="shared" si="18"/>
        <v>1589353</v>
      </c>
      <c r="M108" s="27">
        <f t="shared" si="19"/>
        <v>1589353</v>
      </c>
    </row>
    <row r="109" spans="1:13" ht="16.5" hidden="1" outlineLevel="1">
      <c r="A109" s="59"/>
      <c r="B109" s="39" t="s">
        <v>28</v>
      </c>
      <c r="C109" s="60">
        <v>2932775</v>
      </c>
      <c r="D109" s="60">
        <v>0</v>
      </c>
      <c r="E109" s="36"/>
      <c r="F109" s="48">
        <v>13175768.16</v>
      </c>
      <c r="G109" s="49">
        <f t="shared" si="20"/>
        <v>0.22258854014322607</v>
      </c>
      <c r="H109" s="23">
        <f t="shared" si="21"/>
        <v>0</v>
      </c>
      <c r="I109" s="24">
        <f t="shared" si="21"/>
        <v>0</v>
      </c>
      <c r="J109" s="32" t="str" cm="1">
        <f t="array" ref="J109">IFERROR(_xlfn.IFS(B109="044 - BLEND TRADICION","BLEND",B109="113 - CAFÉ GOURMET","GOURMET",B109="114 - CAFÉ CONSUMO","CONSUMO",B109="112 - CAFÉ ORGANICO","GOURMET",B109="172 - CAFÉ COSECHA","ESPECIALES",B109="176 - CAFE DESCAFEINADO","GOURMET",B109="147 - CAPSULAS","CAPSULAS",B109="130 - GALLETAS CAFECITAS","DERIVADOS",B109="140 - MERENGUES","DERIVADOS",B109="100 - CAFÉ ESPECIAL","ESPECIALES",B109="141 - AREQUIPE","DERIVADOS",B109="142 - MERMELADA","DERIVADOS",B109="131 - GALLETAS AVENA","DERIVADOS",B109="160 - SOUVENIR","OTROS",B109="148 - CARAMELOS","DERIVADOS",B109="143 - CHOCOFFES","DERIVADOS",B109="162 - CONVENIOS Y DSC POS ","OTROS"),"OTROS")</f>
        <v>OTROS</v>
      </c>
      <c r="L109" s="27">
        <f t="shared" si="18"/>
        <v>2932775</v>
      </c>
      <c r="M109" s="27">
        <f t="shared" si="19"/>
        <v>2932775</v>
      </c>
    </row>
    <row r="110" spans="1:13" ht="16.5" hidden="1" outlineLevel="1">
      <c r="A110" s="59"/>
      <c r="B110" s="39" t="s">
        <v>29</v>
      </c>
      <c r="C110" s="60">
        <v>3809495</v>
      </c>
      <c r="D110" s="60">
        <v>0</v>
      </c>
      <c r="E110" s="36"/>
      <c r="F110" s="48">
        <v>23863639.710000001</v>
      </c>
      <c r="G110" s="49">
        <f t="shared" si="20"/>
        <v>0.15963595856685853</v>
      </c>
      <c r="H110" s="23">
        <f t="shared" si="21"/>
        <v>0</v>
      </c>
      <c r="I110" s="24">
        <f t="shared" si="21"/>
        <v>0</v>
      </c>
      <c r="J110" s="32" t="str" cm="1">
        <f t="array" ref="J110">IFERROR(_xlfn.IFS(B110="044 - BLEND TRADICION","BLEND",B110="113 - CAFÉ GOURMET","GOURMET",B110="114 - CAFÉ CONSUMO","CONSUMO",B110="112 - CAFÉ ORGANICO","GOURMET",B110="172 - CAFÉ COSECHA","ESPECIALES",B110="176 - CAFE DESCAFEINADO","GOURMET",B110="147 - CAPSULAS","CAPSULAS",B110="130 - GALLETAS CAFECITAS","DERIVADOS",B110="140 - MERENGUES","DERIVADOS",B110="100 - CAFÉ ESPECIAL","ESPECIALES",B110="141 - AREQUIPE","DERIVADOS",B110="142 - MERMELADA","DERIVADOS",B110="131 - GALLETAS AVENA","DERIVADOS",B110="160 - SOUVENIR","OTROS",B110="148 - CARAMELOS","DERIVADOS",B110="143 - CHOCOFFES","DERIVADOS",B110="162 - CONVENIOS Y DSC POS ","OTROS"),"OTROS")</f>
        <v>ESPECIALES</v>
      </c>
      <c r="L110" s="27">
        <f t="shared" si="18"/>
        <v>3809495</v>
      </c>
      <c r="M110" s="27">
        <f t="shared" si="19"/>
        <v>3809495</v>
      </c>
    </row>
    <row r="111" spans="1:13" ht="16.5" hidden="1" outlineLevel="1">
      <c r="A111" s="59"/>
      <c r="B111" s="39" t="s">
        <v>30</v>
      </c>
      <c r="C111" s="60">
        <v>1613184</v>
      </c>
      <c r="D111" s="60">
        <v>0</v>
      </c>
      <c r="E111" s="36">
        <v>0</v>
      </c>
      <c r="F111" s="48">
        <v>1665594.24</v>
      </c>
      <c r="G111" s="49">
        <f t="shared" si="20"/>
        <v>0.96853360876175942</v>
      </c>
      <c r="H111" s="23">
        <f t="shared" ref="H111:I130" si="22">IFERROR(+D111/L111*100%,0)</f>
        <v>0</v>
      </c>
      <c r="I111" s="24">
        <f t="shared" si="22"/>
        <v>0</v>
      </c>
      <c r="J111" s="32" t="str" cm="1">
        <f t="array" ref="J111">IFERROR(_xlfn.IFS(B111="044 - BLEND TRADICION","BLEND",B111="113 - CAFÉ GOURMET","GOURMET",B111="114 - CAFÉ CONSUMO","CONSUMO",B111="112 - CAFÉ ORGANICO","GOURMET",B111="172 - CAFÉ COSECHA","ESPECIALES",B111="176 - CAFE DESCAFEINADO","GOURMET",B111="147 - CAPSULAS","CAPSULAS",B111="130 - GALLETAS CAFECITAS","DERIVADOS",B111="140 - MERENGUES","DERIVADOS",B111="100 - CAFÉ ESPECIAL","ESPECIALES",B111="141 - AREQUIPE","DERIVADOS",B111="142 - MERMELADA","DERIVADOS",B111="131 - GALLETAS AVENA","DERIVADOS",B111="160 - SOUVENIR","OTROS",B111="148 - CARAMELOS","DERIVADOS",B111="143 - CHOCOFFES","DERIVADOS",B111="162 - CONVENIOS Y DSC POS ","OTROS"),"OTROS")</f>
        <v>GOURMET</v>
      </c>
      <c r="L111" s="27">
        <f t="shared" si="18"/>
        <v>1613184</v>
      </c>
      <c r="M111" s="27">
        <f t="shared" si="19"/>
        <v>1613184</v>
      </c>
    </row>
    <row r="112" spans="1:13" ht="16.5" hidden="1" outlineLevel="1">
      <c r="A112" s="19" t="s">
        <v>46</v>
      </c>
      <c r="B112" s="56" t="s">
        <v>32</v>
      </c>
      <c r="C112" s="54">
        <f>SUM(C99:C111)</f>
        <v>74154459</v>
      </c>
      <c r="D112" s="54">
        <f>SUM(D99:D111)</f>
        <v>-419240</v>
      </c>
      <c r="E112" s="54">
        <f>SUM(E99:E111)</f>
        <v>0</v>
      </c>
      <c r="F112" s="54">
        <f>SUM(F99:F111)</f>
        <v>202995714.88999999</v>
      </c>
      <c r="G112" s="55">
        <f t="shared" si="20"/>
        <v>0.36530061257787177</v>
      </c>
      <c r="H112" s="23">
        <f t="shared" si="22"/>
        <v>-5.6218211731725951E-3</v>
      </c>
      <c r="I112" s="24">
        <f t="shared" si="22"/>
        <v>0</v>
      </c>
      <c r="J112" s="32" t="str" cm="1">
        <f t="array" ref="J112">IFERROR(_xlfn.IFS(B112="044 - BLEND TRADICION","BLEND",B112="113 - CAFÉ GOURMET","GOURMET",B112="114 - CAFÉ CONSUMO","CONSUMO",B112="112 - CAFÉ ORGANICO","GOURMET",B112="172 - CAFÉ COSECHA","ESPECIALES",B112="176 - CAFE DESCAFEINADO","GOURMET",B112="147 - CAPSULAS","CAPSULAS",B112="130 - GALLETAS CAFECITAS","DERIVADOS",B112="140 - MERENGUES","DERIVADOS",B112="100 - CAFÉ ESPECIAL","ESPECIALES",B112="141 - AREQUIPE","DERIVADOS",B112="142 - MERMELADA","DERIVADOS",B112="131 - GALLETAS AVENA","DERIVADOS",B112="160 - SOUVENIR","OTROS",B112="148 - CARAMELOS","DERIVADOS",B112="143 - CHOCOFFES","DERIVADOS",B112="162 - CONVENIOS Y DSC POS ","OTROS"),"OTROS")</f>
        <v>OTROS</v>
      </c>
      <c r="L112" s="27">
        <f t="shared" si="18"/>
        <v>74573699</v>
      </c>
      <c r="M112" s="27">
        <f t="shared" si="19"/>
        <v>74573699</v>
      </c>
    </row>
    <row r="113" spans="1:13" ht="16.5" collapsed="1">
      <c r="A113" s="28" t="s">
        <v>47</v>
      </c>
      <c r="B113" s="29" t="s">
        <v>17</v>
      </c>
      <c r="C113" s="30">
        <f>+C135+C150+C167+C183+C198+C121</f>
        <v>251910351</v>
      </c>
      <c r="D113" s="30">
        <f>+D135+D150+D167+D183+D198+D121</f>
        <v>-1148844</v>
      </c>
      <c r="E113" s="30">
        <f>+E135+E150+E167+E183+E198+E121</f>
        <v>-52019</v>
      </c>
      <c r="F113" s="30">
        <f>+F135+F150+F167+F183+F198+F121</f>
        <v>720187835.9799999</v>
      </c>
      <c r="G113" s="31">
        <f t="shared" si="20"/>
        <v>0.34978423463263786</v>
      </c>
      <c r="H113" s="23">
        <f t="shared" si="22"/>
        <v>-4.5388901654906527E-3</v>
      </c>
      <c r="I113" s="24">
        <f t="shared" si="22"/>
        <v>-2.0551835368305728E-4</v>
      </c>
      <c r="J113" s="32" t="str" cm="1">
        <f t="array" ref="J113">IFERROR(_xlfn.IFS(B113="044 - BLEND TRADICION","BLEND",B113="113 - CAFÉ GOURMET","GOURMET",B113="114 - CAFÉ CONSUMO","CONSUMO",B113="112 - CAFÉ ORGANICO","GOURMET",B113="172 - CAFÉ COSECHA","ESPECIALES",B113="176 - CAFE DESCAFEINADO","GOURMET",B113="147 - CAPSULAS","CAPSULAS",B113="130 - GALLETAS CAFECITAS","DERIVADOS",B113="140 - MERENGUES","DERIVADOS",B113="100 - CAFÉ ESPECIAL","ESPECIALES",B113="141 - AREQUIPE","DERIVADOS",B113="142 - MERMELADA","DERIVADOS",B113="131 - GALLETAS AVENA","DERIVADOS",B113="160 - SOUVENIR","OTROS",B113="148 - CARAMELOS","DERIVADOS",B113="143 - CHOCOFFES","DERIVADOS",B113="162 - CONVENIOS Y DSC POS ","OTROS"),"OTROS")</f>
        <v>OTROS</v>
      </c>
      <c r="L113" s="27">
        <f t="shared" si="18"/>
        <v>253111214</v>
      </c>
      <c r="M113" s="27">
        <f t="shared" si="19"/>
        <v>253111214</v>
      </c>
    </row>
    <row r="114" spans="1:13" ht="16.5" hidden="1" outlineLevel="1">
      <c r="A114" s="38"/>
      <c r="B114" s="39" t="s">
        <v>19</v>
      </c>
      <c r="C114" s="36">
        <v>0</v>
      </c>
      <c r="D114" s="36">
        <v>0</v>
      </c>
      <c r="E114" s="36">
        <v>0</v>
      </c>
      <c r="F114" s="36">
        <v>397872.45</v>
      </c>
      <c r="G114" s="37">
        <f t="shared" si="20"/>
        <v>0</v>
      </c>
      <c r="H114" s="23">
        <f t="shared" si="22"/>
        <v>0</v>
      </c>
      <c r="I114" s="24">
        <f t="shared" si="22"/>
        <v>0</v>
      </c>
      <c r="J114" s="32" t="str" cm="1">
        <f t="array" ref="J114">IFERROR(_xlfn.IFS(B114="044 - BLEND TRADICION","BLEND",B114="113 - CAFÉ GOURMET","GOURMET",B114="114 - CAFÉ CONSUMO","CONSUMO",B114="112 - CAFÉ ORGANICO","GOURMET",B114="172 - CAFÉ COSECHA","ESPECIALES",B114="176 - CAFE DESCAFEINADO","GOURMET",B114="147 - CAPSULAS","CAPSULAS",B114="130 - GALLETAS CAFECITAS","DERIVADOS",B114="140 - MERENGUES","DERIVADOS",B114="100 - CAFÉ ESPECIAL","ESPECIALES",B114="141 - AREQUIPE","DERIVADOS",B114="142 - MERMELADA","DERIVADOS",B114="131 - GALLETAS AVENA","DERIVADOS",B114="160 - SOUVENIR","OTROS",B114="148 - CARAMELOS","DERIVADOS",B114="143 - CHOCOFFES","DERIVADOS",B114="162 - CONVENIOS Y DSC POS ","OTROS"),"OTROS")</f>
        <v>ESPECIALES</v>
      </c>
      <c r="L114" s="27">
        <f t="shared" si="18"/>
        <v>0</v>
      </c>
      <c r="M114" s="27">
        <f t="shared" si="19"/>
        <v>0</v>
      </c>
    </row>
    <row r="115" spans="1:13" ht="16.5" hidden="1" outlineLevel="1">
      <c r="A115" s="38"/>
      <c r="B115" s="39" t="s">
        <v>20</v>
      </c>
      <c r="C115" s="36">
        <v>0</v>
      </c>
      <c r="D115" s="36">
        <v>0</v>
      </c>
      <c r="E115" s="36"/>
      <c r="F115" s="36">
        <v>550199.43000000005</v>
      </c>
      <c r="G115" s="37">
        <f t="shared" si="20"/>
        <v>0</v>
      </c>
      <c r="H115" s="23">
        <f t="shared" si="22"/>
        <v>0</v>
      </c>
      <c r="I115" s="24">
        <f t="shared" si="22"/>
        <v>0</v>
      </c>
      <c r="J115" s="32" t="str" cm="1">
        <f t="array" ref="J115">IFERROR(_xlfn.IFS(B115="044 - BLEND TRADICION","BLEND",B115="113 - CAFÉ GOURMET","GOURMET",B115="114 - CAFÉ CONSUMO","CONSUMO",B115="112 - CAFÉ ORGANICO","GOURMET",B115="172 - CAFÉ COSECHA","ESPECIALES",B115="176 - CAFE DESCAFEINADO","GOURMET",B115="147 - CAPSULAS","CAPSULAS",B115="130 - GALLETAS CAFECITAS","DERIVADOS",B115="140 - MERENGUES","DERIVADOS",B115="100 - CAFÉ ESPECIAL","ESPECIALES",B115="141 - AREQUIPE","DERIVADOS",B115="142 - MERMELADA","DERIVADOS",B115="131 - GALLETAS AVENA","DERIVADOS",B115="160 - SOUVENIR","OTROS",B115="148 - CARAMELOS","DERIVADOS",B115="143 - CHOCOFFES","DERIVADOS",B115="162 - CONVENIOS Y DSC POS ","OTROS"),"OTROS")</f>
        <v>GOURMET</v>
      </c>
      <c r="L115" s="27">
        <f t="shared" si="18"/>
        <v>0</v>
      </c>
      <c r="M115" s="27">
        <f t="shared" si="19"/>
        <v>0</v>
      </c>
    </row>
    <row r="116" spans="1:13" ht="16.5" hidden="1" outlineLevel="1">
      <c r="A116" s="38"/>
      <c r="B116" s="39" t="s">
        <v>21</v>
      </c>
      <c r="C116" s="36">
        <v>0</v>
      </c>
      <c r="D116" s="36">
        <v>0</v>
      </c>
      <c r="E116" s="36"/>
      <c r="F116" s="36">
        <v>1226924.78</v>
      </c>
      <c r="G116" s="37">
        <f t="shared" si="20"/>
        <v>0</v>
      </c>
      <c r="H116" s="23">
        <f t="shared" si="22"/>
        <v>0</v>
      </c>
      <c r="I116" s="24">
        <f t="shared" si="22"/>
        <v>0</v>
      </c>
      <c r="J116" s="32" t="str" cm="1">
        <f t="array" ref="J116">IFERROR(_xlfn.IFS(B116="044 - BLEND TRADICION","BLEND",B116="113 - CAFÉ GOURMET","GOURMET",B116="114 - CAFÉ CONSUMO","CONSUMO",B116="112 - CAFÉ ORGANICO","GOURMET",B116="172 - CAFÉ COSECHA","ESPECIALES",B116="176 - CAFE DESCAFEINADO","GOURMET",B116="147 - CAPSULAS","CAPSULAS",B116="130 - GALLETAS CAFECITAS","DERIVADOS",B116="140 - MERENGUES","DERIVADOS",B116="100 - CAFÉ ESPECIAL","ESPECIALES",B116="141 - AREQUIPE","DERIVADOS",B116="142 - MERMELADA","DERIVADOS",B116="131 - GALLETAS AVENA","DERIVADOS",B116="160 - SOUVENIR","OTROS",B116="148 - CARAMELOS","DERIVADOS",B116="143 - CHOCOFFES","DERIVADOS",B116="162 - CONVENIOS Y DSC POS ","OTROS"),"OTROS")</f>
        <v>GOURMET</v>
      </c>
      <c r="L116" s="27">
        <f t="shared" si="18"/>
        <v>0</v>
      </c>
      <c r="M116" s="27">
        <f t="shared" si="19"/>
        <v>0</v>
      </c>
    </row>
    <row r="117" spans="1:13" ht="16.5" hidden="1" outlineLevel="1">
      <c r="A117" s="38"/>
      <c r="B117" s="39" t="s">
        <v>22</v>
      </c>
      <c r="C117" s="36">
        <v>0</v>
      </c>
      <c r="D117" s="36">
        <v>0</v>
      </c>
      <c r="E117" s="36"/>
      <c r="F117" s="36">
        <v>231859.77</v>
      </c>
      <c r="G117" s="37">
        <f t="shared" si="20"/>
        <v>0</v>
      </c>
      <c r="H117" s="23">
        <f t="shared" si="22"/>
        <v>0</v>
      </c>
      <c r="I117" s="24">
        <f t="shared" si="22"/>
        <v>0</v>
      </c>
      <c r="J117" s="32" t="str" cm="1">
        <f t="array" ref="J117">IFERROR(_xlfn.IFS(B117="044 - BLEND TRADICION","BLEND",B117="113 - CAFÉ GOURMET","GOURMET",B117="114 - CAFÉ CONSUMO","CONSUMO",B117="112 - CAFÉ ORGANICO","GOURMET",B117="172 - CAFÉ COSECHA","ESPECIALES",B117="176 - CAFE DESCAFEINADO","GOURMET",B117="147 - CAPSULAS","CAPSULAS",B117="130 - GALLETAS CAFECITAS","DERIVADOS",B117="140 - MERENGUES","DERIVADOS",B117="100 - CAFÉ ESPECIAL","ESPECIALES",B117="141 - AREQUIPE","DERIVADOS",B117="142 - MERMELADA","DERIVADOS",B117="131 - GALLETAS AVENA","DERIVADOS",B117="160 - SOUVENIR","OTROS",B117="148 - CARAMELOS","DERIVADOS",B117="143 - CHOCOFFES","DERIVADOS",B117="162 - CONVENIOS Y DSC POS ","OTROS"),"OTROS")</f>
        <v>DERIVADOS</v>
      </c>
      <c r="L117" s="27">
        <f t="shared" si="18"/>
        <v>0</v>
      </c>
      <c r="M117" s="27">
        <f t="shared" si="19"/>
        <v>0</v>
      </c>
    </row>
    <row r="118" spans="1:13" ht="16.5" hidden="1" outlineLevel="1">
      <c r="A118" s="38"/>
      <c r="B118" s="39" t="s">
        <v>28</v>
      </c>
      <c r="C118" s="36">
        <v>0</v>
      </c>
      <c r="D118" s="36">
        <v>0</v>
      </c>
      <c r="E118" s="36"/>
      <c r="F118" s="36">
        <v>197515.99</v>
      </c>
      <c r="G118" s="37">
        <f t="shared" ref="G118:G119" si="23">IFERROR(C118/F118*100%,"-")</f>
        <v>0</v>
      </c>
      <c r="H118" s="23">
        <f t="shared" ref="H118:H119" si="24">IFERROR(+D118/L118*100%,0)</f>
        <v>0</v>
      </c>
      <c r="I118" s="24">
        <f t="shared" ref="I118:I119" si="25">IFERROR(+E118/M118*100%,0)</f>
        <v>0</v>
      </c>
      <c r="J118" s="32" t="str" cm="1">
        <f t="array" ref="J118">IFERROR(_xlfn.IFS(B118="044 - BLEND TRADICION","BLEND",B118="113 - CAFÉ GOURMET","GOURMET",B118="114 - CAFÉ CONSUMO","CONSUMO",B118="112 - CAFÉ ORGANICO","GOURMET",B118="172 - CAFÉ COSECHA","ESPECIALES",B118="176 - CAFE DESCAFEINADO","GOURMET",B118="147 - CAPSULAS","CAPSULAS",B118="130 - GALLETAS CAFECITAS","DERIVADOS",B118="140 - MERENGUES","DERIVADOS",B118="100 - CAFÉ ESPECIAL","ESPECIALES",B118="141 - AREQUIPE","DERIVADOS",B118="142 - MERMELADA","DERIVADOS",B118="131 - GALLETAS AVENA","DERIVADOS",B118="160 - SOUVENIR","OTROS",B118="148 - CARAMELOS","DERIVADOS",B118="143 - CHOCOFFES","DERIVADOS",B118="162 - CONVENIOS Y DSC POS ","OTROS"),"OTROS")</f>
        <v>OTROS</v>
      </c>
      <c r="L118" s="27">
        <f t="shared" ref="L118:L119" si="26">C118-(D118+E118)</f>
        <v>0</v>
      </c>
      <c r="M118" s="27">
        <f t="shared" ref="M118:M119" si="27">L118</f>
        <v>0</v>
      </c>
    </row>
    <row r="119" spans="1:13" ht="16.5" hidden="1" outlineLevel="1">
      <c r="A119" s="38"/>
      <c r="B119" s="39" t="s">
        <v>50</v>
      </c>
      <c r="C119" s="36">
        <v>-189774</v>
      </c>
      <c r="D119" s="36">
        <v>0</v>
      </c>
      <c r="E119" s="36"/>
      <c r="F119" s="36">
        <v>0</v>
      </c>
      <c r="G119" s="37" t="str">
        <f t="shared" si="23"/>
        <v>-</v>
      </c>
      <c r="H119" s="23">
        <f t="shared" si="24"/>
        <v>0</v>
      </c>
      <c r="I119" s="24">
        <f t="shared" si="25"/>
        <v>0</v>
      </c>
      <c r="J119" s="32" t="str" cm="1">
        <f t="array" ref="J119">IFERROR(_xlfn.IFS(B119="044 - BLEND TRADICION","BLEND",B119="113 - CAFÉ GOURMET","GOURMET",B119="114 - CAFÉ CONSUMO","CONSUMO",B119="112 - CAFÉ ORGANICO","GOURMET",B119="172 - CAFÉ COSECHA","ESPECIALES",B119="176 - CAFE DESCAFEINADO","GOURMET",B119="147 - CAPSULAS","CAPSULAS",B119="130 - GALLETAS CAFECITAS","DERIVADOS",B119="140 - MERENGUES","DERIVADOS",B119="100 - CAFÉ ESPECIAL","ESPECIALES",B119="141 - AREQUIPE","DERIVADOS",B119="142 - MERMELADA","DERIVADOS",B119="131 - GALLETAS AVENA","DERIVADOS",B119="160 - SOUVENIR","OTROS",B119="148 - CARAMELOS","DERIVADOS",B119="143 - CHOCOFFES","DERIVADOS",B119="162 - CONVENIOS Y DSC POS ","OTROS"),"OTROS")</f>
        <v>OTROS</v>
      </c>
      <c r="L119" s="27">
        <f t="shared" si="26"/>
        <v>-189774</v>
      </c>
      <c r="M119" s="27">
        <f t="shared" si="27"/>
        <v>-189774</v>
      </c>
    </row>
    <row r="120" spans="1:13" ht="16.5" hidden="1" outlineLevel="1">
      <c r="A120" s="38"/>
      <c r="B120" s="39" t="s">
        <v>29</v>
      </c>
      <c r="C120" s="36">
        <v>0</v>
      </c>
      <c r="D120" s="36">
        <v>0</v>
      </c>
      <c r="E120" s="36"/>
      <c r="F120" s="36">
        <v>934062.72</v>
      </c>
      <c r="G120" s="37">
        <f t="shared" si="20"/>
        <v>0</v>
      </c>
      <c r="H120" s="23">
        <f t="shared" si="22"/>
        <v>0</v>
      </c>
      <c r="I120" s="24">
        <f t="shared" si="22"/>
        <v>0</v>
      </c>
      <c r="J120" s="32" t="str" cm="1">
        <f t="array" ref="J120">IFERROR(_xlfn.IFS(B120="044 - BLEND TRADICION","BLEND",B120="113 - CAFÉ GOURMET","GOURMET",B120="114 - CAFÉ CONSUMO","CONSUMO",B120="112 - CAFÉ ORGANICO","GOURMET",B120="172 - CAFÉ COSECHA","ESPECIALES",B120="176 - CAFE DESCAFEINADO","GOURMET",B120="147 - CAPSULAS","CAPSULAS",B120="130 - GALLETAS CAFECITAS","DERIVADOS",B120="140 - MERENGUES","DERIVADOS",B120="100 - CAFÉ ESPECIAL","ESPECIALES",B120="141 - AREQUIPE","DERIVADOS",B120="142 - MERMELADA","DERIVADOS",B120="131 - GALLETAS AVENA","DERIVADOS",B120="160 - SOUVENIR","OTROS",B120="148 - CARAMELOS","DERIVADOS",B120="143 - CHOCOFFES","DERIVADOS",B120="162 - CONVENIOS Y DSC POS ","OTROS"),"OTROS")</f>
        <v>ESPECIALES</v>
      </c>
      <c r="L120" s="27">
        <f t="shared" si="18"/>
        <v>0</v>
      </c>
      <c r="M120" s="27">
        <f t="shared" si="19"/>
        <v>0</v>
      </c>
    </row>
    <row r="121" spans="1:13" ht="16.5" hidden="1" outlineLevel="1">
      <c r="A121" s="19" t="s">
        <v>48</v>
      </c>
      <c r="B121" s="56" t="s">
        <v>32</v>
      </c>
      <c r="C121" s="54">
        <f>SUM(C114:C120)</f>
        <v>-189774</v>
      </c>
      <c r="D121" s="54">
        <f>SUM(D114:D120)</f>
        <v>0</v>
      </c>
      <c r="E121" s="54">
        <f>SUM(E114:E120)</f>
        <v>0</v>
      </c>
      <c r="F121" s="54">
        <f>SUM(F114:F120)</f>
        <v>3538435.1399999997</v>
      </c>
      <c r="G121" s="55">
        <f t="shared" si="20"/>
        <v>-5.3632182728097152E-2</v>
      </c>
      <c r="H121" s="23">
        <f t="shared" si="22"/>
        <v>0</v>
      </c>
      <c r="I121" s="24">
        <f t="shared" si="22"/>
        <v>0</v>
      </c>
      <c r="J121" s="32" t="str" cm="1">
        <f t="array" ref="J121">IFERROR(_xlfn.IFS(B121="044 - BLEND TRADICION","BLEND",B121="113 - CAFÉ GOURMET","GOURMET",B121="114 - CAFÉ CONSUMO","CONSUMO",B121="112 - CAFÉ ORGANICO","GOURMET",B121="172 - CAFÉ COSECHA","ESPECIALES",B121="176 - CAFE DESCAFEINADO","GOURMET",B121="147 - CAPSULAS","CAPSULAS",B121="130 - GALLETAS CAFECITAS","DERIVADOS",B121="140 - MERENGUES","DERIVADOS",B121="100 - CAFÉ ESPECIAL","ESPECIALES",B121="141 - AREQUIPE","DERIVADOS",B121="142 - MERMELADA","DERIVADOS",B121="131 - GALLETAS AVENA","DERIVADOS",B121="160 - SOUVENIR","OTROS",B121="148 - CARAMELOS","DERIVADOS",B121="143 - CHOCOFFES","DERIVADOS",B121="162 - CONVENIOS Y DSC POS ","OTROS"),"OTROS")</f>
        <v>OTROS</v>
      </c>
      <c r="L121" s="27">
        <f t="shared" si="18"/>
        <v>-189774</v>
      </c>
      <c r="M121" s="27">
        <f t="shared" si="19"/>
        <v>-189774</v>
      </c>
    </row>
    <row r="122" spans="1:13" ht="16.5" hidden="1" outlineLevel="1">
      <c r="A122" s="33"/>
      <c r="B122" s="39" t="s">
        <v>18</v>
      </c>
      <c r="C122" s="36">
        <v>4064568</v>
      </c>
      <c r="D122" s="36">
        <v>0</v>
      </c>
      <c r="E122" s="36">
        <v>0</v>
      </c>
      <c r="F122" s="36">
        <v>4604527.18</v>
      </c>
      <c r="G122" s="37">
        <f t="shared" si="20"/>
        <v>0.88273298019711122</v>
      </c>
      <c r="H122" s="23">
        <f t="shared" si="22"/>
        <v>0</v>
      </c>
      <c r="I122" s="24">
        <f t="shared" si="22"/>
        <v>0</v>
      </c>
      <c r="J122" s="32" t="str" cm="1">
        <f t="array" ref="J122">IFERROR(_xlfn.IFS(B122="044 - BLEND TRADICION","BLEND",B122="113 - CAFÉ GOURMET","GOURMET",B122="114 - CAFÉ CONSUMO","CONSUMO",B122="112 - CAFÉ ORGANICO","GOURMET",B122="172 - CAFÉ COSECHA","ESPECIALES",B122="176 - CAFE DESCAFEINADO","GOURMET",B122="147 - CAPSULAS","CAPSULAS",B122="130 - GALLETAS CAFECITAS","DERIVADOS",B122="140 - MERENGUES","DERIVADOS",B122="100 - CAFÉ ESPECIAL","ESPECIALES",B122="141 - AREQUIPE","DERIVADOS",B122="142 - MERMELADA","DERIVADOS",B122="131 - GALLETAS AVENA","DERIVADOS",B122="160 - SOUVENIR","OTROS",B122="148 - CARAMELOS","DERIVADOS",B122="143 - CHOCOFFES","DERIVADOS",B122="162 - CONVENIOS Y DSC POS ","OTROS"),"OTROS")</f>
        <v>BLEND</v>
      </c>
      <c r="L122" s="27">
        <f t="shared" si="18"/>
        <v>4064568</v>
      </c>
      <c r="M122" s="27">
        <f t="shared" si="19"/>
        <v>4064568</v>
      </c>
    </row>
    <row r="123" spans="1:13" ht="16.5" hidden="1" outlineLevel="1">
      <c r="A123" s="38"/>
      <c r="B123" s="39" t="s">
        <v>19</v>
      </c>
      <c r="C123" s="36">
        <v>290640</v>
      </c>
      <c r="D123" s="36">
        <v>0</v>
      </c>
      <c r="E123" s="36">
        <v>0</v>
      </c>
      <c r="F123" s="36">
        <v>904271.48</v>
      </c>
      <c r="G123" s="37">
        <f t="shared" si="20"/>
        <v>0.32140790285678367</v>
      </c>
      <c r="H123" s="23">
        <f t="shared" si="22"/>
        <v>0</v>
      </c>
      <c r="I123" s="24">
        <f t="shared" si="22"/>
        <v>0</v>
      </c>
      <c r="J123" s="32" t="str" cm="1">
        <f t="array" ref="J123">IFERROR(_xlfn.IFS(B123="044 - BLEND TRADICION","BLEND",B123="113 - CAFÉ GOURMET","GOURMET",B123="114 - CAFÉ CONSUMO","CONSUMO",B123="112 - CAFÉ ORGANICO","GOURMET",B123="172 - CAFÉ COSECHA","ESPECIALES",B123="176 - CAFE DESCAFEINADO","GOURMET",B123="147 - CAPSULAS","CAPSULAS",B123="130 - GALLETAS CAFECITAS","DERIVADOS",B123="140 - MERENGUES","DERIVADOS",B123="100 - CAFÉ ESPECIAL","ESPECIALES",B123="141 - AREQUIPE","DERIVADOS",B123="142 - MERMELADA","DERIVADOS",B123="131 - GALLETAS AVENA","DERIVADOS",B123="160 - SOUVENIR","OTROS",B123="148 - CARAMELOS","DERIVADOS",B123="143 - CHOCOFFES","DERIVADOS",B123="162 - CONVENIOS Y DSC POS ","OTROS"),"OTROS")</f>
        <v>ESPECIALES</v>
      </c>
      <c r="L123" s="27">
        <f t="shared" si="18"/>
        <v>290640</v>
      </c>
      <c r="M123" s="27">
        <f t="shared" si="19"/>
        <v>290640</v>
      </c>
    </row>
    <row r="124" spans="1:13" ht="16.5" hidden="1" outlineLevel="1">
      <c r="A124" s="38"/>
      <c r="B124" s="39" t="s">
        <v>20</v>
      </c>
      <c r="C124" s="36">
        <v>319902</v>
      </c>
      <c r="D124" s="36">
        <v>0</v>
      </c>
      <c r="E124" s="36">
        <v>0</v>
      </c>
      <c r="F124" s="36">
        <v>1000950.28</v>
      </c>
      <c r="G124" s="37">
        <f t="shared" si="20"/>
        <v>0.31959829213495</v>
      </c>
      <c r="H124" s="23">
        <f t="shared" si="22"/>
        <v>0</v>
      </c>
      <c r="I124" s="24">
        <f t="shared" si="22"/>
        <v>0</v>
      </c>
      <c r="J124" s="32" t="str" cm="1">
        <f t="array" ref="J124">IFERROR(_xlfn.IFS(B124="044 - BLEND TRADICION","BLEND",B124="113 - CAFÉ GOURMET","GOURMET",B124="114 - CAFÉ CONSUMO","CONSUMO",B124="112 - CAFÉ ORGANICO","GOURMET",B124="172 - CAFÉ COSECHA","ESPECIALES",B124="176 - CAFE DESCAFEINADO","GOURMET",B124="147 - CAPSULAS","CAPSULAS",B124="130 - GALLETAS CAFECITAS","DERIVADOS",B124="140 - MERENGUES","DERIVADOS",B124="100 - CAFÉ ESPECIAL","ESPECIALES",B124="141 - AREQUIPE","DERIVADOS",B124="142 - MERMELADA","DERIVADOS",B124="131 - GALLETAS AVENA","DERIVADOS",B124="160 - SOUVENIR","OTROS",B124="148 - CARAMELOS","DERIVADOS",B124="143 - CHOCOFFES","DERIVADOS",B124="162 - CONVENIOS Y DSC POS ","OTROS"),"OTROS")</f>
        <v>GOURMET</v>
      </c>
      <c r="L124" s="27">
        <f t="shared" si="18"/>
        <v>319902</v>
      </c>
      <c r="M124" s="27">
        <f t="shared" si="19"/>
        <v>319902</v>
      </c>
    </row>
    <row r="125" spans="1:13" ht="16.5" hidden="1" outlineLevel="1">
      <c r="A125" s="38"/>
      <c r="B125" s="39" t="s">
        <v>21</v>
      </c>
      <c r="C125" s="36">
        <v>22994556</v>
      </c>
      <c r="D125" s="36">
        <v>-284231</v>
      </c>
      <c r="E125" s="36">
        <v>0</v>
      </c>
      <c r="F125" s="36">
        <v>29634733.52</v>
      </c>
      <c r="G125" s="37">
        <f t="shared" si="20"/>
        <v>0.77593260572028933</v>
      </c>
      <c r="H125" s="23">
        <f t="shared" si="22"/>
        <v>-1.2209871588240401E-2</v>
      </c>
      <c r="I125" s="24">
        <f t="shared" si="22"/>
        <v>0</v>
      </c>
      <c r="J125" s="32" t="str" cm="1">
        <f t="array" ref="J125">IFERROR(_xlfn.IFS(B125="044 - BLEND TRADICION","BLEND",B125="113 - CAFÉ GOURMET","GOURMET",B125="114 - CAFÉ CONSUMO","CONSUMO",B125="112 - CAFÉ ORGANICO","GOURMET",B125="172 - CAFÉ COSECHA","ESPECIALES",B125="176 - CAFE DESCAFEINADO","GOURMET",B125="147 - CAPSULAS","CAPSULAS",B125="130 - GALLETAS CAFECITAS","DERIVADOS",B125="140 - MERENGUES","DERIVADOS",B125="100 - CAFÉ ESPECIAL","ESPECIALES",B125="141 - AREQUIPE","DERIVADOS",B125="142 - MERMELADA","DERIVADOS",B125="131 - GALLETAS AVENA","DERIVADOS",B125="160 - SOUVENIR","OTROS",B125="148 - CARAMELOS","DERIVADOS",B125="143 - CHOCOFFES","DERIVADOS",B125="162 - CONVENIOS Y DSC POS ","OTROS"),"OTROS")</f>
        <v>GOURMET</v>
      </c>
      <c r="L125" s="27">
        <f t="shared" si="18"/>
        <v>23278787</v>
      </c>
      <c r="M125" s="27">
        <f t="shared" si="19"/>
        <v>23278787</v>
      </c>
    </row>
    <row r="126" spans="1:13" ht="16.5" hidden="1" outlineLevel="1">
      <c r="A126" s="38"/>
      <c r="B126" s="39" t="s">
        <v>22</v>
      </c>
      <c r="C126" s="36">
        <v>3975609</v>
      </c>
      <c r="D126" s="36">
        <v>0</v>
      </c>
      <c r="E126" s="36"/>
      <c r="F126" s="36">
        <v>7797334.1100000003</v>
      </c>
      <c r="G126" s="37">
        <f t="shared" si="20"/>
        <v>0.50986772452155449</v>
      </c>
      <c r="H126" s="23">
        <f t="shared" si="22"/>
        <v>0</v>
      </c>
      <c r="I126" s="24">
        <f t="shared" si="22"/>
        <v>0</v>
      </c>
      <c r="J126" s="32" t="str" cm="1">
        <f t="array" ref="J126">IFERROR(_xlfn.IFS(B126="044 - BLEND TRADICION","BLEND",B126="113 - CAFÉ GOURMET","GOURMET",B126="114 - CAFÉ CONSUMO","CONSUMO",B126="112 - CAFÉ ORGANICO","GOURMET",B126="172 - CAFÉ COSECHA","ESPECIALES",B126="176 - CAFE DESCAFEINADO","GOURMET",B126="147 - CAPSULAS","CAPSULAS",B126="130 - GALLETAS CAFECITAS","DERIVADOS",B126="140 - MERENGUES","DERIVADOS",B126="100 - CAFÉ ESPECIAL","ESPECIALES",B126="141 - AREQUIPE","DERIVADOS",B126="142 - MERMELADA","DERIVADOS",B126="131 - GALLETAS AVENA","DERIVADOS",B126="160 - SOUVENIR","OTROS",B126="148 - CARAMELOS","DERIVADOS",B126="143 - CHOCOFFES","DERIVADOS",B126="162 - CONVENIOS Y DSC POS ","OTROS"),"OTROS")</f>
        <v>DERIVADOS</v>
      </c>
      <c r="L126" s="27">
        <f t="shared" si="18"/>
        <v>3975609</v>
      </c>
      <c r="M126" s="27">
        <f t="shared" si="19"/>
        <v>3975609</v>
      </c>
    </row>
    <row r="127" spans="1:13" ht="16.5" hidden="1" outlineLevel="1">
      <c r="A127" s="38"/>
      <c r="B127" s="39" t="s">
        <v>23</v>
      </c>
      <c r="C127" s="36">
        <v>0</v>
      </c>
      <c r="D127" s="36">
        <v>0</v>
      </c>
      <c r="E127" s="36">
        <v>0</v>
      </c>
      <c r="F127" s="36">
        <v>251654.35</v>
      </c>
      <c r="G127" s="37">
        <f t="shared" si="20"/>
        <v>0</v>
      </c>
      <c r="H127" s="23">
        <f t="shared" si="22"/>
        <v>0</v>
      </c>
      <c r="I127" s="24">
        <f t="shared" si="22"/>
        <v>0</v>
      </c>
      <c r="J127" s="32" t="str" cm="1">
        <f t="array" ref="J127">IFERROR(_xlfn.IFS(B127="044 - BLEND TRADICION","BLEND",B127="113 - CAFÉ GOURMET","GOURMET",B127="114 - CAFÉ CONSUMO","CONSUMO",B127="112 - CAFÉ ORGANICO","GOURMET",B127="172 - CAFÉ COSECHA","ESPECIALES",B127="176 - CAFE DESCAFEINADO","GOURMET",B127="147 - CAPSULAS","CAPSULAS",B127="130 - GALLETAS CAFECITAS","DERIVADOS",B127="140 - MERENGUES","DERIVADOS",B127="100 - CAFÉ ESPECIAL","ESPECIALES",B127="141 - AREQUIPE","DERIVADOS",B127="142 - MERMELADA","DERIVADOS",B127="131 - GALLETAS AVENA","DERIVADOS",B127="160 - SOUVENIR","OTROS",B127="148 - CARAMELOS","DERIVADOS",B127="143 - CHOCOFFES","DERIVADOS",B127="162 - CONVENIOS Y DSC POS ","OTROS"),"OTROS")</f>
        <v>DERIVADOS</v>
      </c>
      <c r="L127" s="27">
        <f t="shared" si="18"/>
        <v>0</v>
      </c>
      <c r="M127" s="27">
        <f t="shared" si="19"/>
        <v>0</v>
      </c>
    </row>
    <row r="128" spans="1:13" ht="16.5" hidden="1" outlineLevel="1">
      <c r="A128" s="38"/>
      <c r="B128" s="39" t="s">
        <v>24</v>
      </c>
      <c r="C128" s="36">
        <v>177812</v>
      </c>
      <c r="D128" s="36">
        <v>0</v>
      </c>
      <c r="E128" s="36">
        <v>0</v>
      </c>
      <c r="F128" s="36">
        <v>965398.25</v>
      </c>
      <c r="G128" s="37">
        <f t="shared" si="20"/>
        <v>0.18418512774391294</v>
      </c>
      <c r="H128" s="23">
        <f t="shared" si="22"/>
        <v>0</v>
      </c>
      <c r="I128" s="24">
        <f t="shared" si="22"/>
        <v>0</v>
      </c>
      <c r="J128" s="32" t="str" cm="1">
        <f t="array" ref="J128">IFERROR(_xlfn.IFS(B128="044 - BLEND TRADICION","BLEND",B128="113 - CAFÉ GOURMET","GOURMET",B128="114 - CAFÉ CONSUMO","CONSUMO",B128="112 - CAFÉ ORGANICO","GOURMET",B128="172 - CAFÉ COSECHA","ESPECIALES",B128="176 - CAFE DESCAFEINADO","GOURMET",B128="147 - CAPSULAS","CAPSULAS",B128="130 - GALLETAS CAFECITAS","DERIVADOS",B128="140 - MERENGUES","DERIVADOS",B128="100 - CAFÉ ESPECIAL","ESPECIALES",B128="141 - AREQUIPE","DERIVADOS",B128="142 - MERMELADA","DERIVADOS",B128="131 - GALLETAS AVENA","DERIVADOS",B128="160 - SOUVENIR","OTROS",B128="148 - CARAMELOS","DERIVADOS",B128="143 - CHOCOFFES","DERIVADOS",B128="162 - CONVENIOS Y DSC POS ","OTROS"),"OTROS")</f>
        <v>DERIVADOS</v>
      </c>
      <c r="L128" s="27">
        <f t="shared" si="18"/>
        <v>177812</v>
      </c>
      <c r="M128" s="27">
        <f t="shared" si="19"/>
        <v>177812</v>
      </c>
    </row>
    <row r="129" spans="1:13" ht="16.5" hidden="1" outlineLevel="1">
      <c r="A129" s="38"/>
      <c r="B129" s="39" t="s">
        <v>25</v>
      </c>
      <c r="C129" s="36">
        <v>2403492</v>
      </c>
      <c r="D129" s="36">
        <v>0</v>
      </c>
      <c r="E129" s="36"/>
      <c r="F129" s="36">
        <v>4939039.0999999996</v>
      </c>
      <c r="G129" s="37">
        <f t="shared" si="20"/>
        <v>0.48663149882737317</v>
      </c>
      <c r="H129" s="23">
        <f t="shared" si="22"/>
        <v>0</v>
      </c>
      <c r="I129" s="24">
        <f t="shared" si="22"/>
        <v>0</v>
      </c>
      <c r="J129" s="32" t="str" cm="1">
        <f t="array" ref="J129">IFERROR(_xlfn.IFS(B129="044 - BLEND TRADICION","BLEND",B129="113 - CAFÉ GOURMET","GOURMET",B129="114 - CAFÉ CONSUMO","CONSUMO",B129="112 - CAFÉ ORGANICO","GOURMET",B129="172 - CAFÉ COSECHA","ESPECIALES",B129="176 - CAFE DESCAFEINADO","GOURMET",B129="147 - CAPSULAS","CAPSULAS",B129="130 - GALLETAS CAFECITAS","DERIVADOS",B129="140 - MERENGUES","DERIVADOS",B129="100 - CAFÉ ESPECIAL","ESPECIALES",B129="141 - AREQUIPE","DERIVADOS",B129="142 - MERMELADA","DERIVADOS",B129="131 - GALLETAS AVENA","DERIVADOS",B129="160 - SOUVENIR","OTROS",B129="148 - CARAMELOS","DERIVADOS",B129="143 - CHOCOFFES","DERIVADOS",B129="162 - CONVENIOS Y DSC POS ","OTROS"),"OTROS")</f>
        <v>DERIVADOS</v>
      </c>
      <c r="L129" s="27">
        <f t="shared" si="18"/>
        <v>2403492</v>
      </c>
      <c r="M129" s="27">
        <f t="shared" si="19"/>
        <v>2403492</v>
      </c>
    </row>
    <row r="130" spans="1:13" ht="16.5" hidden="1" outlineLevel="1">
      <c r="A130" s="38"/>
      <c r="B130" s="39" t="s">
        <v>26</v>
      </c>
      <c r="C130" s="36">
        <v>662371</v>
      </c>
      <c r="D130" s="36">
        <v>0</v>
      </c>
      <c r="E130" s="36"/>
      <c r="F130" s="36">
        <v>1642173.15</v>
      </c>
      <c r="G130" s="37">
        <f t="shared" si="20"/>
        <v>0.4033502800846549</v>
      </c>
      <c r="H130" s="23">
        <f t="shared" si="22"/>
        <v>0</v>
      </c>
      <c r="I130" s="24">
        <f t="shared" si="22"/>
        <v>0</v>
      </c>
      <c r="J130" s="32" t="str" cm="1">
        <f t="array" ref="J130">IFERROR(_xlfn.IFS(B130="044 - BLEND TRADICION","BLEND",B130="113 - CAFÉ GOURMET","GOURMET",B130="114 - CAFÉ CONSUMO","CONSUMO",B130="112 - CAFÉ ORGANICO","GOURMET",B130="172 - CAFÉ COSECHA","ESPECIALES",B130="176 - CAFE DESCAFEINADO","GOURMET",B130="147 - CAPSULAS","CAPSULAS",B130="130 - GALLETAS CAFECITAS","DERIVADOS",B130="140 - MERENGUES","DERIVADOS",B130="100 - CAFÉ ESPECIAL","ESPECIALES",B130="141 - AREQUIPE","DERIVADOS",B130="142 - MERMELADA","DERIVADOS",B130="131 - GALLETAS AVENA","DERIVADOS",B130="160 - SOUVENIR","OTROS",B130="148 - CARAMELOS","DERIVADOS",B130="143 - CHOCOFFES","DERIVADOS",B130="162 - CONVENIOS Y DSC POS ","OTROS"),"OTROS")</f>
        <v>CAPSULAS</v>
      </c>
      <c r="L130" s="27">
        <f t="shared" si="18"/>
        <v>662371</v>
      </c>
      <c r="M130" s="27">
        <f t="shared" si="19"/>
        <v>662371</v>
      </c>
    </row>
    <row r="131" spans="1:13" ht="16.5" hidden="1" outlineLevel="1">
      <c r="A131" s="38"/>
      <c r="B131" s="39" t="s">
        <v>27</v>
      </c>
      <c r="C131" s="36">
        <v>2262688</v>
      </c>
      <c r="D131" s="36">
        <v>0</v>
      </c>
      <c r="E131" s="36"/>
      <c r="F131" s="36">
        <v>3108561.46</v>
      </c>
      <c r="G131" s="37">
        <f t="shared" si="20"/>
        <v>0.72788909890171516</v>
      </c>
      <c r="H131" s="23">
        <f t="shared" ref="H131:I140" si="28">IFERROR(+D131/L131*100%,0)</f>
        <v>0</v>
      </c>
      <c r="I131" s="24">
        <f t="shared" si="28"/>
        <v>0</v>
      </c>
      <c r="J131" s="32" t="str" cm="1">
        <f t="array" ref="J131">IFERROR(_xlfn.IFS(B131="044 - BLEND TRADICION","BLEND",B131="113 - CAFÉ GOURMET","GOURMET",B131="114 - CAFÉ CONSUMO","CONSUMO",B131="112 - CAFÉ ORGANICO","GOURMET",B131="172 - CAFÉ COSECHA","ESPECIALES",B131="176 - CAFE DESCAFEINADO","GOURMET",B131="147 - CAPSULAS","CAPSULAS",B131="130 - GALLETAS CAFECITAS","DERIVADOS",B131="140 - MERENGUES","DERIVADOS",B131="100 - CAFÉ ESPECIAL","ESPECIALES",B131="141 - AREQUIPE","DERIVADOS",B131="142 - MERMELADA","DERIVADOS",B131="131 - GALLETAS AVENA","DERIVADOS",B131="160 - SOUVENIR","OTROS",B131="148 - CARAMELOS","DERIVADOS",B131="143 - CHOCOFFES","DERIVADOS",B131="162 - CONVENIOS Y DSC POS ","OTROS"),"OTROS")</f>
        <v>DERIVADOS</v>
      </c>
      <c r="L131" s="27">
        <f t="shared" si="18"/>
        <v>2262688</v>
      </c>
      <c r="M131" s="27">
        <f t="shared" si="19"/>
        <v>2262688</v>
      </c>
    </row>
    <row r="132" spans="1:13" ht="16.5" hidden="1" outlineLevel="1">
      <c r="A132" s="38"/>
      <c r="B132" s="39" t="s">
        <v>28</v>
      </c>
      <c r="C132" s="36">
        <v>105839</v>
      </c>
      <c r="D132" s="36">
        <v>0</v>
      </c>
      <c r="E132" s="36">
        <v>0</v>
      </c>
      <c r="F132" s="36">
        <v>1929397.03</v>
      </c>
      <c r="G132" s="37">
        <f t="shared" si="20"/>
        <v>5.4855998197530134E-2</v>
      </c>
      <c r="H132" s="23">
        <f t="shared" si="28"/>
        <v>0</v>
      </c>
      <c r="I132" s="24">
        <f t="shared" si="28"/>
        <v>0</v>
      </c>
      <c r="J132" s="32" t="str" cm="1">
        <f t="array" ref="J132">IFERROR(_xlfn.IFS(B132="044 - BLEND TRADICION","BLEND",B132="113 - CAFÉ GOURMET","GOURMET",B132="114 - CAFÉ CONSUMO","CONSUMO",B132="112 - CAFÉ ORGANICO","GOURMET",B132="172 - CAFÉ COSECHA","ESPECIALES",B132="176 - CAFE DESCAFEINADO","GOURMET",B132="147 - CAPSULAS","CAPSULAS",B132="130 - GALLETAS CAFECITAS","DERIVADOS",B132="140 - MERENGUES","DERIVADOS",B132="100 - CAFÉ ESPECIAL","ESPECIALES",B132="141 - AREQUIPE","DERIVADOS",B132="142 - MERMELADA","DERIVADOS",B132="131 - GALLETAS AVENA","DERIVADOS",B132="160 - SOUVENIR","OTROS",B132="148 - CARAMELOS","DERIVADOS",B132="143 - CHOCOFFES","DERIVADOS",B132="162 - CONVENIOS Y DSC POS ","OTROS"),"OTROS")</f>
        <v>OTROS</v>
      </c>
      <c r="L132" s="27">
        <f t="shared" si="18"/>
        <v>105839</v>
      </c>
      <c r="M132" s="27">
        <f t="shared" si="19"/>
        <v>105839</v>
      </c>
    </row>
    <row r="133" spans="1:13" ht="16.5" hidden="1" outlineLevel="1">
      <c r="A133" s="38"/>
      <c r="B133" s="39" t="s">
        <v>29</v>
      </c>
      <c r="C133" s="36">
        <v>127352</v>
      </c>
      <c r="D133" s="36">
        <v>0</v>
      </c>
      <c r="E133" s="36"/>
      <c r="F133" s="36">
        <v>2019776.56</v>
      </c>
      <c r="G133" s="37">
        <f t="shared" si="20"/>
        <v>6.3052519037056262E-2</v>
      </c>
      <c r="H133" s="23">
        <f t="shared" si="28"/>
        <v>0</v>
      </c>
      <c r="I133" s="24">
        <f t="shared" si="28"/>
        <v>0</v>
      </c>
      <c r="J133" s="32" t="str" cm="1">
        <f t="array" ref="J133">IFERROR(_xlfn.IFS(B133="044 - BLEND TRADICION","BLEND",B133="113 - CAFÉ GOURMET","GOURMET",B133="114 - CAFÉ CONSUMO","CONSUMO",B133="112 - CAFÉ ORGANICO","GOURMET",B133="172 - CAFÉ COSECHA","ESPECIALES",B133="176 - CAFE DESCAFEINADO","GOURMET",B133="147 - CAPSULAS","CAPSULAS",B133="130 - GALLETAS CAFECITAS","DERIVADOS",B133="140 - MERENGUES","DERIVADOS",B133="100 - CAFÉ ESPECIAL","ESPECIALES",B133="141 - AREQUIPE","DERIVADOS",B133="142 - MERMELADA","DERIVADOS",B133="131 - GALLETAS AVENA","DERIVADOS",B133="160 - SOUVENIR","OTROS",B133="148 - CARAMELOS","DERIVADOS",B133="143 - CHOCOFFES","DERIVADOS",B133="162 - CONVENIOS Y DSC POS ","OTROS"),"OTROS")</f>
        <v>ESPECIALES</v>
      </c>
      <c r="L133" s="27">
        <f t="shared" si="18"/>
        <v>127352</v>
      </c>
      <c r="M133" s="27">
        <f t="shared" si="19"/>
        <v>127352</v>
      </c>
    </row>
    <row r="134" spans="1:13" ht="16.5" hidden="1" outlineLevel="1">
      <c r="A134" s="38"/>
      <c r="B134" s="39" t="s">
        <v>30</v>
      </c>
      <c r="C134" s="36">
        <v>0</v>
      </c>
      <c r="D134" s="36">
        <v>0</v>
      </c>
      <c r="E134" s="36">
        <v>0</v>
      </c>
      <c r="F134" s="36">
        <v>75457.58</v>
      </c>
      <c r="G134" s="37">
        <f t="shared" si="20"/>
        <v>0</v>
      </c>
      <c r="H134" s="23">
        <f t="shared" si="28"/>
        <v>0</v>
      </c>
      <c r="I134" s="24">
        <f t="shared" si="28"/>
        <v>0</v>
      </c>
      <c r="J134" s="32" t="str" cm="1">
        <f t="array" ref="J134">IFERROR(_xlfn.IFS(B134="044 - BLEND TRADICION","BLEND",B134="113 - CAFÉ GOURMET","GOURMET",B134="114 - CAFÉ CONSUMO","CONSUMO",B134="112 - CAFÉ ORGANICO","GOURMET",B134="172 - CAFÉ COSECHA","ESPECIALES",B134="176 - CAFE DESCAFEINADO","GOURMET",B134="147 - CAPSULAS","CAPSULAS",B134="130 - GALLETAS CAFECITAS","DERIVADOS",B134="140 - MERENGUES","DERIVADOS",B134="100 - CAFÉ ESPECIAL","ESPECIALES",B134="141 - AREQUIPE","DERIVADOS",B134="142 - MERMELADA","DERIVADOS",B134="131 - GALLETAS AVENA","DERIVADOS",B134="160 - SOUVENIR","OTROS",B134="148 - CARAMELOS","DERIVADOS",B134="143 - CHOCOFFES","DERIVADOS",B134="162 - CONVENIOS Y DSC POS ","OTROS"),"OTROS")</f>
        <v>GOURMET</v>
      </c>
      <c r="L134" s="27">
        <f t="shared" si="18"/>
        <v>0</v>
      </c>
      <c r="M134" s="27">
        <f t="shared" si="19"/>
        <v>0</v>
      </c>
    </row>
    <row r="135" spans="1:13" ht="16.5" hidden="1" outlineLevel="1">
      <c r="A135" s="19" t="s">
        <v>49</v>
      </c>
      <c r="B135" s="56" t="s">
        <v>32</v>
      </c>
      <c r="C135" s="54">
        <f>SUM(C122:C134)</f>
        <v>37384829</v>
      </c>
      <c r="D135" s="54">
        <f>SUM(D122:D134)</f>
        <v>-284231</v>
      </c>
      <c r="E135" s="54">
        <f>SUM(E122:E134)</f>
        <v>0</v>
      </c>
      <c r="F135" s="58">
        <f>SUM(F122:F134)</f>
        <v>58873274.050000004</v>
      </c>
      <c r="G135" s="55">
        <f t="shared" si="20"/>
        <v>0.63500509532134641</v>
      </c>
      <c r="H135" s="23">
        <f t="shared" si="28"/>
        <v>-7.5454763139828811E-3</v>
      </c>
      <c r="I135" s="24">
        <f t="shared" si="28"/>
        <v>0</v>
      </c>
      <c r="J135" s="32" t="str" cm="1">
        <f t="array" ref="J135">IFERROR(_xlfn.IFS(B135="044 - BLEND TRADICION","BLEND",B135="113 - CAFÉ GOURMET","GOURMET",B135="114 - CAFÉ CONSUMO","CONSUMO",B135="112 - CAFÉ ORGANICO","GOURMET",B135="172 - CAFÉ COSECHA","ESPECIALES",B135="176 - CAFE DESCAFEINADO","GOURMET",B135="147 - CAPSULAS","CAPSULAS",B135="130 - GALLETAS CAFECITAS","DERIVADOS",B135="140 - MERENGUES","DERIVADOS",B135="100 - CAFÉ ESPECIAL","ESPECIALES",B135="141 - AREQUIPE","DERIVADOS",B135="142 - MERMELADA","DERIVADOS",B135="131 - GALLETAS AVENA","DERIVADOS",B135="160 - SOUVENIR","OTROS",B135="148 - CARAMELOS","DERIVADOS",B135="143 - CHOCOFFES","DERIVADOS",B135="162 - CONVENIOS Y DSC POS ","OTROS"),"OTROS")</f>
        <v>OTROS</v>
      </c>
      <c r="L135" s="27">
        <f t="shared" si="18"/>
        <v>37669060</v>
      </c>
      <c r="M135" s="27">
        <f t="shared" si="19"/>
        <v>37669060</v>
      </c>
    </row>
    <row r="136" spans="1:13" ht="16.5" hidden="1" outlineLevel="1">
      <c r="A136" s="33"/>
      <c r="B136" s="39" t="s">
        <v>18</v>
      </c>
      <c r="C136" s="36">
        <v>1799520</v>
      </c>
      <c r="D136" s="36">
        <v>0</v>
      </c>
      <c r="E136" s="36"/>
      <c r="F136" s="36">
        <v>5334403.3099999996</v>
      </c>
      <c r="G136" s="37">
        <f t="shared" si="20"/>
        <v>0.33734232217248683</v>
      </c>
      <c r="H136" s="23">
        <f t="shared" si="28"/>
        <v>0</v>
      </c>
      <c r="I136" s="24">
        <f t="shared" si="28"/>
        <v>0</v>
      </c>
      <c r="J136" s="32" t="str" cm="1">
        <f t="array" ref="J136">IFERROR(_xlfn.IFS(B136="044 - BLEND TRADICION","BLEND",B136="113 - CAFÉ GOURMET","GOURMET",B136="114 - CAFÉ CONSUMO","CONSUMO",B136="112 - CAFÉ ORGANICO","GOURMET",B136="172 - CAFÉ COSECHA","ESPECIALES",B136="176 - CAFE DESCAFEINADO","GOURMET",B136="147 - CAPSULAS","CAPSULAS",B136="130 - GALLETAS CAFECITAS","DERIVADOS",B136="140 - MERENGUES","DERIVADOS",B136="100 - CAFÉ ESPECIAL","ESPECIALES",B136="141 - AREQUIPE","DERIVADOS",B136="142 - MERMELADA","DERIVADOS",B136="131 - GALLETAS AVENA","DERIVADOS",B136="160 - SOUVENIR","OTROS",B136="148 - CARAMELOS","DERIVADOS",B136="143 - CHOCOFFES","DERIVADOS",B136="162 - CONVENIOS Y DSC POS ","OTROS"),"OTROS")</f>
        <v>BLEND</v>
      </c>
      <c r="L136" s="27">
        <f t="shared" si="18"/>
        <v>1799520</v>
      </c>
      <c r="M136" s="27">
        <f t="shared" si="19"/>
        <v>1799520</v>
      </c>
    </row>
    <row r="137" spans="1:13" ht="16.5" hidden="1" outlineLevel="1">
      <c r="A137" s="38"/>
      <c r="B137" s="39" t="s">
        <v>19</v>
      </c>
      <c r="C137" s="36">
        <v>0</v>
      </c>
      <c r="D137" s="36">
        <v>0</v>
      </c>
      <c r="E137" s="36"/>
      <c r="F137" s="36">
        <v>1332928.3500000001</v>
      </c>
      <c r="G137" s="37">
        <f t="shared" si="20"/>
        <v>0</v>
      </c>
      <c r="H137" s="23">
        <f t="shared" si="28"/>
        <v>0</v>
      </c>
      <c r="I137" s="24">
        <f t="shared" si="28"/>
        <v>0</v>
      </c>
      <c r="J137" s="32" t="str" cm="1">
        <f t="array" ref="J137">IFERROR(_xlfn.IFS(B137="044 - BLEND TRADICION","BLEND",B137="113 - CAFÉ GOURMET","GOURMET",B137="114 - CAFÉ CONSUMO","CONSUMO",B137="112 - CAFÉ ORGANICO","GOURMET",B137="172 - CAFÉ COSECHA","ESPECIALES",B137="176 - CAFE DESCAFEINADO","GOURMET",B137="147 - CAPSULAS","CAPSULAS",B137="130 - GALLETAS CAFECITAS","DERIVADOS",B137="140 - MERENGUES","DERIVADOS",B137="100 - CAFÉ ESPECIAL","ESPECIALES",B137="141 - AREQUIPE","DERIVADOS",B137="142 - MERMELADA","DERIVADOS",B137="131 - GALLETAS AVENA","DERIVADOS",B137="160 - SOUVENIR","OTROS",B137="148 - CARAMELOS","DERIVADOS",B137="143 - CHOCOFFES","DERIVADOS",B137="162 - CONVENIOS Y DSC POS ","OTROS"),"OTROS")</f>
        <v>ESPECIALES</v>
      </c>
      <c r="L137" s="27">
        <f t="shared" si="18"/>
        <v>0</v>
      </c>
      <c r="M137" s="27">
        <f t="shared" si="19"/>
        <v>0</v>
      </c>
    </row>
    <row r="138" spans="1:13" ht="16.5" hidden="1" outlineLevel="1">
      <c r="A138" s="38"/>
      <c r="B138" s="39" t="s">
        <v>20</v>
      </c>
      <c r="C138" s="36">
        <v>1151640</v>
      </c>
      <c r="D138" s="36">
        <v>0</v>
      </c>
      <c r="E138" s="36"/>
      <c r="F138" s="36">
        <v>1484611.46</v>
      </c>
      <c r="G138" s="37">
        <f>IFERROR(C138/F138*100%,"-")</f>
        <v>0.77571811280508374</v>
      </c>
      <c r="H138" s="23">
        <f t="shared" si="28"/>
        <v>0</v>
      </c>
      <c r="I138" s="24">
        <f t="shared" si="28"/>
        <v>0</v>
      </c>
      <c r="J138" s="32" t="str" cm="1">
        <f t="array" ref="J138">IFERROR(_xlfn.IFS(B138="044 - BLEND TRADICION","BLEND",B138="113 - CAFÉ GOURMET","GOURMET",B138="114 - CAFÉ CONSUMO","CONSUMO",B138="112 - CAFÉ ORGANICO","GOURMET",B138="172 - CAFÉ COSECHA","ESPECIALES",B138="176 - CAFE DESCAFEINADO","GOURMET",B138="147 - CAPSULAS","CAPSULAS",B138="130 - GALLETAS CAFECITAS","DERIVADOS",B138="140 - MERENGUES","DERIVADOS",B138="100 - CAFÉ ESPECIAL","ESPECIALES",B138="141 - AREQUIPE","DERIVADOS",B138="142 - MERMELADA","DERIVADOS",B138="131 - GALLETAS AVENA","DERIVADOS",B138="160 - SOUVENIR","OTROS",B138="148 - CARAMELOS","DERIVADOS",B138="143 - CHOCOFFES","DERIVADOS",B138="162 - CONVENIOS Y DSC POS ","OTROS"),"OTROS")</f>
        <v>GOURMET</v>
      </c>
      <c r="L138" s="27">
        <f t="shared" si="18"/>
        <v>1151640</v>
      </c>
      <c r="M138" s="27">
        <f t="shared" si="19"/>
        <v>1151640</v>
      </c>
    </row>
    <row r="139" spans="1:13" ht="16.5" hidden="1" outlineLevel="1">
      <c r="A139" s="38"/>
      <c r="B139" s="39" t="s">
        <v>21</v>
      </c>
      <c r="C139" s="36">
        <v>23983650</v>
      </c>
      <c r="D139" s="36">
        <v>0</v>
      </c>
      <c r="E139" s="36"/>
      <c r="F139" s="36">
        <v>49968995.509999998</v>
      </c>
      <c r="G139" s="37">
        <f t="shared" ref="G139:G149" si="29">IFERROR(C139/F139*100%,"-")</f>
        <v>0.47997062488879316</v>
      </c>
      <c r="H139" s="23">
        <f t="shared" si="28"/>
        <v>0</v>
      </c>
      <c r="I139" s="24">
        <f t="shared" si="28"/>
        <v>0</v>
      </c>
      <c r="J139" s="32" t="str" cm="1">
        <f t="array" ref="J139">IFERROR(_xlfn.IFS(B139="044 - BLEND TRADICION","BLEND",B139="113 - CAFÉ GOURMET","GOURMET",B139="114 - CAFÉ CONSUMO","CONSUMO",B139="112 - CAFÉ ORGANICO","GOURMET",B139="172 - CAFÉ COSECHA","ESPECIALES",B139="176 - CAFE DESCAFEINADO","GOURMET",B139="147 - CAPSULAS","CAPSULAS",B139="130 - GALLETAS CAFECITAS","DERIVADOS",B139="140 - MERENGUES","DERIVADOS",B139="100 - CAFÉ ESPECIAL","ESPECIALES",B139="141 - AREQUIPE","DERIVADOS",B139="142 - MERMELADA","DERIVADOS",B139="131 - GALLETAS AVENA","DERIVADOS",B139="160 - SOUVENIR","OTROS",B139="148 - CARAMELOS","DERIVADOS",B139="143 - CHOCOFFES","DERIVADOS",B139="162 - CONVENIOS Y DSC POS ","OTROS"),"OTROS")</f>
        <v>GOURMET</v>
      </c>
      <c r="L139" s="27">
        <f t="shared" ref="L139:L203" si="30">C139-(D139+E139)</f>
        <v>23983650</v>
      </c>
      <c r="M139" s="27">
        <f t="shared" ref="M139:M203" si="31">L139</f>
        <v>23983650</v>
      </c>
    </row>
    <row r="140" spans="1:13" ht="16.5" hidden="1" outlineLevel="1">
      <c r="A140" s="38"/>
      <c r="B140" s="39" t="s">
        <v>22</v>
      </c>
      <c r="C140" s="36">
        <v>2519043</v>
      </c>
      <c r="D140" s="36">
        <v>0</v>
      </c>
      <c r="E140" s="36"/>
      <c r="F140" s="36">
        <v>9961569.3200000003</v>
      </c>
      <c r="G140" s="37">
        <f t="shared" si="29"/>
        <v>0.25287612012521737</v>
      </c>
      <c r="H140" s="23">
        <f t="shared" si="28"/>
        <v>0</v>
      </c>
      <c r="I140" s="24">
        <f t="shared" si="28"/>
        <v>0</v>
      </c>
      <c r="J140" s="32" t="str" cm="1">
        <f t="array" ref="J140">IFERROR(_xlfn.IFS(B140="044 - BLEND TRADICION","BLEND",B140="113 - CAFÉ GOURMET","GOURMET",B140="114 - CAFÉ CONSUMO","CONSUMO",B140="112 - CAFÉ ORGANICO","GOURMET",B140="172 - CAFÉ COSECHA","ESPECIALES",B140="176 - CAFE DESCAFEINADO","GOURMET",B140="147 - CAPSULAS","CAPSULAS",B140="130 - GALLETAS CAFECITAS","DERIVADOS",B140="140 - MERENGUES","DERIVADOS",B140="100 - CAFÉ ESPECIAL","ESPECIALES",B140="141 - AREQUIPE","DERIVADOS",B140="142 - MERMELADA","DERIVADOS",B140="131 - GALLETAS AVENA","DERIVADOS",B140="160 - SOUVENIR","OTROS",B140="148 - CARAMELOS","DERIVADOS",B140="143 - CHOCOFFES","DERIVADOS",B140="162 - CONVENIOS Y DSC POS ","OTROS"),"OTROS")</f>
        <v>DERIVADOS</v>
      </c>
      <c r="L140" s="27">
        <f t="shared" si="30"/>
        <v>2519043</v>
      </c>
      <c r="M140" s="27">
        <f t="shared" si="31"/>
        <v>2519043</v>
      </c>
    </row>
    <row r="141" spans="1:13" ht="16.5" hidden="1" outlineLevel="1">
      <c r="A141" s="38"/>
      <c r="B141" s="39" t="s">
        <v>23</v>
      </c>
      <c r="C141" s="36">
        <v>0</v>
      </c>
      <c r="D141" s="36">
        <v>0</v>
      </c>
      <c r="E141" s="36"/>
      <c r="F141" s="36">
        <v>9961570.3200000003</v>
      </c>
      <c r="G141" s="37">
        <f t="shared" ref="G141:G147" si="32">IFERROR(C141/F141*100%,"-")</f>
        <v>0</v>
      </c>
      <c r="H141" s="23">
        <f t="shared" ref="H141:H147" si="33">IFERROR(+D141/L141*100%,0)</f>
        <v>0</v>
      </c>
      <c r="I141" s="24">
        <f t="shared" ref="I141:I147" si="34">IFERROR(+E141/M141*100%,0)</f>
        <v>0</v>
      </c>
      <c r="J141" s="32" t="str" cm="1">
        <f t="array" ref="J141">IFERROR(_xlfn.IFS(B141="044 - BLEND TRADICION","BLEND",B141="113 - CAFÉ GOURMET","GOURMET",B141="114 - CAFÉ CONSUMO","CONSUMO",B141="112 - CAFÉ ORGANICO","GOURMET",B141="172 - CAFÉ COSECHA","ESPECIALES",B141="176 - CAFE DESCAFEINADO","GOURMET",B141="147 - CAPSULAS","CAPSULAS",B141="130 - GALLETAS CAFECITAS","DERIVADOS",B141="140 - MERENGUES","DERIVADOS",B141="100 - CAFÉ ESPECIAL","ESPECIALES",B141="141 - AREQUIPE","DERIVADOS",B141="142 - MERMELADA","DERIVADOS",B141="131 - GALLETAS AVENA","DERIVADOS",B141="160 - SOUVENIR","OTROS",B141="148 - CARAMELOS","DERIVADOS",B141="143 - CHOCOFFES","DERIVADOS",B141="162 - CONVENIOS Y DSC POS ","OTROS"),"OTROS")</f>
        <v>DERIVADOS</v>
      </c>
      <c r="L141" s="27">
        <f t="shared" ref="L141:L147" si="35">C141-(D141+E141)</f>
        <v>0</v>
      </c>
      <c r="M141" s="27">
        <f t="shared" ref="M141:M147" si="36">L141</f>
        <v>0</v>
      </c>
    </row>
    <row r="142" spans="1:13" ht="16.5" hidden="1" outlineLevel="1">
      <c r="A142" s="38"/>
      <c r="B142" s="39" t="s">
        <v>24</v>
      </c>
      <c r="C142" s="36">
        <v>172459</v>
      </c>
      <c r="D142" s="36">
        <v>0</v>
      </c>
      <c r="E142" s="36"/>
      <c r="F142" s="36">
        <v>9961571.3200000003</v>
      </c>
      <c r="G142" s="37">
        <f t="shared" si="32"/>
        <v>1.7312429380870003E-2</v>
      </c>
      <c r="H142" s="23">
        <f t="shared" si="33"/>
        <v>0</v>
      </c>
      <c r="I142" s="24">
        <f t="shared" si="34"/>
        <v>0</v>
      </c>
      <c r="J142" s="32" t="str" cm="1">
        <f t="array" ref="J142">IFERROR(_xlfn.IFS(B142="044 - BLEND TRADICION","BLEND",B142="113 - CAFÉ GOURMET","GOURMET",B142="114 - CAFÉ CONSUMO","CONSUMO",B142="112 - CAFÉ ORGANICO","GOURMET",B142="172 - CAFÉ COSECHA","ESPECIALES",B142="176 - CAFE DESCAFEINADO","GOURMET",B142="147 - CAPSULAS","CAPSULAS",B142="130 - GALLETAS CAFECITAS","DERIVADOS",B142="140 - MERENGUES","DERIVADOS",B142="100 - CAFÉ ESPECIAL","ESPECIALES",B142="141 - AREQUIPE","DERIVADOS",B142="142 - MERMELADA","DERIVADOS",B142="131 - GALLETAS AVENA","DERIVADOS",B142="160 - SOUVENIR","OTROS",B142="148 - CARAMELOS","DERIVADOS",B142="143 - CHOCOFFES","DERIVADOS",B142="162 - CONVENIOS Y DSC POS ","OTROS"),"OTROS")</f>
        <v>DERIVADOS</v>
      </c>
      <c r="L142" s="27">
        <f t="shared" si="35"/>
        <v>172459</v>
      </c>
      <c r="M142" s="27">
        <f t="shared" si="36"/>
        <v>172459</v>
      </c>
    </row>
    <row r="143" spans="1:13" ht="16.5" hidden="1" outlineLevel="1">
      <c r="A143" s="38"/>
      <c r="B143" s="39" t="s">
        <v>25</v>
      </c>
      <c r="C143" s="36">
        <v>1211234</v>
      </c>
      <c r="D143" s="36">
        <v>0</v>
      </c>
      <c r="E143" s="36"/>
      <c r="F143" s="36">
        <v>9961572.3200000003</v>
      </c>
      <c r="G143" s="37">
        <f t="shared" si="32"/>
        <v>0.12159064463831548</v>
      </c>
      <c r="H143" s="23">
        <f t="shared" si="33"/>
        <v>0</v>
      </c>
      <c r="I143" s="24">
        <f t="shared" si="34"/>
        <v>0</v>
      </c>
      <c r="J143" s="32" t="str" cm="1">
        <f t="array" ref="J143">IFERROR(_xlfn.IFS(B143="044 - BLEND TRADICION","BLEND",B143="113 - CAFÉ GOURMET","GOURMET",B143="114 - CAFÉ CONSUMO","CONSUMO",B143="112 - CAFÉ ORGANICO","GOURMET",B143="172 - CAFÉ COSECHA","ESPECIALES",B143="176 - CAFE DESCAFEINADO","GOURMET",B143="147 - CAPSULAS","CAPSULAS",B143="130 - GALLETAS CAFECITAS","DERIVADOS",B143="140 - MERENGUES","DERIVADOS",B143="100 - CAFÉ ESPECIAL","ESPECIALES",B143="141 - AREQUIPE","DERIVADOS",B143="142 - MERMELADA","DERIVADOS",B143="131 - GALLETAS AVENA","DERIVADOS",B143="160 - SOUVENIR","OTROS",B143="148 - CARAMELOS","DERIVADOS",B143="143 - CHOCOFFES","DERIVADOS",B143="162 - CONVENIOS Y DSC POS ","OTROS"),"OTROS")</f>
        <v>DERIVADOS</v>
      </c>
      <c r="L143" s="27">
        <f t="shared" si="35"/>
        <v>1211234</v>
      </c>
      <c r="M143" s="27">
        <f t="shared" si="36"/>
        <v>1211234</v>
      </c>
    </row>
    <row r="144" spans="1:13" ht="16.5" hidden="1" outlineLevel="1">
      <c r="A144" s="38"/>
      <c r="B144" s="39" t="s">
        <v>26</v>
      </c>
      <c r="C144" s="36">
        <v>580944</v>
      </c>
      <c r="D144" s="36">
        <v>0</v>
      </c>
      <c r="E144" s="36"/>
      <c r="F144" s="36">
        <v>9961573.3200000003</v>
      </c>
      <c r="G144" s="37">
        <f t="shared" si="32"/>
        <v>5.831849862848773E-2</v>
      </c>
      <c r="H144" s="23">
        <f t="shared" si="33"/>
        <v>0</v>
      </c>
      <c r="I144" s="24">
        <f t="shared" si="34"/>
        <v>0</v>
      </c>
      <c r="J144" s="32" t="str" cm="1">
        <f t="array" ref="J144">IFERROR(_xlfn.IFS(B144="044 - BLEND TRADICION","BLEND",B144="113 - CAFÉ GOURMET","GOURMET",B144="114 - CAFÉ CONSUMO","CONSUMO",B144="112 - CAFÉ ORGANICO","GOURMET",B144="172 - CAFÉ COSECHA","ESPECIALES",B144="176 - CAFE DESCAFEINADO","GOURMET",B144="147 - CAPSULAS","CAPSULAS",B144="130 - GALLETAS CAFECITAS","DERIVADOS",B144="140 - MERENGUES","DERIVADOS",B144="100 - CAFÉ ESPECIAL","ESPECIALES",B144="141 - AREQUIPE","DERIVADOS",B144="142 - MERMELADA","DERIVADOS",B144="131 - GALLETAS AVENA","DERIVADOS",B144="160 - SOUVENIR","OTROS",B144="148 - CARAMELOS","DERIVADOS",B144="143 - CHOCOFFES","DERIVADOS",B144="162 - CONVENIOS Y DSC POS ","OTROS"),"OTROS")</f>
        <v>CAPSULAS</v>
      </c>
      <c r="L144" s="27">
        <f t="shared" si="35"/>
        <v>580944</v>
      </c>
      <c r="M144" s="27">
        <f t="shared" si="36"/>
        <v>580944</v>
      </c>
    </row>
    <row r="145" spans="1:13" ht="16.5" hidden="1" outlineLevel="1">
      <c r="A145" s="38"/>
      <c r="B145" s="39" t="s">
        <v>27</v>
      </c>
      <c r="C145" s="36">
        <v>3043711</v>
      </c>
      <c r="D145" s="36">
        <v>0</v>
      </c>
      <c r="E145" s="36"/>
      <c r="F145" s="36">
        <v>9961574.3200000003</v>
      </c>
      <c r="G145" s="37">
        <f t="shared" si="32"/>
        <v>0.30554517812401361</v>
      </c>
      <c r="H145" s="23">
        <f t="shared" si="33"/>
        <v>0</v>
      </c>
      <c r="I145" s="24">
        <f t="shared" si="34"/>
        <v>0</v>
      </c>
      <c r="J145" s="32" t="str" cm="1">
        <f t="array" ref="J145">IFERROR(_xlfn.IFS(B145="044 - BLEND TRADICION","BLEND",B145="113 - CAFÉ GOURMET","GOURMET",B145="114 - CAFÉ CONSUMO","CONSUMO",B145="112 - CAFÉ ORGANICO","GOURMET",B145="172 - CAFÉ COSECHA","ESPECIALES",B145="176 - CAFE DESCAFEINADO","GOURMET",B145="147 - CAPSULAS","CAPSULAS",B145="130 - GALLETAS CAFECITAS","DERIVADOS",B145="140 - MERENGUES","DERIVADOS",B145="100 - CAFÉ ESPECIAL","ESPECIALES",B145="141 - AREQUIPE","DERIVADOS",B145="142 - MERMELADA","DERIVADOS",B145="131 - GALLETAS AVENA","DERIVADOS",B145="160 - SOUVENIR","OTROS",B145="148 - CARAMELOS","DERIVADOS",B145="143 - CHOCOFFES","DERIVADOS",B145="162 - CONVENIOS Y DSC POS ","OTROS"),"OTROS")</f>
        <v>DERIVADOS</v>
      </c>
      <c r="L145" s="27">
        <f t="shared" si="35"/>
        <v>3043711</v>
      </c>
      <c r="M145" s="27">
        <f t="shared" si="36"/>
        <v>3043711</v>
      </c>
    </row>
    <row r="146" spans="1:13" ht="16.5" hidden="1" outlineLevel="1">
      <c r="A146" s="38"/>
      <c r="B146" s="39" t="s">
        <v>28</v>
      </c>
      <c r="C146" s="36">
        <v>152142</v>
      </c>
      <c r="D146" s="36">
        <v>0</v>
      </c>
      <c r="E146" s="36"/>
      <c r="F146" s="36">
        <v>9961575.3200000003</v>
      </c>
      <c r="G146" s="37">
        <f t="shared" si="32"/>
        <v>1.5272885574086088E-2</v>
      </c>
      <c r="H146" s="23">
        <f t="shared" si="33"/>
        <v>0</v>
      </c>
      <c r="I146" s="24">
        <f t="shared" si="34"/>
        <v>0</v>
      </c>
      <c r="J146" s="32" t="str" cm="1">
        <f t="array" ref="J146">IFERROR(_xlfn.IFS(B146="044 - BLEND TRADICION","BLEND",B146="113 - CAFÉ GOURMET","GOURMET",B146="114 - CAFÉ CONSUMO","CONSUMO",B146="112 - CAFÉ ORGANICO","GOURMET",B146="172 - CAFÉ COSECHA","ESPECIALES",B146="176 - CAFE DESCAFEINADO","GOURMET",B146="147 - CAPSULAS","CAPSULAS",B146="130 - GALLETAS CAFECITAS","DERIVADOS",B146="140 - MERENGUES","DERIVADOS",B146="100 - CAFÉ ESPECIAL","ESPECIALES",B146="141 - AREQUIPE","DERIVADOS",B146="142 - MERMELADA","DERIVADOS",B146="131 - GALLETAS AVENA","DERIVADOS",B146="160 - SOUVENIR","OTROS",B146="148 - CARAMELOS","DERIVADOS",B146="143 - CHOCOFFES","DERIVADOS",B146="162 - CONVENIOS Y DSC POS ","OTROS"),"OTROS")</f>
        <v>OTROS</v>
      </c>
      <c r="L146" s="27">
        <f t="shared" si="35"/>
        <v>152142</v>
      </c>
      <c r="M146" s="27">
        <f t="shared" si="36"/>
        <v>152142</v>
      </c>
    </row>
    <row r="147" spans="1:13" ht="16.5" hidden="1" outlineLevel="1">
      <c r="A147" s="38"/>
      <c r="B147" s="39" t="s">
        <v>50</v>
      </c>
      <c r="C147" s="36">
        <v>-20485</v>
      </c>
      <c r="D147" s="36">
        <v>-20485</v>
      </c>
      <c r="E147" s="36"/>
      <c r="F147" s="36">
        <v>9961576.3200000003</v>
      </c>
      <c r="G147" s="37">
        <f t="shared" si="32"/>
        <v>-2.0564014511309792E-3</v>
      </c>
      <c r="H147" s="23">
        <f t="shared" si="33"/>
        <v>0</v>
      </c>
      <c r="I147" s="24">
        <f t="shared" si="34"/>
        <v>0</v>
      </c>
      <c r="J147" s="32" t="str" cm="1">
        <f t="array" ref="J147">IFERROR(_xlfn.IFS(B147="044 - BLEND TRADICION","BLEND",B147="113 - CAFÉ GOURMET","GOURMET",B147="114 - CAFÉ CONSUMO","CONSUMO",B147="112 - CAFÉ ORGANICO","GOURMET",B147="172 - CAFÉ COSECHA","ESPECIALES",B147="176 - CAFE DESCAFEINADO","GOURMET",B147="147 - CAPSULAS","CAPSULAS",B147="130 - GALLETAS CAFECITAS","DERIVADOS",B147="140 - MERENGUES","DERIVADOS",B147="100 - CAFÉ ESPECIAL","ESPECIALES",B147="141 - AREQUIPE","DERIVADOS",B147="142 - MERMELADA","DERIVADOS",B147="131 - GALLETAS AVENA","DERIVADOS",B147="160 - SOUVENIR","OTROS",B147="148 - CARAMELOS","DERIVADOS",B147="143 - CHOCOFFES","DERIVADOS",B147="162 - CONVENIOS Y DSC POS ","OTROS"),"OTROS")</f>
        <v>OTROS</v>
      </c>
      <c r="L147" s="27">
        <f t="shared" si="35"/>
        <v>0</v>
      </c>
      <c r="M147" s="27">
        <f t="shared" si="36"/>
        <v>0</v>
      </c>
    </row>
    <row r="148" spans="1:13" ht="16.5" hidden="1" outlineLevel="1">
      <c r="A148" s="38"/>
      <c r="B148" s="39" t="s">
        <v>29</v>
      </c>
      <c r="C148" s="36">
        <v>908161</v>
      </c>
      <c r="D148" s="36">
        <v>0</v>
      </c>
      <c r="E148" s="36"/>
      <c r="F148" s="36">
        <v>6357550.9400000004</v>
      </c>
      <c r="G148" s="37">
        <f t="shared" si="29"/>
        <v>0.14284761672707885</v>
      </c>
      <c r="H148" s="23">
        <f t="shared" ref="H148:I180" si="37">IFERROR(+D148/L148*100%,0)</f>
        <v>0</v>
      </c>
      <c r="I148" s="24">
        <f t="shared" si="37"/>
        <v>0</v>
      </c>
      <c r="J148" s="32" t="str" cm="1">
        <f t="array" ref="J148">IFERROR(_xlfn.IFS(B148="044 - BLEND TRADICION","BLEND",B148="113 - CAFÉ GOURMET","GOURMET",B148="114 - CAFÉ CONSUMO","CONSUMO",B148="112 - CAFÉ ORGANICO","GOURMET",B148="172 - CAFÉ COSECHA","ESPECIALES",B148="176 - CAFE DESCAFEINADO","GOURMET",B148="147 - CAPSULAS","CAPSULAS",B148="130 - GALLETAS CAFECITAS","DERIVADOS",B148="140 - MERENGUES","DERIVADOS",B148="100 - CAFÉ ESPECIAL","ESPECIALES",B148="141 - AREQUIPE","DERIVADOS",B148="142 - MERMELADA","DERIVADOS",B148="131 - GALLETAS AVENA","DERIVADOS",B148="160 - SOUVENIR","OTROS",B148="148 - CARAMELOS","DERIVADOS",B148="143 - CHOCOFFES","DERIVADOS",B148="162 - CONVENIOS Y DSC POS ","OTROS"),"OTROS")</f>
        <v>ESPECIALES</v>
      </c>
      <c r="L148" s="27">
        <f t="shared" si="30"/>
        <v>908161</v>
      </c>
      <c r="M148" s="27">
        <f t="shared" si="31"/>
        <v>908161</v>
      </c>
    </row>
    <row r="149" spans="1:13" ht="16.5" hidden="1" outlineLevel="1">
      <c r="A149" s="38"/>
      <c r="B149" s="61" t="s">
        <v>30</v>
      </c>
      <c r="C149" s="100">
        <v>0</v>
      </c>
      <c r="D149" s="36">
        <v>0</v>
      </c>
      <c r="E149" s="36"/>
      <c r="F149" s="36">
        <v>974571.04</v>
      </c>
      <c r="G149" s="37">
        <f t="shared" si="29"/>
        <v>0</v>
      </c>
      <c r="H149" s="23">
        <f t="shared" si="37"/>
        <v>0</v>
      </c>
      <c r="I149" s="24">
        <f t="shared" si="37"/>
        <v>0</v>
      </c>
      <c r="J149" s="32" t="str" cm="1">
        <f t="array" ref="J149">IFERROR(_xlfn.IFS(B149="044 - BLEND TRADICION","BLEND",B149="113 - CAFÉ GOURMET","GOURMET",B149="114 - CAFÉ CONSUMO","CONSUMO",B149="112 - CAFÉ ORGANICO","GOURMET",B149="172 - CAFÉ COSECHA","ESPECIALES",B149="176 - CAFE DESCAFEINADO","GOURMET",B149="147 - CAPSULAS","CAPSULAS",B149="130 - GALLETAS CAFECITAS","DERIVADOS",B149="140 - MERENGUES","DERIVADOS",B149="100 - CAFÉ ESPECIAL","ESPECIALES",B149="141 - AREQUIPE","DERIVADOS",B149="142 - MERMELADA","DERIVADOS",B149="131 - GALLETAS AVENA","DERIVADOS",B149="160 - SOUVENIR","OTROS",B149="148 - CARAMELOS","DERIVADOS",B149="143 - CHOCOFFES","DERIVADOS",B149="162 - CONVENIOS Y DSC POS ","OTROS"),"OTROS")</f>
        <v>GOURMET</v>
      </c>
      <c r="L149" s="27">
        <f t="shared" si="30"/>
        <v>0</v>
      </c>
      <c r="M149" s="27">
        <f t="shared" si="31"/>
        <v>0</v>
      </c>
    </row>
    <row r="150" spans="1:13" ht="16.5" hidden="1" outlineLevel="1">
      <c r="A150" s="52" t="s">
        <v>51</v>
      </c>
      <c r="B150" s="20" t="s">
        <v>32</v>
      </c>
      <c r="C150" s="21">
        <f>SUM(C136:C149)</f>
        <v>35502019</v>
      </c>
      <c r="D150" s="53">
        <f>SUM(D136:D149)</f>
        <v>-20485</v>
      </c>
      <c r="E150" s="54">
        <f>SUM(E136:E149)</f>
        <v>0</v>
      </c>
      <c r="F150" s="58">
        <f>SUM(F136:F149)</f>
        <v>145145643.16999993</v>
      </c>
      <c r="G150" s="55">
        <f>IFERROR(C150/F150*100%,"-")</f>
        <v>0.24459582957249862</v>
      </c>
      <c r="H150" s="23">
        <f t="shared" si="37"/>
        <v>-5.7667668923339413E-4</v>
      </c>
      <c r="I150" s="24">
        <f t="shared" si="37"/>
        <v>0</v>
      </c>
      <c r="J150" s="32" t="str" cm="1">
        <f t="array" ref="J150">IFERROR(_xlfn.IFS(B150="044 - BLEND TRADICION","BLEND",B150="113 - CAFÉ GOURMET","GOURMET",B150="114 - CAFÉ CONSUMO","CONSUMO",B150="112 - CAFÉ ORGANICO","GOURMET",B150="172 - CAFÉ COSECHA","ESPECIALES",B150="176 - CAFE DESCAFEINADO","GOURMET",B150="147 - CAPSULAS","CAPSULAS",B150="130 - GALLETAS CAFECITAS","DERIVADOS",B150="140 - MERENGUES","DERIVADOS",B150="100 - CAFÉ ESPECIAL","ESPECIALES",B150="141 - AREQUIPE","DERIVADOS",B150="142 - MERMELADA","DERIVADOS",B150="131 - GALLETAS AVENA","DERIVADOS",B150="160 - SOUVENIR","OTROS",B150="148 - CARAMELOS","DERIVADOS",B150="143 - CHOCOFFES","DERIVADOS",B150="162 - CONVENIOS Y DSC POS ","OTROS"),"OTROS")</f>
        <v>OTROS</v>
      </c>
      <c r="L150" s="27">
        <f t="shared" si="30"/>
        <v>35522504</v>
      </c>
      <c r="M150" s="27">
        <f t="shared" si="31"/>
        <v>35522504</v>
      </c>
    </row>
    <row r="151" spans="1:13" ht="16.5" hidden="1" outlineLevel="1">
      <c r="A151" s="33"/>
      <c r="B151" s="45" t="s">
        <v>42</v>
      </c>
      <c r="C151" s="46">
        <v>40584</v>
      </c>
      <c r="D151" s="47">
        <v>0</v>
      </c>
      <c r="E151" s="36">
        <v>0</v>
      </c>
      <c r="F151" s="36">
        <v>0</v>
      </c>
      <c r="G151" s="37" t="str">
        <f t="shared" ref="G151:G220" si="38">IFERROR(C151/F151*100%,"-")</f>
        <v>-</v>
      </c>
      <c r="H151" s="23">
        <f t="shared" si="37"/>
        <v>0</v>
      </c>
      <c r="I151" s="24">
        <f t="shared" si="37"/>
        <v>0</v>
      </c>
      <c r="J151" s="32" t="str" cm="1">
        <f t="array" ref="J151">IFERROR(_xlfn.IFS(B151="044 - BLEND TRADICION","BLEND",B151="113 - CAFÉ GOURMET","GOURMET",B151="114 - CAFÉ CONSUMO","CONSUMO",B151="112 - CAFÉ ORGANICO","GOURMET",B151="172 - CAFÉ COSECHA","ESPECIALES",B151="176 - CAFE DESCAFEINADO","GOURMET",B151="147 - CAPSULAS","CAPSULAS",B151="130 - GALLETAS CAFECITAS","DERIVADOS",B151="140 - MERENGUES","DERIVADOS",B151="100 - CAFÉ ESPECIAL","ESPECIALES",B151="141 - AREQUIPE","DERIVADOS",B151="142 - MERMELADA","DERIVADOS",B151="131 - GALLETAS AVENA","DERIVADOS",B151="160 - SOUVENIR","OTROS",B151="148 - CARAMELOS","DERIVADOS",B151="143 - CHOCOFFES","DERIVADOS",B151="162 - CONVENIOS Y DSC POS ","OTROS"),"OTROS")</f>
        <v>OTROS</v>
      </c>
      <c r="L151" s="27">
        <f t="shared" si="30"/>
        <v>40584</v>
      </c>
      <c r="M151" s="27">
        <f t="shared" si="31"/>
        <v>40584</v>
      </c>
    </row>
    <row r="152" spans="1:13" ht="16.5" hidden="1" outlineLevel="1">
      <c r="A152" s="44"/>
      <c r="B152" s="45" t="s">
        <v>18</v>
      </c>
      <c r="C152" s="46">
        <v>6560424</v>
      </c>
      <c r="D152" s="47">
        <v>0</v>
      </c>
      <c r="E152" s="36">
        <v>0</v>
      </c>
      <c r="F152" s="36">
        <v>14379067.41</v>
      </c>
      <c r="G152" s="37">
        <f t="shared" si="38"/>
        <v>0.45624822618451022</v>
      </c>
      <c r="H152" s="23">
        <f t="shared" si="37"/>
        <v>0</v>
      </c>
      <c r="I152" s="24">
        <f t="shared" si="37"/>
        <v>0</v>
      </c>
      <c r="J152" s="32" t="str" cm="1">
        <f t="array" ref="J152">IFERROR(_xlfn.IFS(B152="044 - BLEND TRADICION","BLEND",B152="113 - CAFÉ GOURMET","GOURMET",B152="114 - CAFÉ CONSUMO","CONSUMO",B152="112 - CAFÉ ORGANICO","GOURMET",B152="172 - CAFÉ COSECHA","ESPECIALES",B152="176 - CAFE DESCAFEINADO","GOURMET",B152="147 - CAPSULAS","CAPSULAS",B152="130 - GALLETAS CAFECITAS","DERIVADOS",B152="140 - MERENGUES","DERIVADOS",B152="100 - CAFÉ ESPECIAL","ESPECIALES",B152="141 - AREQUIPE","DERIVADOS",B152="142 - MERMELADA","DERIVADOS",B152="131 - GALLETAS AVENA","DERIVADOS",B152="160 - SOUVENIR","OTROS",B152="148 - CARAMELOS","DERIVADOS",B152="143 - CHOCOFFES","DERIVADOS",B152="162 - CONVENIOS Y DSC POS ","OTROS"),"OTROS")</f>
        <v>BLEND</v>
      </c>
      <c r="L152" s="27">
        <f t="shared" si="30"/>
        <v>6560424</v>
      </c>
      <c r="M152" s="27">
        <f t="shared" si="31"/>
        <v>6560424</v>
      </c>
    </row>
    <row r="153" spans="1:13" ht="16.5" hidden="1" outlineLevel="1">
      <c r="A153" s="44"/>
      <c r="B153" s="45" t="s">
        <v>19</v>
      </c>
      <c r="C153" s="46">
        <v>1668654</v>
      </c>
      <c r="D153" s="47">
        <v>0</v>
      </c>
      <c r="E153" s="36">
        <v>0</v>
      </c>
      <c r="F153" s="36">
        <v>3909295.37</v>
      </c>
      <c r="G153" s="37">
        <f t="shared" si="38"/>
        <v>0.42684265118601156</v>
      </c>
      <c r="H153" s="23">
        <f t="shared" si="37"/>
        <v>0</v>
      </c>
      <c r="I153" s="24">
        <f t="shared" si="37"/>
        <v>0</v>
      </c>
      <c r="J153" s="32" t="str" cm="1">
        <f t="array" ref="J153">IFERROR(_xlfn.IFS(B153="044 - BLEND TRADICION","BLEND",B153="113 - CAFÉ GOURMET","GOURMET",B153="114 - CAFÉ CONSUMO","CONSUMO",B153="112 - CAFÉ ORGANICO","GOURMET",B153="172 - CAFÉ COSECHA","ESPECIALES",B153="176 - CAFE DESCAFEINADO","GOURMET",B153="147 - CAPSULAS","CAPSULAS",B153="130 - GALLETAS CAFECITAS","DERIVADOS",B153="140 - MERENGUES","DERIVADOS",B153="100 - CAFÉ ESPECIAL","ESPECIALES",B153="141 - AREQUIPE","DERIVADOS",B153="142 - MERMELADA","DERIVADOS",B153="131 - GALLETAS AVENA","DERIVADOS",B153="160 - SOUVENIR","OTROS",B153="148 - CARAMELOS","DERIVADOS",B153="143 - CHOCOFFES","DERIVADOS",B153="162 - CONVENIOS Y DSC POS ","OTROS"),"OTROS")</f>
        <v>ESPECIALES</v>
      </c>
      <c r="L153" s="27">
        <f t="shared" si="30"/>
        <v>1668654</v>
      </c>
      <c r="M153" s="27">
        <f t="shared" si="31"/>
        <v>1668654</v>
      </c>
    </row>
    <row r="154" spans="1:13" ht="16.5" hidden="1" outlineLevel="1">
      <c r="A154" s="44"/>
      <c r="B154" s="45" t="s">
        <v>20</v>
      </c>
      <c r="C154" s="46">
        <v>1900206</v>
      </c>
      <c r="D154" s="47">
        <v>0</v>
      </c>
      <c r="E154" s="36">
        <v>0</v>
      </c>
      <c r="F154" s="36">
        <v>4626025.21</v>
      </c>
      <c r="G154" s="37">
        <f t="shared" si="38"/>
        <v>0.41076429845050499</v>
      </c>
      <c r="H154" s="23">
        <f t="shared" si="37"/>
        <v>0</v>
      </c>
      <c r="I154" s="24">
        <f t="shared" si="37"/>
        <v>0</v>
      </c>
      <c r="J154" s="32" t="str" cm="1">
        <f t="array" ref="J154">IFERROR(_xlfn.IFS(B154="044 - BLEND TRADICION","BLEND",B154="113 - CAFÉ GOURMET","GOURMET",B154="114 - CAFÉ CONSUMO","CONSUMO",B154="112 - CAFÉ ORGANICO","GOURMET",B154="172 - CAFÉ COSECHA","ESPECIALES",B154="176 - CAFE DESCAFEINADO","GOURMET",B154="147 - CAPSULAS","CAPSULAS",B154="130 - GALLETAS CAFECITAS","DERIVADOS",B154="140 - MERENGUES","DERIVADOS",B154="100 - CAFÉ ESPECIAL","ESPECIALES",B154="141 - AREQUIPE","DERIVADOS",B154="142 - MERMELADA","DERIVADOS",B154="131 - GALLETAS AVENA","DERIVADOS",B154="160 - SOUVENIR","OTROS",B154="148 - CARAMELOS","DERIVADOS",B154="143 - CHOCOFFES","DERIVADOS",B154="162 - CONVENIOS Y DSC POS ","OTROS"),"OTROS")</f>
        <v>GOURMET</v>
      </c>
      <c r="L154" s="27">
        <f t="shared" si="30"/>
        <v>1900206</v>
      </c>
      <c r="M154" s="27">
        <f t="shared" si="31"/>
        <v>1900206</v>
      </c>
    </row>
    <row r="155" spans="1:13" ht="16.5" hidden="1" outlineLevel="1">
      <c r="A155" s="44"/>
      <c r="B155" s="45" t="s">
        <v>21</v>
      </c>
      <c r="C155" s="46">
        <v>37998179</v>
      </c>
      <c r="D155" s="47">
        <v>0</v>
      </c>
      <c r="E155" s="36"/>
      <c r="F155" s="36">
        <v>114747780.18000001</v>
      </c>
      <c r="G155" s="37">
        <f t="shared" si="38"/>
        <v>0.3311452207650018</v>
      </c>
      <c r="H155" s="23">
        <f t="shared" si="37"/>
        <v>0</v>
      </c>
      <c r="I155" s="24">
        <f t="shared" si="37"/>
        <v>0</v>
      </c>
      <c r="J155" s="32" t="str" cm="1">
        <f t="array" ref="J155">IFERROR(_xlfn.IFS(B155="044 - BLEND TRADICION","BLEND",B155="113 - CAFÉ GOURMET","GOURMET",B155="114 - CAFÉ CONSUMO","CONSUMO",B155="112 - CAFÉ ORGANICO","GOURMET",B155="172 - CAFÉ COSECHA","ESPECIALES",B155="176 - CAFE DESCAFEINADO","GOURMET",B155="147 - CAPSULAS","CAPSULAS",B155="130 - GALLETAS CAFECITAS","DERIVADOS",B155="140 - MERENGUES","DERIVADOS",B155="100 - CAFÉ ESPECIAL","ESPECIALES",B155="141 - AREQUIPE","DERIVADOS",B155="142 - MERMELADA","DERIVADOS",B155="131 - GALLETAS AVENA","DERIVADOS",B155="160 - SOUVENIR","OTROS",B155="148 - CARAMELOS","DERIVADOS",B155="143 - CHOCOFFES","DERIVADOS",B155="162 - CONVENIOS Y DSC POS ","OTROS"),"OTROS")</f>
        <v>GOURMET</v>
      </c>
      <c r="L155" s="27">
        <f t="shared" si="30"/>
        <v>37998179</v>
      </c>
      <c r="M155" s="27">
        <f t="shared" si="31"/>
        <v>37998179</v>
      </c>
    </row>
    <row r="156" spans="1:13" ht="16.5" hidden="1" outlineLevel="1">
      <c r="A156" s="38"/>
      <c r="B156" s="34" t="s">
        <v>38</v>
      </c>
      <c r="C156" s="35">
        <v>0</v>
      </c>
      <c r="D156" s="36">
        <v>0</v>
      </c>
      <c r="E156" s="36"/>
      <c r="F156" s="36">
        <v>353869.81</v>
      </c>
      <c r="G156" s="37">
        <f t="shared" si="38"/>
        <v>0</v>
      </c>
      <c r="H156" s="23">
        <f t="shared" si="37"/>
        <v>0</v>
      </c>
      <c r="I156" s="24">
        <f t="shared" si="37"/>
        <v>0</v>
      </c>
      <c r="J156" s="32" t="str" cm="1">
        <f t="array" ref="J156">IFERROR(_xlfn.IFS(B156="044 - BLEND TRADICION","BLEND",B156="113 - CAFÉ GOURMET","GOURMET",B156="114 - CAFÉ CONSUMO","CONSUMO",B156="112 - CAFÉ ORGANICO","GOURMET",B156="172 - CAFÉ COSECHA","ESPECIALES",B156="176 - CAFE DESCAFEINADO","GOURMET",B156="147 - CAPSULAS","CAPSULAS",B156="130 - GALLETAS CAFECITAS","DERIVADOS",B156="140 - MERENGUES","DERIVADOS",B156="100 - CAFÉ ESPECIAL","ESPECIALES",B156="141 - AREQUIPE","DERIVADOS",B156="142 - MERMELADA","DERIVADOS",B156="131 - GALLETAS AVENA","DERIVADOS",B156="160 - SOUVENIR","OTROS",B156="148 - CARAMELOS","DERIVADOS",B156="143 - CHOCOFFES","DERIVADOS",B156="162 - CONVENIOS Y DSC POS ","OTROS"),"OTROS")</f>
        <v>CONSUMO</v>
      </c>
      <c r="L156" s="27">
        <f t="shared" si="30"/>
        <v>0</v>
      </c>
      <c r="M156" s="27">
        <f t="shared" si="31"/>
        <v>0</v>
      </c>
    </row>
    <row r="157" spans="1:13" ht="16.5" hidden="1" outlineLevel="1">
      <c r="A157" s="38"/>
      <c r="B157" s="39" t="s">
        <v>22</v>
      </c>
      <c r="C157" s="36">
        <v>5315086</v>
      </c>
      <c r="D157" s="36">
        <v>0</v>
      </c>
      <c r="E157" s="36"/>
      <c r="F157" s="36">
        <v>21366443.850000001</v>
      </c>
      <c r="G157" s="37">
        <f t="shared" si="38"/>
        <v>0.24875856915234865</v>
      </c>
      <c r="H157" s="23">
        <f t="shared" si="37"/>
        <v>0</v>
      </c>
      <c r="I157" s="24">
        <f t="shared" si="37"/>
        <v>0</v>
      </c>
      <c r="J157" s="32" t="str" cm="1">
        <f t="array" ref="J157">IFERROR(_xlfn.IFS(B157="044 - BLEND TRADICION","BLEND",B157="113 - CAFÉ GOURMET","GOURMET",B157="114 - CAFÉ CONSUMO","CONSUMO",B157="112 - CAFÉ ORGANICO","GOURMET",B157="172 - CAFÉ COSECHA","ESPECIALES",B157="176 - CAFE DESCAFEINADO","GOURMET",B157="147 - CAPSULAS","CAPSULAS",B157="130 - GALLETAS CAFECITAS","DERIVADOS",B157="140 - MERENGUES","DERIVADOS",B157="100 - CAFÉ ESPECIAL","ESPECIALES",B157="141 - AREQUIPE","DERIVADOS",B157="142 - MERMELADA","DERIVADOS",B157="131 - GALLETAS AVENA","DERIVADOS",B157="160 - SOUVENIR","OTROS",B157="148 - CARAMELOS","DERIVADOS",B157="143 - CHOCOFFES","DERIVADOS",B157="162 - CONVENIOS Y DSC POS ","OTROS"),"OTROS")</f>
        <v>DERIVADOS</v>
      </c>
      <c r="L157" s="27">
        <f t="shared" si="30"/>
        <v>5315086</v>
      </c>
      <c r="M157" s="27">
        <f t="shared" si="31"/>
        <v>5315086</v>
      </c>
    </row>
    <row r="158" spans="1:13" ht="16.5" hidden="1" outlineLevel="1">
      <c r="A158" s="38"/>
      <c r="B158" s="39" t="s">
        <v>23</v>
      </c>
      <c r="C158" s="36">
        <v>59664</v>
      </c>
      <c r="D158" s="36">
        <v>0</v>
      </c>
      <c r="E158" s="36"/>
      <c r="F158" s="36">
        <v>227657.98</v>
      </c>
      <c r="G158" s="37">
        <f t="shared" si="38"/>
        <v>0.26207734953986678</v>
      </c>
      <c r="H158" s="23">
        <f t="shared" si="37"/>
        <v>0</v>
      </c>
      <c r="I158" s="24">
        <f t="shared" si="37"/>
        <v>0</v>
      </c>
      <c r="J158" s="32" t="str" cm="1">
        <f t="array" ref="J158">IFERROR(_xlfn.IFS(B158="044 - BLEND TRADICION","BLEND",B158="113 - CAFÉ GOURMET","GOURMET",B158="114 - CAFÉ CONSUMO","CONSUMO",B158="112 - CAFÉ ORGANICO","GOURMET",B158="172 - CAFÉ COSECHA","ESPECIALES",B158="176 - CAFE DESCAFEINADO","GOURMET",B158="147 - CAPSULAS","CAPSULAS",B158="130 - GALLETAS CAFECITAS","DERIVADOS",B158="140 - MERENGUES","DERIVADOS",B158="100 - CAFÉ ESPECIAL","ESPECIALES",B158="141 - AREQUIPE","DERIVADOS",B158="142 - MERMELADA","DERIVADOS",B158="131 - GALLETAS AVENA","DERIVADOS",B158="160 - SOUVENIR","OTROS",B158="148 - CARAMELOS","DERIVADOS",B158="143 - CHOCOFFES","DERIVADOS",B158="162 - CONVENIOS Y DSC POS ","OTROS"),"OTROS")</f>
        <v>DERIVADOS</v>
      </c>
      <c r="L158" s="27">
        <f t="shared" si="30"/>
        <v>59664</v>
      </c>
      <c r="M158" s="27">
        <f t="shared" si="31"/>
        <v>59664</v>
      </c>
    </row>
    <row r="159" spans="1:13" ht="16.5" hidden="1" outlineLevel="1">
      <c r="A159" s="38"/>
      <c r="B159" s="39" t="s">
        <v>24</v>
      </c>
      <c r="C159" s="36">
        <v>1113532</v>
      </c>
      <c r="D159" s="36">
        <v>0</v>
      </c>
      <c r="E159" s="36"/>
      <c r="F159" s="36">
        <v>2117327.71</v>
      </c>
      <c r="G159" s="37">
        <f t="shared" si="38"/>
        <v>0.52591386526557105</v>
      </c>
      <c r="H159" s="23">
        <f t="shared" si="37"/>
        <v>0</v>
      </c>
      <c r="I159" s="24">
        <f t="shared" si="37"/>
        <v>0</v>
      </c>
      <c r="J159" s="32" t="str" cm="1">
        <f t="array" ref="J159">IFERROR(_xlfn.IFS(B159="044 - BLEND TRADICION","BLEND",B159="113 - CAFÉ GOURMET","GOURMET",B159="114 - CAFÉ CONSUMO","CONSUMO",B159="112 - CAFÉ ORGANICO","GOURMET",B159="172 - CAFÉ COSECHA","ESPECIALES",B159="176 - CAFE DESCAFEINADO","GOURMET",B159="147 - CAPSULAS","CAPSULAS",B159="130 - GALLETAS CAFECITAS","DERIVADOS",B159="140 - MERENGUES","DERIVADOS",B159="100 - CAFÉ ESPECIAL","ESPECIALES",B159="141 - AREQUIPE","DERIVADOS",B159="142 - MERMELADA","DERIVADOS",B159="131 - GALLETAS AVENA","DERIVADOS",B159="160 - SOUVENIR","OTROS",B159="148 - CARAMELOS","DERIVADOS",B159="143 - CHOCOFFES","DERIVADOS",B159="162 - CONVENIOS Y DSC POS ","OTROS"),"OTROS")</f>
        <v>DERIVADOS</v>
      </c>
      <c r="L159" s="27">
        <f t="shared" si="30"/>
        <v>1113532</v>
      </c>
      <c r="M159" s="27">
        <f t="shared" si="31"/>
        <v>1113532</v>
      </c>
    </row>
    <row r="160" spans="1:13" ht="16.5" hidden="1" outlineLevel="1">
      <c r="A160" s="38"/>
      <c r="B160" s="39" t="s">
        <v>25</v>
      </c>
      <c r="C160" s="36">
        <v>3793481</v>
      </c>
      <c r="D160" s="36">
        <v>0</v>
      </c>
      <c r="E160" s="36"/>
      <c r="F160" s="36">
        <v>5087944.59</v>
      </c>
      <c r="G160" s="37">
        <f t="shared" si="38"/>
        <v>0.74558221554845983</v>
      </c>
      <c r="H160" s="23">
        <f t="shared" si="37"/>
        <v>0</v>
      </c>
      <c r="I160" s="24">
        <f t="shared" si="37"/>
        <v>0</v>
      </c>
      <c r="J160" s="32" t="str" cm="1">
        <f t="array" ref="J160">IFERROR(_xlfn.IFS(B160="044 - BLEND TRADICION","BLEND",B160="113 - CAFÉ GOURMET","GOURMET",B160="114 - CAFÉ CONSUMO","CONSUMO",B160="112 - CAFÉ ORGANICO","GOURMET",B160="172 - CAFÉ COSECHA","ESPECIALES",B160="176 - CAFE DESCAFEINADO","GOURMET",B160="147 - CAPSULAS","CAPSULAS",B160="130 - GALLETAS CAFECITAS","DERIVADOS",B160="140 - MERENGUES","DERIVADOS",B160="100 - CAFÉ ESPECIAL","ESPECIALES",B160="141 - AREQUIPE","DERIVADOS",B160="142 - MERMELADA","DERIVADOS",B160="131 - GALLETAS AVENA","DERIVADOS",B160="160 - SOUVENIR","OTROS",B160="148 - CARAMELOS","DERIVADOS",B160="143 - CHOCOFFES","DERIVADOS",B160="162 - CONVENIOS Y DSC POS ","OTROS"),"OTROS")</f>
        <v>DERIVADOS</v>
      </c>
      <c r="L160" s="27">
        <f t="shared" si="30"/>
        <v>3793481</v>
      </c>
      <c r="M160" s="27">
        <f t="shared" si="31"/>
        <v>3793481</v>
      </c>
    </row>
    <row r="161" spans="1:13" ht="16.5" hidden="1" outlineLevel="1">
      <c r="A161" s="38"/>
      <c r="B161" s="39" t="s">
        <v>26</v>
      </c>
      <c r="C161" s="36">
        <v>2234119</v>
      </c>
      <c r="D161" s="36">
        <v>-22687</v>
      </c>
      <c r="E161" s="36"/>
      <c r="F161" s="36">
        <v>4929036.9800000004</v>
      </c>
      <c r="G161" s="37">
        <f t="shared" si="38"/>
        <v>0.4532566927505583</v>
      </c>
      <c r="H161" s="23">
        <f t="shared" si="37"/>
        <v>-1.0052702802101731E-2</v>
      </c>
      <c r="I161" s="24">
        <f t="shared" si="37"/>
        <v>0</v>
      </c>
      <c r="J161" s="32" t="str" cm="1">
        <f t="array" ref="J161">IFERROR(_xlfn.IFS(B161="044 - BLEND TRADICION","BLEND",B161="113 - CAFÉ GOURMET","GOURMET",B161="114 - CAFÉ CONSUMO","CONSUMO",B161="112 - CAFÉ ORGANICO","GOURMET",B161="172 - CAFÉ COSECHA","ESPECIALES",B161="176 - CAFE DESCAFEINADO","GOURMET",B161="147 - CAPSULAS","CAPSULAS",B161="130 - GALLETAS CAFECITAS","DERIVADOS",B161="140 - MERENGUES","DERIVADOS",B161="100 - CAFÉ ESPECIAL","ESPECIALES",B161="141 - AREQUIPE","DERIVADOS",B161="142 - MERMELADA","DERIVADOS",B161="131 - GALLETAS AVENA","DERIVADOS",B161="160 - SOUVENIR","OTROS",B161="148 - CARAMELOS","DERIVADOS",B161="143 - CHOCOFFES","DERIVADOS",B161="162 - CONVENIOS Y DSC POS ","OTROS"),"OTROS")</f>
        <v>CAPSULAS</v>
      </c>
      <c r="L161" s="27">
        <f t="shared" si="30"/>
        <v>2256806</v>
      </c>
      <c r="M161" s="27">
        <f t="shared" si="31"/>
        <v>2256806</v>
      </c>
    </row>
    <row r="162" spans="1:13" ht="16.5" hidden="1" outlineLevel="1">
      <c r="A162" s="38"/>
      <c r="B162" s="39" t="s">
        <v>27</v>
      </c>
      <c r="C162" s="36">
        <v>1419838</v>
      </c>
      <c r="D162" s="36">
        <v>0</v>
      </c>
      <c r="E162" s="36"/>
      <c r="F162" s="36">
        <v>3748792.41</v>
      </c>
      <c r="G162" s="37">
        <f t="shared" si="38"/>
        <v>0.378745431785592</v>
      </c>
      <c r="H162" s="23">
        <f t="shared" si="37"/>
        <v>0</v>
      </c>
      <c r="I162" s="24">
        <f t="shared" si="37"/>
        <v>0</v>
      </c>
      <c r="J162" s="32" t="str" cm="1">
        <f t="array" ref="J162">IFERROR(_xlfn.IFS(B162="044 - BLEND TRADICION","BLEND",B162="113 - CAFÉ GOURMET","GOURMET",B162="114 - CAFÉ CONSUMO","CONSUMO",B162="112 - CAFÉ ORGANICO","GOURMET",B162="172 - CAFÉ COSECHA","ESPECIALES",B162="176 - CAFE DESCAFEINADO","GOURMET",B162="147 - CAPSULAS","CAPSULAS",B162="130 - GALLETAS CAFECITAS","DERIVADOS",B162="140 - MERENGUES","DERIVADOS",B162="100 - CAFÉ ESPECIAL","ESPECIALES",B162="141 - AREQUIPE","DERIVADOS",B162="142 - MERMELADA","DERIVADOS",B162="131 - GALLETAS AVENA","DERIVADOS",B162="160 - SOUVENIR","OTROS",B162="148 - CARAMELOS","DERIVADOS",B162="143 - CHOCOFFES","DERIVADOS",B162="162 - CONVENIOS Y DSC POS ","OTROS"),"OTROS")</f>
        <v>DERIVADOS</v>
      </c>
      <c r="L162" s="27">
        <f t="shared" si="30"/>
        <v>1419838</v>
      </c>
      <c r="M162" s="27">
        <f t="shared" si="31"/>
        <v>1419838</v>
      </c>
    </row>
    <row r="163" spans="1:13" ht="16.5" hidden="1" outlineLevel="1">
      <c r="A163" s="38"/>
      <c r="B163" s="39" t="s">
        <v>28</v>
      </c>
      <c r="C163" s="36">
        <v>983963</v>
      </c>
      <c r="D163" s="36">
        <v>0</v>
      </c>
      <c r="E163" s="36">
        <v>0</v>
      </c>
      <c r="F163" s="36">
        <v>3497038.66</v>
      </c>
      <c r="G163" s="37">
        <f t="shared" si="38"/>
        <v>0.28137035236550689</v>
      </c>
      <c r="H163" s="23">
        <f t="shared" si="37"/>
        <v>0</v>
      </c>
      <c r="I163" s="24">
        <f t="shared" si="37"/>
        <v>0</v>
      </c>
      <c r="J163" s="32" t="str" cm="1">
        <f t="array" ref="J163">IFERROR(_xlfn.IFS(B163="044 - BLEND TRADICION","BLEND",B163="113 - CAFÉ GOURMET","GOURMET",B163="114 - CAFÉ CONSUMO","CONSUMO",B163="112 - CAFÉ ORGANICO","GOURMET",B163="172 - CAFÉ COSECHA","ESPECIALES",B163="176 - CAFE DESCAFEINADO","GOURMET",B163="147 - CAPSULAS","CAPSULAS",B163="130 - GALLETAS CAFECITAS","DERIVADOS",B163="140 - MERENGUES","DERIVADOS",B163="100 - CAFÉ ESPECIAL","ESPECIALES",B163="141 - AREQUIPE","DERIVADOS",B163="142 - MERMELADA","DERIVADOS",B163="131 - GALLETAS AVENA","DERIVADOS",B163="160 - SOUVENIR","OTROS",B163="148 - CARAMELOS","DERIVADOS",B163="143 - CHOCOFFES","DERIVADOS",B163="162 - CONVENIOS Y DSC POS ","OTROS"),"OTROS")</f>
        <v>OTROS</v>
      </c>
      <c r="L163" s="27">
        <f t="shared" si="30"/>
        <v>983963</v>
      </c>
      <c r="M163" s="27">
        <f t="shared" si="31"/>
        <v>983963</v>
      </c>
    </row>
    <row r="164" spans="1:13" ht="16.5" hidden="1" outlineLevel="1">
      <c r="A164" s="38"/>
      <c r="B164" s="39" t="s">
        <v>50</v>
      </c>
      <c r="C164" s="36">
        <v>-52019</v>
      </c>
      <c r="D164" s="36">
        <v>0</v>
      </c>
      <c r="E164" s="36">
        <v>-52019</v>
      </c>
      <c r="F164" s="36">
        <v>0</v>
      </c>
      <c r="G164" s="37" t="str">
        <f t="shared" si="38"/>
        <v>-</v>
      </c>
      <c r="H164" s="23">
        <f t="shared" si="37"/>
        <v>0</v>
      </c>
      <c r="I164" s="24">
        <f t="shared" si="37"/>
        <v>0</v>
      </c>
      <c r="J164" s="32" t="str" cm="1">
        <f t="array" ref="J164">IFERROR(_xlfn.IFS(B164="044 - BLEND TRADICION","BLEND",B164="113 - CAFÉ GOURMET","GOURMET",B164="114 - CAFÉ CONSUMO","CONSUMO",B164="112 - CAFÉ ORGANICO","GOURMET",B164="172 - CAFÉ COSECHA","ESPECIALES",B164="176 - CAFE DESCAFEINADO","GOURMET",B164="147 - CAPSULAS","CAPSULAS",B164="130 - GALLETAS CAFECITAS","DERIVADOS",B164="140 - MERENGUES","DERIVADOS",B164="100 - CAFÉ ESPECIAL","ESPECIALES",B164="141 - AREQUIPE","DERIVADOS",B164="142 - MERMELADA","DERIVADOS",B164="131 - GALLETAS AVENA","DERIVADOS",B164="160 - SOUVENIR","OTROS",B164="148 - CARAMELOS","DERIVADOS",B164="143 - CHOCOFFES","DERIVADOS",B164="162 - CONVENIOS Y DSC POS ","OTROS"),"OTROS")</f>
        <v>OTROS</v>
      </c>
      <c r="L164" s="27">
        <f t="shared" si="30"/>
        <v>0</v>
      </c>
      <c r="M164" s="27">
        <f t="shared" si="31"/>
        <v>0</v>
      </c>
    </row>
    <row r="165" spans="1:13" ht="16.5" hidden="1" outlineLevel="1">
      <c r="A165" s="38"/>
      <c r="B165" s="39" t="s">
        <v>29</v>
      </c>
      <c r="C165" s="36">
        <v>1689864</v>
      </c>
      <c r="D165" s="36">
        <v>0</v>
      </c>
      <c r="E165" s="36">
        <v>0</v>
      </c>
      <c r="F165" s="36">
        <v>7182790.8499999996</v>
      </c>
      <c r="G165" s="37">
        <f t="shared" si="38"/>
        <v>0.23526565582791542</v>
      </c>
      <c r="H165" s="23">
        <f t="shared" si="37"/>
        <v>0</v>
      </c>
      <c r="I165" s="24">
        <f t="shared" si="37"/>
        <v>0</v>
      </c>
      <c r="J165" s="32" t="str" cm="1">
        <f t="array" ref="J165">IFERROR(_xlfn.IFS(B165="044 - BLEND TRADICION","BLEND",B165="113 - CAFÉ GOURMET","GOURMET",B165="114 - CAFÉ CONSUMO","CONSUMO",B165="112 - CAFÉ ORGANICO","GOURMET",B165="172 - CAFÉ COSECHA","ESPECIALES",B165="176 - CAFE DESCAFEINADO","GOURMET",B165="147 - CAPSULAS","CAPSULAS",B165="130 - GALLETAS CAFECITAS","DERIVADOS",B165="140 - MERENGUES","DERIVADOS",B165="100 - CAFÉ ESPECIAL","ESPECIALES",B165="141 - AREQUIPE","DERIVADOS",B165="142 - MERMELADA","DERIVADOS",B165="131 - GALLETAS AVENA","DERIVADOS",B165="160 - SOUVENIR","OTROS",B165="148 - CARAMELOS","DERIVADOS",B165="143 - CHOCOFFES","DERIVADOS",B165="162 - CONVENIOS Y DSC POS ","OTROS"),"OTROS")</f>
        <v>ESPECIALES</v>
      </c>
      <c r="L165" s="27">
        <f t="shared" si="30"/>
        <v>1689864</v>
      </c>
      <c r="M165" s="27">
        <f t="shared" si="31"/>
        <v>1689864</v>
      </c>
    </row>
    <row r="166" spans="1:13" ht="16.5" hidden="1" outlineLevel="1">
      <c r="A166" s="38"/>
      <c r="B166" s="39" t="s">
        <v>30</v>
      </c>
      <c r="C166" s="36">
        <v>740165</v>
      </c>
      <c r="D166" s="36">
        <v>0</v>
      </c>
      <c r="E166" s="36"/>
      <c r="F166" s="36">
        <v>1596976.67</v>
      </c>
      <c r="G166" s="37">
        <f t="shared" si="38"/>
        <v>0.46347890605064385</v>
      </c>
      <c r="H166" s="23">
        <f t="shared" si="37"/>
        <v>0</v>
      </c>
      <c r="I166" s="24">
        <f t="shared" si="37"/>
        <v>0</v>
      </c>
      <c r="J166" s="32" t="str" cm="1">
        <f t="array" ref="J166">IFERROR(_xlfn.IFS(B166="044 - BLEND TRADICION","BLEND",B166="113 - CAFÉ GOURMET","GOURMET",B166="114 - CAFÉ CONSUMO","CONSUMO",B166="112 - CAFÉ ORGANICO","GOURMET",B166="172 - CAFÉ COSECHA","ESPECIALES",B166="176 - CAFE DESCAFEINADO","GOURMET",B166="147 - CAPSULAS","CAPSULAS",B166="130 - GALLETAS CAFECITAS","DERIVADOS",B166="140 - MERENGUES","DERIVADOS",B166="100 - CAFÉ ESPECIAL","ESPECIALES",B166="141 - AREQUIPE","DERIVADOS",B166="142 - MERMELADA","DERIVADOS",B166="131 - GALLETAS AVENA","DERIVADOS",B166="160 - SOUVENIR","OTROS",B166="148 - CARAMELOS","DERIVADOS",B166="143 - CHOCOFFES","DERIVADOS",B166="162 - CONVENIOS Y DSC POS ","OTROS"),"OTROS")</f>
        <v>GOURMET</v>
      </c>
      <c r="L166" s="27">
        <f t="shared" si="30"/>
        <v>740165</v>
      </c>
      <c r="M166" s="27">
        <f t="shared" si="31"/>
        <v>740165</v>
      </c>
    </row>
    <row r="167" spans="1:13" ht="16.5" hidden="1" outlineLevel="1">
      <c r="A167" s="19" t="s">
        <v>52</v>
      </c>
      <c r="B167" s="56" t="s">
        <v>32</v>
      </c>
      <c r="C167" s="54">
        <f>SUM(C151:C166)</f>
        <v>65465740</v>
      </c>
      <c r="D167" s="54">
        <f>SUM(D151:D166)</f>
        <v>-22687</v>
      </c>
      <c r="E167" s="54">
        <f>SUM(E151:E166)</f>
        <v>-52019</v>
      </c>
      <c r="F167" s="58">
        <f>SUM(F151:F166)</f>
        <v>187770047.67999998</v>
      </c>
      <c r="G167" s="55">
        <f t="shared" si="38"/>
        <v>0.3486484708762897</v>
      </c>
      <c r="H167" s="23">
        <f t="shared" si="37"/>
        <v>-3.4615266426475037E-4</v>
      </c>
      <c r="I167" s="24">
        <f t="shared" si="37"/>
        <v>-7.936931036447326E-4</v>
      </c>
      <c r="J167" s="32" t="str" cm="1">
        <f t="array" ref="J167">IFERROR(_xlfn.IFS(B167="044 - BLEND TRADICION","BLEND",B167="113 - CAFÉ GOURMET","GOURMET",B167="114 - CAFÉ CONSUMO","CONSUMO",B167="112 - CAFÉ ORGANICO","GOURMET",B167="172 - CAFÉ COSECHA","ESPECIALES",B167="176 - CAFE DESCAFEINADO","GOURMET",B167="147 - CAPSULAS","CAPSULAS",B167="130 - GALLETAS CAFECITAS","DERIVADOS",B167="140 - MERENGUES","DERIVADOS",B167="100 - CAFÉ ESPECIAL","ESPECIALES",B167="141 - AREQUIPE","DERIVADOS",B167="142 - MERMELADA","DERIVADOS",B167="131 - GALLETAS AVENA","DERIVADOS",B167="160 - SOUVENIR","OTROS",B167="148 - CARAMELOS","DERIVADOS",B167="143 - CHOCOFFES","DERIVADOS",B167="162 - CONVENIOS Y DSC POS ","OTROS"),"OTROS")</f>
        <v>OTROS</v>
      </c>
      <c r="L167" s="27">
        <f t="shared" si="30"/>
        <v>65540446</v>
      </c>
      <c r="M167" s="27">
        <f t="shared" si="31"/>
        <v>65540446</v>
      </c>
    </row>
    <row r="168" spans="1:13" ht="16.5" hidden="1" outlineLevel="1">
      <c r="A168" s="33"/>
      <c r="B168" s="39" t="s">
        <v>42</v>
      </c>
      <c r="C168" s="36">
        <v>24150</v>
      </c>
      <c r="D168" s="36">
        <v>0</v>
      </c>
      <c r="E168" s="36">
        <v>0</v>
      </c>
      <c r="F168" s="36">
        <v>0</v>
      </c>
      <c r="G168" s="37" t="str">
        <f t="shared" si="38"/>
        <v>-</v>
      </c>
      <c r="H168" s="23">
        <f t="shared" si="37"/>
        <v>0</v>
      </c>
      <c r="I168" s="24">
        <f t="shared" si="37"/>
        <v>0</v>
      </c>
      <c r="J168" s="32" t="str" cm="1">
        <f t="array" ref="J168">IFERROR(_xlfn.IFS(B168="044 - BLEND TRADICION","BLEND",B168="113 - CAFÉ GOURMET","GOURMET",B168="114 - CAFÉ CONSUMO","CONSUMO",B168="112 - CAFÉ ORGANICO","GOURMET",B168="172 - CAFÉ COSECHA","ESPECIALES",B168="176 - CAFE DESCAFEINADO","GOURMET",B168="147 - CAPSULAS","CAPSULAS",B168="130 - GALLETAS CAFECITAS","DERIVADOS",B168="140 - MERENGUES","DERIVADOS",B168="100 - CAFÉ ESPECIAL","ESPECIALES",B168="141 - AREQUIPE","DERIVADOS",B168="142 - MERMELADA","DERIVADOS",B168="131 - GALLETAS AVENA","DERIVADOS",B168="160 - SOUVENIR","OTROS",B168="148 - CARAMELOS","DERIVADOS",B168="143 - CHOCOFFES","DERIVADOS",B168="162 - CONVENIOS Y DSC POS ","OTROS"),"OTROS")</f>
        <v>OTROS</v>
      </c>
      <c r="L168" s="27">
        <f t="shared" si="30"/>
        <v>24150</v>
      </c>
      <c r="M168" s="27">
        <f t="shared" si="31"/>
        <v>24150</v>
      </c>
    </row>
    <row r="169" spans="1:13" ht="16.5" hidden="1" outlineLevel="1">
      <c r="A169" s="38"/>
      <c r="B169" s="39" t="s">
        <v>18</v>
      </c>
      <c r="C169" s="36">
        <v>2255268</v>
      </c>
      <c r="D169" s="36">
        <v>0</v>
      </c>
      <c r="E169" s="36">
        <v>0</v>
      </c>
      <c r="F169" s="36">
        <v>9645193.6699999999</v>
      </c>
      <c r="G169" s="37">
        <f t="shared" si="38"/>
        <v>0.23382298761036699</v>
      </c>
      <c r="H169" s="23">
        <f t="shared" si="37"/>
        <v>0</v>
      </c>
      <c r="I169" s="24">
        <f t="shared" si="37"/>
        <v>0</v>
      </c>
      <c r="J169" s="32" t="str" cm="1">
        <f t="array" ref="J169">IFERROR(_xlfn.IFS(B169="044 - BLEND TRADICION","BLEND",B169="113 - CAFÉ GOURMET","GOURMET",B169="114 - CAFÉ CONSUMO","CONSUMO",B169="112 - CAFÉ ORGANICO","GOURMET",B169="172 - CAFÉ COSECHA","ESPECIALES",B169="176 - CAFE DESCAFEINADO","GOURMET",B169="147 - CAPSULAS","CAPSULAS",B169="130 - GALLETAS CAFECITAS","DERIVADOS",B169="140 - MERENGUES","DERIVADOS",B169="100 - CAFÉ ESPECIAL","ESPECIALES",B169="141 - AREQUIPE","DERIVADOS",B169="142 - MERMELADA","DERIVADOS",B169="131 - GALLETAS AVENA","DERIVADOS",B169="160 - SOUVENIR","OTROS",B169="148 - CARAMELOS","DERIVADOS",B169="143 - CHOCOFFES","DERIVADOS",B169="162 - CONVENIOS Y DSC POS ","OTROS"),"OTROS")</f>
        <v>BLEND</v>
      </c>
      <c r="L169" s="27">
        <f t="shared" si="30"/>
        <v>2255268</v>
      </c>
      <c r="M169" s="27">
        <f t="shared" si="31"/>
        <v>2255268</v>
      </c>
    </row>
    <row r="170" spans="1:13" ht="16.5" hidden="1" outlineLevel="1">
      <c r="A170" s="38"/>
      <c r="B170" s="39" t="s">
        <v>19</v>
      </c>
      <c r="C170" s="36">
        <v>414741</v>
      </c>
      <c r="D170" s="36">
        <v>-18940</v>
      </c>
      <c r="E170" s="36"/>
      <c r="F170" s="36">
        <v>2739705.11</v>
      </c>
      <c r="G170" s="37">
        <f t="shared" si="38"/>
        <v>0.1513816207759674</v>
      </c>
      <c r="H170" s="23">
        <f t="shared" si="37"/>
        <v>-4.3672653401924458E-2</v>
      </c>
      <c r="I170" s="24">
        <f t="shared" si="37"/>
        <v>0</v>
      </c>
      <c r="J170" s="32" t="str" cm="1">
        <f t="array" ref="J170">IFERROR(_xlfn.IFS(B170="044 - BLEND TRADICION","BLEND",B170="113 - CAFÉ GOURMET","GOURMET",B170="114 - CAFÉ CONSUMO","CONSUMO",B170="112 - CAFÉ ORGANICO","GOURMET",B170="172 - CAFÉ COSECHA","ESPECIALES",B170="176 - CAFE DESCAFEINADO","GOURMET",B170="147 - CAPSULAS","CAPSULAS",B170="130 - GALLETAS CAFECITAS","DERIVADOS",B170="140 - MERENGUES","DERIVADOS",B170="100 - CAFÉ ESPECIAL","ESPECIALES",B170="141 - AREQUIPE","DERIVADOS",B170="142 - MERMELADA","DERIVADOS",B170="131 - GALLETAS AVENA","DERIVADOS",B170="160 - SOUVENIR","OTROS",B170="148 - CARAMELOS","DERIVADOS",B170="143 - CHOCOFFES","DERIVADOS",B170="162 - CONVENIOS Y DSC POS ","OTROS"),"OTROS")</f>
        <v>ESPECIALES</v>
      </c>
      <c r="L170" s="27">
        <f t="shared" si="30"/>
        <v>433681</v>
      </c>
      <c r="M170" s="27">
        <f t="shared" si="31"/>
        <v>433681</v>
      </c>
    </row>
    <row r="171" spans="1:13" ht="16.5" hidden="1" outlineLevel="1">
      <c r="A171" s="38"/>
      <c r="B171" s="39" t="s">
        <v>20</v>
      </c>
      <c r="C171" s="36">
        <v>61420</v>
      </c>
      <c r="D171" s="36">
        <v>0</v>
      </c>
      <c r="E171" s="36">
        <v>0</v>
      </c>
      <c r="F171" s="36">
        <v>825254.9</v>
      </c>
      <c r="G171" s="37">
        <f t="shared" si="38"/>
        <v>7.4425489627507807E-2</v>
      </c>
      <c r="H171" s="23">
        <f t="shared" si="37"/>
        <v>0</v>
      </c>
      <c r="I171" s="24">
        <f t="shared" si="37"/>
        <v>0</v>
      </c>
      <c r="J171" s="32" t="str" cm="1">
        <f t="array" ref="J171">IFERROR(_xlfn.IFS(B171="044 - BLEND TRADICION","BLEND",B171="113 - CAFÉ GOURMET","GOURMET",B171="114 - CAFÉ CONSUMO","CONSUMO",B171="112 - CAFÉ ORGANICO","GOURMET",B171="172 - CAFÉ COSECHA","ESPECIALES",B171="176 - CAFE DESCAFEINADO","GOURMET",B171="147 - CAPSULAS","CAPSULAS",B171="130 - GALLETAS CAFECITAS","DERIVADOS",B171="140 - MERENGUES","DERIVADOS",B171="100 - CAFÉ ESPECIAL","ESPECIALES",B171="141 - AREQUIPE","DERIVADOS",B171="142 - MERMELADA","DERIVADOS",B171="131 - GALLETAS AVENA","DERIVADOS",B171="160 - SOUVENIR","OTROS",B171="148 - CARAMELOS","DERIVADOS",B171="143 - CHOCOFFES","DERIVADOS",B171="162 - CONVENIOS Y DSC POS ","OTROS"),"OTROS")</f>
        <v>GOURMET</v>
      </c>
      <c r="L171" s="27">
        <f t="shared" si="30"/>
        <v>61420</v>
      </c>
      <c r="M171" s="27">
        <f t="shared" si="31"/>
        <v>61420</v>
      </c>
    </row>
    <row r="172" spans="1:13" ht="16.5" hidden="1" outlineLevel="1">
      <c r="A172" s="38"/>
      <c r="B172" s="39" t="s">
        <v>21</v>
      </c>
      <c r="C172" s="36">
        <v>13239014</v>
      </c>
      <c r="D172" s="36">
        <v>-41645</v>
      </c>
      <c r="E172" s="36">
        <v>0</v>
      </c>
      <c r="F172" s="36">
        <v>43096072.049999997</v>
      </c>
      <c r="G172" s="37">
        <f t="shared" si="38"/>
        <v>0.30719769506232764</v>
      </c>
      <c r="H172" s="23">
        <f t="shared" si="37"/>
        <v>-3.135763067179121E-3</v>
      </c>
      <c r="I172" s="24">
        <f t="shared" si="37"/>
        <v>0</v>
      </c>
      <c r="J172" s="32" t="str" cm="1">
        <f t="array" ref="J172">IFERROR(_xlfn.IFS(B172="044 - BLEND TRADICION","BLEND",B172="113 - CAFÉ GOURMET","GOURMET",B172="114 - CAFÉ CONSUMO","CONSUMO",B172="112 - CAFÉ ORGANICO","GOURMET",B172="172 - CAFÉ COSECHA","ESPECIALES",B172="176 - CAFE DESCAFEINADO","GOURMET",B172="147 - CAPSULAS","CAPSULAS",B172="130 - GALLETAS CAFECITAS","DERIVADOS",B172="140 - MERENGUES","DERIVADOS",B172="100 - CAFÉ ESPECIAL","ESPECIALES",B172="141 - AREQUIPE","DERIVADOS",B172="142 - MERMELADA","DERIVADOS",B172="131 - GALLETAS AVENA","DERIVADOS",B172="160 - SOUVENIR","OTROS",B172="148 - CARAMELOS","DERIVADOS",B172="143 - CHOCOFFES","DERIVADOS",B172="162 - CONVENIOS Y DSC POS ","OTROS"),"OTROS")</f>
        <v>GOURMET</v>
      </c>
      <c r="L172" s="27">
        <f t="shared" si="30"/>
        <v>13280659</v>
      </c>
      <c r="M172" s="27">
        <f t="shared" si="31"/>
        <v>13280659</v>
      </c>
    </row>
    <row r="173" spans="1:13" ht="16.5" hidden="1" outlineLevel="1">
      <c r="A173" s="38"/>
      <c r="B173" s="39" t="s">
        <v>38</v>
      </c>
      <c r="C173" s="36">
        <v>7153032</v>
      </c>
      <c r="D173" s="36">
        <v>0</v>
      </c>
      <c r="E173" s="36">
        <v>0</v>
      </c>
      <c r="F173" s="36">
        <v>16145456.630000001</v>
      </c>
      <c r="G173" s="37">
        <f t="shared" si="38"/>
        <v>0.44303683469124649</v>
      </c>
      <c r="H173" s="23">
        <f t="shared" si="37"/>
        <v>0</v>
      </c>
      <c r="I173" s="24">
        <f t="shared" si="37"/>
        <v>0</v>
      </c>
      <c r="J173" s="32" t="str" cm="1">
        <f t="array" ref="J173">IFERROR(_xlfn.IFS(B173="044 - BLEND TRADICION","BLEND",B173="113 - CAFÉ GOURMET","GOURMET",B173="114 - CAFÉ CONSUMO","CONSUMO",B173="112 - CAFÉ ORGANICO","GOURMET",B173="172 - CAFÉ COSECHA","ESPECIALES",B173="176 - CAFE DESCAFEINADO","GOURMET",B173="147 - CAPSULAS","CAPSULAS",B173="130 - GALLETAS CAFECITAS","DERIVADOS",B173="140 - MERENGUES","DERIVADOS",B173="100 - CAFÉ ESPECIAL","ESPECIALES",B173="141 - AREQUIPE","DERIVADOS",B173="142 - MERMELADA","DERIVADOS",B173="131 - GALLETAS AVENA","DERIVADOS",B173="160 - SOUVENIR","OTROS",B173="148 - CARAMELOS","DERIVADOS",B173="143 - CHOCOFFES","DERIVADOS",B173="162 - CONVENIOS Y DSC POS ","OTROS"),"OTROS")</f>
        <v>CONSUMO</v>
      </c>
      <c r="L173" s="27">
        <f t="shared" si="30"/>
        <v>7153032</v>
      </c>
      <c r="M173" s="27">
        <f t="shared" si="31"/>
        <v>7153032</v>
      </c>
    </row>
    <row r="174" spans="1:13" ht="16.5" hidden="1" outlineLevel="1">
      <c r="A174" s="38"/>
      <c r="B174" s="39" t="s">
        <v>22</v>
      </c>
      <c r="C174" s="36">
        <v>7489940</v>
      </c>
      <c r="D174" s="36">
        <v>-333659</v>
      </c>
      <c r="E174" s="36"/>
      <c r="F174" s="36">
        <v>33513805.359999999</v>
      </c>
      <c r="G174" s="37">
        <f t="shared" si="38"/>
        <v>0.22348819895396088</v>
      </c>
      <c r="H174" s="23">
        <f t="shared" si="37"/>
        <v>-4.2647763516509472E-2</v>
      </c>
      <c r="I174" s="24">
        <f t="shared" si="37"/>
        <v>0</v>
      </c>
      <c r="J174" s="32" t="str" cm="1">
        <f t="array" ref="J174">IFERROR(_xlfn.IFS(B174="044 - BLEND TRADICION","BLEND",B174="113 - CAFÉ GOURMET","GOURMET",B174="114 - CAFÉ CONSUMO","CONSUMO",B174="112 - CAFÉ ORGANICO","GOURMET",B174="172 - CAFÉ COSECHA","ESPECIALES",B174="176 - CAFE DESCAFEINADO","GOURMET",B174="147 - CAPSULAS","CAPSULAS",B174="130 - GALLETAS CAFECITAS","DERIVADOS",B174="140 - MERENGUES","DERIVADOS",B174="100 - CAFÉ ESPECIAL","ESPECIALES",B174="141 - AREQUIPE","DERIVADOS",B174="142 - MERMELADA","DERIVADOS",B174="131 - GALLETAS AVENA","DERIVADOS",B174="160 - SOUVENIR","OTROS",B174="148 - CARAMELOS","DERIVADOS",B174="143 - CHOCOFFES","DERIVADOS",B174="162 - CONVENIOS Y DSC POS ","OTROS"),"OTROS")</f>
        <v>DERIVADOS</v>
      </c>
      <c r="L174" s="27">
        <f t="shared" si="30"/>
        <v>7823599</v>
      </c>
      <c r="M174" s="27">
        <f t="shared" si="31"/>
        <v>7823599</v>
      </c>
    </row>
    <row r="175" spans="1:13" ht="16.5" hidden="1" outlineLevel="1">
      <c r="A175" s="38"/>
      <c r="B175" s="39" t="s">
        <v>23</v>
      </c>
      <c r="C175" s="36">
        <v>0</v>
      </c>
      <c r="D175" s="36">
        <v>0</v>
      </c>
      <c r="E175" s="36"/>
      <c r="F175" s="36">
        <v>174887.86</v>
      </c>
      <c r="G175" s="37">
        <f t="shared" si="38"/>
        <v>0</v>
      </c>
      <c r="H175" s="23">
        <f t="shared" si="37"/>
        <v>0</v>
      </c>
      <c r="I175" s="24">
        <f t="shared" si="37"/>
        <v>0</v>
      </c>
      <c r="J175" s="32" t="str" cm="1">
        <f t="array" ref="J175">IFERROR(_xlfn.IFS(B175="044 - BLEND TRADICION","BLEND",B175="113 - CAFÉ GOURMET","GOURMET",B175="114 - CAFÉ CONSUMO","CONSUMO",B175="112 - CAFÉ ORGANICO","GOURMET",B175="172 - CAFÉ COSECHA","ESPECIALES",B175="176 - CAFE DESCAFEINADO","GOURMET",B175="147 - CAPSULAS","CAPSULAS",B175="130 - GALLETAS CAFECITAS","DERIVADOS",B175="140 - MERENGUES","DERIVADOS",B175="100 - CAFÉ ESPECIAL","ESPECIALES",B175="141 - AREQUIPE","DERIVADOS",B175="142 - MERMELADA","DERIVADOS",B175="131 - GALLETAS AVENA","DERIVADOS",B175="160 - SOUVENIR","OTROS",B175="148 - CARAMELOS","DERIVADOS",B175="143 - CHOCOFFES","DERIVADOS",B175="162 - CONVENIOS Y DSC POS ","OTROS"),"OTROS")</f>
        <v>DERIVADOS</v>
      </c>
      <c r="L175" s="27">
        <f t="shared" si="30"/>
        <v>0</v>
      </c>
      <c r="M175" s="27">
        <f t="shared" si="31"/>
        <v>0</v>
      </c>
    </row>
    <row r="176" spans="1:13" ht="16.5" hidden="1" outlineLevel="1">
      <c r="A176" s="38"/>
      <c r="B176" s="39" t="s">
        <v>24</v>
      </c>
      <c r="C176" s="36">
        <v>431333</v>
      </c>
      <c r="D176" s="36">
        <v>-29153</v>
      </c>
      <c r="E176" s="36">
        <v>0</v>
      </c>
      <c r="F176" s="36">
        <v>2405932.35</v>
      </c>
      <c r="G176" s="37">
        <f t="shared" si="38"/>
        <v>0.17927893940991316</v>
      </c>
      <c r="H176" s="23">
        <f t="shared" si="37"/>
        <v>-6.3309199411057018E-2</v>
      </c>
      <c r="I176" s="24">
        <f t="shared" si="37"/>
        <v>0</v>
      </c>
      <c r="J176" s="32" t="str" cm="1">
        <f t="array" ref="J176">IFERROR(_xlfn.IFS(B176="044 - BLEND TRADICION","BLEND",B176="113 - CAFÉ GOURMET","GOURMET",B176="114 - CAFÉ CONSUMO","CONSUMO",B176="112 - CAFÉ ORGANICO","GOURMET",B176="172 - CAFÉ COSECHA","ESPECIALES",B176="176 - CAFE DESCAFEINADO","GOURMET",B176="147 - CAPSULAS","CAPSULAS",B176="130 - GALLETAS CAFECITAS","DERIVADOS",B176="140 - MERENGUES","DERIVADOS",B176="100 - CAFÉ ESPECIAL","ESPECIALES",B176="141 - AREQUIPE","DERIVADOS",B176="142 - MERMELADA","DERIVADOS",B176="131 - GALLETAS AVENA","DERIVADOS",B176="160 - SOUVENIR","OTROS",B176="148 - CARAMELOS","DERIVADOS",B176="143 - CHOCOFFES","DERIVADOS",B176="162 - CONVENIOS Y DSC POS ","OTROS"),"OTROS")</f>
        <v>DERIVADOS</v>
      </c>
      <c r="L176" s="27">
        <f t="shared" si="30"/>
        <v>460486</v>
      </c>
      <c r="M176" s="27">
        <f t="shared" si="31"/>
        <v>460486</v>
      </c>
    </row>
    <row r="177" spans="1:13" ht="16.5" hidden="1" outlineLevel="1">
      <c r="A177" s="38"/>
      <c r="B177" s="39" t="s">
        <v>25</v>
      </c>
      <c r="C177" s="36">
        <v>3101886</v>
      </c>
      <c r="D177" s="36">
        <v>-25685</v>
      </c>
      <c r="E177" s="36"/>
      <c r="F177" s="36">
        <v>9395897.5299999993</v>
      </c>
      <c r="G177" s="37">
        <f t="shared" si="38"/>
        <v>0.33013195281196306</v>
      </c>
      <c r="H177" s="23">
        <f t="shared" si="37"/>
        <v>-8.2124434585178086E-3</v>
      </c>
      <c r="I177" s="24">
        <f t="shared" si="37"/>
        <v>0</v>
      </c>
      <c r="J177" s="32" t="str" cm="1">
        <f t="array" ref="J177">IFERROR(_xlfn.IFS(B177="044 - BLEND TRADICION","BLEND",B177="113 - CAFÉ GOURMET","GOURMET",B177="114 - CAFÉ CONSUMO","CONSUMO",B177="112 - CAFÉ ORGANICO","GOURMET",B177="172 - CAFÉ COSECHA","ESPECIALES",B177="176 - CAFE DESCAFEINADO","GOURMET",B177="147 - CAPSULAS","CAPSULAS",B177="130 - GALLETAS CAFECITAS","DERIVADOS",B177="140 - MERENGUES","DERIVADOS",B177="100 - CAFÉ ESPECIAL","ESPECIALES",B177="141 - AREQUIPE","DERIVADOS",B177="142 - MERMELADA","DERIVADOS",B177="131 - GALLETAS AVENA","DERIVADOS",B177="160 - SOUVENIR","OTROS",B177="148 - CARAMELOS","DERIVADOS",B177="143 - CHOCOFFES","DERIVADOS",B177="162 - CONVENIOS Y DSC POS ","OTROS"),"OTROS")</f>
        <v>DERIVADOS</v>
      </c>
      <c r="L177" s="27">
        <f t="shared" si="30"/>
        <v>3127571</v>
      </c>
      <c r="M177" s="27">
        <f t="shared" si="31"/>
        <v>3127571</v>
      </c>
    </row>
    <row r="178" spans="1:13" ht="16.5" hidden="1" outlineLevel="1">
      <c r="A178" s="38"/>
      <c r="B178" s="39" t="s">
        <v>26</v>
      </c>
      <c r="C178" s="36">
        <v>227476</v>
      </c>
      <c r="D178" s="36">
        <v>0</v>
      </c>
      <c r="E178" s="36"/>
      <c r="F178" s="36">
        <v>297105.94</v>
      </c>
      <c r="G178" s="37">
        <f t="shared" si="38"/>
        <v>0.76563935409706041</v>
      </c>
      <c r="H178" s="23">
        <f t="shared" si="37"/>
        <v>0</v>
      </c>
      <c r="I178" s="24">
        <f t="shared" si="37"/>
        <v>0</v>
      </c>
      <c r="J178" s="32" t="str" cm="1">
        <f t="array" ref="J178">IFERROR(_xlfn.IFS(B178="044 - BLEND TRADICION","BLEND",B178="113 - CAFÉ GOURMET","GOURMET",B178="114 - CAFÉ CONSUMO","CONSUMO",B178="112 - CAFÉ ORGANICO","GOURMET",B178="172 - CAFÉ COSECHA","ESPECIALES",B178="176 - CAFE DESCAFEINADO","GOURMET",B178="147 - CAPSULAS","CAPSULAS",B178="130 - GALLETAS CAFECITAS","DERIVADOS",B178="140 - MERENGUES","DERIVADOS",B178="100 - CAFÉ ESPECIAL","ESPECIALES",B178="141 - AREQUIPE","DERIVADOS",B178="142 - MERMELADA","DERIVADOS",B178="131 - GALLETAS AVENA","DERIVADOS",B178="160 - SOUVENIR","OTROS",B178="148 - CARAMELOS","DERIVADOS",B178="143 - CHOCOFFES","DERIVADOS",B178="162 - CONVENIOS Y DSC POS ","OTROS"),"OTROS")</f>
        <v>CAPSULAS</v>
      </c>
      <c r="L178" s="27">
        <f t="shared" si="30"/>
        <v>227476</v>
      </c>
      <c r="M178" s="27">
        <f t="shared" si="31"/>
        <v>227476</v>
      </c>
    </row>
    <row r="179" spans="1:13" ht="16.5" hidden="1" outlineLevel="1">
      <c r="A179" s="38"/>
      <c r="B179" s="39" t="s">
        <v>27</v>
      </c>
      <c r="C179" s="36">
        <v>2771251</v>
      </c>
      <c r="D179" s="36">
        <v>0</v>
      </c>
      <c r="E179" s="36">
        <v>0</v>
      </c>
      <c r="F179" s="36">
        <v>18205206.140000001</v>
      </c>
      <c r="G179" s="37">
        <f t="shared" si="38"/>
        <v>0.15222299482295232</v>
      </c>
      <c r="H179" s="23">
        <f t="shared" si="37"/>
        <v>0</v>
      </c>
      <c r="I179" s="24">
        <f t="shared" si="37"/>
        <v>0</v>
      </c>
      <c r="J179" s="32" t="str" cm="1">
        <f t="array" ref="J179">IFERROR(_xlfn.IFS(B179="044 - BLEND TRADICION","BLEND",B179="113 - CAFÉ GOURMET","GOURMET",B179="114 - CAFÉ CONSUMO","CONSUMO",B179="112 - CAFÉ ORGANICO","GOURMET",B179="172 - CAFÉ COSECHA","ESPECIALES",B179="176 - CAFE DESCAFEINADO","GOURMET",B179="147 - CAPSULAS","CAPSULAS",B179="130 - GALLETAS CAFECITAS","DERIVADOS",B179="140 - MERENGUES","DERIVADOS",B179="100 - CAFÉ ESPECIAL","ESPECIALES",B179="141 - AREQUIPE","DERIVADOS",B179="142 - MERMELADA","DERIVADOS",B179="131 - GALLETAS AVENA","DERIVADOS",B179="160 - SOUVENIR","OTROS",B179="148 - CARAMELOS","DERIVADOS",B179="143 - CHOCOFFES","DERIVADOS",B179="162 - CONVENIOS Y DSC POS ","OTROS"),"OTROS")</f>
        <v>DERIVADOS</v>
      </c>
      <c r="L179" s="27">
        <f t="shared" si="30"/>
        <v>2771251</v>
      </c>
      <c r="M179" s="27">
        <f t="shared" si="31"/>
        <v>2771251</v>
      </c>
    </row>
    <row r="180" spans="1:13" ht="16.5" hidden="1" outlineLevel="1">
      <c r="A180" s="38"/>
      <c r="B180" s="39" t="s">
        <v>28</v>
      </c>
      <c r="C180" s="36">
        <v>764019</v>
      </c>
      <c r="D180" s="36">
        <v>-126785</v>
      </c>
      <c r="E180" s="36"/>
      <c r="F180" s="36">
        <v>6286220.4699999997</v>
      </c>
      <c r="G180" s="37">
        <f t="shared" si="38"/>
        <v>0.12153868984490136</v>
      </c>
      <c r="H180" s="23">
        <f t="shared" si="37"/>
        <v>-0.14232648259325284</v>
      </c>
      <c r="I180" s="24">
        <f t="shared" si="37"/>
        <v>0</v>
      </c>
      <c r="J180" s="32" t="str" cm="1">
        <f t="array" ref="J180">IFERROR(_xlfn.IFS(B180="044 - BLEND TRADICION","BLEND",B180="113 - CAFÉ GOURMET","GOURMET",B180="114 - CAFÉ CONSUMO","CONSUMO",B180="112 - CAFÉ ORGANICO","GOURMET",B180="172 - CAFÉ COSECHA","ESPECIALES",B180="176 - CAFE DESCAFEINADO","GOURMET",B180="147 - CAPSULAS","CAPSULAS",B180="130 - GALLETAS CAFECITAS","DERIVADOS",B180="140 - MERENGUES","DERIVADOS",B180="100 - CAFÉ ESPECIAL","ESPECIALES",B180="141 - AREQUIPE","DERIVADOS",B180="142 - MERMELADA","DERIVADOS",B180="131 - GALLETAS AVENA","DERIVADOS",B180="160 - SOUVENIR","OTROS",B180="148 - CARAMELOS","DERIVADOS",B180="143 - CHOCOFFES","DERIVADOS",B180="162 - CONVENIOS Y DSC POS ","OTROS"),"OTROS")</f>
        <v>OTROS</v>
      </c>
      <c r="L180" s="27">
        <f t="shared" si="30"/>
        <v>890804</v>
      </c>
      <c r="M180" s="27">
        <f t="shared" si="31"/>
        <v>890804</v>
      </c>
    </row>
    <row r="181" spans="1:13" ht="16.5" hidden="1" outlineLevel="1">
      <c r="A181" s="38"/>
      <c r="B181" s="39" t="s">
        <v>29</v>
      </c>
      <c r="C181" s="36">
        <v>391452</v>
      </c>
      <c r="D181" s="36">
        <v>0</v>
      </c>
      <c r="E181" s="36"/>
      <c r="F181" s="36">
        <v>2023867.68</v>
      </c>
      <c r="G181" s="37">
        <f t="shared" si="38"/>
        <v>0.19341778312305477</v>
      </c>
      <c r="H181" s="23">
        <f t="shared" ref="H181:I196" si="39">IFERROR(+D181/L181*100%,0)</f>
        <v>0</v>
      </c>
      <c r="I181" s="24">
        <f t="shared" si="39"/>
        <v>0</v>
      </c>
      <c r="J181" s="32" t="str" cm="1">
        <f t="array" ref="J181">IFERROR(_xlfn.IFS(B181="044 - BLEND TRADICION","BLEND",B181="113 - CAFÉ GOURMET","GOURMET",B181="114 - CAFÉ CONSUMO","CONSUMO",B181="112 - CAFÉ ORGANICO","GOURMET",B181="172 - CAFÉ COSECHA","ESPECIALES",B181="176 - CAFE DESCAFEINADO","GOURMET",B181="147 - CAPSULAS","CAPSULAS",B181="130 - GALLETAS CAFECITAS","DERIVADOS",B181="140 - MERENGUES","DERIVADOS",B181="100 - CAFÉ ESPECIAL","ESPECIALES",B181="141 - AREQUIPE","DERIVADOS",B181="142 - MERMELADA","DERIVADOS",B181="131 - GALLETAS AVENA","DERIVADOS",B181="160 - SOUVENIR","OTROS",B181="148 - CARAMELOS","DERIVADOS",B181="143 - CHOCOFFES","DERIVADOS",B181="162 - CONVENIOS Y DSC POS ","OTROS"),"OTROS")</f>
        <v>ESPECIALES</v>
      </c>
      <c r="L181" s="27">
        <f t="shared" si="30"/>
        <v>391452</v>
      </c>
      <c r="M181" s="27">
        <f t="shared" si="31"/>
        <v>391452</v>
      </c>
    </row>
    <row r="182" spans="1:13" ht="16.5" hidden="1" outlineLevel="1">
      <c r="A182" s="38"/>
      <c r="B182" s="39" t="s">
        <v>30</v>
      </c>
      <c r="C182" s="36">
        <v>284679</v>
      </c>
      <c r="D182" s="36">
        <v>0</v>
      </c>
      <c r="E182" s="36"/>
      <c r="F182" s="36">
        <v>160123.85</v>
      </c>
      <c r="G182" s="37">
        <f t="shared" si="38"/>
        <v>1.7778675693845731</v>
      </c>
      <c r="H182" s="23">
        <f t="shared" si="39"/>
        <v>0</v>
      </c>
      <c r="I182" s="24">
        <f t="shared" si="39"/>
        <v>0</v>
      </c>
      <c r="J182" s="32" t="str" cm="1">
        <f t="array" ref="J182">IFERROR(_xlfn.IFS(B182="044 - BLEND TRADICION","BLEND",B182="113 - CAFÉ GOURMET","GOURMET",B182="114 - CAFÉ CONSUMO","CONSUMO",B182="112 - CAFÉ ORGANICO","GOURMET",B182="172 - CAFÉ COSECHA","ESPECIALES",B182="176 - CAFE DESCAFEINADO","GOURMET",B182="147 - CAPSULAS","CAPSULAS",B182="130 - GALLETAS CAFECITAS","DERIVADOS",B182="140 - MERENGUES","DERIVADOS",B182="100 - CAFÉ ESPECIAL","ESPECIALES",B182="141 - AREQUIPE","DERIVADOS",B182="142 - MERMELADA","DERIVADOS",B182="131 - GALLETAS AVENA","DERIVADOS",B182="160 - SOUVENIR","OTROS",B182="148 - CARAMELOS","DERIVADOS",B182="143 - CHOCOFFES","DERIVADOS",B182="162 - CONVENIOS Y DSC POS ","OTROS"),"OTROS")</f>
        <v>GOURMET</v>
      </c>
      <c r="L182" s="27">
        <f t="shared" si="30"/>
        <v>284679</v>
      </c>
      <c r="M182" s="27">
        <f t="shared" si="31"/>
        <v>284679</v>
      </c>
    </row>
    <row r="183" spans="1:13" ht="16.5" hidden="1" outlineLevel="1">
      <c r="A183" s="19" t="s">
        <v>53</v>
      </c>
      <c r="B183" s="56" t="s">
        <v>32</v>
      </c>
      <c r="C183" s="54">
        <f>SUM(C168:C182)</f>
        <v>38609661</v>
      </c>
      <c r="D183" s="54">
        <f>SUM(D168:D182)</f>
        <v>-575867</v>
      </c>
      <c r="E183" s="54">
        <f>SUM(E168:E182)</f>
        <v>0</v>
      </c>
      <c r="F183" s="54">
        <f>SUM(F168:F182)</f>
        <v>144914729.53999999</v>
      </c>
      <c r="G183" s="55">
        <f t="shared" si="38"/>
        <v>0.26643020431779363</v>
      </c>
      <c r="H183" s="23">
        <f t="shared" si="39"/>
        <v>-1.4695910183984251E-2</v>
      </c>
      <c r="I183" s="24">
        <f t="shared" si="39"/>
        <v>0</v>
      </c>
      <c r="J183" s="32" t="str" cm="1">
        <f t="array" ref="J183">IFERROR(_xlfn.IFS(B183="044 - BLEND TRADICION","BLEND",B183="113 - CAFÉ GOURMET","GOURMET",B183="114 - CAFÉ CONSUMO","CONSUMO",B183="112 - CAFÉ ORGANICO","GOURMET",B183="172 - CAFÉ COSECHA","ESPECIALES",B183="176 - CAFE DESCAFEINADO","GOURMET",B183="147 - CAPSULAS","CAPSULAS",B183="130 - GALLETAS CAFECITAS","DERIVADOS",B183="140 - MERENGUES","DERIVADOS",B183="100 - CAFÉ ESPECIAL","ESPECIALES",B183="141 - AREQUIPE","DERIVADOS",B183="142 - MERMELADA","DERIVADOS",B183="131 - GALLETAS AVENA","DERIVADOS",B183="160 - SOUVENIR","OTROS",B183="148 - CARAMELOS","DERIVADOS",B183="143 - CHOCOFFES","DERIVADOS",B183="162 - CONVENIOS Y DSC POS ","OTROS"),"OTROS")</f>
        <v>OTROS</v>
      </c>
      <c r="L183" s="27">
        <f t="shared" si="30"/>
        <v>39185528</v>
      </c>
      <c r="M183" s="27">
        <f t="shared" si="31"/>
        <v>39185528</v>
      </c>
    </row>
    <row r="184" spans="1:13" ht="16.5" hidden="1" outlineLevel="1">
      <c r="A184" s="33"/>
      <c r="B184" s="39" t="s">
        <v>42</v>
      </c>
      <c r="C184" s="36">
        <v>40584</v>
      </c>
      <c r="D184" s="36">
        <v>0</v>
      </c>
      <c r="E184" s="36">
        <v>0</v>
      </c>
      <c r="F184" s="36">
        <v>0</v>
      </c>
      <c r="G184" s="37" t="str">
        <f t="shared" si="38"/>
        <v>-</v>
      </c>
      <c r="H184" s="23">
        <f t="shared" si="39"/>
        <v>0</v>
      </c>
      <c r="I184" s="24">
        <f t="shared" si="39"/>
        <v>0</v>
      </c>
      <c r="J184" s="32" t="str" cm="1">
        <f t="array" ref="J184">IFERROR(_xlfn.IFS(B184="044 - BLEND TRADICION","BLEND",B184="113 - CAFÉ GOURMET","GOURMET",B184="114 - CAFÉ CONSUMO","CONSUMO",B184="112 - CAFÉ ORGANICO","GOURMET",B184="172 - CAFÉ COSECHA","ESPECIALES",B184="176 - CAFE DESCAFEINADO","GOURMET",B184="147 - CAPSULAS","CAPSULAS",B184="130 - GALLETAS CAFECITAS","DERIVADOS",B184="140 - MERENGUES","DERIVADOS",B184="100 - CAFÉ ESPECIAL","ESPECIALES",B184="141 - AREQUIPE","DERIVADOS",B184="142 - MERMELADA","DERIVADOS",B184="131 - GALLETAS AVENA","DERIVADOS",B184="160 - SOUVENIR","OTROS",B184="148 - CARAMELOS","DERIVADOS",B184="143 - CHOCOFFES","DERIVADOS",B184="162 - CONVENIOS Y DSC POS ","OTROS"),"OTROS")</f>
        <v>OTROS</v>
      </c>
      <c r="L184" s="27">
        <f t="shared" si="30"/>
        <v>40584</v>
      </c>
      <c r="M184" s="27">
        <f t="shared" si="31"/>
        <v>40584</v>
      </c>
    </row>
    <row r="185" spans="1:13" ht="16.5" hidden="1" outlineLevel="1">
      <c r="A185" s="33"/>
      <c r="B185" s="39" t="s">
        <v>18</v>
      </c>
      <c r="C185" s="36">
        <v>4807196</v>
      </c>
      <c r="D185" s="36">
        <v>0</v>
      </c>
      <c r="E185" s="36"/>
      <c r="F185" s="36">
        <v>10236889.550000001</v>
      </c>
      <c r="G185" s="37">
        <f t="shared" si="38"/>
        <v>0.46959537626348619</v>
      </c>
      <c r="H185" s="23">
        <f t="shared" si="39"/>
        <v>0</v>
      </c>
      <c r="I185" s="24">
        <f t="shared" si="39"/>
        <v>0</v>
      </c>
      <c r="J185" s="32" t="str" cm="1">
        <f t="array" ref="J185">IFERROR(_xlfn.IFS(B185="044 - BLEND TRADICION","BLEND",B185="113 - CAFÉ GOURMET","GOURMET",B185="114 - CAFÉ CONSUMO","CONSUMO",B185="112 - CAFÉ ORGANICO","GOURMET",B185="172 - CAFÉ COSECHA","ESPECIALES",B185="176 - CAFE DESCAFEINADO","GOURMET",B185="147 - CAPSULAS","CAPSULAS",B185="130 - GALLETAS CAFECITAS","DERIVADOS",B185="140 - MERENGUES","DERIVADOS",B185="100 - CAFÉ ESPECIAL","ESPECIALES",B185="141 - AREQUIPE","DERIVADOS",B185="142 - MERMELADA","DERIVADOS",B185="131 - GALLETAS AVENA","DERIVADOS",B185="160 - SOUVENIR","OTROS",B185="148 - CARAMELOS","DERIVADOS",B185="143 - CHOCOFFES","DERIVADOS",B185="162 - CONVENIOS Y DSC POS ","OTROS"),"OTROS")</f>
        <v>BLEND</v>
      </c>
      <c r="L185" s="27">
        <f t="shared" si="30"/>
        <v>4807196</v>
      </c>
      <c r="M185" s="27">
        <f t="shared" si="31"/>
        <v>4807196</v>
      </c>
    </row>
    <row r="186" spans="1:13" ht="16.5" hidden="1" outlineLevel="1">
      <c r="A186" s="38"/>
      <c r="B186" s="39" t="s">
        <v>19</v>
      </c>
      <c r="C186" s="36">
        <v>2994013</v>
      </c>
      <c r="D186" s="36">
        <v>0</v>
      </c>
      <c r="E186" s="36">
        <v>0</v>
      </c>
      <c r="F186" s="36">
        <v>6016526.7400000002</v>
      </c>
      <c r="G186" s="37">
        <f t="shared" si="38"/>
        <v>0.49763146236760514</v>
      </c>
      <c r="H186" s="23">
        <f t="shared" si="39"/>
        <v>0</v>
      </c>
      <c r="I186" s="24">
        <f t="shared" si="39"/>
        <v>0</v>
      </c>
      <c r="J186" s="32" t="str" cm="1">
        <f t="array" ref="J186">IFERROR(_xlfn.IFS(B186="044 - BLEND TRADICION","BLEND",B186="113 - CAFÉ GOURMET","GOURMET",B186="114 - CAFÉ CONSUMO","CONSUMO",B186="112 - CAFÉ ORGANICO","GOURMET",B186="172 - CAFÉ COSECHA","ESPECIALES",B186="176 - CAFE DESCAFEINADO","GOURMET",B186="147 - CAPSULAS","CAPSULAS",B186="130 - GALLETAS CAFECITAS","DERIVADOS",B186="140 - MERENGUES","DERIVADOS",B186="100 - CAFÉ ESPECIAL","ESPECIALES",B186="141 - AREQUIPE","DERIVADOS",B186="142 - MERMELADA","DERIVADOS",B186="131 - GALLETAS AVENA","DERIVADOS",B186="160 - SOUVENIR","OTROS",B186="148 - CARAMELOS","DERIVADOS",B186="143 - CHOCOFFES","DERIVADOS",B186="162 - CONVENIOS Y DSC POS ","OTROS"),"OTROS")</f>
        <v>ESPECIALES</v>
      </c>
      <c r="L186" s="27">
        <f t="shared" si="30"/>
        <v>2994013</v>
      </c>
      <c r="M186" s="27">
        <f t="shared" si="31"/>
        <v>2994013</v>
      </c>
    </row>
    <row r="187" spans="1:13" ht="16.5" hidden="1" outlineLevel="1">
      <c r="A187" s="38"/>
      <c r="B187" s="39" t="s">
        <v>20</v>
      </c>
      <c r="C187" s="36">
        <v>842618</v>
      </c>
      <c r="D187" s="36">
        <v>0</v>
      </c>
      <c r="E187" s="36">
        <v>0</v>
      </c>
      <c r="F187" s="36">
        <v>1636189.73</v>
      </c>
      <c r="G187" s="37">
        <f t="shared" si="38"/>
        <v>0.51498795313915091</v>
      </c>
      <c r="H187" s="23">
        <f t="shared" si="39"/>
        <v>0</v>
      </c>
      <c r="I187" s="24">
        <f t="shared" si="39"/>
        <v>0</v>
      </c>
      <c r="J187" s="32" t="str" cm="1">
        <f t="array" ref="J187">IFERROR(_xlfn.IFS(B187="044 - BLEND TRADICION","BLEND",B187="113 - CAFÉ GOURMET","GOURMET",B187="114 - CAFÉ CONSUMO","CONSUMO",B187="112 - CAFÉ ORGANICO","GOURMET",B187="172 - CAFÉ COSECHA","ESPECIALES",B187="176 - CAFE DESCAFEINADO","GOURMET",B187="147 - CAPSULAS","CAPSULAS",B187="130 - GALLETAS CAFECITAS","DERIVADOS",B187="140 - MERENGUES","DERIVADOS",B187="100 - CAFÉ ESPECIAL","ESPECIALES",B187="141 - AREQUIPE","DERIVADOS",B187="142 - MERMELADA","DERIVADOS",B187="131 - GALLETAS AVENA","DERIVADOS",B187="160 - SOUVENIR","OTROS",B187="148 - CARAMELOS","DERIVADOS",B187="143 - CHOCOFFES","DERIVADOS",B187="162 - CONVENIOS Y DSC POS ","OTROS"),"OTROS")</f>
        <v>GOURMET</v>
      </c>
      <c r="L187" s="27">
        <f t="shared" si="30"/>
        <v>842618</v>
      </c>
      <c r="M187" s="27">
        <f t="shared" si="31"/>
        <v>842618</v>
      </c>
    </row>
    <row r="188" spans="1:13" ht="16.5" hidden="1" outlineLevel="1">
      <c r="A188" s="38"/>
      <c r="B188" s="39" t="s">
        <v>21</v>
      </c>
      <c r="C188" s="36">
        <v>31278010</v>
      </c>
      <c r="D188" s="36">
        <v>0</v>
      </c>
      <c r="E188" s="36"/>
      <c r="F188" s="36">
        <v>64517931.119999997</v>
      </c>
      <c r="G188" s="37">
        <f t="shared" si="38"/>
        <v>0.48479561351439693</v>
      </c>
      <c r="H188" s="23">
        <f t="shared" si="39"/>
        <v>0</v>
      </c>
      <c r="I188" s="24">
        <f t="shared" si="39"/>
        <v>0</v>
      </c>
      <c r="J188" s="32" t="str" cm="1">
        <f t="array" ref="J188">IFERROR(_xlfn.IFS(B188="044 - BLEND TRADICION","BLEND",B188="113 - CAFÉ GOURMET","GOURMET",B188="114 - CAFÉ CONSUMO","CONSUMO",B188="112 - CAFÉ ORGANICO","GOURMET",B188="172 - CAFÉ COSECHA","ESPECIALES",B188="176 - CAFE DESCAFEINADO","GOURMET",B188="147 - CAPSULAS","CAPSULAS",B188="130 - GALLETAS CAFECITAS","DERIVADOS",B188="140 - MERENGUES","DERIVADOS",B188="100 - CAFÉ ESPECIAL","ESPECIALES",B188="141 - AREQUIPE","DERIVADOS",B188="142 - MERMELADA","DERIVADOS",B188="131 - GALLETAS AVENA","DERIVADOS",B188="160 - SOUVENIR","OTROS",B188="148 - CARAMELOS","DERIVADOS",B188="143 - CHOCOFFES","DERIVADOS",B188="162 - CONVENIOS Y DSC POS ","OTROS"),"OTROS")</f>
        <v>GOURMET</v>
      </c>
      <c r="L188" s="27">
        <f t="shared" si="30"/>
        <v>31278010</v>
      </c>
      <c r="M188" s="27">
        <f t="shared" si="31"/>
        <v>31278010</v>
      </c>
    </row>
    <row r="189" spans="1:13" ht="16.5" hidden="1" outlineLevel="1">
      <c r="A189" s="38"/>
      <c r="B189" s="39" t="s">
        <v>38</v>
      </c>
      <c r="C189" s="36">
        <v>5753633</v>
      </c>
      <c r="D189" s="36">
        <v>0</v>
      </c>
      <c r="E189" s="36"/>
      <c r="F189" s="36">
        <v>9597044.6699999999</v>
      </c>
      <c r="G189" s="37">
        <f t="shared" si="38"/>
        <v>0.5995213316017628</v>
      </c>
      <c r="H189" s="23">
        <f t="shared" si="39"/>
        <v>0</v>
      </c>
      <c r="I189" s="24">
        <f t="shared" si="39"/>
        <v>0</v>
      </c>
      <c r="J189" s="32" t="str" cm="1">
        <f t="array" ref="J189">IFERROR(_xlfn.IFS(B189="044 - BLEND TRADICION","BLEND",B189="113 - CAFÉ GOURMET","GOURMET",B189="114 - CAFÉ CONSUMO","CONSUMO",B189="112 - CAFÉ ORGANICO","GOURMET",B189="172 - CAFÉ COSECHA","ESPECIALES",B189="176 - CAFE DESCAFEINADO","GOURMET",B189="147 - CAPSULAS","CAPSULAS",B189="130 - GALLETAS CAFECITAS","DERIVADOS",B189="140 - MERENGUES","DERIVADOS",B189="100 - CAFÉ ESPECIAL","ESPECIALES",B189="141 - AREQUIPE","DERIVADOS",B189="142 - MERMELADA","DERIVADOS",B189="131 - GALLETAS AVENA","DERIVADOS",B189="160 - SOUVENIR","OTROS",B189="148 - CARAMELOS","DERIVADOS",B189="143 - CHOCOFFES","DERIVADOS",B189="162 - CONVENIOS Y DSC POS ","OTROS"),"OTROS")</f>
        <v>CONSUMO</v>
      </c>
      <c r="L189" s="27">
        <f t="shared" si="30"/>
        <v>5753633</v>
      </c>
      <c r="M189" s="27">
        <f t="shared" si="31"/>
        <v>5753633</v>
      </c>
    </row>
    <row r="190" spans="1:13" ht="16.5" hidden="1" outlineLevel="1">
      <c r="A190" s="38"/>
      <c r="B190" s="39" t="s">
        <v>22</v>
      </c>
      <c r="C190" s="36">
        <v>8895098</v>
      </c>
      <c r="D190" s="36">
        <v>-138315</v>
      </c>
      <c r="E190" s="36"/>
      <c r="F190" s="36">
        <v>25972256.75</v>
      </c>
      <c r="G190" s="37">
        <f t="shared" si="38"/>
        <v>0.34248460138143366</v>
      </c>
      <c r="H190" s="23">
        <f t="shared" si="39"/>
        <v>-1.5311488581336866E-2</v>
      </c>
      <c r="I190" s="24">
        <f t="shared" si="39"/>
        <v>0</v>
      </c>
      <c r="J190" s="32" t="str" cm="1">
        <f t="array" ref="J190">IFERROR(_xlfn.IFS(B190="044 - BLEND TRADICION","BLEND",B190="113 - CAFÉ GOURMET","GOURMET",B190="114 - CAFÉ CONSUMO","CONSUMO",B190="112 - CAFÉ ORGANICO","GOURMET",B190="172 - CAFÉ COSECHA","ESPECIALES",B190="176 - CAFE DESCAFEINADO","GOURMET",B190="147 - CAPSULAS","CAPSULAS",B190="130 - GALLETAS CAFECITAS","DERIVADOS",B190="140 - MERENGUES","DERIVADOS",B190="100 - CAFÉ ESPECIAL","ESPECIALES",B190="141 - AREQUIPE","DERIVADOS",B190="142 - MERMELADA","DERIVADOS",B190="131 - GALLETAS AVENA","DERIVADOS",B190="160 - SOUVENIR","OTROS",B190="148 - CARAMELOS","DERIVADOS",B190="143 - CHOCOFFES","DERIVADOS",B190="162 - CONVENIOS Y DSC POS ","OTROS"),"OTROS")</f>
        <v>DERIVADOS</v>
      </c>
      <c r="L190" s="27">
        <f t="shared" si="30"/>
        <v>9033413</v>
      </c>
      <c r="M190" s="27">
        <f t="shared" si="31"/>
        <v>9033413</v>
      </c>
    </row>
    <row r="191" spans="1:13" ht="16.5" hidden="1" outlineLevel="1">
      <c r="A191" s="38"/>
      <c r="B191" s="39" t="s">
        <v>24</v>
      </c>
      <c r="C191" s="36">
        <v>989878</v>
      </c>
      <c r="D191" s="36">
        <v>0</v>
      </c>
      <c r="E191" s="36"/>
      <c r="F191" s="36">
        <v>2464599.98</v>
      </c>
      <c r="G191" s="37">
        <f t="shared" si="38"/>
        <v>0.40163840299958131</v>
      </c>
      <c r="H191" s="23">
        <f t="shared" si="39"/>
        <v>0</v>
      </c>
      <c r="I191" s="24">
        <f t="shared" si="39"/>
        <v>0</v>
      </c>
      <c r="J191" s="32" t="str" cm="1">
        <f t="array" ref="J191">IFERROR(_xlfn.IFS(B191="044 - BLEND TRADICION","BLEND",B191="113 - CAFÉ GOURMET","GOURMET",B191="114 - CAFÉ CONSUMO","CONSUMO",B191="112 - CAFÉ ORGANICO","GOURMET",B191="172 - CAFÉ COSECHA","ESPECIALES",B191="176 - CAFE DESCAFEINADO","GOURMET",B191="147 - CAPSULAS","CAPSULAS",B191="130 - GALLETAS CAFECITAS","DERIVADOS",B191="140 - MERENGUES","DERIVADOS",B191="100 - CAFÉ ESPECIAL","ESPECIALES",B191="141 - AREQUIPE","DERIVADOS",B191="142 - MERMELADA","DERIVADOS",B191="131 - GALLETAS AVENA","DERIVADOS",B191="160 - SOUVENIR","OTROS",B191="148 - CARAMELOS","DERIVADOS",B191="143 - CHOCOFFES","DERIVADOS",B191="162 - CONVENIOS Y DSC POS ","OTROS"),"OTROS")</f>
        <v>DERIVADOS</v>
      </c>
      <c r="L191" s="27">
        <f t="shared" si="30"/>
        <v>989878</v>
      </c>
      <c r="M191" s="27">
        <f t="shared" si="31"/>
        <v>989878</v>
      </c>
    </row>
    <row r="192" spans="1:13" ht="16.5" hidden="1" outlineLevel="1">
      <c r="A192" s="38"/>
      <c r="B192" s="39" t="s">
        <v>25</v>
      </c>
      <c r="C192" s="36">
        <v>4557214</v>
      </c>
      <c r="D192" s="36">
        <v>-34401</v>
      </c>
      <c r="E192" s="36"/>
      <c r="F192" s="36">
        <v>12421685.26</v>
      </c>
      <c r="G192" s="37">
        <f t="shared" si="38"/>
        <v>0.3668756617650768</v>
      </c>
      <c r="H192" s="23">
        <f t="shared" si="39"/>
        <v>-7.4921351202136936E-3</v>
      </c>
      <c r="I192" s="24">
        <f t="shared" si="39"/>
        <v>0</v>
      </c>
      <c r="J192" s="32" t="str" cm="1">
        <f t="array" ref="J192">IFERROR(_xlfn.IFS(B192="044 - BLEND TRADICION","BLEND",B192="113 - CAFÉ GOURMET","GOURMET",B192="114 - CAFÉ CONSUMO","CONSUMO",B192="112 - CAFÉ ORGANICO","GOURMET",B192="172 - CAFÉ COSECHA","ESPECIALES",B192="176 - CAFE DESCAFEINADO","GOURMET",B192="147 - CAPSULAS","CAPSULAS",B192="130 - GALLETAS CAFECITAS","DERIVADOS",B192="140 - MERENGUES","DERIVADOS",B192="100 - CAFÉ ESPECIAL","ESPECIALES",B192="141 - AREQUIPE","DERIVADOS",B192="142 - MERMELADA","DERIVADOS",B192="131 - GALLETAS AVENA","DERIVADOS",B192="160 - SOUVENIR","OTROS",B192="148 - CARAMELOS","DERIVADOS",B192="143 - CHOCOFFES","DERIVADOS",B192="162 - CONVENIOS Y DSC POS ","OTROS"),"OTROS")</f>
        <v>DERIVADOS</v>
      </c>
      <c r="L192" s="27">
        <f t="shared" si="30"/>
        <v>4591615</v>
      </c>
      <c r="M192" s="27">
        <f t="shared" si="31"/>
        <v>4591615</v>
      </c>
    </row>
    <row r="193" spans="1:13" ht="16.5" hidden="1" outlineLevel="1">
      <c r="A193" s="38"/>
      <c r="B193" s="39" t="s">
        <v>26</v>
      </c>
      <c r="C193" s="36">
        <v>670016</v>
      </c>
      <c r="D193" s="36">
        <v>0</v>
      </c>
      <c r="E193" s="36"/>
      <c r="F193" s="36">
        <v>2257638.58</v>
      </c>
      <c r="G193" s="37">
        <f t="shared" si="38"/>
        <v>0.29677735220134305</v>
      </c>
      <c r="H193" s="23">
        <f t="shared" si="39"/>
        <v>0</v>
      </c>
      <c r="I193" s="24">
        <f t="shared" si="39"/>
        <v>0</v>
      </c>
      <c r="J193" s="32" t="str" cm="1">
        <f t="array" ref="J193">IFERROR(_xlfn.IFS(B193="044 - BLEND TRADICION","BLEND",B193="113 - CAFÉ GOURMET","GOURMET",B193="114 - CAFÉ CONSUMO","CONSUMO",B193="112 - CAFÉ ORGANICO","GOURMET",B193="172 - CAFÉ COSECHA","ESPECIALES",B193="176 - CAFE DESCAFEINADO","GOURMET",B193="147 - CAPSULAS","CAPSULAS",B193="130 - GALLETAS CAFECITAS","DERIVADOS",B193="140 - MERENGUES","DERIVADOS",B193="100 - CAFÉ ESPECIAL","ESPECIALES",B193="141 - AREQUIPE","DERIVADOS",B193="142 - MERMELADA","DERIVADOS",B193="131 - GALLETAS AVENA","DERIVADOS",B193="160 - SOUVENIR","OTROS",B193="148 - CARAMELOS","DERIVADOS",B193="143 - CHOCOFFES","DERIVADOS",B193="162 - CONVENIOS Y DSC POS ","OTROS"),"OTROS")</f>
        <v>CAPSULAS</v>
      </c>
      <c r="L193" s="27">
        <f t="shared" si="30"/>
        <v>670016</v>
      </c>
      <c r="M193" s="27">
        <f t="shared" si="31"/>
        <v>670016</v>
      </c>
    </row>
    <row r="194" spans="1:13" ht="16.5" hidden="1" outlineLevel="1">
      <c r="A194" s="38"/>
      <c r="B194" s="39" t="s">
        <v>27</v>
      </c>
      <c r="C194" s="36">
        <v>7305667</v>
      </c>
      <c r="D194" s="36">
        <v>-72858</v>
      </c>
      <c r="E194" s="36"/>
      <c r="F194" s="36">
        <v>20712565.039999999</v>
      </c>
      <c r="G194" s="37">
        <f t="shared" si="38"/>
        <v>0.35271667154171071</v>
      </c>
      <c r="H194" s="23">
        <f t="shared" si="39"/>
        <v>-9.8743312518423405E-3</v>
      </c>
      <c r="I194" s="24">
        <f t="shared" si="39"/>
        <v>0</v>
      </c>
      <c r="J194" s="32" t="str" cm="1">
        <f t="array" ref="J194">IFERROR(_xlfn.IFS(B194="044 - BLEND TRADICION","BLEND",B194="113 - CAFÉ GOURMET","GOURMET",B194="114 - CAFÉ CONSUMO","CONSUMO",B194="112 - CAFÉ ORGANICO","GOURMET",B194="172 - CAFÉ COSECHA","ESPECIALES",B194="176 - CAFE DESCAFEINADO","GOURMET",B194="147 - CAPSULAS","CAPSULAS",B194="130 - GALLETAS CAFECITAS","DERIVADOS",B194="140 - MERENGUES","DERIVADOS",B194="100 - CAFÉ ESPECIAL","ESPECIALES",B194="141 - AREQUIPE","DERIVADOS",B194="142 - MERMELADA","DERIVADOS",B194="131 - GALLETAS AVENA","DERIVADOS",B194="160 - SOUVENIR","OTROS",B194="148 - CARAMELOS","DERIVADOS",B194="143 - CHOCOFFES","DERIVADOS",B194="162 - CONVENIOS Y DSC POS ","OTROS"),"OTROS")</f>
        <v>DERIVADOS</v>
      </c>
      <c r="L194" s="27">
        <f t="shared" si="30"/>
        <v>7378525</v>
      </c>
      <c r="M194" s="27">
        <f t="shared" si="31"/>
        <v>7378525</v>
      </c>
    </row>
    <row r="195" spans="1:13" ht="16.5" hidden="1" outlineLevel="1">
      <c r="A195" s="38"/>
      <c r="B195" s="39" t="s">
        <v>28</v>
      </c>
      <c r="C195" s="36">
        <v>3879911</v>
      </c>
      <c r="D195" s="36">
        <v>0</v>
      </c>
      <c r="E195" s="36"/>
      <c r="F195" s="36">
        <v>14886549.630000001</v>
      </c>
      <c r="G195" s="37">
        <f t="shared" si="38"/>
        <v>0.2606319863523674</v>
      </c>
      <c r="H195" s="23">
        <f t="shared" si="39"/>
        <v>0</v>
      </c>
      <c r="I195" s="24">
        <f t="shared" si="39"/>
        <v>0</v>
      </c>
      <c r="J195" s="32" t="str" cm="1">
        <f t="array" ref="J195">IFERROR(_xlfn.IFS(B195="044 - BLEND TRADICION","BLEND",B195="113 - CAFÉ GOURMET","GOURMET",B195="114 - CAFÉ CONSUMO","CONSUMO",B195="112 - CAFÉ ORGANICO","GOURMET",B195="172 - CAFÉ COSECHA","ESPECIALES",B195="176 - CAFE DESCAFEINADO","GOURMET",B195="147 - CAPSULAS","CAPSULAS",B195="130 - GALLETAS CAFECITAS","DERIVADOS",B195="140 - MERENGUES","DERIVADOS",B195="100 - CAFÉ ESPECIAL","ESPECIALES",B195="141 - AREQUIPE","DERIVADOS",B195="142 - MERMELADA","DERIVADOS",B195="131 - GALLETAS AVENA","DERIVADOS",B195="160 - SOUVENIR","OTROS",B195="148 - CARAMELOS","DERIVADOS",B195="143 - CHOCOFFES","DERIVADOS",B195="162 - CONVENIOS Y DSC POS ","OTROS"),"OTROS")</f>
        <v>OTROS</v>
      </c>
      <c r="L195" s="27">
        <f t="shared" si="30"/>
        <v>3879911</v>
      </c>
      <c r="M195" s="27">
        <f t="shared" si="31"/>
        <v>3879911</v>
      </c>
    </row>
    <row r="196" spans="1:13" ht="16.5" hidden="1" outlineLevel="1">
      <c r="A196" s="38"/>
      <c r="B196" s="39" t="s">
        <v>29</v>
      </c>
      <c r="C196" s="36">
        <v>2760914</v>
      </c>
      <c r="D196" s="36">
        <v>0</v>
      </c>
      <c r="E196" s="36"/>
      <c r="F196" s="36">
        <v>8209679.5599999996</v>
      </c>
      <c r="G196" s="37">
        <f t="shared" si="38"/>
        <v>0.33629984944260116</v>
      </c>
      <c r="H196" s="23">
        <f t="shared" si="39"/>
        <v>0</v>
      </c>
      <c r="I196" s="24">
        <f t="shared" si="39"/>
        <v>0</v>
      </c>
      <c r="J196" s="32" t="str" cm="1">
        <f t="array" ref="J196">IFERROR(_xlfn.IFS(B196="044 - BLEND TRADICION","BLEND",B196="113 - CAFÉ GOURMET","GOURMET",B196="114 - CAFÉ CONSUMO","CONSUMO",B196="112 - CAFÉ ORGANICO","GOURMET",B196="172 - CAFÉ COSECHA","ESPECIALES",B196="176 - CAFE DESCAFEINADO","GOURMET",B196="147 - CAPSULAS","CAPSULAS",B196="130 - GALLETAS CAFECITAS","DERIVADOS",B196="140 - MERENGUES","DERIVADOS",B196="100 - CAFÉ ESPECIAL","ESPECIALES",B196="141 - AREQUIPE","DERIVADOS",B196="142 - MERMELADA","DERIVADOS",B196="131 - GALLETAS AVENA","DERIVADOS",B196="160 - SOUVENIR","OTROS",B196="148 - CARAMELOS","DERIVADOS",B196="143 - CHOCOFFES","DERIVADOS",B196="162 - CONVENIOS Y DSC POS ","OTROS"),"OTROS")</f>
        <v>ESPECIALES</v>
      </c>
      <c r="L196" s="27">
        <f t="shared" si="30"/>
        <v>2760914</v>
      </c>
      <c r="M196" s="27">
        <f t="shared" si="31"/>
        <v>2760914</v>
      </c>
    </row>
    <row r="197" spans="1:13" ht="16.5" hidden="1" outlineLevel="1">
      <c r="A197" s="38"/>
      <c r="B197" s="39" t="s">
        <v>30</v>
      </c>
      <c r="C197" s="36">
        <v>363124</v>
      </c>
      <c r="D197" s="36">
        <v>0</v>
      </c>
      <c r="E197" s="36"/>
      <c r="F197" s="36">
        <v>1016149.79</v>
      </c>
      <c r="G197" s="37">
        <f t="shared" si="38"/>
        <v>0.35735282688982301</v>
      </c>
      <c r="H197" s="23">
        <f t="shared" ref="H197:I254" si="40">IFERROR(+D197/L197*100%,0)</f>
        <v>0</v>
      </c>
      <c r="I197" s="24">
        <f t="shared" si="40"/>
        <v>0</v>
      </c>
      <c r="J197" s="32" t="str" cm="1">
        <f t="array" ref="J197">IFERROR(_xlfn.IFS(B197="044 - BLEND TRADICION","BLEND",B197="113 - CAFÉ GOURMET","GOURMET",B197="114 - CAFÉ CONSUMO","CONSUMO",B197="112 - CAFÉ ORGANICO","GOURMET",B197="172 - CAFÉ COSECHA","ESPECIALES",B197="176 - CAFE DESCAFEINADO","GOURMET",B197="147 - CAPSULAS","CAPSULAS",B197="130 - GALLETAS CAFECITAS","DERIVADOS",B197="140 - MERENGUES","DERIVADOS",B197="100 - CAFÉ ESPECIAL","ESPECIALES",B197="141 - AREQUIPE","DERIVADOS",B197="142 - MERMELADA","DERIVADOS",B197="131 - GALLETAS AVENA","DERIVADOS",B197="160 - SOUVENIR","OTROS",B197="148 - CARAMELOS","DERIVADOS",B197="143 - CHOCOFFES","DERIVADOS",B197="162 - CONVENIOS Y DSC POS ","OTROS"),"OTROS")</f>
        <v>GOURMET</v>
      </c>
      <c r="L197" s="27">
        <f t="shared" si="30"/>
        <v>363124</v>
      </c>
      <c r="M197" s="27">
        <f t="shared" si="31"/>
        <v>363124</v>
      </c>
    </row>
    <row r="198" spans="1:13" ht="16.5" hidden="1" outlineLevel="1">
      <c r="A198" s="19" t="s">
        <v>54</v>
      </c>
      <c r="B198" s="56" t="s">
        <v>32</v>
      </c>
      <c r="C198" s="54">
        <f>SUM(C184:C197)</f>
        <v>75137876</v>
      </c>
      <c r="D198" s="54">
        <f>SUM(D184:D197)</f>
        <v>-245574</v>
      </c>
      <c r="E198" s="54">
        <f>SUM(E184:E197)</f>
        <v>0</v>
      </c>
      <c r="F198" s="58">
        <f>SUM(F184:F197)</f>
        <v>179945706.40000001</v>
      </c>
      <c r="G198" s="55">
        <f t="shared" si="38"/>
        <v>0.41755859310683724</v>
      </c>
      <c r="H198" s="23">
        <f t="shared" si="40"/>
        <v>-3.2576646465504035E-3</v>
      </c>
      <c r="I198" s="24">
        <f t="shared" si="40"/>
        <v>0</v>
      </c>
      <c r="J198" s="32" t="str" cm="1">
        <f t="array" ref="J198">IFERROR(_xlfn.IFS(B198="044 - BLEND TRADICION","BLEND",B198="113 - CAFÉ GOURMET","GOURMET",B198="114 - CAFÉ CONSUMO","CONSUMO",B198="112 - CAFÉ ORGANICO","GOURMET",B198="172 - CAFÉ COSECHA","ESPECIALES",B198="176 - CAFE DESCAFEINADO","GOURMET",B198="147 - CAPSULAS","CAPSULAS",B198="130 - GALLETAS CAFECITAS","DERIVADOS",B198="140 - MERENGUES","DERIVADOS",B198="100 - CAFÉ ESPECIAL","ESPECIALES",B198="141 - AREQUIPE","DERIVADOS",B198="142 - MERMELADA","DERIVADOS",B198="131 - GALLETAS AVENA","DERIVADOS",B198="160 - SOUVENIR","OTROS",B198="148 - CARAMELOS","DERIVADOS",B198="143 - CHOCOFFES","DERIVADOS",B198="162 - CONVENIOS Y DSC POS ","OTROS"),"OTROS")</f>
        <v>OTROS</v>
      </c>
      <c r="L198" s="27">
        <f t="shared" si="30"/>
        <v>75383450</v>
      </c>
      <c r="M198" s="27">
        <f t="shared" si="31"/>
        <v>75383450</v>
      </c>
    </row>
    <row r="199" spans="1:13" ht="16.5" collapsed="1">
      <c r="A199" s="28" t="s">
        <v>55</v>
      </c>
      <c r="B199" s="29" t="s">
        <v>17</v>
      </c>
      <c r="C199" s="30">
        <f>+C215</f>
        <v>154575380</v>
      </c>
      <c r="D199" s="30">
        <f t="shared" ref="D199:E199" si="41">+D215</f>
        <v>-767946</v>
      </c>
      <c r="E199" s="30">
        <f t="shared" si="41"/>
        <v>-467561</v>
      </c>
      <c r="F199" s="30">
        <f>+F215</f>
        <v>251466278.25</v>
      </c>
      <c r="G199" s="31">
        <f t="shared" si="38"/>
        <v>0.61469625699206454</v>
      </c>
      <c r="H199" s="23">
        <f t="shared" si="40"/>
        <v>-4.9287056558506084E-3</v>
      </c>
      <c r="I199" s="24">
        <f t="shared" si="40"/>
        <v>-3.0008236844194336E-3</v>
      </c>
      <c r="J199" s="32" t="str" cm="1">
        <f t="array" ref="J199">IFERROR(_xlfn.IFS(B199="044 - BLEND TRADICION","BLEND",B199="113 - CAFÉ GOURMET","GOURMET",B199="114 - CAFÉ CONSUMO","CONSUMO",B199="112 - CAFÉ ORGANICO","GOURMET",B199="172 - CAFÉ COSECHA","ESPECIALES",B199="176 - CAFE DESCAFEINADO","GOURMET",B199="147 - CAPSULAS","CAPSULAS",B199="130 - GALLETAS CAFECITAS","DERIVADOS",B199="140 - MERENGUES","DERIVADOS",B199="100 - CAFÉ ESPECIAL","ESPECIALES",B199="141 - AREQUIPE","DERIVADOS",B199="142 - MERMELADA","DERIVADOS",B199="131 - GALLETAS AVENA","DERIVADOS",B199="160 - SOUVENIR","OTROS",B199="148 - CARAMELOS","DERIVADOS",B199="143 - CHOCOFFES","DERIVADOS",B199="162 - CONVENIOS Y DSC POS ","OTROS"),"OTROS")</f>
        <v>OTROS</v>
      </c>
      <c r="L199" s="27">
        <f t="shared" si="30"/>
        <v>155810887</v>
      </c>
      <c r="M199" s="27">
        <f t="shared" si="31"/>
        <v>155810887</v>
      </c>
    </row>
    <row r="200" spans="1:13" ht="16.5" hidden="1" outlineLevel="1">
      <c r="A200" s="38"/>
      <c r="B200" s="39" t="s">
        <v>34</v>
      </c>
      <c r="C200" s="36">
        <v>2772654</v>
      </c>
      <c r="D200" s="36">
        <v>0</v>
      </c>
      <c r="E200" s="36">
        <v>0</v>
      </c>
      <c r="F200" s="36">
        <v>4405498.4400000004</v>
      </c>
      <c r="G200" s="37">
        <f t="shared" si="38"/>
        <v>0.62936215680512186</v>
      </c>
      <c r="H200" s="23">
        <f t="shared" si="40"/>
        <v>0</v>
      </c>
      <c r="I200" s="24">
        <f t="shared" si="40"/>
        <v>0</v>
      </c>
      <c r="J200" s="32" t="str" cm="1">
        <f t="array" ref="J200">IFERROR(_xlfn.IFS(B200="044 - BLEND TRADICION","BLEND",B200="113 - CAFÉ GOURMET","GOURMET",B200="114 - CAFÉ CONSUMO","CONSUMO",B200="112 - CAFÉ ORGANICO","GOURMET",B200="172 - CAFÉ COSECHA","ESPECIALES",B200="176 - CAFE DESCAFEINADO","GOURMET",B200="147 - CAPSULAS","CAPSULAS",B200="130 - GALLETAS CAFECITAS","DERIVADOS",B200="140 - MERENGUES","DERIVADOS",B200="100 - CAFÉ ESPECIAL","ESPECIALES",B200="141 - AREQUIPE","DERIVADOS",B200="142 - MERMELADA","DERIVADOS",B200="131 - GALLETAS AVENA","DERIVADOS",B200="160 - SOUVENIR","OTROS",B200="148 - CARAMELOS","DERIVADOS",B200="143 - CHOCOFFES","DERIVADOS",B200="162 - CONVENIOS Y DSC POS ","OTROS"),"OTROS")</f>
        <v>OTROS</v>
      </c>
      <c r="K200" s="62"/>
      <c r="L200" s="27">
        <f t="shared" si="30"/>
        <v>2772654</v>
      </c>
      <c r="M200" s="27">
        <f t="shared" si="31"/>
        <v>2772654</v>
      </c>
    </row>
    <row r="201" spans="1:13" ht="16.5" hidden="1" outlineLevel="1">
      <c r="A201" s="38"/>
      <c r="B201" s="39" t="s">
        <v>18</v>
      </c>
      <c r="C201" s="36">
        <v>523500</v>
      </c>
      <c r="D201" s="36">
        <v>0</v>
      </c>
      <c r="E201" s="36"/>
      <c r="F201" s="36">
        <v>1752263.11</v>
      </c>
      <c r="G201" s="37">
        <f t="shared" si="38"/>
        <v>0.29875650352531818</v>
      </c>
      <c r="H201" s="23">
        <f t="shared" si="40"/>
        <v>0</v>
      </c>
      <c r="I201" s="24">
        <f t="shared" si="40"/>
        <v>0</v>
      </c>
      <c r="J201" s="32" t="str" cm="1">
        <f t="array" ref="J201">IFERROR(_xlfn.IFS(B201="044 - BLEND TRADICION","BLEND",B201="113 - CAFÉ GOURMET","GOURMET",B201="114 - CAFÉ CONSUMO","CONSUMO",B201="112 - CAFÉ ORGANICO","GOURMET",B201="172 - CAFÉ COSECHA","ESPECIALES",B201="176 - CAFE DESCAFEINADO","GOURMET",B201="147 - CAPSULAS","CAPSULAS",B201="130 - GALLETAS CAFECITAS","DERIVADOS",B201="140 - MERENGUES","DERIVADOS",B201="100 - CAFÉ ESPECIAL","ESPECIALES",B201="141 - AREQUIPE","DERIVADOS",B201="142 - MERMELADA","DERIVADOS",B201="131 - GALLETAS AVENA","DERIVADOS",B201="160 - SOUVENIR","OTROS",B201="148 - CARAMELOS","DERIVADOS",B201="143 - CHOCOFFES","DERIVADOS",B201="162 - CONVENIOS Y DSC POS ","OTROS"),"OTROS")</f>
        <v>BLEND</v>
      </c>
      <c r="K201" s="62"/>
      <c r="L201" s="27">
        <f t="shared" si="30"/>
        <v>523500</v>
      </c>
      <c r="M201" s="27">
        <f t="shared" si="31"/>
        <v>523500</v>
      </c>
    </row>
    <row r="202" spans="1:13" ht="16.5" hidden="1" outlineLevel="1">
      <c r="A202" s="38"/>
      <c r="B202" s="39" t="s">
        <v>19</v>
      </c>
      <c r="C202" s="36">
        <v>3323573</v>
      </c>
      <c r="D202" s="36">
        <v>0</v>
      </c>
      <c r="E202" s="36"/>
      <c r="F202" s="36">
        <v>5187386.37</v>
      </c>
      <c r="G202" s="37">
        <f t="shared" si="38"/>
        <v>0.64070280540911395</v>
      </c>
      <c r="H202" s="23">
        <f t="shared" si="40"/>
        <v>0</v>
      </c>
      <c r="I202" s="24">
        <f t="shared" si="40"/>
        <v>0</v>
      </c>
      <c r="J202" s="32" t="str" cm="1">
        <f t="array" ref="J202">IFERROR(_xlfn.IFS(B202="044 - BLEND TRADICION","BLEND",B202="113 - CAFÉ GOURMET","GOURMET",B202="114 - CAFÉ CONSUMO","CONSUMO",B202="112 - CAFÉ ORGANICO","GOURMET",B202="172 - CAFÉ COSECHA","ESPECIALES",B202="176 - CAFE DESCAFEINADO","GOURMET",B202="147 - CAPSULAS","CAPSULAS",B202="130 - GALLETAS CAFECITAS","DERIVADOS",B202="140 - MERENGUES","DERIVADOS",B202="100 - CAFÉ ESPECIAL","ESPECIALES",B202="141 - AREQUIPE","DERIVADOS",B202="142 - MERMELADA","DERIVADOS",B202="131 - GALLETAS AVENA","DERIVADOS",B202="160 - SOUVENIR","OTROS",B202="148 - CARAMELOS","DERIVADOS",B202="143 - CHOCOFFES","DERIVADOS",B202="162 - CONVENIOS Y DSC POS ","OTROS"),"OTROS")</f>
        <v>ESPECIALES</v>
      </c>
      <c r="K202" s="62"/>
      <c r="L202" s="27">
        <f t="shared" si="30"/>
        <v>3323573</v>
      </c>
      <c r="M202" s="27">
        <f t="shared" si="31"/>
        <v>3323573</v>
      </c>
    </row>
    <row r="203" spans="1:13" ht="16.5" hidden="1" outlineLevel="1">
      <c r="A203" s="38"/>
      <c r="B203" s="39" t="s">
        <v>20</v>
      </c>
      <c r="C203" s="36">
        <v>4210289</v>
      </c>
      <c r="D203" s="36">
        <v>0</v>
      </c>
      <c r="E203" s="36"/>
      <c r="F203" s="36">
        <v>7440163.29</v>
      </c>
      <c r="G203" s="37">
        <f t="shared" si="38"/>
        <v>0.5658866392971329</v>
      </c>
      <c r="H203" s="23">
        <f t="shared" si="40"/>
        <v>0</v>
      </c>
      <c r="I203" s="24">
        <f t="shared" si="40"/>
        <v>0</v>
      </c>
      <c r="J203" s="32" t="str" cm="1">
        <f t="array" ref="J203">IFERROR(_xlfn.IFS(B203="044 - BLEND TRADICION","BLEND",B203="113 - CAFÉ GOURMET","GOURMET",B203="114 - CAFÉ CONSUMO","CONSUMO",B203="112 - CAFÉ ORGANICO","GOURMET",B203="172 - CAFÉ COSECHA","ESPECIALES",B203="176 - CAFE DESCAFEINADO","GOURMET",B203="147 - CAPSULAS","CAPSULAS",B203="130 - GALLETAS CAFECITAS","DERIVADOS",B203="140 - MERENGUES","DERIVADOS",B203="100 - CAFÉ ESPECIAL","ESPECIALES",B203="141 - AREQUIPE","DERIVADOS",B203="142 - MERMELADA","DERIVADOS",B203="131 - GALLETAS AVENA","DERIVADOS",B203="160 - SOUVENIR","OTROS",B203="148 - CARAMELOS","DERIVADOS",B203="143 - CHOCOFFES","DERIVADOS",B203="162 - CONVENIOS Y DSC POS ","OTROS"),"OTROS")</f>
        <v>GOURMET</v>
      </c>
      <c r="K203" s="62"/>
      <c r="L203" s="27">
        <f t="shared" si="30"/>
        <v>4210289</v>
      </c>
      <c r="M203" s="27">
        <f t="shared" si="31"/>
        <v>4210289</v>
      </c>
    </row>
    <row r="204" spans="1:13" ht="16.5" hidden="1" outlineLevel="1">
      <c r="A204" s="38"/>
      <c r="B204" s="39" t="s">
        <v>21</v>
      </c>
      <c r="C204" s="36">
        <v>89765699</v>
      </c>
      <c r="D204" s="36">
        <v>-654102</v>
      </c>
      <c r="E204" s="36"/>
      <c r="F204" s="36">
        <v>142013899.65000001</v>
      </c>
      <c r="G204" s="37">
        <f t="shared" si="38"/>
        <v>0.63209093772674241</v>
      </c>
      <c r="H204" s="23">
        <f t="shared" si="40"/>
        <v>-7.2340570623463324E-3</v>
      </c>
      <c r="I204" s="24">
        <f t="shared" si="40"/>
        <v>0</v>
      </c>
      <c r="J204" s="32" t="str" cm="1">
        <f t="array" ref="J204">IFERROR(_xlfn.IFS(B204="044 - BLEND TRADICION","BLEND",B204="113 - CAFÉ GOURMET","GOURMET",B204="114 - CAFÉ CONSUMO","CONSUMO",B204="112 - CAFÉ ORGANICO","GOURMET",B204="172 - CAFÉ COSECHA","ESPECIALES",B204="176 - CAFE DESCAFEINADO","GOURMET",B204="147 - CAPSULAS","CAPSULAS",B204="130 - GALLETAS CAFECITAS","DERIVADOS",B204="140 - MERENGUES","DERIVADOS",B204="100 - CAFÉ ESPECIAL","ESPECIALES",B204="141 - AREQUIPE","DERIVADOS",B204="142 - MERMELADA","DERIVADOS",B204="131 - GALLETAS AVENA","DERIVADOS",B204="160 - SOUVENIR","OTROS",B204="148 - CARAMELOS","DERIVADOS",B204="143 - CHOCOFFES","DERIVADOS",B204="162 - CONVENIOS Y DSC POS ","OTROS"),"OTROS")</f>
        <v>GOURMET</v>
      </c>
      <c r="K204" s="62"/>
      <c r="L204" s="27">
        <f t="shared" ref="L204:L245" si="42">C204-(D204+E204)</f>
        <v>90419801</v>
      </c>
      <c r="M204" s="27">
        <f t="shared" ref="M204:M254" si="43">L204</f>
        <v>90419801</v>
      </c>
    </row>
    <row r="205" spans="1:13" ht="16.5" hidden="1" outlineLevel="1">
      <c r="A205" s="38"/>
      <c r="B205" s="39" t="s">
        <v>22</v>
      </c>
      <c r="C205" s="36">
        <v>810177</v>
      </c>
      <c r="D205" s="36">
        <v>-113844</v>
      </c>
      <c r="E205" s="36"/>
      <c r="F205" s="36">
        <v>2033308.06</v>
      </c>
      <c r="G205" s="37">
        <f t="shared" ref="G205:G210" si="44">IFERROR(C205/F205*100%,"-")</f>
        <v>0.39845265748860503</v>
      </c>
      <c r="H205" s="23">
        <f t="shared" ref="H205:H210" si="45">IFERROR(+D205/L205*100%,0)</f>
        <v>-0.12320499209433552</v>
      </c>
      <c r="I205" s="24">
        <f t="shared" ref="I205:I210" si="46">IFERROR(+E205/M205*100%,0)</f>
        <v>0</v>
      </c>
      <c r="J205" s="32" t="str" cm="1">
        <f t="array" ref="J205">IFERROR(_xlfn.IFS(B205="044 - BLEND TRADICION","BLEND",B205="113 - CAFÉ GOURMET","GOURMET",B205="114 - CAFÉ CONSUMO","CONSUMO",B205="112 - CAFÉ ORGANICO","GOURMET",B205="172 - CAFÉ COSECHA","ESPECIALES",B205="176 - CAFE DESCAFEINADO","GOURMET",B205="147 - CAPSULAS","CAPSULAS",B205="130 - GALLETAS CAFECITAS","DERIVADOS",B205="140 - MERENGUES","DERIVADOS",B205="100 - CAFÉ ESPECIAL","ESPECIALES",B205="141 - AREQUIPE","DERIVADOS",B205="142 - MERMELADA","DERIVADOS",B205="131 - GALLETAS AVENA","DERIVADOS",B205="160 - SOUVENIR","OTROS",B205="148 - CARAMELOS","DERIVADOS",B205="143 - CHOCOFFES","DERIVADOS",B205="162 - CONVENIOS Y DSC POS ","OTROS"),"OTROS")</f>
        <v>DERIVADOS</v>
      </c>
      <c r="K205" s="62"/>
      <c r="L205" s="27">
        <f t="shared" si="42"/>
        <v>924021</v>
      </c>
      <c r="M205" s="27">
        <f t="shared" si="43"/>
        <v>924021</v>
      </c>
    </row>
    <row r="206" spans="1:13" ht="16.5" hidden="1" outlineLevel="1">
      <c r="A206" s="38"/>
      <c r="B206" s="39" t="s">
        <v>24</v>
      </c>
      <c r="C206" s="36">
        <v>0</v>
      </c>
      <c r="D206" s="36">
        <v>0</v>
      </c>
      <c r="E206" s="36"/>
      <c r="F206" s="36">
        <v>5794.52</v>
      </c>
      <c r="G206" s="37">
        <f t="shared" si="44"/>
        <v>0</v>
      </c>
      <c r="H206" s="23">
        <f t="shared" si="45"/>
        <v>0</v>
      </c>
      <c r="I206" s="24">
        <f t="shared" si="46"/>
        <v>0</v>
      </c>
      <c r="J206" s="32" t="str" cm="1">
        <f t="array" ref="J206">IFERROR(_xlfn.IFS(B206="044 - BLEND TRADICION","BLEND",B206="113 - CAFÉ GOURMET","GOURMET",B206="114 - CAFÉ CONSUMO","CONSUMO",B206="112 - CAFÉ ORGANICO","GOURMET",B206="172 - CAFÉ COSECHA","ESPECIALES",B206="176 - CAFE DESCAFEINADO","GOURMET",B206="147 - CAPSULAS","CAPSULAS",B206="130 - GALLETAS CAFECITAS","DERIVADOS",B206="140 - MERENGUES","DERIVADOS",B206="100 - CAFÉ ESPECIAL","ESPECIALES",B206="141 - AREQUIPE","DERIVADOS",B206="142 - MERMELADA","DERIVADOS",B206="131 - GALLETAS AVENA","DERIVADOS",B206="160 - SOUVENIR","OTROS",B206="148 - CARAMELOS","DERIVADOS",B206="143 - CHOCOFFES","DERIVADOS",B206="162 - CONVENIOS Y DSC POS ","OTROS"),"OTROS")</f>
        <v>DERIVADOS</v>
      </c>
      <c r="K206" s="62"/>
      <c r="L206" s="27">
        <f t="shared" ref="L206:L210" si="47">C206-(D206+E206)</f>
        <v>0</v>
      </c>
      <c r="M206" s="27">
        <f t="shared" ref="M206:M210" si="48">L206</f>
        <v>0</v>
      </c>
    </row>
    <row r="207" spans="1:13" ht="16.5" hidden="1" outlineLevel="1">
      <c r="A207" s="38"/>
      <c r="B207" s="39" t="s">
        <v>25</v>
      </c>
      <c r="C207" s="36">
        <v>1323511</v>
      </c>
      <c r="D207" s="36">
        <v>0</v>
      </c>
      <c r="E207" s="36"/>
      <c r="F207" s="36">
        <v>3644356.83</v>
      </c>
      <c r="G207" s="37">
        <f t="shared" si="44"/>
        <v>0.36316723683723362</v>
      </c>
      <c r="H207" s="23">
        <f t="shared" si="45"/>
        <v>0</v>
      </c>
      <c r="I207" s="24">
        <f t="shared" si="46"/>
        <v>0</v>
      </c>
      <c r="J207" s="32" t="str" cm="1">
        <f t="array" ref="J207">IFERROR(_xlfn.IFS(B207="044 - BLEND TRADICION","BLEND",B207="113 - CAFÉ GOURMET","GOURMET",B207="114 - CAFÉ CONSUMO","CONSUMO",B207="112 - CAFÉ ORGANICO","GOURMET",B207="172 - CAFÉ COSECHA","ESPECIALES",B207="176 - CAFE DESCAFEINADO","GOURMET",B207="147 - CAPSULAS","CAPSULAS",B207="130 - GALLETAS CAFECITAS","DERIVADOS",B207="140 - MERENGUES","DERIVADOS",B207="100 - CAFÉ ESPECIAL","ESPECIALES",B207="141 - AREQUIPE","DERIVADOS",B207="142 - MERMELADA","DERIVADOS",B207="131 - GALLETAS AVENA","DERIVADOS",B207="160 - SOUVENIR","OTROS",B207="148 - CARAMELOS","DERIVADOS",B207="143 - CHOCOFFES","DERIVADOS",B207="162 - CONVENIOS Y DSC POS ","OTROS"),"OTROS")</f>
        <v>DERIVADOS</v>
      </c>
      <c r="K207" s="62"/>
      <c r="L207" s="27">
        <f t="shared" si="47"/>
        <v>1323511</v>
      </c>
      <c r="M207" s="27">
        <f t="shared" si="48"/>
        <v>1323511</v>
      </c>
    </row>
    <row r="208" spans="1:13" ht="16.5" hidden="1" outlineLevel="1">
      <c r="A208" s="38"/>
      <c r="B208" s="39" t="s">
        <v>26</v>
      </c>
      <c r="C208" s="36">
        <v>42405579</v>
      </c>
      <c r="D208" s="36">
        <v>0</v>
      </c>
      <c r="E208" s="36"/>
      <c r="F208" s="36">
        <v>59490908.259999998</v>
      </c>
      <c r="G208" s="37">
        <f t="shared" si="44"/>
        <v>0.712807725420328</v>
      </c>
      <c r="H208" s="23">
        <f t="shared" si="45"/>
        <v>0</v>
      </c>
      <c r="I208" s="24">
        <f t="shared" si="46"/>
        <v>0</v>
      </c>
      <c r="J208" s="32" t="str" cm="1">
        <f t="array" ref="J208">IFERROR(_xlfn.IFS(B208="044 - BLEND TRADICION","BLEND",B208="113 - CAFÉ GOURMET","GOURMET",B208="114 - CAFÉ CONSUMO","CONSUMO",B208="112 - CAFÉ ORGANICO","GOURMET",B208="172 - CAFÉ COSECHA","ESPECIALES",B208="176 - CAFE DESCAFEINADO","GOURMET",B208="147 - CAPSULAS","CAPSULAS",B208="130 - GALLETAS CAFECITAS","DERIVADOS",B208="140 - MERENGUES","DERIVADOS",B208="100 - CAFÉ ESPECIAL","ESPECIALES",B208="141 - AREQUIPE","DERIVADOS",B208="142 - MERMELADA","DERIVADOS",B208="131 - GALLETAS AVENA","DERIVADOS",B208="160 - SOUVENIR","OTROS",B208="148 - CARAMELOS","DERIVADOS",B208="143 - CHOCOFFES","DERIVADOS",B208="162 - CONVENIOS Y DSC POS ","OTROS"),"OTROS")</f>
        <v>CAPSULAS</v>
      </c>
      <c r="K208" s="62"/>
      <c r="L208" s="27">
        <f t="shared" si="47"/>
        <v>42405579</v>
      </c>
      <c r="M208" s="27">
        <f t="shared" si="48"/>
        <v>42405579</v>
      </c>
    </row>
    <row r="209" spans="1:13" ht="16.5" hidden="1" outlineLevel="1">
      <c r="A209" s="38"/>
      <c r="B209" s="39" t="s">
        <v>27</v>
      </c>
      <c r="C209" s="36">
        <v>1242120</v>
      </c>
      <c r="D209" s="36">
        <v>0</v>
      </c>
      <c r="E209" s="36"/>
      <c r="F209" s="36">
        <v>3108564.42</v>
      </c>
      <c r="G209" s="37">
        <f t="shared" si="44"/>
        <v>0.39957994500882821</v>
      </c>
      <c r="H209" s="23">
        <f t="shared" si="45"/>
        <v>0</v>
      </c>
      <c r="I209" s="24">
        <f t="shared" si="46"/>
        <v>0</v>
      </c>
      <c r="J209" s="32" t="str" cm="1">
        <f t="array" ref="J209">IFERROR(_xlfn.IFS(B209="044 - BLEND TRADICION","BLEND",B209="113 - CAFÉ GOURMET","GOURMET",B209="114 - CAFÉ CONSUMO","CONSUMO",B209="112 - CAFÉ ORGANICO","GOURMET",B209="172 - CAFÉ COSECHA","ESPECIALES",B209="176 - CAFE DESCAFEINADO","GOURMET",B209="147 - CAPSULAS","CAPSULAS",B209="130 - GALLETAS CAFECITAS","DERIVADOS",B209="140 - MERENGUES","DERIVADOS",B209="100 - CAFÉ ESPECIAL","ESPECIALES",B209="141 - AREQUIPE","DERIVADOS",B209="142 - MERMELADA","DERIVADOS",B209="131 - GALLETAS AVENA","DERIVADOS",B209="160 - SOUVENIR","OTROS",B209="148 - CARAMELOS","DERIVADOS",B209="143 - CHOCOFFES","DERIVADOS",B209="162 - CONVENIOS Y DSC POS ","OTROS"),"OTROS")</f>
        <v>DERIVADOS</v>
      </c>
      <c r="K209" s="62"/>
      <c r="L209" s="27">
        <f t="shared" si="47"/>
        <v>1242120</v>
      </c>
      <c r="M209" s="27">
        <f t="shared" si="48"/>
        <v>1242120</v>
      </c>
    </row>
    <row r="210" spans="1:13" ht="16.5" hidden="1" outlineLevel="1">
      <c r="A210" s="38"/>
      <c r="B210" s="39" t="s">
        <v>28</v>
      </c>
      <c r="C210" s="36">
        <v>1506126</v>
      </c>
      <c r="D210" s="36">
        <v>0</v>
      </c>
      <c r="E210" s="36"/>
      <c r="F210" s="36">
        <v>7821246.9800000004</v>
      </c>
      <c r="G210" s="37">
        <f t="shared" si="44"/>
        <v>0.19256852569051591</v>
      </c>
      <c r="H210" s="23">
        <f t="shared" si="45"/>
        <v>0</v>
      </c>
      <c r="I210" s="24">
        <f t="shared" si="46"/>
        <v>0</v>
      </c>
      <c r="J210" s="32" t="str" cm="1">
        <f t="array" ref="J210">IFERROR(_xlfn.IFS(B210="044 - BLEND TRADICION","BLEND",B210="113 - CAFÉ GOURMET","GOURMET",B210="114 - CAFÉ CONSUMO","CONSUMO",B210="112 - CAFÉ ORGANICO","GOURMET",B210="172 - CAFÉ COSECHA","ESPECIALES",B210="176 - CAFE DESCAFEINADO","GOURMET",B210="147 - CAPSULAS","CAPSULAS",B210="130 - GALLETAS CAFECITAS","DERIVADOS",B210="140 - MERENGUES","DERIVADOS",B210="100 - CAFÉ ESPECIAL","ESPECIALES",B210="141 - AREQUIPE","DERIVADOS",B210="142 - MERMELADA","DERIVADOS",B210="131 - GALLETAS AVENA","DERIVADOS",B210="160 - SOUVENIR","OTROS",B210="148 - CARAMELOS","DERIVADOS",B210="143 - CHOCOFFES","DERIVADOS",B210="162 - CONVENIOS Y DSC POS ","OTROS"),"OTROS")</f>
        <v>OTROS</v>
      </c>
      <c r="K210" s="62"/>
      <c r="L210" s="27">
        <f t="shared" si="47"/>
        <v>1506126</v>
      </c>
      <c r="M210" s="27">
        <f t="shared" si="48"/>
        <v>1506126</v>
      </c>
    </row>
    <row r="211" spans="1:13" ht="16.5" hidden="1" outlineLevel="1">
      <c r="A211" s="38"/>
      <c r="B211" s="39" t="s">
        <v>50</v>
      </c>
      <c r="C211" s="36">
        <v>-467561</v>
      </c>
      <c r="D211" s="36">
        <v>0</v>
      </c>
      <c r="E211" s="36">
        <v>-467561</v>
      </c>
      <c r="F211" s="36">
        <v>0</v>
      </c>
      <c r="G211" s="37" t="str">
        <f t="shared" si="38"/>
        <v>-</v>
      </c>
      <c r="H211" s="23">
        <f t="shared" si="40"/>
        <v>0</v>
      </c>
      <c r="I211" s="24">
        <f t="shared" si="40"/>
        <v>0</v>
      </c>
      <c r="J211" s="32" t="str" cm="1">
        <f t="array" ref="J211">IFERROR(_xlfn.IFS(B211="044 - BLEND TRADICION","BLEND",B211="113 - CAFÉ GOURMET","GOURMET",B211="114 - CAFÉ CONSUMO","CONSUMO",B211="112 - CAFÉ ORGANICO","GOURMET",B211="172 - CAFÉ COSECHA","ESPECIALES",B211="176 - CAFE DESCAFEINADO","GOURMET",B211="147 - CAPSULAS","CAPSULAS",B211="130 - GALLETAS CAFECITAS","DERIVADOS",B211="140 - MERENGUES","DERIVADOS",B211="100 - CAFÉ ESPECIAL","ESPECIALES",B211="141 - AREQUIPE","DERIVADOS",B211="142 - MERMELADA","DERIVADOS",B211="131 - GALLETAS AVENA","DERIVADOS",B211="160 - SOUVENIR","OTROS",B211="148 - CARAMELOS","DERIVADOS",B211="143 - CHOCOFFES","DERIVADOS",B211="162 - CONVENIOS Y DSC POS ","OTROS"),"OTROS")</f>
        <v>OTROS</v>
      </c>
      <c r="K211" s="62"/>
      <c r="L211" s="27">
        <f t="shared" si="42"/>
        <v>0</v>
      </c>
      <c r="M211" s="27">
        <f t="shared" si="43"/>
        <v>0</v>
      </c>
    </row>
    <row r="212" spans="1:13" ht="16.5" hidden="1" outlineLevel="1">
      <c r="A212" s="38"/>
      <c r="B212" s="39" t="s">
        <v>29</v>
      </c>
      <c r="C212" s="36">
        <v>5287111</v>
      </c>
      <c r="D212" s="36">
        <v>0</v>
      </c>
      <c r="E212" s="36"/>
      <c r="F212" s="36">
        <v>12404965.970000001</v>
      </c>
      <c r="G212" s="37">
        <f t="shared" si="38"/>
        <v>0.42620923046353182</v>
      </c>
      <c r="H212" s="23">
        <f t="shared" si="40"/>
        <v>0</v>
      </c>
      <c r="I212" s="24">
        <f t="shared" si="40"/>
        <v>0</v>
      </c>
      <c r="J212" s="32" t="str" cm="1">
        <f t="array" ref="J212">IFERROR(_xlfn.IFS(B212="044 - BLEND TRADICION","BLEND",B212="113 - CAFÉ GOURMET","GOURMET",B212="114 - CAFÉ CONSUMO","CONSUMO",B212="112 - CAFÉ ORGANICO","GOURMET",B212="172 - CAFÉ COSECHA","ESPECIALES",B212="176 - CAFE DESCAFEINADO","GOURMET",B212="147 - CAPSULAS","CAPSULAS",B212="130 - GALLETAS CAFECITAS","DERIVADOS",B212="140 - MERENGUES","DERIVADOS",B212="100 - CAFÉ ESPECIAL","ESPECIALES",B212="141 - AREQUIPE","DERIVADOS",B212="142 - MERMELADA","DERIVADOS",B212="131 - GALLETAS AVENA","DERIVADOS",B212="160 - SOUVENIR","OTROS",B212="148 - CARAMELOS","DERIVADOS",B212="143 - CHOCOFFES","DERIVADOS",B212="162 - CONVENIOS Y DSC POS ","OTROS"),"OTROS")</f>
        <v>ESPECIALES</v>
      </c>
      <c r="K212" s="62"/>
      <c r="L212" s="27">
        <f t="shared" si="42"/>
        <v>5287111</v>
      </c>
      <c r="M212" s="27">
        <f t="shared" si="43"/>
        <v>5287111</v>
      </c>
    </row>
    <row r="213" spans="1:13" ht="16.5" hidden="1" outlineLevel="1">
      <c r="A213" s="38"/>
      <c r="B213" s="39" t="s">
        <v>30</v>
      </c>
      <c r="C213" s="36">
        <v>1834602</v>
      </c>
      <c r="D213" s="36">
        <v>0</v>
      </c>
      <c r="E213" s="36"/>
      <c r="F213" s="36">
        <v>2157922.35</v>
      </c>
      <c r="G213" s="37">
        <f t="shared" si="38"/>
        <v>0.8501705355616711</v>
      </c>
      <c r="H213" s="23">
        <f t="shared" si="40"/>
        <v>0</v>
      </c>
      <c r="I213" s="24">
        <f t="shared" si="40"/>
        <v>0</v>
      </c>
      <c r="J213" s="32" t="str" cm="1">
        <f t="array" ref="J213">IFERROR(_xlfn.IFS(B213="044 - BLEND TRADICION","BLEND",B213="113 - CAFÉ GOURMET","GOURMET",B213="114 - CAFÉ CONSUMO","CONSUMO",B213="112 - CAFÉ ORGANICO","GOURMET",B213="172 - CAFÉ COSECHA","ESPECIALES",B213="176 - CAFE DESCAFEINADO","GOURMET",B213="147 - CAPSULAS","CAPSULAS",B213="130 - GALLETAS CAFECITAS","DERIVADOS",B213="140 - MERENGUES","DERIVADOS",B213="100 - CAFÉ ESPECIAL","ESPECIALES",B213="141 - AREQUIPE","DERIVADOS",B213="142 - MERMELADA","DERIVADOS",B213="131 - GALLETAS AVENA","DERIVADOS",B213="160 - SOUVENIR","OTROS",B213="148 - CARAMELOS","DERIVADOS",B213="143 - CHOCOFFES","DERIVADOS",B213="162 - CONVENIOS Y DSC POS ","OTROS"),"OTROS")</f>
        <v>GOURMET</v>
      </c>
      <c r="K213" s="62"/>
      <c r="L213" s="27">
        <f t="shared" si="42"/>
        <v>1834602</v>
      </c>
      <c r="M213" s="27">
        <f t="shared" si="43"/>
        <v>1834602</v>
      </c>
    </row>
    <row r="214" spans="1:13" ht="16.5" hidden="1" outlineLevel="1">
      <c r="A214" s="38"/>
      <c r="B214" s="39" t="s">
        <v>31</v>
      </c>
      <c r="C214" s="36">
        <v>38000</v>
      </c>
      <c r="D214" s="36">
        <v>0</v>
      </c>
      <c r="E214" s="36"/>
      <c r="F214" s="36">
        <v>0</v>
      </c>
      <c r="G214" s="37" t="str">
        <f t="shared" si="38"/>
        <v>-</v>
      </c>
      <c r="H214" s="23">
        <f t="shared" si="40"/>
        <v>0</v>
      </c>
      <c r="I214" s="24">
        <f t="shared" si="40"/>
        <v>0</v>
      </c>
      <c r="J214" s="32" t="str" cm="1">
        <f t="array" ref="J214">IFERROR(_xlfn.IFS(B214="044 - BLEND TRADICION","BLEND",B214="113 - CAFÉ GOURMET","GOURMET",B214="114 - CAFÉ CONSUMO","CONSUMO",B214="112 - CAFÉ ORGANICO","GOURMET",B214="172 - CAFÉ COSECHA","ESPECIALES",B214="176 - CAFE DESCAFEINADO","GOURMET",B214="147 - CAPSULAS","CAPSULAS",B214="130 - GALLETAS CAFECITAS","DERIVADOS",B214="140 - MERENGUES","DERIVADOS",B214="100 - CAFÉ ESPECIAL","ESPECIALES",B214="141 - AREQUIPE","DERIVADOS",B214="142 - MERMELADA","DERIVADOS",B214="131 - GALLETAS AVENA","DERIVADOS",B214="160 - SOUVENIR","OTROS",B214="148 - CARAMELOS","DERIVADOS",B214="143 - CHOCOFFES","DERIVADOS",B214="162 - CONVENIOS Y DSC POS ","OTROS"),"OTROS")</f>
        <v>OTROS</v>
      </c>
      <c r="K214" s="62"/>
      <c r="L214" s="27">
        <f t="shared" si="42"/>
        <v>38000</v>
      </c>
      <c r="M214" s="27">
        <f t="shared" si="43"/>
        <v>38000</v>
      </c>
    </row>
    <row r="215" spans="1:13" ht="16.5" hidden="1" outlineLevel="1">
      <c r="A215" s="19" t="s">
        <v>56</v>
      </c>
      <c r="B215" s="56" t="s">
        <v>32</v>
      </c>
      <c r="C215" s="54">
        <f>SUM(C200:C214)</f>
        <v>154575380</v>
      </c>
      <c r="D215" s="54">
        <f>SUM(D200:D214)</f>
        <v>-767946</v>
      </c>
      <c r="E215" s="54">
        <f>SUM(E200:E214)</f>
        <v>-467561</v>
      </c>
      <c r="F215" s="58">
        <f>SUM(F200:F214)</f>
        <v>251466278.25</v>
      </c>
      <c r="G215" s="55">
        <f t="shared" si="38"/>
        <v>0.61469625699206454</v>
      </c>
      <c r="H215" s="23">
        <f t="shared" si="40"/>
        <v>-4.9287056558506084E-3</v>
      </c>
      <c r="I215" s="24">
        <f t="shared" si="40"/>
        <v>-3.0008236844194336E-3</v>
      </c>
      <c r="J215" s="32" t="str" cm="1">
        <f t="array" ref="J215">IFERROR(_xlfn.IFS(B215="044 - BLEND TRADICION","BLEND",B215="113 - CAFÉ GOURMET","GOURMET",B215="114 - CAFÉ CONSUMO","CONSUMO",B215="112 - CAFÉ ORGANICO","GOURMET",B215="172 - CAFÉ COSECHA","ESPECIALES",B215="176 - CAFE DESCAFEINADO","GOURMET",B215="147 - CAPSULAS","CAPSULAS",B215="130 - GALLETAS CAFECITAS","DERIVADOS",B215="140 - MERENGUES","DERIVADOS",B215="100 - CAFÉ ESPECIAL","ESPECIALES",B215="141 - AREQUIPE","DERIVADOS",B215="142 - MERMELADA","DERIVADOS",B215="131 - GALLETAS AVENA","DERIVADOS",B215="160 - SOUVENIR","OTROS",B215="148 - CARAMELOS","DERIVADOS",B215="143 - CHOCOFFES","DERIVADOS",B215="162 - CONVENIOS Y DSC POS ","OTROS"),"OTROS")</f>
        <v>OTROS</v>
      </c>
      <c r="K215" s="62">
        <f>C215-E215</f>
        <v>155042941</v>
      </c>
      <c r="L215" s="27">
        <f t="shared" si="42"/>
        <v>155810887</v>
      </c>
      <c r="M215" s="27">
        <f t="shared" si="43"/>
        <v>155810887</v>
      </c>
    </row>
    <row r="216" spans="1:13" ht="16.5" collapsed="1">
      <c r="A216" s="28" t="s">
        <v>57</v>
      </c>
      <c r="B216" s="29" t="s">
        <v>17</v>
      </c>
      <c r="C216" s="30">
        <f>+C232</f>
        <v>105495408</v>
      </c>
      <c r="D216" s="30">
        <f>+D232</f>
        <v>0</v>
      </c>
      <c r="E216" s="30">
        <f>+E232</f>
        <v>0</v>
      </c>
      <c r="F216" s="30">
        <f>+F232</f>
        <v>242185563.47000003</v>
      </c>
      <c r="G216" s="31">
        <f t="shared" si="38"/>
        <v>0.43559742574444538</v>
      </c>
      <c r="H216" s="23">
        <f t="shared" si="40"/>
        <v>0</v>
      </c>
      <c r="I216" s="24">
        <f t="shared" si="40"/>
        <v>0</v>
      </c>
      <c r="J216" s="32" t="str" cm="1">
        <f t="array" ref="J216">IFERROR(_xlfn.IFS(B216="044 - BLEND TRADICION","BLEND",B216="113 - CAFÉ GOURMET","GOURMET",B216="114 - CAFÉ CONSUMO","CONSUMO",B216="112 - CAFÉ ORGANICO","GOURMET",B216="172 - CAFÉ COSECHA","ESPECIALES",B216="176 - CAFE DESCAFEINADO","GOURMET",B216="147 - CAPSULAS","CAPSULAS",B216="130 - GALLETAS CAFECITAS","DERIVADOS",B216="140 - MERENGUES","DERIVADOS",B216="100 - CAFÉ ESPECIAL","ESPECIALES",B216="141 - AREQUIPE","DERIVADOS",B216="142 - MERMELADA","DERIVADOS",B216="131 - GALLETAS AVENA","DERIVADOS",B216="160 - SOUVENIR","OTROS",B216="148 - CARAMELOS","DERIVADOS",B216="143 - CHOCOFFES","DERIVADOS",B216="162 - CONVENIOS Y DSC POS ","OTROS"),"OTROS")</f>
        <v>OTROS</v>
      </c>
      <c r="K216" s="62">
        <f>C216-E216</f>
        <v>105495408</v>
      </c>
      <c r="L216" s="27">
        <f t="shared" si="42"/>
        <v>105495408</v>
      </c>
      <c r="M216" s="27">
        <f t="shared" si="43"/>
        <v>105495408</v>
      </c>
    </row>
    <row r="217" spans="1:13" ht="15.75" hidden="1" customHeight="1" outlineLevel="1">
      <c r="A217" s="44"/>
      <c r="B217" s="45" t="s">
        <v>34</v>
      </c>
      <c r="C217" s="46">
        <v>396502</v>
      </c>
      <c r="D217" s="46">
        <v>0</v>
      </c>
      <c r="E217" s="46"/>
      <c r="F217" s="46">
        <v>183711.31</v>
      </c>
      <c r="G217" s="37">
        <f t="shared" si="38"/>
        <v>2.1582884581248698</v>
      </c>
      <c r="H217" s="23">
        <f t="shared" si="40"/>
        <v>0</v>
      </c>
      <c r="I217" s="24">
        <f t="shared" si="40"/>
        <v>0</v>
      </c>
      <c r="J217" s="32" t="str" cm="1">
        <f t="array" ref="J217">IFERROR(_xlfn.IFS(B217="044 - BLEND TRADICION","BLEND",B217="113 - CAFÉ GOURMET","GOURMET",B217="114 - CAFÉ CONSUMO","CONSUMO",B217="112 - CAFÉ ORGANICO","GOURMET",B217="172 - CAFÉ COSECHA","ESPECIALES",B217="176 - CAFE DESCAFEINADO","GOURMET",B217="147 - CAPSULAS","CAPSULAS",B217="130 - GALLETAS CAFECITAS","DERIVADOS",B217="140 - MERENGUES","DERIVADOS",B217="100 - CAFÉ ESPECIAL","ESPECIALES",B217="141 - AREQUIPE","DERIVADOS",B217="142 - MERMELADA","DERIVADOS",B217="131 - GALLETAS AVENA","DERIVADOS",B217="160 - SOUVENIR","OTROS",B217="148 - CARAMELOS","DERIVADOS",B217="143 - CHOCOFFES","DERIVADOS",B217="162 - CONVENIOS Y DSC POS ","OTROS"),"OTROS")</f>
        <v>OTROS</v>
      </c>
      <c r="K217" s="62">
        <f>C217-E217</f>
        <v>396502</v>
      </c>
      <c r="L217" s="27">
        <f t="shared" si="42"/>
        <v>396502</v>
      </c>
      <c r="M217" s="27">
        <f t="shared" si="43"/>
        <v>396502</v>
      </c>
    </row>
    <row r="218" spans="1:13" ht="15.75" hidden="1" customHeight="1" outlineLevel="1">
      <c r="A218" s="44"/>
      <c r="B218" s="45" t="s">
        <v>18</v>
      </c>
      <c r="C218" s="46">
        <v>15124800</v>
      </c>
      <c r="D218" s="46">
        <v>0</v>
      </c>
      <c r="E218" s="46"/>
      <c r="F218" s="46">
        <v>22057449.760000002</v>
      </c>
      <c r="G218" s="37">
        <f t="shared" si="38"/>
        <v>0.685700303732665</v>
      </c>
      <c r="H218" s="23">
        <f t="shared" si="40"/>
        <v>0</v>
      </c>
      <c r="I218" s="24">
        <f t="shared" si="40"/>
        <v>0</v>
      </c>
      <c r="J218" s="32" t="str" cm="1">
        <f t="array" ref="J218">IFERROR(_xlfn.IFS(B218="044 - BLEND TRADICION","BLEND",B218="113 - CAFÉ GOURMET","GOURMET",B218="114 - CAFÉ CONSUMO","CONSUMO",B218="112 - CAFÉ ORGANICO","GOURMET",B218="172 - CAFÉ COSECHA","ESPECIALES",B218="176 - CAFE DESCAFEINADO","GOURMET",B218="147 - CAPSULAS","CAPSULAS",B218="130 - GALLETAS CAFECITAS","DERIVADOS",B218="140 - MERENGUES","DERIVADOS",B218="100 - CAFÉ ESPECIAL","ESPECIALES",B218="141 - AREQUIPE","DERIVADOS",B218="142 - MERMELADA","DERIVADOS",B218="131 - GALLETAS AVENA","DERIVADOS",B218="160 - SOUVENIR","OTROS",B218="148 - CARAMELOS","DERIVADOS",B218="143 - CHOCOFFES","DERIVADOS",B218="162 - CONVENIOS Y DSC POS ","OTROS"),"OTROS")</f>
        <v>BLEND</v>
      </c>
      <c r="K218" s="62">
        <f>C218-E218</f>
        <v>15124800</v>
      </c>
      <c r="L218" s="27">
        <f t="shared" si="42"/>
        <v>15124800</v>
      </c>
      <c r="M218" s="27">
        <f t="shared" si="43"/>
        <v>15124800</v>
      </c>
    </row>
    <row r="219" spans="1:13" ht="15.75" hidden="1" customHeight="1" outlineLevel="1">
      <c r="A219" s="44"/>
      <c r="B219" s="45" t="s">
        <v>19</v>
      </c>
      <c r="C219" s="46">
        <v>2292547</v>
      </c>
      <c r="D219" s="46">
        <v>0</v>
      </c>
      <c r="E219" s="46"/>
      <c r="F219" s="46">
        <v>4724786.33</v>
      </c>
      <c r="G219" s="37">
        <f t="shared" si="38"/>
        <v>0.48521707435603761</v>
      </c>
      <c r="H219" s="23">
        <f t="shared" si="40"/>
        <v>0</v>
      </c>
      <c r="I219" s="24">
        <f t="shared" si="40"/>
        <v>0</v>
      </c>
      <c r="J219" s="32" t="str" cm="1">
        <f t="array" ref="J219">IFERROR(_xlfn.IFS(B219="044 - BLEND TRADICION","BLEND",B219="113 - CAFÉ GOURMET","GOURMET",B219="114 - CAFÉ CONSUMO","CONSUMO",B219="112 - CAFÉ ORGANICO","GOURMET",B219="172 - CAFÉ COSECHA","ESPECIALES",B219="176 - CAFE DESCAFEINADO","GOURMET",B219="147 - CAPSULAS","CAPSULAS",B219="130 - GALLETAS CAFECITAS","DERIVADOS",B219="140 - MERENGUES","DERIVADOS",B219="100 - CAFÉ ESPECIAL","ESPECIALES",B219="141 - AREQUIPE","DERIVADOS",B219="142 - MERMELADA","DERIVADOS",B219="131 - GALLETAS AVENA","DERIVADOS",B219="160 - SOUVENIR","OTROS",B219="148 - CARAMELOS","DERIVADOS",B219="143 - CHOCOFFES","DERIVADOS",B219="162 - CONVENIOS Y DSC POS ","OTROS"),"OTROS")</f>
        <v>ESPECIALES</v>
      </c>
      <c r="K219" s="62"/>
      <c r="L219" s="27">
        <f t="shared" si="42"/>
        <v>2292547</v>
      </c>
      <c r="M219" s="27">
        <f t="shared" si="43"/>
        <v>2292547</v>
      </c>
    </row>
    <row r="220" spans="1:13" ht="15.75" hidden="1" customHeight="1" outlineLevel="1">
      <c r="A220" s="44"/>
      <c r="B220" s="45" t="s">
        <v>20</v>
      </c>
      <c r="C220" s="46">
        <v>2464560</v>
      </c>
      <c r="D220" s="46">
        <v>0</v>
      </c>
      <c r="E220" s="46"/>
      <c r="F220" s="46">
        <v>4267385.9800000004</v>
      </c>
      <c r="G220" s="37">
        <f t="shared" si="38"/>
        <v>0.57753388410391693</v>
      </c>
      <c r="H220" s="23">
        <f t="shared" si="40"/>
        <v>0</v>
      </c>
      <c r="I220" s="24">
        <f t="shared" si="40"/>
        <v>0</v>
      </c>
      <c r="J220" s="32" t="str" cm="1">
        <f t="array" ref="J220">IFERROR(_xlfn.IFS(B220="044 - BLEND TRADICION","BLEND",B220="113 - CAFÉ GOURMET","GOURMET",B220="114 - CAFÉ CONSUMO","CONSUMO",B220="112 - CAFÉ ORGANICO","GOURMET",B220="172 - CAFÉ COSECHA","ESPECIALES",B220="176 - CAFE DESCAFEINADO","GOURMET",B220="147 - CAPSULAS","CAPSULAS",B220="130 - GALLETAS CAFECITAS","DERIVADOS",B220="140 - MERENGUES","DERIVADOS",B220="100 - CAFÉ ESPECIAL","ESPECIALES",B220="141 - AREQUIPE","DERIVADOS",B220="142 - MERMELADA","DERIVADOS",B220="131 - GALLETAS AVENA","DERIVADOS",B220="160 - SOUVENIR","OTROS",B220="148 - CARAMELOS","DERIVADOS",B220="143 - CHOCOFFES","DERIVADOS",B220="162 - CONVENIOS Y DSC POS ","OTROS"),"OTROS")</f>
        <v>GOURMET</v>
      </c>
      <c r="K220" s="62"/>
      <c r="L220" s="27">
        <f t="shared" si="42"/>
        <v>2464560</v>
      </c>
      <c r="M220" s="27">
        <f t="shared" si="43"/>
        <v>2464560</v>
      </c>
    </row>
    <row r="221" spans="1:13" ht="15.75" hidden="1" customHeight="1" outlineLevel="1">
      <c r="A221" s="44"/>
      <c r="B221" s="45" t="s">
        <v>21</v>
      </c>
      <c r="C221" s="46">
        <v>56928277</v>
      </c>
      <c r="D221" s="46">
        <v>0</v>
      </c>
      <c r="E221" s="46"/>
      <c r="F221" s="46">
        <v>156321504.86000001</v>
      </c>
      <c r="G221" s="37">
        <f t="shared" ref="G221:G255" si="49">IFERROR(C221/F221*100%,"-")</f>
        <v>0.364174315306038</v>
      </c>
      <c r="H221" s="23">
        <f t="shared" si="40"/>
        <v>0</v>
      </c>
      <c r="I221" s="24">
        <f t="shared" si="40"/>
        <v>0</v>
      </c>
      <c r="J221" s="32" t="str" cm="1">
        <f t="array" ref="J221">IFERROR(_xlfn.IFS(B221="044 - BLEND TRADICION","BLEND",B221="113 - CAFÉ GOURMET","GOURMET",B221="114 - CAFÉ CONSUMO","CONSUMO",B221="112 - CAFÉ ORGANICO","GOURMET",B221="172 - CAFÉ COSECHA","ESPECIALES",B221="176 - CAFE DESCAFEINADO","GOURMET",B221="147 - CAPSULAS","CAPSULAS",B221="130 - GALLETAS CAFECITAS","DERIVADOS",B221="140 - MERENGUES","DERIVADOS",B221="100 - CAFÉ ESPECIAL","ESPECIALES",B221="141 - AREQUIPE","DERIVADOS",B221="142 - MERMELADA","DERIVADOS",B221="131 - GALLETAS AVENA","DERIVADOS",B221="160 - SOUVENIR","OTROS",B221="148 - CARAMELOS","DERIVADOS",B221="143 - CHOCOFFES","DERIVADOS",B221="162 - CONVENIOS Y DSC POS ","OTROS"),"OTROS")</f>
        <v>GOURMET</v>
      </c>
      <c r="K221" s="62">
        <f t="shared" ref="K221" si="50">C221-E221</f>
        <v>56928277</v>
      </c>
      <c r="L221" s="27">
        <f t="shared" si="42"/>
        <v>56928277</v>
      </c>
      <c r="M221" s="27">
        <f t="shared" si="43"/>
        <v>56928277</v>
      </c>
    </row>
    <row r="222" spans="1:13" ht="15.75" hidden="1" customHeight="1" outlineLevel="1">
      <c r="A222" s="44"/>
      <c r="B222" s="45" t="s">
        <v>22</v>
      </c>
      <c r="C222" s="46">
        <v>2386114</v>
      </c>
      <c r="D222" s="46">
        <v>0</v>
      </c>
      <c r="E222" s="46"/>
      <c r="F222" s="46">
        <v>7161969.0599999996</v>
      </c>
      <c r="G222" s="37">
        <f t="shared" si="49"/>
        <v>0.33316452221590581</v>
      </c>
      <c r="H222" s="23">
        <f t="shared" si="40"/>
        <v>0</v>
      </c>
      <c r="I222" s="24">
        <f t="shared" si="40"/>
        <v>0</v>
      </c>
      <c r="J222" s="32" t="str" cm="1">
        <f t="array" ref="J222">IFERROR(_xlfn.IFS(B222="044 - BLEND TRADICION","BLEND",B222="113 - CAFÉ GOURMET","GOURMET",B222="114 - CAFÉ CONSUMO","CONSUMO",B222="112 - CAFÉ ORGANICO","GOURMET",B222="172 - CAFÉ COSECHA","ESPECIALES",B222="176 - CAFE DESCAFEINADO","GOURMET",B222="147 - CAPSULAS","CAPSULAS",B222="130 - GALLETAS CAFECITAS","DERIVADOS",B222="140 - MERENGUES","DERIVADOS",B222="100 - CAFÉ ESPECIAL","ESPECIALES",B222="141 - AREQUIPE","DERIVADOS",B222="142 - MERMELADA","DERIVADOS",B222="131 - GALLETAS AVENA","DERIVADOS",B222="160 - SOUVENIR","OTROS",B222="148 - CARAMELOS","DERIVADOS",B222="143 - CHOCOFFES","DERIVADOS",B222="162 - CONVENIOS Y DSC POS ","OTROS"),"OTROS")</f>
        <v>DERIVADOS</v>
      </c>
      <c r="K222" s="62"/>
      <c r="L222" s="27">
        <f t="shared" si="42"/>
        <v>2386114</v>
      </c>
      <c r="M222" s="27">
        <f t="shared" si="43"/>
        <v>2386114</v>
      </c>
    </row>
    <row r="223" spans="1:13" ht="15.75" hidden="1" customHeight="1" outlineLevel="1">
      <c r="A223" s="44"/>
      <c r="B223" s="45" t="s">
        <v>23</v>
      </c>
      <c r="C223" s="46">
        <v>0</v>
      </c>
      <c r="D223" s="46">
        <v>0</v>
      </c>
      <c r="E223" s="46"/>
      <c r="F223" s="46">
        <v>19945.96</v>
      </c>
      <c r="G223" s="37">
        <f t="shared" si="49"/>
        <v>0</v>
      </c>
      <c r="H223" s="23">
        <f t="shared" si="40"/>
        <v>0</v>
      </c>
      <c r="I223" s="24">
        <f t="shared" si="40"/>
        <v>0</v>
      </c>
      <c r="J223" s="32" t="str" cm="1">
        <f t="array" ref="J223">IFERROR(_xlfn.IFS(B223="044 - BLEND TRADICION","BLEND",B223="113 - CAFÉ GOURMET","GOURMET",B223="114 - CAFÉ CONSUMO","CONSUMO",B223="112 - CAFÉ ORGANICO","GOURMET",B223="172 - CAFÉ COSECHA","ESPECIALES",B223="176 - CAFE DESCAFEINADO","GOURMET",B223="147 - CAPSULAS","CAPSULAS",B223="130 - GALLETAS CAFECITAS","DERIVADOS",B223="140 - MERENGUES","DERIVADOS",B223="100 - CAFÉ ESPECIAL","ESPECIALES",B223="141 - AREQUIPE","DERIVADOS",B223="142 - MERMELADA","DERIVADOS",B223="131 - GALLETAS AVENA","DERIVADOS",B223="160 - SOUVENIR","OTROS",B223="148 - CARAMELOS","DERIVADOS",B223="143 - CHOCOFFES","DERIVADOS",B223="162 - CONVENIOS Y DSC POS ","OTROS"),"OTROS")</f>
        <v>DERIVADOS</v>
      </c>
      <c r="K223" s="62">
        <f t="shared" ref="K223" si="51">C223-E223</f>
        <v>0</v>
      </c>
      <c r="L223" s="27">
        <f t="shared" si="42"/>
        <v>0</v>
      </c>
      <c r="M223" s="27">
        <f t="shared" si="43"/>
        <v>0</v>
      </c>
    </row>
    <row r="224" spans="1:13" ht="15.75" hidden="1" customHeight="1" outlineLevel="1">
      <c r="A224" s="44"/>
      <c r="B224" s="45" t="s">
        <v>24</v>
      </c>
      <c r="C224" s="46">
        <v>495911</v>
      </c>
      <c r="D224" s="46">
        <v>0</v>
      </c>
      <c r="E224" s="46"/>
      <c r="F224" s="46">
        <v>1393477.12</v>
      </c>
      <c r="G224" s="37">
        <f t="shared" si="49"/>
        <v>0.355880260165305</v>
      </c>
      <c r="H224" s="23">
        <f t="shared" si="40"/>
        <v>0</v>
      </c>
      <c r="I224" s="24">
        <f t="shared" si="40"/>
        <v>0</v>
      </c>
      <c r="J224" s="32" t="str" cm="1">
        <f t="array" ref="J224">IFERROR(_xlfn.IFS(B224="044 - BLEND TRADICION","BLEND",B224="113 - CAFÉ GOURMET","GOURMET",B224="114 - CAFÉ CONSUMO","CONSUMO",B224="112 - CAFÉ ORGANICO","GOURMET",B224="172 - CAFÉ COSECHA","ESPECIALES",B224="176 - CAFE DESCAFEINADO","GOURMET",B224="147 - CAPSULAS","CAPSULAS",B224="130 - GALLETAS CAFECITAS","DERIVADOS",B224="140 - MERENGUES","DERIVADOS",B224="100 - CAFÉ ESPECIAL","ESPECIALES",B224="141 - AREQUIPE","DERIVADOS",B224="142 - MERMELADA","DERIVADOS",B224="131 - GALLETAS AVENA","DERIVADOS",B224="160 - SOUVENIR","OTROS",B224="148 - CARAMELOS","DERIVADOS",B224="143 - CHOCOFFES","DERIVADOS",B224="162 - CONVENIOS Y DSC POS ","OTROS"),"OTROS")</f>
        <v>DERIVADOS</v>
      </c>
      <c r="K224" s="62"/>
      <c r="L224" s="27">
        <f t="shared" si="42"/>
        <v>495911</v>
      </c>
      <c r="M224" s="27">
        <f t="shared" si="43"/>
        <v>495911</v>
      </c>
    </row>
    <row r="225" spans="1:13" ht="15.75" hidden="1" customHeight="1" outlineLevel="1">
      <c r="A225" s="44"/>
      <c r="B225" s="45" t="s">
        <v>25</v>
      </c>
      <c r="C225" s="46">
        <v>1268309</v>
      </c>
      <c r="D225" s="46">
        <v>0</v>
      </c>
      <c r="E225" s="46"/>
      <c r="F225" s="46">
        <v>2683173.4900000002</v>
      </c>
      <c r="G225" s="37">
        <f t="shared" si="49"/>
        <v>0.47268989676847167</v>
      </c>
      <c r="H225" s="23">
        <f t="shared" si="40"/>
        <v>0</v>
      </c>
      <c r="I225" s="24">
        <f t="shared" si="40"/>
        <v>0</v>
      </c>
      <c r="J225" s="32" t="str" cm="1">
        <f t="array" ref="J225">IFERROR(_xlfn.IFS(B225="044 - BLEND TRADICION","BLEND",B225="113 - CAFÉ GOURMET","GOURMET",B225="114 - CAFÉ CONSUMO","CONSUMO",B225="112 - CAFÉ ORGANICO","GOURMET",B225="172 - CAFÉ COSECHA","ESPECIALES",B225="176 - CAFE DESCAFEINADO","GOURMET",B225="147 - CAPSULAS","CAPSULAS",B225="130 - GALLETAS CAFECITAS","DERIVADOS",B225="140 - MERENGUES","DERIVADOS",B225="100 - CAFÉ ESPECIAL","ESPECIALES",B225="141 - AREQUIPE","DERIVADOS",B225="142 - MERMELADA","DERIVADOS",B225="131 - GALLETAS AVENA","DERIVADOS",B225="160 - SOUVENIR","OTROS",B225="148 - CARAMELOS","DERIVADOS",B225="143 - CHOCOFFES","DERIVADOS",B225="162 - CONVENIOS Y DSC POS ","OTROS"),"OTROS")</f>
        <v>DERIVADOS</v>
      </c>
      <c r="K225" s="62">
        <f t="shared" ref="K225" si="52">C225-E225</f>
        <v>1268309</v>
      </c>
      <c r="L225" s="27">
        <f t="shared" si="42"/>
        <v>1268309</v>
      </c>
      <c r="M225" s="27">
        <f t="shared" si="43"/>
        <v>1268309</v>
      </c>
    </row>
    <row r="226" spans="1:13" ht="15.75" hidden="1" customHeight="1" outlineLevel="1">
      <c r="A226" s="44"/>
      <c r="B226" s="45" t="s">
        <v>26</v>
      </c>
      <c r="C226" s="46">
        <v>11047961</v>
      </c>
      <c r="D226" s="46">
        <v>0</v>
      </c>
      <c r="E226" s="46"/>
      <c r="F226" s="46">
        <v>14923818.029999999</v>
      </c>
      <c r="G226" s="37">
        <f t="shared" si="49"/>
        <v>0.74029051934238843</v>
      </c>
      <c r="H226" s="23">
        <f t="shared" si="40"/>
        <v>0</v>
      </c>
      <c r="I226" s="24">
        <f t="shared" si="40"/>
        <v>0</v>
      </c>
      <c r="J226" s="32" t="str" cm="1">
        <f t="array" ref="J226">IFERROR(_xlfn.IFS(B226="044 - BLEND TRADICION","BLEND",B226="113 - CAFÉ GOURMET","GOURMET",B226="114 - CAFÉ CONSUMO","CONSUMO",B226="112 - CAFÉ ORGANICO","GOURMET",B226="172 - CAFÉ COSECHA","ESPECIALES",B226="176 - CAFE DESCAFEINADO","GOURMET",B226="147 - CAPSULAS","CAPSULAS",B226="130 - GALLETAS CAFECITAS","DERIVADOS",B226="140 - MERENGUES","DERIVADOS",B226="100 - CAFÉ ESPECIAL","ESPECIALES",B226="141 - AREQUIPE","DERIVADOS",B226="142 - MERMELADA","DERIVADOS",B226="131 - GALLETAS AVENA","DERIVADOS",B226="160 - SOUVENIR","OTROS",B226="148 - CARAMELOS","DERIVADOS",B226="143 - CHOCOFFES","DERIVADOS",B226="162 - CONVENIOS Y DSC POS ","OTROS"),"OTROS")</f>
        <v>CAPSULAS</v>
      </c>
      <c r="K226" s="62"/>
      <c r="L226" s="27">
        <f t="shared" si="42"/>
        <v>11047961</v>
      </c>
      <c r="M226" s="27">
        <f t="shared" si="43"/>
        <v>11047961</v>
      </c>
    </row>
    <row r="227" spans="1:13" ht="15.75" hidden="1" customHeight="1" outlineLevel="1">
      <c r="A227" s="44"/>
      <c r="B227" s="45" t="s">
        <v>27</v>
      </c>
      <c r="C227" s="46">
        <v>1348637</v>
      </c>
      <c r="D227" s="46">
        <v>0</v>
      </c>
      <c r="E227" s="46"/>
      <c r="F227" s="46">
        <v>3692134.82</v>
      </c>
      <c r="G227" s="37">
        <f t="shared" si="49"/>
        <v>0.36527295609427396</v>
      </c>
      <c r="H227" s="23">
        <f t="shared" si="40"/>
        <v>0</v>
      </c>
      <c r="I227" s="24">
        <f t="shared" si="40"/>
        <v>0</v>
      </c>
      <c r="J227" s="32" t="str" cm="1">
        <f t="array" ref="J227">IFERROR(_xlfn.IFS(B227="044 - BLEND TRADICION","BLEND",B227="113 - CAFÉ GOURMET","GOURMET",B227="114 - CAFÉ CONSUMO","CONSUMO",B227="112 - CAFÉ ORGANICO","GOURMET",B227="172 - CAFÉ COSECHA","ESPECIALES",B227="176 - CAFE DESCAFEINADO","GOURMET",B227="147 - CAPSULAS","CAPSULAS",B227="130 - GALLETAS CAFECITAS","DERIVADOS",B227="140 - MERENGUES","DERIVADOS",B227="100 - CAFÉ ESPECIAL","ESPECIALES",B227="141 - AREQUIPE","DERIVADOS",B227="142 - MERMELADA","DERIVADOS",B227="131 - GALLETAS AVENA","DERIVADOS",B227="160 - SOUVENIR","OTROS",B227="148 - CARAMELOS","DERIVADOS",B227="143 - CHOCOFFES","DERIVADOS",B227="162 - CONVENIOS Y DSC POS ","OTROS"),"OTROS")</f>
        <v>DERIVADOS</v>
      </c>
      <c r="K227" s="62"/>
      <c r="L227" s="27">
        <f t="shared" si="42"/>
        <v>1348637</v>
      </c>
      <c r="M227" s="27">
        <f t="shared" si="43"/>
        <v>1348637</v>
      </c>
    </row>
    <row r="228" spans="1:13" ht="15.75" hidden="1" customHeight="1" outlineLevel="1">
      <c r="A228" s="44"/>
      <c r="B228" s="45" t="s">
        <v>28</v>
      </c>
      <c r="C228" s="46">
        <v>5327699</v>
      </c>
      <c r="D228" s="46">
        <v>0</v>
      </c>
      <c r="E228" s="46"/>
      <c r="F228" s="46">
        <v>11283255.869999999</v>
      </c>
      <c r="G228" s="37">
        <f t="shared" si="49"/>
        <v>0.4721774513830998</v>
      </c>
      <c r="H228" s="23">
        <f t="shared" si="40"/>
        <v>0</v>
      </c>
      <c r="I228" s="24">
        <f t="shared" si="40"/>
        <v>0</v>
      </c>
      <c r="J228" s="32" t="str" cm="1">
        <f t="array" ref="J228">IFERROR(_xlfn.IFS(B228="044 - BLEND TRADICION","BLEND",B228="113 - CAFÉ GOURMET","GOURMET",B228="114 - CAFÉ CONSUMO","CONSUMO",B228="112 - CAFÉ ORGANICO","GOURMET",B228="172 - CAFÉ COSECHA","ESPECIALES",B228="176 - CAFE DESCAFEINADO","GOURMET",B228="147 - CAPSULAS","CAPSULAS",B228="130 - GALLETAS CAFECITAS","DERIVADOS",B228="140 - MERENGUES","DERIVADOS",B228="100 - CAFÉ ESPECIAL","ESPECIALES",B228="141 - AREQUIPE","DERIVADOS",B228="142 - MERMELADA","DERIVADOS",B228="131 - GALLETAS AVENA","DERIVADOS",B228="160 - SOUVENIR","OTROS",B228="148 - CARAMELOS","DERIVADOS",B228="143 - CHOCOFFES","DERIVADOS",B228="162 - CONVENIOS Y DSC POS ","OTROS"),"OTROS")</f>
        <v>OTROS</v>
      </c>
      <c r="K228" s="62">
        <f t="shared" ref="K228" si="53">C228-E228</f>
        <v>5327699</v>
      </c>
      <c r="L228" s="27">
        <f t="shared" si="42"/>
        <v>5327699</v>
      </c>
      <c r="M228" s="27">
        <f t="shared" si="43"/>
        <v>5327699</v>
      </c>
    </row>
    <row r="229" spans="1:13" ht="15.75" hidden="1" customHeight="1" outlineLevel="1">
      <c r="A229" s="44"/>
      <c r="B229" s="45" t="s">
        <v>29</v>
      </c>
      <c r="C229" s="46">
        <v>6366091</v>
      </c>
      <c r="D229" s="46">
        <v>0</v>
      </c>
      <c r="E229" s="46"/>
      <c r="F229" s="46">
        <v>12790414.619999999</v>
      </c>
      <c r="G229" s="37">
        <f t="shared" si="49"/>
        <v>0.49772358356902119</v>
      </c>
      <c r="H229" s="23">
        <f t="shared" si="40"/>
        <v>0</v>
      </c>
      <c r="I229" s="24">
        <f t="shared" si="40"/>
        <v>0</v>
      </c>
      <c r="J229" s="32" t="str" cm="1">
        <f t="array" ref="J229">IFERROR(_xlfn.IFS(B229="044 - BLEND TRADICION","BLEND",B229="113 - CAFÉ GOURMET","GOURMET",B229="114 - CAFÉ CONSUMO","CONSUMO",B229="112 - CAFÉ ORGANICO","GOURMET",B229="172 - CAFÉ COSECHA","ESPECIALES",B229="176 - CAFE DESCAFEINADO","GOURMET",B229="147 - CAPSULAS","CAPSULAS",B229="130 - GALLETAS CAFECITAS","DERIVADOS",B229="140 - MERENGUES","DERIVADOS",B229="100 - CAFÉ ESPECIAL","ESPECIALES",B229="141 - AREQUIPE","DERIVADOS",B229="142 - MERMELADA","DERIVADOS",B229="131 - GALLETAS AVENA","DERIVADOS",B229="160 - SOUVENIR","OTROS",B229="148 - CARAMELOS","DERIVADOS",B229="143 - CHOCOFFES","DERIVADOS",B229="162 - CONVENIOS Y DSC POS ","OTROS"),"OTROS")</f>
        <v>ESPECIALES</v>
      </c>
      <c r="K229" s="62"/>
      <c r="L229" s="27">
        <f t="shared" si="42"/>
        <v>6366091</v>
      </c>
      <c r="M229" s="27">
        <f t="shared" si="43"/>
        <v>6366091</v>
      </c>
    </row>
    <row r="230" spans="1:13" ht="15.75" hidden="1" customHeight="1" outlineLevel="1">
      <c r="A230" s="44"/>
      <c r="B230" s="45" t="s">
        <v>30</v>
      </c>
      <c r="C230" s="46">
        <v>0</v>
      </c>
      <c r="D230" s="46">
        <v>0</v>
      </c>
      <c r="E230" s="46"/>
      <c r="F230" s="46">
        <v>682536.26</v>
      </c>
      <c r="G230" s="37">
        <f t="shared" si="49"/>
        <v>0</v>
      </c>
      <c r="H230" s="23">
        <f t="shared" si="40"/>
        <v>0</v>
      </c>
      <c r="I230" s="24">
        <f t="shared" si="40"/>
        <v>0</v>
      </c>
      <c r="J230" s="32" t="str" cm="1">
        <f t="array" ref="J230">IFERROR(_xlfn.IFS(B230="044 - BLEND TRADICION","BLEND",B230="113 - CAFÉ GOURMET","GOURMET",B230="114 - CAFÉ CONSUMO","CONSUMO",B230="112 - CAFÉ ORGANICO","GOURMET",B230="172 - CAFÉ COSECHA","ESPECIALES",B230="176 - CAFE DESCAFEINADO","GOURMET",B230="147 - CAPSULAS","CAPSULAS",B230="130 - GALLETAS CAFECITAS","DERIVADOS",B230="140 - MERENGUES","DERIVADOS",B230="100 - CAFÉ ESPECIAL","ESPECIALES",B230="141 - AREQUIPE","DERIVADOS",B230="142 - MERMELADA","DERIVADOS",B230="131 - GALLETAS AVENA","DERIVADOS",B230="160 - SOUVENIR","OTROS",B230="148 - CARAMELOS","DERIVADOS",B230="143 - CHOCOFFES","DERIVADOS",B230="162 - CONVENIOS Y DSC POS ","OTROS"),"OTROS")</f>
        <v>GOURMET</v>
      </c>
      <c r="K230" s="62"/>
      <c r="L230" s="27">
        <f t="shared" si="42"/>
        <v>0</v>
      </c>
      <c r="M230" s="27">
        <f t="shared" si="43"/>
        <v>0</v>
      </c>
    </row>
    <row r="231" spans="1:13" ht="15.75" hidden="1" customHeight="1" outlineLevel="1">
      <c r="A231" s="44"/>
      <c r="B231" s="45" t="s">
        <v>31</v>
      </c>
      <c r="C231" s="46">
        <v>48000</v>
      </c>
      <c r="D231" s="46">
        <v>0</v>
      </c>
      <c r="E231" s="46"/>
      <c r="F231" s="46">
        <v>0</v>
      </c>
      <c r="G231" s="37" t="str">
        <f t="shared" si="49"/>
        <v>-</v>
      </c>
      <c r="H231" s="23">
        <f t="shared" si="40"/>
        <v>0</v>
      </c>
      <c r="I231" s="24">
        <f t="shared" si="40"/>
        <v>0</v>
      </c>
      <c r="J231" s="32" t="str" cm="1">
        <f t="array" ref="J231">IFERROR(_xlfn.IFS(B231="044 - BLEND TRADICION","BLEND",B231="113 - CAFÉ GOURMET","GOURMET",B231="114 - CAFÉ CONSUMO","CONSUMO",B231="112 - CAFÉ ORGANICO","GOURMET",B231="172 - CAFÉ COSECHA","ESPECIALES",B231="176 - CAFE DESCAFEINADO","GOURMET",B231="147 - CAPSULAS","CAPSULAS",B231="130 - GALLETAS CAFECITAS","DERIVADOS",B231="140 - MERENGUES","DERIVADOS",B231="100 - CAFÉ ESPECIAL","ESPECIALES",B231="141 - AREQUIPE","DERIVADOS",B231="142 - MERMELADA","DERIVADOS",B231="131 - GALLETAS AVENA","DERIVADOS",B231="160 - SOUVENIR","OTROS",B231="148 - CARAMELOS","DERIVADOS",B231="143 - CHOCOFFES","DERIVADOS",B231="162 - CONVENIOS Y DSC POS ","OTROS"),"OTROS")</f>
        <v>OTROS</v>
      </c>
      <c r="K231" s="62">
        <f t="shared" ref="K231" si="54">C231-E231</f>
        <v>48000</v>
      </c>
      <c r="L231" s="27">
        <f t="shared" si="42"/>
        <v>48000</v>
      </c>
      <c r="M231" s="27">
        <f t="shared" si="43"/>
        <v>48000</v>
      </c>
    </row>
    <row r="232" spans="1:13" ht="15.75" hidden="1" customHeight="1" outlineLevel="1">
      <c r="A232" s="19" t="s">
        <v>58</v>
      </c>
      <c r="B232" s="40" t="s">
        <v>32</v>
      </c>
      <c r="C232" s="41">
        <f>SUM(C217:C231)</f>
        <v>105495408</v>
      </c>
      <c r="D232" s="41">
        <f>SUM(D217:D231)</f>
        <v>0</v>
      </c>
      <c r="E232" s="41">
        <f>SUM(E217:E231)</f>
        <v>0</v>
      </c>
      <c r="F232" s="41">
        <f>SUM(F217:F231)</f>
        <v>242185563.47000003</v>
      </c>
      <c r="G232" s="42">
        <f t="shared" si="49"/>
        <v>0.43559742574444538</v>
      </c>
      <c r="H232" s="43">
        <f t="shared" si="40"/>
        <v>0</v>
      </c>
      <c r="I232" s="24">
        <f t="shared" si="40"/>
        <v>0</v>
      </c>
      <c r="J232" s="32" t="str" cm="1">
        <f t="array" ref="J232">IFERROR(_xlfn.IFS(B232="044 - BLEND TRADICION","BLEND",B232="113 - CAFÉ GOURMET","GOURMET",B232="114 - CAFÉ CONSUMO","CONSUMO",B232="112 - CAFÉ ORGANICO","GOURMET",B232="172 - CAFÉ COSECHA","ESPECIALES",B232="176 - CAFE DESCAFEINADO","GOURMET",B232="147 - CAPSULAS","CAPSULAS",B232="130 - GALLETAS CAFECITAS","DERIVADOS",B232="140 - MERENGUES","DERIVADOS",B232="100 - CAFÉ ESPECIAL","ESPECIALES",B232="141 - AREQUIPE","DERIVADOS",B232="142 - MERMELADA","DERIVADOS",B232="131 - GALLETAS AVENA","DERIVADOS",B232="160 - SOUVENIR","OTROS",B232="148 - CARAMELOS","DERIVADOS",B232="143 - CHOCOFFES","DERIVADOS",B232="162 - CONVENIOS Y DSC POS ","OTROS"),"OTROS")</f>
        <v>OTROS</v>
      </c>
      <c r="L232" s="27">
        <f t="shared" si="42"/>
        <v>105495408</v>
      </c>
      <c r="M232" s="27">
        <f t="shared" si="43"/>
        <v>105495408</v>
      </c>
    </row>
    <row r="233" spans="1:13" ht="16.5" collapsed="1">
      <c r="A233" s="28" t="s">
        <v>59</v>
      </c>
      <c r="B233" s="29" t="s">
        <v>17</v>
      </c>
      <c r="C233" s="30">
        <f>+C247</f>
        <v>111248425</v>
      </c>
      <c r="D233" s="30">
        <f>+D247</f>
        <v>-793064</v>
      </c>
      <c r="E233" s="30">
        <f>+E247</f>
        <v>0</v>
      </c>
      <c r="F233" s="30">
        <f>+F247</f>
        <v>278548044.25999999</v>
      </c>
      <c r="G233" s="31">
        <f t="shared" si="49"/>
        <v>0.39938684651527989</v>
      </c>
      <c r="H233" s="23">
        <f t="shared" si="40"/>
        <v>-7.0783065012640098E-3</v>
      </c>
      <c r="I233" s="24">
        <f t="shared" si="40"/>
        <v>0</v>
      </c>
      <c r="J233" s="32" t="str" cm="1">
        <f t="array" ref="J233">IFERROR(_xlfn.IFS(B233="044 - BLEND TRADICION","BLEND",B233="113 - CAFÉ GOURMET","GOURMET",B233="114 - CAFÉ CONSUMO","CONSUMO",B233="112 - CAFÉ ORGANICO","GOURMET",B233="172 - CAFÉ COSECHA","ESPECIALES",B233="176 - CAFE DESCAFEINADO","GOURMET",B233="147 - CAPSULAS","CAPSULAS",B233="130 - GALLETAS CAFECITAS","DERIVADOS",B233="140 - MERENGUES","DERIVADOS",B233="100 - CAFÉ ESPECIAL","ESPECIALES",B233="141 - AREQUIPE","DERIVADOS",B233="142 - MERMELADA","DERIVADOS",B233="131 - GALLETAS AVENA","DERIVADOS",B233="160 - SOUVENIR","OTROS",B233="148 - CARAMELOS","DERIVADOS",B233="143 - CHOCOFFES","DERIVADOS",B233="162 - CONVENIOS Y DSC POS ","OTROS"),"OTROS")</f>
        <v>OTROS</v>
      </c>
      <c r="K233" s="6"/>
      <c r="L233" s="27">
        <f t="shared" si="42"/>
        <v>112041489</v>
      </c>
      <c r="M233" s="27">
        <f t="shared" si="43"/>
        <v>112041489</v>
      </c>
    </row>
    <row r="234" spans="1:13" ht="15.75" hidden="1" customHeight="1" outlineLevel="2">
      <c r="A234" s="33"/>
      <c r="B234" s="45" t="s">
        <v>18</v>
      </c>
      <c r="C234" s="46">
        <v>6454800</v>
      </c>
      <c r="D234" s="46">
        <v>0</v>
      </c>
      <c r="E234" s="46">
        <v>0</v>
      </c>
      <c r="F234" s="35">
        <v>12548768.83</v>
      </c>
      <c r="G234" s="37">
        <f t="shared" si="49"/>
        <v>0.51437715424071606</v>
      </c>
      <c r="H234" s="23">
        <f t="shared" si="40"/>
        <v>0</v>
      </c>
      <c r="I234" s="24">
        <f t="shared" si="40"/>
        <v>0</v>
      </c>
      <c r="J234" s="32" t="str" cm="1">
        <f t="array" ref="J234">IFERROR(_xlfn.IFS(B234="044 - BLEND TRADICION","BLEND",B234="113 - CAFÉ GOURMET","GOURMET",B234="114 - CAFÉ CONSUMO","CONSUMO",B234="112 - CAFÉ ORGANICO","GOURMET",B234="172 - CAFÉ COSECHA","ESPECIALES",B234="176 - CAFE DESCAFEINADO","GOURMET",B234="147 - CAPSULAS","CAPSULAS",B234="130 - GALLETAS CAFECITAS","DERIVADOS",B234="140 - MERENGUES","DERIVADOS",B234="100 - CAFÉ ESPECIAL","ESPECIALES",B234="141 - AREQUIPE","DERIVADOS",B234="142 - MERMELADA","DERIVADOS",B234="131 - GALLETAS AVENA","DERIVADOS",B234="160 - SOUVENIR","OTROS",B234="148 - CARAMELOS","DERIVADOS",B234="143 - CHOCOFFES","DERIVADOS",B234="162 - CONVENIOS Y DSC POS ","OTROS"),"OTROS")</f>
        <v>BLEND</v>
      </c>
      <c r="K234" s="6"/>
      <c r="L234" s="27">
        <f t="shared" si="42"/>
        <v>6454800</v>
      </c>
      <c r="M234" s="27">
        <f t="shared" si="43"/>
        <v>6454800</v>
      </c>
    </row>
    <row r="235" spans="1:13" ht="15.75" hidden="1" customHeight="1" outlineLevel="2">
      <c r="A235" s="33"/>
      <c r="B235" s="45" t="s">
        <v>19</v>
      </c>
      <c r="C235" s="46">
        <v>10014416</v>
      </c>
      <c r="D235" s="46">
        <v>-171144</v>
      </c>
      <c r="E235" s="46"/>
      <c r="F235" s="35">
        <v>15024939.119999999</v>
      </c>
      <c r="G235" s="37">
        <f t="shared" si="49"/>
        <v>0.66651957255983885</v>
      </c>
      <c r="H235" s="23">
        <f t="shared" si="40"/>
        <v>-1.6802610754833313E-2</v>
      </c>
      <c r="I235" s="24">
        <f t="shared" si="40"/>
        <v>0</v>
      </c>
      <c r="J235" s="32" t="str" cm="1">
        <f t="array" ref="J235">IFERROR(_xlfn.IFS(B235="044 - BLEND TRADICION","BLEND",B235="113 - CAFÉ GOURMET","GOURMET",B235="114 - CAFÉ CONSUMO","CONSUMO",B235="112 - CAFÉ ORGANICO","GOURMET",B235="172 - CAFÉ COSECHA","ESPECIALES",B235="176 - CAFE DESCAFEINADO","GOURMET",B235="147 - CAPSULAS","CAPSULAS",B235="130 - GALLETAS CAFECITAS","DERIVADOS",B235="140 - MERENGUES","DERIVADOS",B235="100 - CAFÉ ESPECIAL","ESPECIALES",B235="141 - AREQUIPE","DERIVADOS",B235="142 - MERMELADA","DERIVADOS",B235="131 - GALLETAS AVENA","DERIVADOS",B235="160 - SOUVENIR","OTROS",B235="148 - CARAMELOS","DERIVADOS",B235="143 - CHOCOFFES","DERIVADOS",B235="162 - CONVENIOS Y DSC POS ","OTROS"),"OTROS")</f>
        <v>ESPECIALES</v>
      </c>
      <c r="K235" s="6"/>
      <c r="L235" s="27">
        <f t="shared" si="42"/>
        <v>10185560</v>
      </c>
      <c r="M235" s="27">
        <f t="shared" si="43"/>
        <v>10185560</v>
      </c>
    </row>
    <row r="236" spans="1:13" ht="15.75" hidden="1" customHeight="1" outlineLevel="2">
      <c r="A236" s="38"/>
      <c r="B236" s="45" t="s">
        <v>20</v>
      </c>
      <c r="C236" s="46">
        <v>5524037</v>
      </c>
      <c r="D236" s="46">
        <v>0</v>
      </c>
      <c r="E236" s="46">
        <v>0</v>
      </c>
      <c r="F236" s="36">
        <v>16967408.859999999</v>
      </c>
      <c r="G236" s="37">
        <f t="shared" si="49"/>
        <v>0.32556750683498292</v>
      </c>
      <c r="H236" s="23">
        <f t="shared" si="40"/>
        <v>0</v>
      </c>
      <c r="I236" s="24">
        <f t="shared" si="40"/>
        <v>0</v>
      </c>
      <c r="J236" s="32" t="str" cm="1">
        <f t="array" ref="J236">IFERROR(_xlfn.IFS(B236="044 - BLEND TRADICION","BLEND",B236="113 - CAFÉ GOURMET","GOURMET",B236="114 - CAFÉ CONSUMO","CONSUMO",B236="112 - CAFÉ ORGANICO","GOURMET",B236="172 - CAFÉ COSECHA","ESPECIALES",B236="176 - CAFE DESCAFEINADO","GOURMET",B236="147 - CAPSULAS","CAPSULAS",B236="130 - GALLETAS CAFECITAS","DERIVADOS",B236="140 - MERENGUES","DERIVADOS",B236="100 - CAFÉ ESPECIAL","ESPECIALES",B236="141 - AREQUIPE","DERIVADOS",B236="142 - MERMELADA","DERIVADOS",B236="131 - GALLETAS AVENA","DERIVADOS",B236="160 - SOUVENIR","OTROS",B236="148 - CARAMELOS","DERIVADOS",B236="143 - CHOCOFFES","DERIVADOS",B236="162 - CONVENIOS Y DSC POS ","OTROS"),"OTROS")</f>
        <v>GOURMET</v>
      </c>
      <c r="K236" s="6"/>
      <c r="L236" s="27">
        <f t="shared" si="42"/>
        <v>5524037</v>
      </c>
      <c r="M236" s="27">
        <f t="shared" si="43"/>
        <v>5524037</v>
      </c>
    </row>
    <row r="237" spans="1:13" ht="15.75" hidden="1" customHeight="1" outlineLevel="2">
      <c r="A237" s="38"/>
      <c r="B237" s="45" t="s">
        <v>21</v>
      </c>
      <c r="C237" s="46">
        <v>63648048</v>
      </c>
      <c r="D237" s="46">
        <v>0</v>
      </c>
      <c r="E237" s="46">
        <v>0</v>
      </c>
      <c r="F237" s="36">
        <v>189138509.15000001</v>
      </c>
      <c r="G237" s="37">
        <f t="shared" si="49"/>
        <v>0.33651554242464005</v>
      </c>
      <c r="H237" s="23">
        <f t="shared" si="40"/>
        <v>0</v>
      </c>
      <c r="I237" s="24">
        <f t="shared" si="40"/>
        <v>0</v>
      </c>
      <c r="J237" s="32" t="str" cm="1">
        <f t="array" ref="J237">IFERROR(_xlfn.IFS(B237="044 - BLEND TRADICION","BLEND",B237="113 - CAFÉ GOURMET","GOURMET",B237="114 - CAFÉ CONSUMO","CONSUMO",B237="112 - CAFÉ ORGANICO","GOURMET",B237="172 - CAFÉ COSECHA","ESPECIALES",B237="176 - CAFE DESCAFEINADO","GOURMET",B237="147 - CAPSULAS","CAPSULAS",B237="130 - GALLETAS CAFECITAS","DERIVADOS",B237="140 - MERENGUES","DERIVADOS",B237="100 - CAFÉ ESPECIAL","ESPECIALES",B237="141 - AREQUIPE","DERIVADOS",B237="142 - MERMELADA","DERIVADOS",B237="131 - GALLETAS AVENA","DERIVADOS",B237="160 - SOUVENIR","OTROS",B237="148 - CARAMELOS","DERIVADOS",B237="143 - CHOCOFFES","DERIVADOS",B237="162 - CONVENIOS Y DSC POS ","OTROS"),"OTROS")</f>
        <v>GOURMET</v>
      </c>
      <c r="K237" s="6"/>
      <c r="L237" s="27">
        <f t="shared" si="42"/>
        <v>63648048</v>
      </c>
      <c r="M237" s="27">
        <f t="shared" si="43"/>
        <v>63648048</v>
      </c>
    </row>
    <row r="238" spans="1:13" ht="15.75" hidden="1" customHeight="1" outlineLevel="2">
      <c r="A238" s="38"/>
      <c r="B238" s="45" t="s">
        <v>38</v>
      </c>
      <c r="C238" s="46">
        <v>0</v>
      </c>
      <c r="D238" s="46">
        <v>0</v>
      </c>
      <c r="E238" s="46">
        <v>0</v>
      </c>
      <c r="F238" s="36">
        <v>1194829.97</v>
      </c>
      <c r="G238" s="37">
        <f t="shared" si="49"/>
        <v>0</v>
      </c>
      <c r="H238" s="23">
        <f t="shared" si="40"/>
        <v>0</v>
      </c>
      <c r="I238" s="24">
        <f t="shared" si="40"/>
        <v>0</v>
      </c>
      <c r="J238" s="32" t="str" cm="1">
        <f t="array" ref="J238">IFERROR(_xlfn.IFS(B238="044 - BLEND TRADICION","BLEND",B238="113 - CAFÉ GOURMET","GOURMET",B238="114 - CAFÉ CONSUMO","CONSUMO",B238="112 - CAFÉ ORGANICO","GOURMET",B238="172 - CAFÉ COSECHA","ESPECIALES",B238="176 - CAFE DESCAFEINADO","GOURMET",B238="147 - CAPSULAS","CAPSULAS",B238="130 - GALLETAS CAFECITAS","DERIVADOS",B238="140 - MERENGUES","DERIVADOS",B238="100 - CAFÉ ESPECIAL","ESPECIALES",B238="141 - AREQUIPE","DERIVADOS",B238="142 - MERMELADA","DERIVADOS",B238="131 - GALLETAS AVENA","DERIVADOS",B238="160 - SOUVENIR","OTROS",B238="148 - CARAMELOS","DERIVADOS",B238="143 - CHOCOFFES","DERIVADOS",B238="162 - CONVENIOS Y DSC POS ","OTROS"),"OTROS")</f>
        <v>CONSUMO</v>
      </c>
      <c r="K238" s="6"/>
      <c r="L238" s="27">
        <f t="shared" si="42"/>
        <v>0</v>
      </c>
      <c r="M238" s="27">
        <f t="shared" si="43"/>
        <v>0</v>
      </c>
    </row>
    <row r="239" spans="1:13" ht="15.75" hidden="1" customHeight="1" outlineLevel="2">
      <c r="A239" s="38"/>
      <c r="B239" s="45" t="s">
        <v>22</v>
      </c>
      <c r="C239" s="46">
        <v>2894353</v>
      </c>
      <c r="D239" s="46">
        <v>-10640</v>
      </c>
      <c r="E239" s="46"/>
      <c r="F239" s="36">
        <v>4066253.4</v>
      </c>
      <c r="G239" s="37">
        <f t="shared" si="49"/>
        <v>0.71179848260317469</v>
      </c>
      <c r="H239" s="23">
        <f t="shared" si="40"/>
        <v>-3.6626594280950073E-3</v>
      </c>
      <c r="I239" s="24">
        <f t="shared" si="40"/>
        <v>0</v>
      </c>
      <c r="J239" s="32" t="str" cm="1">
        <f t="array" ref="J239">IFERROR(_xlfn.IFS(B239="044 - BLEND TRADICION","BLEND",B239="113 - CAFÉ GOURMET","GOURMET",B239="114 - CAFÉ CONSUMO","CONSUMO",B239="112 - CAFÉ ORGANICO","GOURMET",B239="172 - CAFÉ COSECHA","ESPECIALES",B239="176 - CAFE DESCAFEINADO","GOURMET",B239="147 - CAPSULAS","CAPSULAS",B239="130 - GALLETAS CAFECITAS","DERIVADOS",B239="140 - MERENGUES","DERIVADOS",B239="100 - CAFÉ ESPECIAL","ESPECIALES",B239="141 - AREQUIPE","DERIVADOS",B239="142 - MERMELADA","DERIVADOS",B239="131 - GALLETAS AVENA","DERIVADOS",B239="160 - SOUVENIR","OTROS",B239="148 - CARAMELOS","DERIVADOS",B239="143 - CHOCOFFES","DERIVADOS",B239="162 - CONVENIOS Y DSC POS ","OTROS"),"OTROS")</f>
        <v>DERIVADOS</v>
      </c>
      <c r="K239" s="6"/>
      <c r="L239" s="27">
        <f t="shared" si="42"/>
        <v>2904993</v>
      </c>
      <c r="M239" s="27">
        <f t="shared" si="43"/>
        <v>2904993</v>
      </c>
    </row>
    <row r="240" spans="1:13" ht="15.75" hidden="1" customHeight="1" outlineLevel="2">
      <c r="A240" s="38"/>
      <c r="B240" s="45" t="s">
        <v>24</v>
      </c>
      <c r="C240" s="46">
        <v>210683</v>
      </c>
      <c r="D240" s="46">
        <v>0</v>
      </c>
      <c r="E240" s="46"/>
      <c r="F240" s="36">
        <v>552955.56000000006</v>
      </c>
      <c r="G240" s="37">
        <f t="shared" si="49"/>
        <v>0.38101253561859472</v>
      </c>
      <c r="H240" s="23">
        <f t="shared" si="40"/>
        <v>0</v>
      </c>
      <c r="I240" s="24">
        <f t="shared" si="40"/>
        <v>0</v>
      </c>
      <c r="J240" s="32" t="str" cm="1">
        <f t="array" ref="J240">IFERROR(_xlfn.IFS(B240="044 - BLEND TRADICION","BLEND",B240="113 - CAFÉ GOURMET","GOURMET",B240="114 - CAFÉ CONSUMO","CONSUMO",B240="112 - CAFÉ ORGANICO","GOURMET",B240="172 - CAFÉ COSECHA","ESPECIALES",B240="176 - CAFE DESCAFEINADO","GOURMET",B240="147 - CAPSULAS","CAPSULAS",B240="130 - GALLETAS CAFECITAS","DERIVADOS",B240="140 - MERENGUES","DERIVADOS",B240="100 - CAFÉ ESPECIAL","ESPECIALES",B240="141 - AREQUIPE","DERIVADOS",B240="142 - MERMELADA","DERIVADOS",B240="131 - GALLETAS AVENA","DERIVADOS",B240="160 - SOUVENIR","OTROS",B240="148 - CARAMELOS","DERIVADOS",B240="143 - CHOCOFFES","DERIVADOS",B240="162 - CONVENIOS Y DSC POS ","OTROS"),"OTROS")</f>
        <v>DERIVADOS</v>
      </c>
      <c r="K240" s="6"/>
      <c r="L240" s="27">
        <f t="shared" si="42"/>
        <v>210683</v>
      </c>
      <c r="M240" s="27">
        <f t="shared" si="43"/>
        <v>210683</v>
      </c>
    </row>
    <row r="241" spans="1:13" ht="15.75" hidden="1" customHeight="1" outlineLevel="2">
      <c r="A241" s="38"/>
      <c r="B241" s="45" t="s">
        <v>25</v>
      </c>
      <c r="C241" s="46">
        <v>1473412</v>
      </c>
      <c r="D241" s="46">
        <v>0</v>
      </c>
      <c r="E241" s="46"/>
      <c r="F241" s="36">
        <v>2361213.7599999998</v>
      </c>
      <c r="G241" s="37">
        <f t="shared" si="49"/>
        <v>0.62400618908810701</v>
      </c>
      <c r="H241" s="23">
        <f t="shared" si="40"/>
        <v>0</v>
      </c>
      <c r="I241" s="24">
        <f t="shared" si="40"/>
        <v>0</v>
      </c>
      <c r="J241" s="32" t="str" cm="1">
        <f t="array" ref="J241">IFERROR(_xlfn.IFS(B241="044 - BLEND TRADICION","BLEND",B241="113 - CAFÉ GOURMET","GOURMET",B241="114 - CAFÉ CONSUMO","CONSUMO",B241="112 - CAFÉ ORGANICO","GOURMET",B241="172 - CAFÉ COSECHA","ESPECIALES",B241="176 - CAFE DESCAFEINADO","GOURMET",B241="147 - CAPSULAS","CAPSULAS",B241="130 - GALLETAS CAFECITAS","DERIVADOS",B241="140 - MERENGUES","DERIVADOS",B241="100 - CAFÉ ESPECIAL","ESPECIALES",B241="141 - AREQUIPE","DERIVADOS",B241="142 - MERMELADA","DERIVADOS",B241="131 - GALLETAS AVENA","DERIVADOS",B241="160 - SOUVENIR","OTROS",B241="148 - CARAMELOS","DERIVADOS",B241="143 - CHOCOFFES","DERIVADOS",B241="162 - CONVENIOS Y DSC POS ","OTROS"),"OTROS")</f>
        <v>DERIVADOS</v>
      </c>
      <c r="K241" s="6"/>
      <c r="L241" s="27">
        <f t="shared" si="42"/>
        <v>1473412</v>
      </c>
      <c r="M241" s="27">
        <f t="shared" si="43"/>
        <v>1473412</v>
      </c>
    </row>
    <row r="242" spans="1:13" ht="15.75" hidden="1" customHeight="1" outlineLevel="2">
      <c r="A242" s="38"/>
      <c r="B242" s="45" t="s">
        <v>26</v>
      </c>
      <c r="C242" s="46">
        <v>3766569</v>
      </c>
      <c r="D242" s="46">
        <v>0</v>
      </c>
      <c r="E242" s="46"/>
      <c r="F242" s="36">
        <v>4996182.5999999996</v>
      </c>
      <c r="G242" s="37">
        <f t="shared" si="49"/>
        <v>0.75388937946343282</v>
      </c>
      <c r="H242" s="23">
        <f t="shared" si="40"/>
        <v>0</v>
      </c>
      <c r="I242" s="24">
        <f t="shared" si="40"/>
        <v>0</v>
      </c>
      <c r="J242" s="32" t="str" cm="1">
        <f t="array" ref="J242">IFERROR(_xlfn.IFS(B242="044 - BLEND TRADICION","BLEND",B242="113 - CAFÉ GOURMET","GOURMET",B242="114 - CAFÉ CONSUMO","CONSUMO",B242="112 - CAFÉ ORGANICO","GOURMET",B242="172 - CAFÉ COSECHA","ESPECIALES",B242="176 - CAFE DESCAFEINADO","GOURMET",B242="147 - CAPSULAS","CAPSULAS",B242="130 - GALLETAS CAFECITAS","DERIVADOS",B242="140 - MERENGUES","DERIVADOS",B242="100 - CAFÉ ESPECIAL","ESPECIALES",B242="141 - AREQUIPE","DERIVADOS",B242="142 - MERMELADA","DERIVADOS",B242="131 - GALLETAS AVENA","DERIVADOS",B242="160 - SOUVENIR","OTROS",B242="148 - CARAMELOS","DERIVADOS",B242="143 - CHOCOFFES","DERIVADOS",B242="162 - CONVENIOS Y DSC POS ","OTROS"),"OTROS")</f>
        <v>CAPSULAS</v>
      </c>
      <c r="K242" s="6"/>
      <c r="L242" s="27">
        <f t="shared" si="42"/>
        <v>3766569</v>
      </c>
      <c r="M242" s="27">
        <f t="shared" si="43"/>
        <v>3766569</v>
      </c>
    </row>
    <row r="243" spans="1:13" ht="15.75" hidden="1" customHeight="1" outlineLevel="2">
      <c r="A243" s="38"/>
      <c r="B243" s="45" t="s">
        <v>27</v>
      </c>
      <c r="C243" s="46">
        <v>446486</v>
      </c>
      <c r="D243" s="46">
        <v>0</v>
      </c>
      <c r="E243" s="46">
        <v>0</v>
      </c>
      <c r="F243" s="36">
        <v>1098154.5900000001</v>
      </c>
      <c r="G243" s="37">
        <f t="shared" si="49"/>
        <v>0.4065784581385759</v>
      </c>
      <c r="H243" s="23">
        <f t="shared" si="40"/>
        <v>0</v>
      </c>
      <c r="I243" s="24">
        <f t="shared" si="40"/>
        <v>0</v>
      </c>
      <c r="J243" s="32" t="str" cm="1">
        <f t="array" ref="J243">IFERROR(_xlfn.IFS(B243="044 - BLEND TRADICION","BLEND",B243="113 - CAFÉ GOURMET","GOURMET",B243="114 - CAFÉ CONSUMO","CONSUMO",B243="112 - CAFÉ ORGANICO","GOURMET",B243="172 - CAFÉ COSECHA","ESPECIALES",B243="176 - CAFE DESCAFEINADO","GOURMET",B243="147 - CAPSULAS","CAPSULAS",B243="130 - GALLETAS CAFECITAS","DERIVADOS",B243="140 - MERENGUES","DERIVADOS",B243="100 - CAFÉ ESPECIAL","ESPECIALES",B243="141 - AREQUIPE","DERIVADOS",B243="142 - MERMELADA","DERIVADOS",B243="131 - GALLETAS AVENA","DERIVADOS",B243="160 - SOUVENIR","OTROS",B243="148 - CARAMELOS","DERIVADOS",B243="143 - CHOCOFFES","DERIVADOS",B243="162 - CONVENIOS Y DSC POS ","OTROS"),"OTROS")</f>
        <v>DERIVADOS</v>
      </c>
      <c r="K243" s="6"/>
      <c r="L243" s="27">
        <f t="shared" si="42"/>
        <v>446486</v>
      </c>
      <c r="M243" s="27">
        <f t="shared" si="43"/>
        <v>446486</v>
      </c>
    </row>
    <row r="244" spans="1:13" ht="15.75" hidden="1" customHeight="1" outlineLevel="2">
      <c r="A244" s="38"/>
      <c r="B244" s="45" t="s">
        <v>28</v>
      </c>
      <c r="C244" s="46">
        <v>4742418</v>
      </c>
      <c r="D244" s="46">
        <v>0</v>
      </c>
      <c r="E244" s="46"/>
      <c r="F244" s="36">
        <v>4332933.07</v>
      </c>
      <c r="G244" s="37">
        <f t="shared" si="49"/>
        <v>1.094505251612391</v>
      </c>
      <c r="H244" s="23">
        <f t="shared" si="40"/>
        <v>0</v>
      </c>
      <c r="I244" s="24">
        <f t="shared" si="40"/>
        <v>0</v>
      </c>
      <c r="J244" s="32" t="str" cm="1">
        <f t="array" ref="J244">IFERROR(_xlfn.IFS(B244="044 - BLEND TRADICION","BLEND",B244="113 - CAFÉ GOURMET","GOURMET",B244="114 - CAFÉ CONSUMO","CONSUMO",B244="112 - CAFÉ ORGANICO","GOURMET",B244="172 - CAFÉ COSECHA","ESPECIALES",B244="176 - CAFE DESCAFEINADO","GOURMET",B244="147 - CAPSULAS","CAPSULAS",B244="130 - GALLETAS CAFECITAS","DERIVADOS",B244="140 - MERENGUES","DERIVADOS",B244="100 - CAFÉ ESPECIAL","ESPECIALES",B244="141 - AREQUIPE","DERIVADOS",B244="142 - MERMELADA","DERIVADOS",B244="131 - GALLETAS AVENA","DERIVADOS",B244="160 - SOUVENIR","OTROS",B244="148 - CARAMELOS","DERIVADOS",B244="143 - CHOCOFFES","DERIVADOS",B244="162 - CONVENIOS Y DSC POS ","OTROS"),"OTROS")</f>
        <v>OTROS</v>
      </c>
      <c r="K244" s="6"/>
      <c r="L244" s="27">
        <f t="shared" si="42"/>
        <v>4742418</v>
      </c>
      <c r="M244" s="27">
        <f t="shared" si="43"/>
        <v>4742418</v>
      </c>
    </row>
    <row r="245" spans="1:13" ht="15.75" hidden="1" customHeight="1" outlineLevel="2">
      <c r="A245" s="38"/>
      <c r="B245" s="45" t="s">
        <v>29</v>
      </c>
      <c r="C245" s="46">
        <v>8846841</v>
      </c>
      <c r="D245" s="46">
        <v>-611280</v>
      </c>
      <c r="E245" s="46"/>
      <c r="F245" s="36">
        <v>19696186.350000001</v>
      </c>
      <c r="G245" s="37">
        <f t="shared" si="49"/>
        <v>0.44916517557217361</v>
      </c>
      <c r="H245" s="23">
        <f t="shared" si="40"/>
        <v>-6.463017337164538E-2</v>
      </c>
      <c r="I245" s="24">
        <f t="shared" si="40"/>
        <v>0</v>
      </c>
      <c r="J245" s="32" t="str" cm="1">
        <f t="array" ref="J245">IFERROR(_xlfn.IFS(B245="044 - BLEND TRADICION","BLEND",B245="113 - CAFÉ GOURMET","GOURMET",B245="114 - CAFÉ CONSUMO","CONSUMO",B245="112 - CAFÉ ORGANICO","GOURMET",B245="172 - CAFÉ COSECHA","ESPECIALES",B245="176 - CAFE DESCAFEINADO","GOURMET",B245="147 - CAPSULAS","CAPSULAS",B245="130 - GALLETAS CAFECITAS","DERIVADOS",B245="140 - MERENGUES","DERIVADOS",B245="100 - CAFÉ ESPECIAL","ESPECIALES",B245="141 - AREQUIPE","DERIVADOS",B245="142 - MERMELADA","DERIVADOS",B245="131 - GALLETAS AVENA","DERIVADOS",B245="160 - SOUVENIR","OTROS",B245="148 - CARAMELOS","DERIVADOS",B245="143 - CHOCOFFES","DERIVADOS",B245="162 - CONVENIOS Y DSC POS ","OTROS"),"OTROS")</f>
        <v>ESPECIALES</v>
      </c>
      <c r="K245" s="6"/>
      <c r="L245" s="27">
        <f t="shared" si="42"/>
        <v>9458121</v>
      </c>
      <c r="M245" s="27">
        <f t="shared" si="43"/>
        <v>9458121</v>
      </c>
    </row>
    <row r="246" spans="1:13" ht="15.75" hidden="1" customHeight="1" outlineLevel="2">
      <c r="A246" s="38"/>
      <c r="B246" s="45" t="s">
        <v>30</v>
      </c>
      <c r="C246" s="46">
        <v>3226362</v>
      </c>
      <c r="D246" s="46">
        <v>0</v>
      </c>
      <c r="E246" s="46"/>
      <c r="F246" s="36">
        <v>6569709</v>
      </c>
      <c r="G246" s="37">
        <f t="shared" si="49"/>
        <v>0.49109663761362948</v>
      </c>
      <c r="H246" s="23">
        <f t="shared" si="40"/>
        <v>0</v>
      </c>
      <c r="I246" s="24">
        <f>IFERROR(+E246/M246*100%,0)</f>
        <v>0</v>
      </c>
      <c r="J246" s="32" t="str" cm="1">
        <f t="array" ref="J246">IFERROR(_xlfn.IFS(B246="044 - BLEND TRADICION","BLEND",B246="113 - CAFÉ GOURMET","GOURMET",B246="114 - CAFÉ CONSUMO","CONSUMO",B246="112 - CAFÉ ORGANICO","GOURMET",B246="172 - CAFÉ COSECHA","ESPECIALES",B246="176 - CAFE DESCAFEINADO","GOURMET",B246="147 - CAPSULAS","CAPSULAS",B246="130 - GALLETAS CAFECITAS","DERIVADOS",B246="140 - MERENGUES","DERIVADOS",B246="100 - CAFÉ ESPECIAL","ESPECIALES",B246="141 - AREQUIPE","DERIVADOS",B246="142 - MERMELADA","DERIVADOS",B246="131 - GALLETAS AVENA","DERIVADOS",B246="160 - SOUVENIR","OTROS",B246="148 - CARAMELOS","DERIVADOS",B246="143 - CHOCOFFES","DERIVADOS",B246="162 - CONVENIOS Y DSC POS ","OTROS"),"OTROS")</f>
        <v>GOURMET</v>
      </c>
      <c r="K246" s="6"/>
      <c r="L246" s="27">
        <f>C246-(D246+E246)</f>
        <v>3226362</v>
      </c>
      <c r="M246" s="27">
        <f t="shared" si="43"/>
        <v>3226362</v>
      </c>
    </row>
    <row r="247" spans="1:13" ht="15.75" hidden="1" customHeight="1" outlineLevel="2">
      <c r="A247" s="19" t="s">
        <v>60</v>
      </c>
      <c r="B247" s="56" t="s">
        <v>32</v>
      </c>
      <c r="C247" s="54">
        <f>SUM(C234:C246)</f>
        <v>111248425</v>
      </c>
      <c r="D247" s="54">
        <f>SUM(D234:D246)</f>
        <v>-793064</v>
      </c>
      <c r="E247" s="54">
        <f>SUM(E234:E246)</f>
        <v>0</v>
      </c>
      <c r="F247" s="58">
        <f>SUM(F234:F246)</f>
        <v>278548044.25999999</v>
      </c>
      <c r="G247" s="55">
        <f t="shared" si="49"/>
        <v>0.39938684651527989</v>
      </c>
      <c r="H247" s="23">
        <f t="shared" si="40"/>
        <v>-7.0783065012640098E-3</v>
      </c>
      <c r="I247" s="24">
        <f>IFERROR(+E247/M247*100%,0)</f>
        <v>0</v>
      </c>
      <c r="J247" s="32" t="str" cm="1">
        <f t="array" ref="J247">IFERROR(_xlfn.IFS(B247="044 - BLEND TRADICION","BLEND",B247="113 - CAFÉ GOURMET","GOURMET",B247="114 - CAFÉ CONSUMO","CONSUMO",B247="112 - CAFÉ ORGANICO","GOURMET",B247="172 - CAFÉ COSECHA","ESPECIALES",B247="176 - CAFE DESCAFEINADO","GOURMET",B247="147 - CAPSULAS","CAPSULAS",B247="130 - GALLETAS CAFECITAS","DERIVADOS",B247="140 - MERENGUES","DERIVADOS",B247="100 - CAFÉ ESPECIAL","ESPECIALES",B247="141 - AREQUIPE","DERIVADOS",B247="142 - MERMELADA","DERIVADOS",B247="131 - GALLETAS AVENA","DERIVADOS",B247="160 - SOUVENIR","OTROS",B247="148 - CARAMELOS","DERIVADOS",B247="143 - CHOCOFFES","DERIVADOS",B247="162 - CONVENIOS Y DSC POS ","OTROS"),"OTROS")</f>
        <v>OTROS</v>
      </c>
      <c r="K247" s="6"/>
      <c r="L247" s="27">
        <f>C247-(D247+E247)</f>
        <v>112041489</v>
      </c>
      <c r="M247" s="27">
        <f t="shared" si="43"/>
        <v>112041489</v>
      </c>
    </row>
    <row r="248" spans="1:13" ht="16.5" collapsed="1">
      <c r="A248" s="28" t="s">
        <v>61</v>
      </c>
      <c r="B248" s="29" t="s">
        <v>17</v>
      </c>
      <c r="C248" s="30">
        <f>+C251+C259+C263</f>
        <v>218960179</v>
      </c>
      <c r="D248" s="30"/>
      <c r="E248" s="30">
        <f>+E251+E259+E263</f>
        <v>-185271</v>
      </c>
      <c r="F248" s="30">
        <f>+F251+F259+F263</f>
        <v>468781637.60000002</v>
      </c>
      <c r="G248" s="31">
        <f t="shared" si="49"/>
        <v>0.46708352340974885</v>
      </c>
      <c r="H248" s="23">
        <f t="shared" si="40"/>
        <v>0</v>
      </c>
      <c r="I248" s="24">
        <f t="shared" si="40"/>
        <v>-8.4542480804415514E-4</v>
      </c>
      <c r="J248" s="32" t="str" cm="1">
        <f t="array" ref="J248">IFERROR(_xlfn.IFS(B248="044 - BLEND TRADICION","BLEND",B248="113 - CAFÉ GOURMET","GOURMET",B248="114 - CAFÉ CONSUMO","CONSUMO",B248="112 - CAFÉ ORGANICO","GOURMET",B248="172 - CAFÉ COSECHA","ESPECIALES",B248="176 - CAFE DESCAFEINADO","GOURMET",B248="147 - CAPSULAS","CAPSULAS",B248="130 - GALLETAS CAFECITAS","DERIVADOS",B248="140 - MERENGUES","DERIVADOS",B248="100 - CAFÉ ESPECIAL","ESPECIALES",B248="141 - AREQUIPE","DERIVADOS",B248="142 - MERMELADA","DERIVADOS",B248="131 - GALLETAS AVENA","DERIVADOS",B248="160 - SOUVENIR","OTROS",B248="148 - CARAMELOS","DERIVADOS",B248="143 - CHOCOFFES","DERIVADOS",B248="162 - CONVENIOS Y DSC POS ","OTROS"),"OTROS")</f>
        <v>OTROS</v>
      </c>
      <c r="K248" s="6"/>
      <c r="L248" s="27">
        <f t="shared" ref="L248:L254" si="55">C248-(D248+E248)</f>
        <v>219145450</v>
      </c>
      <c r="M248" s="27">
        <f t="shared" si="43"/>
        <v>219145450</v>
      </c>
    </row>
    <row r="249" spans="1:13" ht="15.75" hidden="1" customHeight="1" outlineLevel="1">
      <c r="A249" s="33"/>
      <c r="B249" s="45" t="s">
        <v>62</v>
      </c>
      <c r="C249" s="46">
        <v>39351</v>
      </c>
      <c r="D249" s="46">
        <v>0</v>
      </c>
      <c r="E249" s="46">
        <v>0</v>
      </c>
      <c r="F249" s="46">
        <v>0</v>
      </c>
      <c r="G249" s="37" t="str">
        <f t="shared" si="49"/>
        <v>-</v>
      </c>
      <c r="H249" s="23">
        <f t="shared" si="40"/>
        <v>0</v>
      </c>
      <c r="I249" s="24">
        <f t="shared" si="40"/>
        <v>0</v>
      </c>
      <c r="J249" s="32" t="str" cm="1">
        <f t="array" ref="J249">IFERROR(_xlfn.IFS(B249="044 - BLEND TRADICION","BLEND",B249="113 - CAFÉ GOURMET","GOURMET",B249="114 - CAFÉ CONSUMO","CONSUMO",B249="112 - CAFÉ ORGANICO","GOURMET",B249="172 - CAFÉ COSECHA","ESPECIALES",B249="176 - CAFE DESCAFEINADO","GOURMET",B249="147 - CAPSULAS","CAPSULAS",B249="130 - GALLETAS CAFECITAS","DERIVADOS",B249="140 - MERENGUES","DERIVADOS",B249="100 - CAFÉ ESPECIAL","ESPECIALES",B249="141 - AREQUIPE","DERIVADOS",B249="142 - MERMELADA","DERIVADOS",B249="131 - GALLETAS AVENA","DERIVADOS",B249="160 - SOUVENIR","OTROS",B249="148 - CARAMELOS","DERIVADOS",B249="143 - CHOCOFFES","DERIVADOS",B249="162 - CONVENIOS Y DSC POS ","OTROS"),"OTROS")</f>
        <v>OTROS</v>
      </c>
      <c r="K249" s="6"/>
      <c r="L249" s="27">
        <f t="shared" si="55"/>
        <v>39351</v>
      </c>
      <c r="M249" s="27">
        <f t="shared" si="43"/>
        <v>39351</v>
      </c>
    </row>
    <row r="250" spans="1:13" ht="15.75" hidden="1" customHeight="1" outlineLevel="1">
      <c r="A250" s="33"/>
      <c r="B250" s="45" t="s">
        <v>39</v>
      </c>
      <c r="C250" s="46">
        <v>11800000</v>
      </c>
      <c r="D250" s="46">
        <v>0</v>
      </c>
      <c r="E250" s="46"/>
      <c r="F250" s="46">
        <v>0</v>
      </c>
      <c r="G250" s="37" t="str">
        <f t="shared" si="49"/>
        <v>-</v>
      </c>
      <c r="H250" s="23">
        <f t="shared" si="40"/>
        <v>0</v>
      </c>
      <c r="I250" s="24">
        <f t="shared" si="40"/>
        <v>0</v>
      </c>
      <c r="J250" s="32" t="str" cm="1">
        <f t="array" ref="J250">IFERROR(_xlfn.IFS(B250="044 - BLEND TRADICION","BLEND",B250="113 - CAFÉ GOURMET","GOURMET",B250="114 - CAFÉ CONSUMO","CONSUMO",B250="112 - CAFÉ ORGANICO","GOURMET",B250="172 - CAFÉ COSECHA","ESPECIALES",B250="176 - CAFE DESCAFEINADO","GOURMET",B250="147 - CAPSULAS","CAPSULAS",B250="130 - GALLETAS CAFECITAS","DERIVADOS",B250="140 - MERENGUES","DERIVADOS",B250="100 - CAFÉ ESPECIAL","ESPECIALES",B250="141 - AREQUIPE","DERIVADOS",B250="142 - MERMELADA","DERIVADOS",B250="131 - GALLETAS AVENA","DERIVADOS",B250="160 - SOUVENIR","OTROS",B250="148 - CARAMELOS","DERIVADOS",B250="143 - CHOCOFFES","DERIVADOS",B250="162 - CONVENIOS Y DSC POS ","OTROS"),"OTROS")</f>
        <v>OTROS</v>
      </c>
      <c r="K250" s="6"/>
      <c r="L250" s="27">
        <f t="shared" si="55"/>
        <v>11800000</v>
      </c>
      <c r="M250" s="27">
        <f t="shared" si="43"/>
        <v>11800000</v>
      </c>
    </row>
    <row r="251" spans="1:13" ht="15.75" hidden="1" customHeight="1" outlineLevel="1">
      <c r="A251" s="52" t="s">
        <v>63</v>
      </c>
      <c r="B251" s="20" t="s">
        <v>32</v>
      </c>
      <c r="C251" s="21">
        <f>SUM(C249:C250)</f>
        <v>11839351</v>
      </c>
      <c r="D251" s="21"/>
      <c r="E251" s="21">
        <v>0</v>
      </c>
      <c r="F251" s="21">
        <v>0</v>
      </c>
      <c r="G251" s="55" t="str">
        <f t="shared" si="49"/>
        <v>-</v>
      </c>
      <c r="H251" s="23">
        <f t="shared" si="40"/>
        <v>0</v>
      </c>
      <c r="I251" s="24">
        <f t="shared" si="40"/>
        <v>0</v>
      </c>
      <c r="J251" s="32" t="str" cm="1">
        <f t="array" ref="J251">IFERROR(_xlfn.IFS(B251="044 - BLEND TRADICION","BLEND",B251="113 - CAFÉ GOURMET","GOURMET",B251="114 - CAFÉ CONSUMO","CONSUMO",B251="112 - CAFÉ ORGANICO","GOURMET",B251="172 - CAFÉ COSECHA","ESPECIALES",B251="176 - CAFE DESCAFEINADO","GOURMET",B251="147 - CAPSULAS","CAPSULAS",B251="130 - GALLETAS CAFECITAS","DERIVADOS",B251="140 - MERENGUES","DERIVADOS",B251="100 - CAFÉ ESPECIAL","ESPECIALES",B251="141 - AREQUIPE","DERIVADOS",B251="142 - MERMELADA","DERIVADOS",B251="131 - GALLETAS AVENA","DERIVADOS",B251="160 - SOUVENIR","OTROS",B251="148 - CARAMELOS","DERIVADOS",B251="143 - CHOCOFFES","DERIVADOS",B251="162 - CONVENIOS Y DSC POS ","OTROS"),"OTROS")</f>
        <v>OTROS</v>
      </c>
      <c r="K251" s="6"/>
      <c r="L251" s="27">
        <f t="shared" si="55"/>
        <v>11839351</v>
      </c>
      <c r="M251" s="27">
        <f t="shared" si="43"/>
        <v>11839351</v>
      </c>
    </row>
    <row r="252" spans="1:13" ht="15.75" hidden="1" customHeight="1" outlineLevel="1">
      <c r="A252" s="33"/>
      <c r="B252" s="45" t="s">
        <v>18</v>
      </c>
      <c r="C252" s="151">
        <v>183551200</v>
      </c>
      <c r="D252" s="152">
        <v>0</v>
      </c>
      <c r="E252" s="36"/>
      <c r="F252" s="36">
        <v>413971911.05000001</v>
      </c>
      <c r="G252" s="37">
        <f t="shared" si="49"/>
        <v>0.44339046949934358</v>
      </c>
      <c r="H252" s="23">
        <f t="shared" si="40"/>
        <v>0</v>
      </c>
      <c r="I252" s="24">
        <f t="shared" si="40"/>
        <v>0</v>
      </c>
      <c r="J252" s="32" t="str" cm="1">
        <f t="array" ref="J252">IFERROR(_xlfn.IFS(B252="044 - BLEND TRADICION","BLEND",B252="113 - CAFÉ GOURMET","GOURMET",B252="114 - CAFÉ CONSUMO","CONSUMO",B252="112 - CAFÉ ORGANICO","GOURMET",B252="172 - CAFÉ COSECHA","ESPECIALES",B252="176 - CAFE DESCAFEINADO","GOURMET",B252="147 - CAPSULAS","CAPSULAS",B252="130 - GALLETAS CAFECITAS","DERIVADOS",B252="140 - MERENGUES","DERIVADOS",B252="100 - CAFÉ ESPECIAL","ESPECIALES",B252="141 - AREQUIPE","DERIVADOS",B252="142 - MERMELADA","DERIVADOS",B252="131 - GALLETAS AVENA","DERIVADOS",B252="160 - SOUVENIR","OTROS",B252="148 - CARAMELOS","DERIVADOS",B252="143 - CHOCOFFES","DERIVADOS",B252="162 - CONVENIOS Y DSC POS ","OTROS"),"OTROS")</f>
        <v>BLEND</v>
      </c>
      <c r="K252" s="6"/>
      <c r="L252" s="27">
        <f t="shared" si="55"/>
        <v>183551200</v>
      </c>
      <c r="M252" s="27">
        <f t="shared" si="43"/>
        <v>183551200</v>
      </c>
    </row>
    <row r="253" spans="1:13" ht="15.75" hidden="1" customHeight="1" outlineLevel="1">
      <c r="A253" s="33"/>
      <c r="B253" s="45" t="s">
        <v>20</v>
      </c>
      <c r="C253" s="151">
        <v>2053771</v>
      </c>
      <c r="D253" s="152">
        <v>0</v>
      </c>
      <c r="E253" s="36"/>
      <c r="F253" s="36">
        <v>4542701.25</v>
      </c>
      <c r="G253" s="37">
        <f t="shared" si="49"/>
        <v>0.45210347037459264</v>
      </c>
      <c r="H253" s="23">
        <f t="shared" si="40"/>
        <v>0</v>
      </c>
      <c r="I253" s="24">
        <f t="shared" si="40"/>
        <v>0</v>
      </c>
      <c r="J253" s="32" t="str" cm="1">
        <f t="array" ref="J253">IFERROR(_xlfn.IFS(B253="044 - BLEND TRADICION","BLEND",B253="113 - CAFÉ GOURMET","GOURMET",B253="114 - CAFÉ CONSUMO","CONSUMO",B253="112 - CAFÉ ORGANICO","GOURMET",B253="172 - CAFÉ COSECHA","ESPECIALES",B253="176 - CAFE DESCAFEINADO","GOURMET",B253="147 - CAPSULAS","CAPSULAS",B253="130 - GALLETAS CAFECITAS","DERIVADOS",B253="140 - MERENGUES","DERIVADOS",B253="100 - CAFÉ ESPECIAL","ESPECIALES",B253="141 - AREQUIPE","DERIVADOS",B253="142 - MERMELADA","DERIVADOS",B253="131 - GALLETAS AVENA","DERIVADOS",B253="160 - SOUVENIR","OTROS",B253="148 - CARAMELOS","DERIVADOS",B253="143 - CHOCOFFES","DERIVADOS",B253="162 - CONVENIOS Y DSC POS ","OTROS"),"OTROS")</f>
        <v>GOURMET</v>
      </c>
      <c r="K253" s="6"/>
      <c r="L253" s="27">
        <f t="shared" si="55"/>
        <v>2053771</v>
      </c>
      <c r="M253" s="27">
        <f t="shared" si="43"/>
        <v>2053771</v>
      </c>
    </row>
    <row r="254" spans="1:13" ht="15.75" hidden="1" customHeight="1" outlineLevel="1">
      <c r="A254" s="33"/>
      <c r="B254" s="45" t="s">
        <v>21</v>
      </c>
      <c r="C254" s="151">
        <v>11134326</v>
      </c>
      <c r="D254" s="152">
        <v>0</v>
      </c>
      <c r="E254" s="36"/>
      <c r="F254" s="36">
        <v>25938878.649999999</v>
      </c>
      <c r="G254" s="37">
        <f t="shared" si="49"/>
        <v>0.42925240332237724</v>
      </c>
      <c r="H254" s="23">
        <f t="shared" si="40"/>
        <v>0</v>
      </c>
      <c r="I254" s="24">
        <f t="shared" si="40"/>
        <v>0</v>
      </c>
      <c r="J254" s="32" t="str" cm="1">
        <f t="array" ref="J254">IFERROR(_xlfn.IFS(B254="044 - BLEND TRADICION","BLEND",B254="113 - CAFÉ GOURMET","GOURMET",B254="114 - CAFÉ CONSUMO","CONSUMO",B254="112 - CAFÉ ORGANICO","GOURMET",B254="172 - CAFÉ COSECHA","ESPECIALES",B254="176 - CAFE DESCAFEINADO","GOURMET",B254="147 - CAPSULAS","CAPSULAS",B254="130 - GALLETAS CAFECITAS","DERIVADOS",B254="140 - MERENGUES","DERIVADOS",B254="100 - CAFÉ ESPECIAL","ESPECIALES",B254="141 - AREQUIPE","DERIVADOS",B254="142 - MERMELADA","DERIVADOS",B254="131 - GALLETAS AVENA","DERIVADOS",B254="160 - SOUVENIR","OTROS",B254="148 - CARAMELOS","DERIVADOS",B254="143 - CHOCOFFES","DERIVADOS",B254="162 - CONVENIOS Y DSC POS ","OTROS"),"OTROS")</f>
        <v>GOURMET</v>
      </c>
      <c r="K254" s="6"/>
      <c r="L254" s="27">
        <f t="shared" si="55"/>
        <v>11134326</v>
      </c>
      <c r="M254" s="27">
        <f t="shared" si="43"/>
        <v>11134326</v>
      </c>
    </row>
    <row r="255" spans="1:13" ht="15.75" hidden="1" customHeight="1" outlineLevel="1">
      <c r="A255" s="33"/>
      <c r="B255" s="45" t="s">
        <v>22</v>
      </c>
      <c r="C255" s="151">
        <v>3510432</v>
      </c>
      <c r="D255" s="152">
        <v>0</v>
      </c>
      <c r="E255" s="36"/>
      <c r="F255" s="36">
        <v>21964513.23</v>
      </c>
      <c r="G255" s="37">
        <f t="shared" si="49"/>
        <v>0.1598228908257941</v>
      </c>
      <c r="H255" s="23">
        <f t="shared" ref="H255:H259" si="56">IFERROR(+D255/L255*100%,0)</f>
        <v>0</v>
      </c>
      <c r="I255" s="24">
        <f t="shared" ref="I255:I259" si="57">IFERROR(+E255/M255*100%,0)</f>
        <v>0</v>
      </c>
      <c r="J255" s="32" t="str" cm="1">
        <f t="array" ref="J255">IFERROR(_xlfn.IFS(B255="044 - BLEND TRADICION","BLEND",B255="113 - CAFÉ GOURMET","GOURMET",B255="114 - CAFÉ CONSUMO","CONSUMO",B255="112 - CAFÉ ORGANICO","GOURMET",B255="172 - CAFÉ COSECHA","ESPECIALES",B255="176 - CAFE DESCAFEINADO","GOURMET",B255="147 - CAPSULAS","CAPSULAS",B255="130 - GALLETAS CAFECITAS","DERIVADOS",B255="140 - MERENGUES","DERIVADOS",B255="100 - CAFÉ ESPECIAL","ESPECIALES",B255="141 - AREQUIPE","DERIVADOS",B255="142 - MERMELADA","DERIVADOS",B255="131 - GALLETAS AVENA","DERIVADOS",B255="160 - SOUVENIR","OTROS",B255="148 - CARAMELOS","DERIVADOS",B255="143 - CHOCOFFES","DERIVADOS",B255="162 - CONVENIOS Y DSC POS ","OTROS"),"OTROS")</f>
        <v>DERIVADOS</v>
      </c>
      <c r="K255" s="6"/>
      <c r="L255" s="27">
        <f t="shared" ref="L255:L259" si="58">C255-(D255+E255)</f>
        <v>3510432</v>
      </c>
      <c r="M255" s="27">
        <f t="shared" ref="M255:M259" si="59">L255</f>
        <v>3510432</v>
      </c>
    </row>
    <row r="256" spans="1:13" ht="15.75" hidden="1" customHeight="1" outlineLevel="1">
      <c r="A256" s="33"/>
      <c r="B256" s="45" t="s">
        <v>50</v>
      </c>
      <c r="C256" s="151">
        <v>-185271</v>
      </c>
      <c r="D256" s="152">
        <v>0</v>
      </c>
      <c r="E256" s="152">
        <v>-185271</v>
      </c>
      <c r="F256" s="36"/>
      <c r="G256" s="37"/>
      <c r="H256" s="23">
        <f t="shared" si="56"/>
        <v>0</v>
      </c>
      <c r="I256" s="24">
        <f t="shared" si="57"/>
        <v>0</v>
      </c>
      <c r="J256" s="32" t="str" cm="1">
        <f t="array" ref="J256">IFERROR(_xlfn.IFS(B256="044 - BLEND TRADICION","BLEND",B256="113 - CAFÉ GOURMET","GOURMET",B256="114 - CAFÉ CONSUMO","CONSUMO",B256="112 - CAFÉ ORGANICO","GOURMET",B256="172 - CAFÉ COSECHA","ESPECIALES",B256="176 - CAFE DESCAFEINADO","GOURMET",B256="147 - CAPSULAS","CAPSULAS",B256="130 - GALLETAS CAFECITAS","DERIVADOS",B256="140 - MERENGUES","DERIVADOS",B256="100 - CAFÉ ESPECIAL","ESPECIALES",B256="141 - AREQUIPE","DERIVADOS",B256="142 - MERMELADA","DERIVADOS",B256="131 - GALLETAS AVENA","DERIVADOS",B256="160 - SOUVENIR","OTROS",B256="148 - CARAMELOS","DERIVADOS",B256="143 - CHOCOFFES","DERIVADOS",B256="162 - CONVENIOS Y DSC POS ","OTROS"),"OTROS")</f>
        <v>OTROS</v>
      </c>
      <c r="K256" s="6"/>
      <c r="L256" s="27">
        <f t="shared" si="58"/>
        <v>0</v>
      </c>
      <c r="M256" s="27">
        <f t="shared" si="59"/>
        <v>0</v>
      </c>
    </row>
    <row r="257" spans="1:13" ht="15.75" hidden="1" customHeight="1" outlineLevel="1">
      <c r="A257" s="33"/>
      <c r="B257" s="45" t="s">
        <v>29</v>
      </c>
      <c r="C257" s="151">
        <v>0</v>
      </c>
      <c r="D257" s="152">
        <v>0</v>
      </c>
      <c r="E257" s="36">
        <v>0</v>
      </c>
      <c r="F257" s="36">
        <v>2363633.42</v>
      </c>
      <c r="G257" s="37">
        <f t="shared" ref="G257:G278" si="60">IFERROR(C257/F257*100%,"-")</f>
        <v>0</v>
      </c>
      <c r="H257" s="23">
        <f t="shared" si="56"/>
        <v>0</v>
      </c>
      <c r="I257" s="24">
        <f t="shared" si="57"/>
        <v>0</v>
      </c>
      <c r="J257" s="32" t="str" cm="1">
        <f t="array" ref="J257">IFERROR(_xlfn.IFS(B257="044 - BLEND TRADICION","BLEND",B257="113 - CAFÉ GOURMET","GOURMET",B257="114 - CAFÉ CONSUMO","CONSUMO",B257="112 - CAFÉ ORGANICO","GOURMET",B257="172 - CAFÉ COSECHA","ESPECIALES",B257="176 - CAFE DESCAFEINADO","GOURMET",B257="147 - CAPSULAS","CAPSULAS",B257="130 - GALLETAS CAFECITAS","DERIVADOS",B257="140 - MERENGUES","DERIVADOS",B257="100 - CAFÉ ESPECIAL","ESPECIALES",B257="141 - AREQUIPE","DERIVADOS",B257="142 - MERMELADA","DERIVADOS",B257="131 - GALLETAS AVENA","DERIVADOS",B257="160 - SOUVENIR","OTROS",B257="148 - CARAMELOS","DERIVADOS",B257="143 - CHOCOFFES","DERIVADOS",B257="162 - CONVENIOS Y DSC POS ","OTROS"),"OTROS")</f>
        <v>ESPECIALES</v>
      </c>
      <c r="K257" s="6"/>
      <c r="L257" s="27">
        <f t="shared" si="58"/>
        <v>0</v>
      </c>
      <c r="M257" s="27">
        <f t="shared" si="59"/>
        <v>0</v>
      </c>
    </row>
    <row r="258" spans="1:13" ht="15.75" hidden="1" customHeight="1" outlineLevel="1">
      <c r="A258" s="44"/>
      <c r="B258" s="45" t="s">
        <v>92</v>
      </c>
      <c r="C258" s="151">
        <v>7050120</v>
      </c>
      <c r="D258" s="152">
        <v>0</v>
      </c>
      <c r="E258" s="36">
        <v>0</v>
      </c>
      <c r="F258" s="36">
        <v>0</v>
      </c>
      <c r="G258" s="37" t="str">
        <f t="shared" si="60"/>
        <v>-</v>
      </c>
      <c r="H258" s="23">
        <f t="shared" si="56"/>
        <v>0</v>
      </c>
      <c r="I258" s="24">
        <f t="shared" si="57"/>
        <v>0</v>
      </c>
      <c r="J258" s="32" t="str" cm="1">
        <f t="array" ref="J258">IFERROR(_xlfn.IFS(B258="044 - BLEND TRADICION","BLEND",B258="113 - CAFÉ GOURMET","GOURMET",B258="114 - CAFÉ CONSUMO","CONSUMO",B258="112 - CAFÉ ORGANICO","GOURMET",B258="172 - CAFÉ COSECHA","ESPECIALES",B258="176 - CAFE DESCAFEINADO","GOURMET",B258="147 - CAPSULAS","CAPSULAS",B258="130 - GALLETAS CAFECITAS","DERIVADOS",B258="140 - MERENGUES","DERIVADOS",B258="100 - CAFÉ ESPECIAL","ESPECIALES",B258="141 - AREQUIPE","DERIVADOS",B258="142 - MERMELADA","DERIVADOS",B258="131 - GALLETAS AVENA","DERIVADOS",B258="160 - SOUVENIR","OTROS",B258="148 - CARAMELOS","DERIVADOS",B258="143 - CHOCOFFES","DERIVADOS",B258="162 - CONVENIOS Y DSC POS ","OTROS"),"OTROS")</f>
        <v>OTROS</v>
      </c>
      <c r="K258" s="6"/>
      <c r="L258" s="27">
        <f t="shared" si="58"/>
        <v>7050120</v>
      </c>
      <c r="M258" s="27">
        <f t="shared" si="59"/>
        <v>7050120</v>
      </c>
    </row>
    <row r="259" spans="1:13" ht="15.75" hidden="1" customHeight="1" outlineLevel="1">
      <c r="A259" s="19" t="s">
        <v>64</v>
      </c>
      <c r="B259" s="40" t="s">
        <v>32</v>
      </c>
      <c r="C259" s="54">
        <f>SUM(C252:C258)</f>
        <v>207114578</v>
      </c>
      <c r="D259" s="54">
        <f>SUM(D252:D258)</f>
        <v>0</v>
      </c>
      <c r="E259" s="54">
        <f>SUM(E252:E258)</f>
        <v>-185271</v>
      </c>
      <c r="F259" s="54">
        <f>SUM(F252:F258)</f>
        <v>468781637.60000002</v>
      </c>
      <c r="G259" s="55">
        <f t="shared" si="60"/>
        <v>0.44181461343143702</v>
      </c>
      <c r="H259" s="23">
        <f t="shared" si="56"/>
        <v>0</v>
      </c>
      <c r="I259" s="24">
        <f t="shared" si="57"/>
        <v>-8.9373437025513707E-4</v>
      </c>
      <c r="J259" s="32" t="str" cm="1">
        <f t="array" ref="J259">IFERROR(_xlfn.IFS(B259="044 - BLEND TRADICION","BLEND",B259="113 - CAFÉ GOURMET","GOURMET",B259="114 - CAFÉ CONSUMO","CONSUMO",B259="112 - CAFÉ ORGANICO","GOURMET",B259="172 - CAFÉ COSECHA","ESPECIALES",B259="176 - CAFE DESCAFEINADO","GOURMET",B259="147 - CAPSULAS","CAPSULAS",B259="130 - GALLETAS CAFECITAS","DERIVADOS",B259="140 - MERENGUES","DERIVADOS",B259="100 - CAFÉ ESPECIAL","ESPECIALES",B259="141 - AREQUIPE","DERIVADOS",B259="142 - MERMELADA","DERIVADOS",B259="131 - GALLETAS AVENA","DERIVADOS",B259="160 - SOUVENIR","OTROS",B259="148 - CARAMELOS","DERIVADOS",B259="143 - CHOCOFFES","DERIVADOS",B259="162 - CONVENIOS Y DSC POS ","OTROS"),"OTROS")</f>
        <v>OTROS</v>
      </c>
      <c r="K259" s="6"/>
      <c r="L259" s="27">
        <f t="shared" si="58"/>
        <v>207299849</v>
      </c>
      <c r="M259" s="27">
        <f t="shared" si="59"/>
        <v>207299849</v>
      </c>
    </row>
    <row r="260" spans="1:13" ht="15.75" hidden="1" customHeight="1" outlineLevel="1">
      <c r="A260" s="33"/>
      <c r="B260" s="39" t="s">
        <v>24</v>
      </c>
      <c r="C260" s="36">
        <v>4250</v>
      </c>
      <c r="D260" s="36"/>
      <c r="E260" s="36">
        <v>0</v>
      </c>
      <c r="F260" s="36">
        <v>0</v>
      </c>
      <c r="G260" s="37" t="str">
        <f t="shared" si="60"/>
        <v>-</v>
      </c>
      <c r="H260" s="23">
        <f t="shared" ref="H260:I279" si="61">IFERROR(+D260/L260*100%,0)</f>
        <v>0</v>
      </c>
      <c r="I260" s="24">
        <f t="shared" si="61"/>
        <v>0</v>
      </c>
      <c r="J260" s="32" t="str" cm="1">
        <f t="array" ref="J260">IFERROR(_xlfn.IFS(B260="044 - BLEND TRADICION","BLEND",B260="113 - CAFÉ GOURMET","GOURMET",B260="114 - CAFÉ CONSUMO","CONSUMO",B260="112 - CAFÉ ORGANICO","GOURMET",B260="172 - CAFÉ COSECHA","ESPECIALES",B260="176 - CAFE DESCAFEINADO","GOURMET",B260="147 - CAPSULAS","CAPSULAS",B260="130 - GALLETAS CAFECITAS","DERIVADOS",B260="140 - MERENGUES","DERIVADOS",B260="100 - CAFÉ ESPECIAL","ESPECIALES",B260="141 - AREQUIPE","DERIVADOS",B260="142 - MERMELADA","DERIVADOS",B260="131 - GALLETAS AVENA","DERIVADOS",B260="160 - SOUVENIR","OTROS",B260="148 - CARAMELOS","DERIVADOS",B260="143 - CHOCOFFES","DERIVADOS",B260="162 - CONVENIOS Y DSC POS ","OTROS"),"OTROS")</f>
        <v>DERIVADOS</v>
      </c>
      <c r="L260" s="27">
        <f t="shared" ref="L260" si="62">C260-(D260+E260)</f>
        <v>4250</v>
      </c>
      <c r="M260" s="27">
        <f t="shared" ref="M260:M278" si="63">L260</f>
        <v>4250</v>
      </c>
    </row>
    <row r="261" spans="1:13" ht="15.75" hidden="1" customHeight="1" outlineLevel="1">
      <c r="A261" s="33"/>
      <c r="B261" s="39" t="s">
        <v>25</v>
      </c>
      <c r="C261" s="36">
        <v>2000</v>
      </c>
      <c r="D261" s="36">
        <v>0</v>
      </c>
      <c r="E261" s="36"/>
      <c r="F261" s="36">
        <v>0</v>
      </c>
      <c r="G261" s="37" t="str">
        <f t="shared" si="60"/>
        <v>-</v>
      </c>
      <c r="H261" s="23">
        <f t="shared" si="61"/>
        <v>0</v>
      </c>
      <c r="I261" s="24">
        <f t="shared" si="61"/>
        <v>0</v>
      </c>
      <c r="J261" s="32" t="str" cm="1">
        <f t="array" ref="J261">IFERROR(_xlfn.IFS(B261="044 - BLEND TRADICION","BLEND",B261="113 - CAFÉ GOURMET","GOURMET",B261="114 - CAFÉ CONSUMO","CONSUMO",B261="112 - CAFÉ ORGANICO","GOURMET",B261="172 - CAFÉ COSECHA","ESPECIALES",B261="176 - CAFE DESCAFEINADO","GOURMET",B261="147 - CAPSULAS","CAPSULAS",B261="130 - GALLETAS CAFECITAS","DERIVADOS",B261="140 - MERENGUES","DERIVADOS",B261="100 - CAFÉ ESPECIAL","ESPECIALES",B261="141 - AREQUIPE","DERIVADOS",B261="142 - MERMELADA","DERIVADOS",B261="131 - GALLETAS AVENA","DERIVADOS",B261="160 - SOUVENIR","OTROS",B261="148 - CARAMELOS","DERIVADOS",B261="143 - CHOCOFFES","DERIVADOS",B261="162 - CONVENIOS Y DSC POS ","OTROS"),"OTROS")</f>
        <v>DERIVADOS</v>
      </c>
      <c r="K261" s="6"/>
      <c r="L261" s="27">
        <f>C261-(D261+E261)</f>
        <v>2000</v>
      </c>
      <c r="M261" s="27">
        <f t="shared" si="63"/>
        <v>2000</v>
      </c>
    </row>
    <row r="262" spans="1:13" ht="15.75" hidden="1" customHeight="1" outlineLevel="1">
      <c r="A262" s="38"/>
      <c r="B262" s="39" t="s">
        <v>29</v>
      </c>
      <c r="C262" s="36">
        <v>0</v>
      </c>
      <c r="D262" s="36">
        <v>0</v>
      </c>
      <c r="E262" s="36">
        <v>0</v>
      </c>
      <c r="F262" s="36">
        <v>0</v>
      </c>
      <c r="G262" s="37" t="str">
        <f t="shared" si="60"/>
        <v>-</v>
      </c>
      <c r="H262" s="23">
        <f t="shared" si="61"/>
        <v>0</v>
      </c>
      <c r="I262" s="24">
        <f t="shared" si="61"/>
        <v>0</v>
      </c>
      <c r="J262" s="32" t="str" cm="1">
        <f t="array" ref="J262">IFERROR(_xlfn.IFS(B262="044 - BLEND TRADICION","BLEND",B262="113 - CAFÉ GOURMET","GOURMET",B262="114 - CAFÉ CONSUMO","CONSUMO",B262="112 - CAFÉ ORGANICO","GOURMET",B262="172 - CAFÉ COSECHA","ESPECIALES",B262="176 - CAFE DESCAFEINADO","GOURMET",B262="147 - CAPSULAS","CAPSULAS",B262="130 - GALLETAS CAFECITAS","DERIVADOS",B262="140 - MERENGUES","DERIVADOS",B262="100 - CAFÉ ESPECIAL","ESPECIALES",B262="141 - AREQUIPE","DERIVADOS",B262="142 - MERMELADA","DERIVADOS",B262="131 - GALLETAS AVENA","DERIVADOS",B262="160 - SOUVENIR","OTROS",B262="148 - CARAMELOS","DERIVADOS",B262="143 - CHOCOFFES","DERIVADOS",B262="162 - CONVENIOS Y DSC POS ","OTROS"),"OTROS")</f>
        <v>ESPECIALES</v>
      </c>
      <c r="K262" s="6"/>
      <c r="L262" s="27">
        <f t="shared" ref="L262:L279" si="64">C262-(D262+E262)</f>
        <v>0</v>
      </c>
      <c r="M262" s="27">
        <f t="shared" si="63"/>
        <v>0</v>
      </c>
    </row>
    <row r="263" spans="1:13" ht="15.75" hidden="1" customHeight="1" outlineLevel="1">
      <c r="A263" s="19" t="s">
        <v>65</v>
      </c>
      <c r="B263" s="56" t="s">
        <v>32</v>
      </c>
      <c r="C263" s="54">
        <f>SUM(C260:C262)</f>
        <v>6250</v>
      </c>
      <c r="D263" s="54">
        <f>SUM(D260:D262)</f>
        <v>0</v>
      </c>
      <c r="E263" s="57">
        <v>0</v>
      </c>
      <c r="F263" s="58">
        <v>0</v>
      </c>
      <c r="G263" s="55" t="str">
        <f t="shared" si="60"/>
        <v>-</v>
      </c>
      <c r="H263" s="23">
        <f t="shared" si="61"/>
        <v>0</v>
      </c>
      <c r="I263" s="24">
        <f t="shared" si="61"/>
        <v>0</v>
      </c>
      <c r="J263" s="32" t="str" cm="1">
        <f t="array" ref="J263">IFERROR(_xlfn.IFS(B263="044 - BLEND TRADICION","BLEND",B263="113 - CAFÉ GOURMET","GOURMET",B263="114 - CAFÉ CONSUMO","CONSUMO",B263="112 - CAFÉ ORGANICO","GOURMET",B263="172 - CAFÉ COSECHA","ESPECIALES",B263="176 - CAFE DESCAFEINADO","GOURMET",B263="147 - CAPSULAS","CAPSULAS",B263="130 - GALLETAS CAFECITAS","DERIVADOS",B263="140 - MERENGUES","DERIVADOS",B263="100 - CAFÉ ESPECIAL","ESPECIALES",B263="141 - AREQUIPE","DERIVADOS",B263="142 - MERMELADA","DERIVADOS",B263="131 - GALLETAS AVENA","DERIVADOS",B263="160 - SOUVENIR","OTROS",B263="148 - CARAMELOS","DERIVADOS",B263="143 - CHOCOFFES","DERIVADOS",B263="162 - CONVENIOS Y DSC POS ","OTROS"),"OTROS")</f>
        <v>OTROS</v>
      </c>
      <c r="K263" s="6"/>
      <c r="L263" s="27">
        <f t="shared" si="64"/>
        <v>6250</v>
      </c>
      <c r="M263" s="27">
        <f t="shared" si="63"/>
        <v>6250</v>
      </c>
    </row>
    <row r="264" spans="1:13" ht="17" collapsed="1" thickBot="1">
      <c r="A264" s="63" t="s">
        <v>66</v>
      </c>
      <c r="B264" s="64" t="s">
        <v>17</v>
      </c>
      <c r="C264" s="65">
        <f>+C278</f>
        <v>1097518987</v>
      </c>
      <c r="D264" s="65">
        <f>+D278</f>
        <v>-61908290</v>
      </c>
      <c r="E264" s="65">
        <f>+E278</f>
        <v>0</v>
      </c>
      <c r="F264" s="65">
        <f>+F278</f>
        <v>3060120402.4200006</v>
      </c>
      <c r="G264" s="66">
        <f t="shared" si="60"/>
        <v>0.35865222366154659</v>
      </c>
      <c r="H264" s="23">
        <f t="shared" si="61"/>
        <v>-5.3395578341219239E-2</v>
      </c>
      <c r="I264" s="24">
        <f t="shared" si="61"/>
        <v>0</v>
      </c>
      <c r="J264" s="32" t="str" cm="1">
        <f t="array" ref="J264">IFERROR(_xlfn.IFS(B264="044 - BLEND TRADICION","BLEND",B264="113 - CAFÉ GOURMET","GOURMET",B264="114 - CAFÉ CONSUMO","CONSUMO",B264="112 - CAFÉ ORGANICO","GOURMET",B264="172 - CAFÉ COSECHA","ESPECIALES",B264="176 - CAFE DESCAFEINADO","GOURMET",B264="147 - CAPSULAS","CAPSULAS",B264="130 - GALLETAS CAFECITAS","DERIVADOS",B264="140 - MERENGUES","DERIVADOS",B264="100 - CAFÉ ESPECIAL","ESPECIALES",B264="141 - AREQUIPE","DERIVADOS",B264="142 - MERMELADA","DERIVADOS",B264="131 - GALLETAS AVENA","DERIVADOS",B264="160 - SOUVENIR","OTROS",B264="148 - CARAMELOS","DERIVADOS",B264="143 - CHOCOFFES","DERIVADOS",B264="162 - CONVENIOS Y DSC POS ","OTROS"),"OTROS")</f>
        <v>OTROS</v>
      </c>
      <c r="K264" s="6"/>
      <c r="L264" s="27">
        <f t="shared" si="64"/>
        <v>1159427277</v>
      </c>
      <c r="M264" s="27">
        <f t="shared" si="63"/>
        <v>1159427277</v>
      </c>
    </row>
    <row r="265" spans="1:13" s="26" customFormat="1" ht="15.75" hidden="1" customHeight="1" outlineLevel="1">
      <c r="A265" s="67"/>
      <c r="B265" s="34" t="s">
        <v>18</v>
      </c>
      <c r="C265" s="68">
        <v>521600</v>
      </c>
      <c r="D265" s="68">
        <v>0</v>
      </c>
      <c r="E265" s="35">
        <v>0</v>
      </c>
      <c r="F265" s="35">
        <v>4301469.12</v>
      </c>
      <c r="G265" s="49">
        <f t="shared" si="60"/>
        <v>0.12126089609124056</v>
      </c>
      <c r="H265" s="23">
        <f t="shared" si="61"/>
        <v>0</v>
      </c>
      <c r="I265" s="24">
        <f t="shared" si="61"/>
        <v>0</v>
      </c>
      <c r="J265" s="32" t="str" cm="1">
        <f t="array" ref="J265">IFERROR(_xlfn.IFS(B265="044 - BLEND TRADICION","BLEND",B265="113 - CAFÉ GOURMET","GOURMET",B265="114 - CAFÉ CONSUMO","CONSUMO",B265="112 - CAFÉ ORGANICO","GOURMET",B265="172 - CAFÉ COSECHA","ESPECIALES",B265="176 - CAFE DESCAFEINADO","GOURMET",B265="147 - CAPSULAS","CAPSULAS",B265="130 - GALLETAS CAFECITAS","DERIVADOS",B265="140 - MERENGUES","DERIVADOS",B265="100 - CAFÉ ESPECIAL","ESPECIALES",B265="141 - AREQUIPE","DERIVADOS",B265="142 - MERMELADA","DERIVADOS",B265="131 - GALLETAS AVENA","DERIVADOS",B265="160 - SOUVENIR","OTROS",B265="148 - CARAMELOS","DERIVADOS",B265="143 - CHOCOFFES","DERIVADOS",B265="162 - CONVENIOS Y DSC POS ","OTROS"),"OTROS")</f>
        <v>BLEND</v>
      </c>
      <c r="L265" s="27">
        <f t="shared" si="64"/>
        <v>521600</v>
      </c>
      <c r="M265" s="27">
        <f t="shared" si="63"/>
        <v>521600</v>
      </c>
    </row>
    <row r="266" spans="1:13" s="26" customFormat="1" ht="15.75" hidden="1" customHeight="1" outlineLevel="1">
      <c r="A266" s="67"/>
      <c r="B266" s="39" t="s">
        <v>19</v>
      </c>
      <c r="C266" s="60">
        <v>57246426</v>
      </c>
      <c r="D266" s="60">
        <v>-7848862</v>
      </c>
      <c r="E266" s="36"/>
      <c r="F266" s="35">
        <v>133747007.69</v>
      </c>
      <c r="G266" s="37">
        <f t="shared" si="60"/>
        <v>0.4280202375270053</v>
      </c>
      <c r="H266" s="23">
        <f t="shared" si="61"/>
        <v>-0.12057496388985943</v>
      </c>
      <c r="I266" s="24">
        <f t="shared" si="61"/>
        <v>0</v>
      </c>
      <c r="J266" s="32" t="str" cm="1">
        <f t="array" ref="J266">IFERROR(_xlfn.IFS(B266="044 - BLEND TRADICION","BLEND",B266="113 - CAFÉ GOURMET","GOURMET",B266="114 - CAFÉ CONSUMO","CONSUMO",B266="112 - CAFÉ ORGANICO","GOURMET",B266="172 - CAFÉ COSECHA","ESPECIALES",B266="176 - CAFE DESCAFEINADO","GOURMET",B266="147 - CAPSULAS","CAPSULAS",B266="130 - GALLETAS CAFECITAS","DERIVADOS",B266="140 - MERENGUES","DERIVADOS",B266="100 - CAFÉ ESPECIAL","ESPECIALES",B266="141 - AREQUIPE","DERIVADOS",B266="142 - MERMELADA","DERIVADOS",B266="131 - GALLETAS AVENA","DERIVADOS",B266="160 - SOUVENIR","OTROS",B266="148 - CARAMELOS","DERIVADOS",B266="143 - CHOCOFFES","DERIVADOS",B266="162 - CONVENIOS Y DSC POS ","OTROS"),"OTROS")</f>
        <v>ESPECIALES</v>
      </c>
      <c r="L266" s="27">
        <f t="shared" si="64"/>
        <v>65095288</v>
      </c>
      <c r="M266" s="27">
        <f t="shared" si="63"/>
        <v>65095288</v>
      </c>
    </row>
    <row r="267" spans="1:13" s="26" customFormat="1" ht="15.75" hidden="1" customHeight="1" outlineLevel="1">
      <c r="A267" s="69"/>
      <c r="B267" s="39" t="s">
        <v>20</v>
      </c>
      <c r="C267" s="60">
        <v>46011034</v>
      </c>
      <c r="D267" s="60">
        <v>-927728</v>
      </c>
      <c r="E267" s="36">
        <v>0</v>
      </c>
      <c r="F267" s="36">
        <v>166140099.77000001</v>
      </c>
      <c r="G267" s="37">
        <f t="shared" si="60"/>
        <v>0.27694117232201299</v>
      </c>
      <c r="H267" s="23">
        <f t="shared" si="61"/>
        <v>-1.9764645688780627E-2</v>
      </c>
      <c r="I267" s="24">
        <f t="shared" si="61"/>
        <v>0</v>
      </c>
      <c r="J267" s="32" t="str" cm="1">
        <f t="array" ref="J267">IFERROR(_xlfn.IFS(B267="044 - BLEND TRADICION","BLEND",B267="113 - CAFÉ GOURMET","GOURMET",B267="114 - CAFÉ CONSUMO","CONSUMO",B267="112 - CAFÉ ORGANICO","GOURMET",B267="172 - CAFÉ COSECHA","ESPECIALES",B267="176 - CAFE DESCAFEINADO","GOURMET",B267="147 - CAPSULAS","CAPSULAS",B267="130 - GALLETAS CAFECITAS","DERIVADOS",B267="140 - MERENGUES","DERIVADOS",B267="100 - CAFÉ ESPECIAL","ESPECIALES",B267="141 - AREQUIPE","DERIVADOS",B267="142 - MERMELADA","DERIVADOS",B267="131 - GALLETAS AVENA","DERIVADOS",B267="160 - SOUVENIR","OTROS",B267="148 - CARAMELOS","DERIVADOS",B267="143 - CHOCOFFES","DERIVADOS",B267="162 - CONVENIOS Y DSC POS ","OTROS"),"OTROS")</f>
        <v>GOURMET</v>
      </c>
      <c r="L267" s="27">
        <f t="shared" si="64"/>
        <v>46938762</v>
      </c>
      <c r="M267" s="27">
        <f t="shared" si="63"/>
        <v>46938762</v>
      </c>
    </row>
    <row r="268" spans="1:13" s="26" customFormat="1" ht="15.75" hidden="1" customHeight="1" outlineLevel="1">
      <c r="A268" s="69"/>
      <c r="B268" s="39" t="s">
        <v>21</v>
      </c>
      <c r="C268" s="60">
        <v>863289655</v>
      </c>
      <c r="D268" s="60">
        <v>-15339248</v>
      </c>
      <c r="E268" s="36">
        <v>0</v>
      </c>
      <c r="F268" s="35">
        <v>2016617010.9000001</v>
      </c>
      <c r="G268" s="37">
        <f t="shared" si="60"/>
        <v>0.42808805555732204</v>
      </c>
      <c r="H268" s="23">
        <f t="shared" si="61"/>
        <v>-1.7458164587604057E-2</v>
      </c>
      <c r="I268" s="24">
        <f t="shared" si="61"/>
        <v>0</v>
      </c>
      <c r="J268" s="32" t="str" cm="1">
        <f t="array" ref="J268">IFERROR(_xlfn.IFS(B268="044 - BLEND TRADICION","BLEND",B268="113 - CAFÉ GOURMET","GOURMET",B268="114 - CAFÉ CONSUMO","CONSUMO",B268="112 - CAFÉ ORGANICO","GOURMET",B268="172 - CAFÉ COSECHA","ESPECIALES",B268="176 - CAFE DESCAFEINADO","GOURMET",B268="147 - CAPSULAS","CAPSULAS",B268="130 - GALLETAS CAFECITAS","DERIVADOS",B268="140 - MERENGUES","DERIVADOS",B268="100 - CAFÉ ESPECIAL","ESPECIALES",B268="141 - AREQUIPE","DERIVADOS",B268="142 - MERMELADA","DERIVADOS",B268="131 - GALLETAS AVENA","DERIVADOS",B268="160 - SOUVENIR","OTROS",B268="148 - CARAMELOS","DERIVADOS",B268="143 - CHOCOFFES","DERIVADOS",B268="162 - CONVENIOS Y DSC POS ","OTROS"),"OTROS")</f>
        <v>GOURMET</v>
      </c>
      <c r="L268" s="27">
        <f t="shared" si="64"/>
        <v>878628903</v>
      </c>
      <c r="M268" s="27">
        <f t="shared" si="63"/>
        <v>878628903</v>
      </c>
    </row>
    <row r="269" spans="1:13" s="26" customFormat="1" ht="15.75" hidden="1" customHeight="1" outlineLevel="1">
      <c r="A269" s="69"/>
      <c r="B269" s="39" t="s">
        <v>38</v>
      </c>
      <c r="C269" s="60">
        <v>-85592</v>
      </c>
      <c r="D269" s="60">
        <v>-85592</v>
      </c>
      <c r="E269" s="36">
        <v>0</v>
      </c>
      <c r="F269" s="36">
        <v>0</v>
      </c>
      <c r="G269" s="37" t="str">
        <f t="shared" si="60"/>
        <v>-</v>
      </c>
      <c r="H269" s="23">
        <f t="shared" si="61"/>
        <v>0</v>
      </c>
      <c r="I269" s="24">
        <f t="shared" si="61"/>
        <v>0</v>
      </c>
      <c r="J269" s="32" t="str" cm="1">
        <f t="array" ref="J269">IFERROR(_xlfn.IFS(B269="044 - BLEND TRADICION","BLEND",B269="113 - CAFÉ GOURMET","GOURMET",B269="114 - CAFÉ CONSUMO","CONSUMO",B269="112 - CAFÉ ORGANICO","GOURMET",B269="172 - CAFÉ COSECHA","ESPECIALES",B269="176 - CAFE DESCAFEINADO","GOURMET",B269="147 - CAPSULAS","CAPSULAS",B269="130 - GALLETAS CAFECITAS","DERIVADOS",B269="140 - MERENGUES","DERIVADOS",B269="100 - CAFÉ ESPECIAL","ESPECIALES",B269="141 - AREQUIPE","DERIVADOS",B269="142 - MERMELADA","DERIVADOS",B269="131 - GALLETAS AVENA","DERIVADOS",B269="160 - SOUVENIR","OTROS",B269="148 - CARAMELOS","DERIVADOS",B269="143 - CHOCOFFES","DERIVADOS",B269="162 - CONVENIOS Y DSC POS ","OTROS"),"OTROS")</f>
        <v>CONSUMO</v>
      </c>
      <c r="L269" s="27">
        <f t="shared" si="64"/>
        <v>0</v>
      </c>
      <c r="M269" s="27">
        <f t="shared" si="63"/>
        <v>0</v>
      </c>
    </row>
    <row r="270" spans="1:13" s="26" customFormat="1" ht="15.75" hidden="1" customHeight="1" outlineLevel="1">
      <c r="A270" s="69"/>
      <c r="B270" s="39" t="s">
        <v>22</v>
      </c>
      <c r="C270" s="60">
        <v>23914618</v>
      </c>
      <c r="D270" s="60">
        <v>-2367734</v>
      </c>
      <c r="E270" s="36"/>
      <c r="F270" s="35">
        <v>61087901.090000004</v>
      </c>
      <c r="G270" s="37">
        <f t="shared" si="60"/>
        <v>0.39147879650942513</v>
      </c>
      <c r="H270" s="23">
        <f t="shared" si="61"/>
        <v>-9.0088360432886677E-2</v>
      </c>
      <c r="I270" s="24">
        <f t="shared" si="61"/>
        <v>0</v>
      </c>
      <c r="J270" s="32" t="str" cm="1">
        <f t="array" ref="J270">IFERROR(_xlfn.IFS(B270="044 - BLEND TRADICION","BLEND",B270="113 - CAFÉ GOURMET","GOURMET",B270="114 - CAFÉ CONSUMO","CONSUMO",B270="112 - CAFÉ ORGANICO","GOURMET",B270="172 - CAFÉ COSECHA","ESPECIALES",B270="176 - CAFE DESCAFEINADO","GOURMET",B270="147 - CAPSULAS","CAPSULAS",B270="130 - GALLETAS CAFECITAS","DERIVADOS",B270="140 - MERENGUES","DERIVADOS",B270="100 - CAFÉ ESPECIAL","ESPECIALES",B270="141 - AREQUIPE","DERIVADOS",B270="142 - MERMELADA","DERIVADOS",B270="131 - GALLETAS AVENA","DERIVADOS",B270="160 - SOUVENIR","OTROS",B270="148 - CARAMELOS","DERIVADOS",B270="143 - CHOCOFFES","DERIVADOS",B270="162 - CONVENIOS Y DSC POS ","OTROS"),"OTROS")</f>
        <v>DERIVADOS</v>
      </c>
      <c r="L270" s="27">
        <f t="shared" si="64"/>
        <v>26282352</v>
      </c>
      <c r="M270" s="27">
        <f t="shared" si="63"/>
        <v>26282352</v>
      </c>
    </row>
    <row r="271" spans="1:13" s="26" customFormat="1" ht="15.75" hidden="1" customHeight="1" outlineLevel="1">
      <c r="A271" s="69"/>
      <c r="B271" s="39" t="s">
        <v>24</v>
      </c>
      <c r="C271" s="60">
        <v>5623745</v>
      </c>
      <c r="D271" s="60">
        <v>-557241</v>
      </c>
      <c r="E271" s="36"/>
      <c r="F271" s="35">
        <v>7233101.0300000003</v>
      </c>
      <c r="G271" s="37">
        <f t="shared" si="60"/>
        <v>0.77750123725286879</v>
      </c>
      <c r="H271" s="23">
        <f t="shared" si="61"/>
        <v>-9.0154062798394954E-2</v>
      </c>
      <c r="I271" s="24">
        <f t="shared" si="61"/>
        <v>0</v>
      </c>
      <c r="J271" s="32" t="str" cm="1">
        <f t="array" ref="J271">IFERROR(_xlfn.IFS(B271="044 - BLEND TRADICION","BLEND",B271="113 - CAFÉ GOURMET","GOURMET",B271="114 - CAFÉ CONSUMO","CONSUMO",B271="112 - CAFÉ ORGANICO","GOURMET",B271="172 - CAFÉ COSECHA","ESPECIALES",B271="176 - CAFE DESCAFEINADO","GOURMET",B271="147 - CAPSULAS","CAPSULAS",B271="130 - GALLETAS CAFECITAS","DERIVADOS",B271="140 - MERENGUES","DERIVADOS",B271="100 - CAFÉ ESPECIAL","ESPECIALES",B271="141 - AREQUIPE","DERIVADOS",B271="142 - MERMELADA","DERIVADOS",B271="131 - GALLETAS AVENA","DERIVADOS",B271="160 - SOUVENIR","OTROS",B271="148 - CARAMELOS","DERIVADOS",B271="143 - CHOCOFFES","DERIVADOS",B271="162 - CONVENIOS Y DSC POS ","OTROS"),"OTROS")</f>
        <v>DERIVADOS</v>
      </c>
      <c r="L271" s="27">
        <f t="shared" si="64"/>
        <v>6180986</v>
      </c>
      <c r="M271" s="27">
        <f t="shared" si="63"/>
        <v>6180986</v>
      </c>
    </row>
    <row r="272" spans="1:13" s="26" customFormat="1" ht="15.75" hidden="1" customHeight="1" outlineLevel="1">
      <c r="A272" s="69"/>
      <c r="B272" s="39" t="s">
        <v>25</v>
      </c>
      <c r="C272" s="60">
        <v>2194139</v>
      </c>
      <c r="D272" s="60">
        <v>-149012</v>
      </c>
      <c r="E272" s="36"/>
      <c r="F272" s="35">
        <v>8769038.3300000001</v>
      </c>
      <c r="G272" s="37">
        <f t="shared" si="60"/>
        <v>0.25021432424278162</v>
      </c>
      <c r="H272" s="23">
        <f t="shared" si="61"/>
        <v>-6.3594706444441693E-2</v>
      </c>
      <c r="I272" s="24">
        <f t="shared" si="61"/>
        <v>0</v>
      </c>
      <c r="J272" s="32" t="str" cm="1">
        <f t="array" ref="J272">IFERROR(_xlfn.IFS(B272="044 - BLEND TRADICION","BLEND",B272="113 - CAFÉ GOURMET","GOURMET",B272="114 - CAFÉ CONSUMO","CONSUMO",B272="112 - CAFÉ ORGANICO","GOURMET",B272="172 - CAFÉ COSECHA","ESPECIALES",B272="176 - CAFE DESCAFEINADO","GOURMET",B272="147 - CAPSULAS","CAPSULAS",B272="130 - GALLETAS CAFECITAS","DERIVADOS",B272="140 - MERENGUES","DERIVADOS",B272="100 - CAFÉ ESPECIAL","ESPECIALES",B272="141 - AREQUIPE","DERIVADOS",B272="142 - MERMELADA","DERIVADOS",B272="131 - GALLETAS AVENA","DERIVADOS",B272="160 - SOUVENIR","OTROS",B272="148 - CARAMELOS","DERIVADOS",B272="143 - CHOCOFFES","DERIVADOS",B272="162 - CONVENIOS Y DSC POS ","OTROS"),"OTROS")</f>
        <v>DERIVADOS</v>
      </c>
      <c r="L272" s="27">
        <f t="shared" si="64"/>
        <v>2343151</v>
      </c>
      <c r="M272" s="27">
        <f t="shared" si="63"/>
        <v>2343151</v>
      </c>
    </row>
    <row r="273" spans="1:13" s="26" customFormat="1" ht="15.75" hidden="1" customHeight="1" outlineLevel="1">
      <c r="A273" s="69"/>
      <c r="B273" s="39" t="s">
        <v>26</v>
      </c>
      <c r="C273" s="60">
        <v>7257505</v>
      </c>
      <c r="D273" s="60">
        <v>-27042597</v>
      </c>
      <c r="E273" s="36">
        <v>0</v>
      </c>
      <c r="F273" s="36">
        <v>155253232.08000001</v>
      </c>
      <c r="G273" s="37">
        <f t="shared" si="60"/>
        <v>4.6746240981703366E-2</v>
      </c>
      <c r="H273" s="23">
        <f t="shared" si="61"/>
        <v>-0.78841156215803676</v>
      </c>
      <c r="I273" s="24">
        <f t="shared" si="61"/>
        <v>0</v>
      </c>
      <c r="J273" s="32" t="str" cm="1">
        <f t="array" ref="J273">IFERROR(_xlfn.IFS(B273="044 - BLEND TRADICION","BLEND",B273="113 - CAFÉ GOURMET","GOURMET",B273="114 - CAFÉ CONSUMO","CONSUMO",B273="112 - CAFÉ ORGANICO","GOURMET",B273="172 - CAFÉ COSECHA","ESPECIALES",B273="176 - CAFE DESCAFEINADO","GOURMET",B273="147 - CAPSULAS","CAPSULAS",B273="130 - GALLETAS CAFECITAS","DERIVADOS",B273="140 - MERENGUES","DERIVADOS",B273="100 - CAFÉ ESPECIAL","ESPECIALES",B273="141 - AREQUIPE","DERIVADOS",B273="142 - MERMELADA","DERIVADOS",B273="131 - GALLETAS AVENA","DERIVADOS",B273="160 - SOUVENIR","OTROS",B273="148 - CARAMELOS","DERIVADOS",B273="143 - CHOCOFFES","DERIVADOS",B273="162 - CONVENIOS Y DSC POS ","OTROS"),"OTROS")</f>
        <v>CAPSULAS</v>
      </c>
      <c r="L273" s="27">
        <f t="shared" si="64"/>
        <v>34300102</v>
      </c>
      <c r="M273" s="27">
        <f t="shared" si="63"/>
        <v>34300102</v>
      </c>
    </row>
    <row r="274" spans="1:13" s="26" customFormat="1" ht="15.75" hidden="1" customHeight="1" outlineLevel="1">
      <c r="A274" s="69"/>
      <c r="B274" s="39" t="s">
        <v>27</v>
      </c>
      <c r="C274" s="60">
        <v>2137498</v>
      </c>
      <c r="D274" s="60">
        <v>0</v>
      </c>
      <c r="E274" s="36">
        <v>0</v>
      </c>
      <c r="F274" s="35">
        <v>5439026.3600000003</v>
      </c>
      <c r="G274" s="37">
        <f t="shared" si="60"/>
        <v>0.3929927635062978</v>
      </c>
      <c r="H274" s="23">
        <f t="shared" si="61"/>
        <v>0</v>
      </c>
      <c r="I274" s="24">
        <f t="shared" si="61"/>
        <v>0</v>
      </c>
      <c r="J274" s="32" t="str" cm="1">
        <f t="array" ref="J274">IFERROR(_xlfn.IFS(B274="044 - BLEND TRADICION","BLEND",B274="113 - CAFÉ GOURMET","GOURMET",B274="114 - CAFÉ CONSUMO","CONSUMO",B274="112 - CAFÉ ORGANICO","GOURMET",B274="172 - CAFÉ COSECHA","ESPECIALES",B274="176 - CAFE DESCAFEINADO","GOURMET",B274="147 - CAPSULAS","CAPSULAS",B274="130 - GALLETAS CAFECITAS","DERIVADOS",B274="140 - MERENGUES","DERIVADOS",B274="100 - CAFÉ ESPECIAL","ESPECIALES",B274="141 - AREQUIPE","DERIVADOS",B274="142 - MERMELADA","DERIVADOS",B274="131 - GALLETAS AVENA","DERIVADOS",B274="160 - SOUVENIR","OTROS",B274="148 - CARAMELOS","DERIVADOS",B274="143 - CHOCOFFES","DERIVADOS",B274="162 - CONVENIOS Y DSC POS ","OTROS"),"OTROS")</f>
        <v>DERIVADOS</v>
      </c>
      <c r="L274" s="27">
        <f t="shared" si="64"/>
        <v>2137498</v>
      </c>
      <c r="M274" s="27">
        <f t="shared" si="63"/>
        <v>2137498</v>
      </c>
    </row>
    <row r="275" spans="1:13" s="26" customFormat="1" ht="15.75" hidden="1" customHeight="1" outlineLevel="1">
      <c r="A275" s="69"/>
      <c r="B275" s="39" t="s">
        <v>28</v>
      </c>
      <c r="C275" s="60">
        <v>43601391</v>
      </c>
      <c r="D275" s="60">
        <v>-1217631</v>
      </c>
      <c r="E275" s="36">
        <v>0</v>
      </c>
      <c r="F275" s="36">
        <v>137373469.31999999</v>
      </c>
      <c r="G275" s="37">
        <f t="shared" si="60"/>
        <v>0.31739309792369158</v>
      </c>
      <c r="H275" s="23">
        <f t="shared" si="61"/>
        <v>-2.7167728024051929E-2</v>
      </c>
      <c r="I275" s="24">
        <f t="shared" si="61"/>
        <v>0</v>
      </c>
      <c r="J275" s="32" t="str" cm="1">
        <f t="array" ref="J275">IFERROR(_xlfn.IFS(B275="044 - BLEND TRADICION","BLEND",B275="113 - CAFÉ GOURMET","GOURMET",B275="114 - CAFÉ CONSUMO","CONSUMO",B275="112 - CAFÉ ORGANICO","GOURMET",B275="172 - CAFÉ COSECHA","ESPECIALES",B275="176 - CAFE DESCAFEINADO","GOURMET",B275="147 - CAPSULAS","CAPSULAS",B275="130 - GALLETAS CAFECITAS","DERIVADOS",B275="140 - MERENGUES","DERIVADOS",B275="100 - CAFÉ ESPECIAL","ESPECIALES",B275="141 - AREQUIPE","DERIVADOS",B275="142 - MERMELADA","DERIVADOS",B275="131 - GALLETAS AVENA","DERIVADOS",B275="160 - SOUVENIR","OTROS",B275="148 - CARAMELOS","DERIVADOS",B275="143 - CHOCOFFES","DERIVADOS",B275="162 - CONVENIOS Y DSC POS ","OTROS"),"OTROS")</f>
        <v>OTROS</v>
      </c>
      <c r="L275" s="27">
        <f t="shared" si="64"/>
        <v>44819022</v>
      </c>
      <c r="M275" s="27">
        <f t="shared" si="63"/>
        <v>44819022</v>
      </c>
    </row>
    <row r="276" spans="1:13" ht="15.75" hidden="1" customHeight="1" outlineLevel="1">
      <c r="A276" s="33"/>
      <c r="B276" s="45" t="s">
        <v>29</v>
      </c>
      <c r="C276" s="151">
        <v>36664581</v>
      </c>
      <c r="D276" s="152">
        <v>-6274188</v>
      </c>
      <c r="E276" s="152">
        <v>0</v>
      </c>
      <c r="F276" s="36">
        <v>320749097.20999998</v>
      </c>
      <c r="G276" s="37"/>
      <c r="H276" s="23">
        <f t="shared" si="61"/>
        <v>-0.14611941949244051</v>
      </c>
      <c r="I276" s="24">
        <f t="shared" si="61"/>
        <v>0</v>
      </c>
      <c r="J276" s="32" t="str" cm="1">
        <f t="array" ref="J276">IFERROR(_xlfn.IFS(B276="044 - BLEND TRADICION","BLEND",B276="113 - CAFÉ GOURMET","GOURMET",B276="114 - CAFÉ CONSUMO","CONSUMO",B276="112 - CAFÉ ORGANICO","GOURMET",B276="172 - CAFÉ COSECHA","ESPECIALES",B276="176 - CAFE DESCAFEINADO","GOURMET",B276="147 - CAPSULAS","CAPSULAS",B276="130 - GALLETAS CAFECITAS","DERIVADOS",B276="140 - MERENGUES","DERIVADOS",B276="100 - CAFÉ ESPECIAL","ESPECIALES",B276="141 - AREQUIPE","DERIVADOS",B276="142 - MERMELADA","DERIVADOS",B276="131 - GALLETAS AVENA","DERIVADOS",B276="160 - SOUVENIR","OTROS",B276="148 - CARAMELOS","DERIVADOS",B276="143 - CHOCOFFES","DERIVADOS",B276="162 - CONVENIOS Y DSC POS ","OTROS"),"OTROS")</f>
        <v>ESPECIALES</v>
      </c>
      <c r="K276" s="6"/>
      <c r="L276" s="27">
        <f t="shared" si="64"/>
        <v>42938769</v>
      </c>
      <c r="M276" s="27">
        <f t="shared" si="63"/>
        <v>42938769</v>
      </c>
    </row>
    <row r="277" spans="1:13" s="26" customFormat="1" ht="15.75" hidden="1" customHeight="1" outlineLevel="1">
      <c r="A277" s="69"/>
      <c r="B277" s="39" t="s">
        <v>30</v>
      </c>
      <c r="C277" s="60">
        <v>9142387</v>
      </c>
      <c r="D277" s="60">
        <v>-98457</v>
      </c>
      <c r="E277" s="36">
        <v>0</v>
      </c>
      <c r="F277" s="36">
        <v>43409949.520000003</v>
      </c>
      <c r="G277" s="37">
        <f t="shared" si="60"/>
        <v>0.21060579662245135</v>
      </c>
      <c r="H277" s="23">
        <f t="shared" si="61"/>
        <v>-1.0654546273046055E-2</v>
      </c>
      <c r="I277" s="24">
        <f t="shared" si="61"/>
        <v>0</v>
      </c>
      <c r="J277" s="32" t="str" cm="1">
        <f t="array" ref="J277">IFERROR(_xlfn.IFS(B277="044 - BLEND TRADICION","BLEND",B277="113 - CAFÉ GOURMET","GOURMET",B277="114 - CAFÉ CONSUMO","CONSUMO",B277="112 - CAFÉ ORGANICO","GOURMET",B277="172 - CAFÉ COSECHA","ESPECIALES",B277="176 - CAFE DESCAFEINADO","GOURMET",B277="147 - CAPSULAS","CAPSULAS",B277="130 - GALLETAS CAFECITAS","DERIVADOS",B277="140 - MERENGUES","DERIVADOS",B277="100 - CAFÉ ESPECIAL","ESPECIALES",B277="141 - AREQUIPE","DERIVADOS",B277="142 - MERMELADA","DERIVADOS",B277="131 - GALLETAS AVENA","DERIVADOS",B277="160 - SOUVENIR","OTROS",B277="148 - CARAMELOS","DERIVADOS",B277="143 - CHOCOFFES","DERIVADOS",B277="162 - CONVENIOS Y DSC POS ","OTROS"),"OTROS")</f>
        <v>GOURMET</v>
      </c>
      <c r="L277" s="27">
        <f t="shared" si="64"/>
        <v>9240844</v>
      </c>
      <c r="M277" s="27">
        <f t="shared" si="63"/>
        <v>9240844</v>
      </c>
    </row>
    <row r="278" spans="1:13" s="26" customFormat="1" ht="15.75" hidden="1" customHeight="1" outlineLevel="1" thickBot="1">
      <c r="A278" s="70" t="s">
        <v>66</v>
      </c>
      <c r="B278" s="56" t="s">
        <v>32</v>
      </c>
      <c r="C278" s="54">
        <f>SUM(C265:C277)</f>
        <v>1097518987</v>
      </c>
      <c r="D278" s="54">
        <f>SUM(D265:D277)</f>
        <v>-61908290</v>
      </c>
      <c r="E278" s="54">
        <f>SUM(E265:E277)</f>
        <v>0</v>
      </c>
      <c r="F278" s="71">
        <f>SUM(F265:F277)</f>
        <v>3060120402.4200006</v>
      </c>
      <c r="G278" s="72">
        <f t="shared" si="60"/>
        <v>0.35865222366154659</v>
      </c>
      <c r="H278" s="73">
        <f t="shared" si="61"/>
        <v>-5.3395578341219239E-2</v>
      </c>
      <c r="I278" s="74">
        <f t="shared" si="61"/>
        <v>0</v>
      </c>
      <c r="J278" s="32"/>
      <c r="L278" s="27">
        <f t="shared" si="64"/>
        <v>1159427277</v>
      </c>
      <c r="M278" s="27">
        <f t="shared" si="63"/>
        <v>1159427277</v>
      </c>
    </row>
    <row r="279" spans="1:13" s="26" customFormat="1" ht="17" collapsed="1" thickBot="1">
      <c r="A279" s="181" t="s">
        <v>67</v>
      </c>
      <c r="B279" s="182"/>
      <c r="C279" s="75">
        <f>+C63+C113+C199+C216+C248+C5+C233+C264+C21</f>
        <v>2404610392</v>
      </c>
      <c r="D279" s="75">
        <f>+D63+D113+D199+D216+D248+D5+D233+D264+D21</f>
        <v>-83492493</v>
      </c>
      <c r="E279" s="75">
        <f>+E63+E113+E199+E216+E248+E5+E233+E264+E21</f>
        <v>-3052123</v>
      </c>
      <c r="F279" s="75">
        <f>+F63+F113+F199+F216+F248+F5+F233+F264+F21</f>
        <v>6124056260.9800005</v>
      </c>
      <c r="G279" s="76">
        <f>IFERROR(C279/F279*100%,"-")</f>
        <v>0.39264995119675844</v>
      </c>
      <c r="H279" s="76">
        <f t="shared" si="61"/>
        <v>-3.3515575197799977E-2</v>
      </c>
      <c r="I279" s="77">
        <f t="shared" si="61"/>
        <v>-1.2251838967059572E-3</v>
      </c>
      <c r="J279" s="32"/>
      <c r="L279" s="27">
        <f t="shared" si="64"/>
        <v>2491155008</v>
      </c>
      <c r="M279" s="27">
        <f>L279</f>
        <v>2491155008</v>
      </c>
    </row>
    <row r="280" spans="1:13" s="26" customFormat="1" ht="16.5">
      <c r="A280" s="6" t="s">
        <v>68</v>
      </c>
      <c r="B280" s="6" t="s">
        <v>68</v>
      </c>
      <c r="C280" s="78"/>
      <c r="D280" s="78"/>
      <c r="E280" s="78"/>
      <c r="F280" s="79"/>
      <c r="G280" s="79"/>
      <c r="H280" s="6"/>
      <c r="I280" s="6"/>
      <c r="J280" s="32"/>
    </row>
    <row r="281" spans="1:13" s="26" customFormat="1" ht="16.5">
      <c r="A281" s="183" t="s">
        <v>69</v>
      </c>
      <c r="B281" s="184"/>
      <c r="C281" s="187"/>
      <c r="D281" s="187"/>
      <c r="E281" s="187"/>
      <c r="F281" s="188"/>
      <c r="G281" s="79"/>
      <c r="H281" s="6"/>
      <c r="I281" s="6"/>
      <c r="J281" s="32"/>
    </row>
    <row r="282" spans="1:13" s="26" customFormat="1" ht="16.5">
      <c r="A282" s="185"/>
      <c r="B282" s="186"/>
      <c r="C282" s="171"/>
      <c r="D282" s="171"/>
      <c r="E282" s="171"/>
      <c r="F282" s="172"/>
      <c r="G282" s="79"/>
      <c r="H282" s="6"/>
      <c r="I282" s="6"/>
      <c r="J282" s="32"/>
    </row>
    <row r="283" spans="1:13" s="26" customFormat="1" ht="16.5">
      <c r="A283" s="80"/>
      <c r="B283" s="12" t="s">
        <v>2</v>
      </c>
      <c r="C283" s="13" t="s">
        <v>3</v>
      </c>
      <c r="D283" s="13" t="s">
        <v>4</v>
      </c>
      <c r="E283" s="13" t="s">
        <v>6</v>
      </c>
      <c r="F283" s="15" t="s">
        <v>7</v>
      </c>
      <c r="G283" s="81" t="s">
        <v>8</v>
      </c>
      <c r="H283" s="6"/>
      <c r="I283" s="6"/>
      <c r="J283" s="32"/>
    </row>
    <row r="284" spans="1:13" s="26" customFormat="1" ht="16.5">
      <c r="A284" s="82"/>
      <c r="B284" s="83" t="s">
        <v>62</v>
      </c>
      <c r="C284" s="164">
        <v>18333</v>
      </c>
      <c r="D284" s="164">
        <v>0</v>
      </c>
      <c r="E284" s="164">
        <v>0</v>
      </c>
      <c r="F284" s="85" t="str">
        <f>IFERROR(C284/E284*100%,"-")</f>
        <v>-</v>
      </c>
      <c r="G284" s="85">
        <f t="shared" ref="G284:G306" si="65">IFERROR((D284/C284)*100%,"-")</f>
        <v>0</v>
      </c>
      <c r="H284" s="6"/>
      <c r="I284" s="6"/>
      <c r="J284" s="32"/>
    </row>
    <row r="285" spans="1:13" s="26" customFormat="1" ht="16.5">
      <c r="A285" s="82"/>
      <c r="B285" s="83" t="s">
        <v>34</v>
      </c>
      <c r="C285" s="164">
        <v>32917606</v>
      </c>
      <c r="D285" s="164">
        <v>-3928366</v>
      </c>
      <c r="E285" s="164">
        <v>54501464.539999999</v>
      </c>
      <c r="F285" s="85">
        <f t="shared" ref="F285:F306" si="66">IFERROR(C285/E285*100%,"-")</f>
        <v>0.60397654040729376</v>
      </c>
      <c r="G285" s="85">
        <f t="shared" si="65"/>
        <v>-0.11933935900441849</v>
      </c>
      <c r="H285" s="6"/>
      <c r="I285" s="6"/>
      <c r="J285" s="32"/>
    </row>
    <row r="286" spans="1:13" s="26" customFormat="1" ht="16.5">
      <c r="A286" s="82"/>
      <c r="B286" s="83" t="s">
        <v>95</v>
      </c>
      <c r="C286" s="164">
        <v>522421</v>
      </c>
      <c r="D286" s="164">
        <v>-82846</v>
      </c>
      <c r="E286" s="164">
        <v>0</v>
      </c>
      <c r="F286" s="85" t="str">
        <f t="shared" si="66"/>
        <v>-</v>
      </c>
      <c r="G286" s="85">
        <f t="shared" si="65"/>
        <v>-0.15858091462632629</v>
      </c>
      <c r="H286" s="6"/>
      <c r="I286" s="6"/>
      <c r="J286" s="32"/>
    </row>
    <row r="287" spans="1:13" s="26" customFormat="1" ht="16.5">
      <c r="A287" s="82"/>
      <c r="B287" s="83" t="s">
        <v>42</v>
      </c>
      <c r="C287" s="164">
        <v>453449</v>
      </c>
      <c r="D287" s="164">
        <v>0</v>
      </c>
      <c r="E287" s="164">
        <v>0</v>
      </c>
      <c r="F287" s="85" t="str">
        <f t="shared" si="66"/>
        <v>-</v>
      </c>
      <c r="G287" s="85">
        <f t="shared" si="65"/>
        <v>0</v>
      </c>
      <c r="H287" s="6"/>
      <c r="I287" s="6"/>
      <c r="J287" s="32"/>
    </row>
    <row r="288" spans="1:13" s="26" customFormat="1" ht="16.5">
      <c r="A288" s="82"/>
      <c r="B288" s="83" t="s">
        <v>18</v>
      </c>
      <c r="C288" s="164">
        <v>227455876</v>
      </c>
      <c r="D288" s="164">
        <v>0</v>
      </c>
      <c r="E288" s="164">
        <v>507299188.97000003</v>
      </c>
      <c r="F288" s="85">
        <f t="shared" si="66"/>
        <v>0.44836633084672833</v>
      </c>
      <c r="G288" s="85">
        <f t="shared" si="65"/>
        <v>0</v>
      </c>
      <c r="H288" s="6"/>
      <c r="I288" s="6"/>
      <c r="J288" s="32"/>
    </row>
    <row r="289" spans="1:10" s="26" customFormat="1" ht="16.5">
      <c r="A289" s="82"/>
      <c r="B289" s="83" t="s">
        <v>36</v>
      </c>
      <c r="C289" s="164">
        <v>38539</v>
      </c>
      <c r="D289" s="164">
        <v>0</v>
      </c>
      <c r="E289" s="164">
        <v>0</v>
      </c>
      <c r="F289" s="85" t="str">
        <f t="shared" si="66"/>
        <v>-</v>
      </c>
      <c r="G289" s="85">
        <f t="shared" si="65"/>
        <v>0</v>
      </c>
      <c r="H289" s="6"/>
      <c r="I289" s="6"/>
      <c r="J289" s="32"/>
    </row>
    <row r="290" spans="1:10" s="26" customFormat="1" ht="16.5">
      <c r="A290" s="82"/>
      <c r="B290" s="83" t="s">
        <v>19</v>
      </c>
      <c r="C290" s="164">
        <v>85664961</v>
      </c>
      <c r="D290" s="164">
        <v>-8038946</v>
      </c>
      <c r="E290" s="164">
        <v>191019804.03</v>
      </c>
      <c r="F290" s="85">
        <f t="shared" si="66"/>
        <v>0.44846115006246245</v>
      </c>
      <c r="G290" s="85">
        <f t="shared" si="65"/>
        <v>-9.384170501169084E-2</v>
      </c>
      <c r="H290" s="6"/>
      <c r="I290" s="6"/>
      <c r="J290" s="32"/>
    </row>
    <row r="291" spans="1:10" s="26" customFormat="1" ht="16.5">
      <c r="A291" s="82"/>
      <c r="B291" s="83" t="s">
        <v>20</v>
      </c>
      <c r="C291" s="164">
        <v>68306925</v>
      </c>
      <c r="D291" s="164">
        <v>-927728</v>
      </c>
      <c r="E291" s="164">
        <v>223501100.75</v>
      </c>
      <c r="F291" s="85">
        <f t="shared" si="66"/>
        <v>0.30562232029633529</v>
      </c>
      <c r="G291" s="85">
        <f t="shared" si="65"/>
        <v>-1.3581756168938947E-2</v>
      </c>
      <c r="H291" s="6"/>
      <c r="I291" s="6"/>
      <c r="J291" s="32"/>
    </row>
    <row r="292" spans="1:10" s="26" customFormat="1" ht="16.5">
      <c r="A292" s="82"/>
      <c r="B292" s="83" t="s">
        <v>21</v>
      </c>
      <c r="C292" s="164">
        <v>1541194154</v>
      </c>
      <c r="D292" s="164">
        <v>-27859221</v>
      </c>
      <c r="E292" s="164">
        <v>3601471598.6100001</v>
      </c>
      <c r="F292" s="85">
        <f t="shared" si="66"/>
        <v>0.42793455725010549</v>
      </c>
      <c r="G292" s="85">
        <f t="shared" si="65"/>
        <v>-1.8076386370720687E-2</v>
      </c>
      <c r="H292" s="6"/>
      <c r="I292" s="6"/>
      <c r="J292" s="32"/>
    </row>
    <row r="293" spans="1:10" s="26" customFormat="1" ht="16.5">
      <c r="A293" s="82"/>
      <c r="B293" s="83" t="s">
        <v>38</v>
      </c>
      <c r="C293" s="164">
        <v>30647024</v>
      </c>
      <c r="D293" s="164">
        <v>-85592</v>
      </c>
      <c r="E293" s="164">
        <v>53476353.159999996</v>
      </c>
      <c r="F293" s="85">
        <f t="shared" si="66"/>
        <v>0.57309487631486056</v>
      </c>
      <c r="G293" s="85">
        <f t="shared" si="65"/>
        <v>-2.7928323480935703E-3</v>
      </c>
      <c r="H293" s="6"/>
      <c r="I293" s="6"/>
      <c r="J293" s="32"/>
    </row>
    <row r="294" spans="1:10" s="26" customFormat="1" ht="16.5">
      <c r="A294" s="82"/>
      <c r="B294" s="83" t="s">
        <v>22</v>
      </c>
      <c r="C294" s="164">
        <v>71471059</v>
      </c>
      <c r="D294" s="164">
        <v>-2964192</v>
      </c>
      <c r="E294" s="164">
        <v>217515060.65000001</v>
      </c>
      <c r="F294" s="85">
        <f t="shared" si="66"/>
        <v>0.32857981781318091</v>
      </c>
      <c r="G294" s="85">
        <f t="shared" si="65"/>
        <v>-4.1474018175664644E-2</v>
      </c>
      <c r="H294" s="6"/>
      <c r="I294" s="6"/>
      <c r="J294" s="32"/>
    </row>
    <row r="295" spans="1:10" s="26" customFormat="1" ht="16.5">
      <c r="A295" s="82"/>
      <c r="B295" s="83" t="s">
        <v>23</v>
      </c>
      <c r="C295" s="164">
        <v>309429</v>
      </c>
      <c r="D295" s="164">
        <v>-343068</v>
      </c>
      <c r="E295" s="164">
        <v>2178053.21</v>
      </c>
      <c r="F295" s="85">
        <f t="shared" si="66"/>
        <v>0.14206677714728558</v>
      </c>
      <c r="G295" s="85">
        <f t="shared" si="65"/>
        <v>-1.1087131458266679</v>
      </c>
      <c r="H295" s="6"/>
      <c r="I295" s="6"/>
      <c r="J295" s="32"/>
    </row>
    <row r="296" spans="1:10" s="26" customFormat="1" ht="16.5">
      <c r="A296" s="82"/>
      <c r="B296" s="83" t="s">
        <v>24</v>
      </c>
      <c r="C296" s="164">
        <v>11791004</v>
      </c>
      <c r="D296" s="164">
        <v>-586394</v>
      </c>
      <c r="E296" s="164">
        <v>22254856.469999999</v>
      </c>
      <c r="F296" s="85">
        <f t="shared" si="66"/>
        <v>0.52981712175472861</v>
      </c>
      <c r="G296" s="85">
        <f t="shared" si="65"/>
        <v>-4.9732321352787261E-2</v>
      </c>
      <c r="H296" s="6"/>
      <c r="I296" s="6"/>
      <c r="J296" s="32"/>
    </row>
    <row r="297" spans="1:10" s="26" customFormat="1" ht="16.5">
      <c r="A297" s="82"/>
      <c r="B297" s="83" t="s">
        <v>25</v>
      </c>
      <c r="C297" s="164">
        <v>30490217</v>
      </c>
      <c r="D297" s="164">
        <v>-209098</v>
      </c>
      <c r="E297" s="164">
        <v>73446237.840000004</v>
      </c>
      <c r="F297" s="85">
        <f t="shared" si="66"/>
        <v>0.41513653927954547</v>
      </c>
      <c r="G297" s="85">
        <f t="shared" si="65"/>
        <v>-6.857871821640364E-3</v>
      </c>
      <c r="H297" s="6"/>
      <c r="I297" s="6"/>
      <c r="J297" s="32"/>
    </row>
    <row r="298" spans="1:10" s="26" customFormat="1" ht="16.5">
      <c r="A298" s="82"/>
      <c r="B298" s="83" t="s">
        <v>26</v>
      </c>
      <c r="C298" s="164">
        <v>87298388</v>
      </c>
      <c r="D298" s="164">
        <v>-28885122</v>
      </c>
      <c r="E298" s="164">
        <v>283274900.44</v>
      </c>
      <c r="F298" s="85">
        <f t="shared" si="66"/>
        <v>0.30817551383621627</v>
      </c>
      <c r="G298" s="85">
        <f t="shared" si="65"/>
        <v>-0.33087806844726619</v>
      </c>
      <c r="H298" s="6"/>
      <c r="I298" s="6"/>
      <c r="J298" s="32"/>
    </row>
    <row r="299" spans="1:10" s="26" customFormat="1" ht="16.5">
      <c r="A299" s="82"/>
      <c r="B299" s="83" t="s">
        <v>27</v>
      </c>
      <c r="C299" s="164">
        <v>32968085</v>
      </c>
      <c r="D299" s="164">
        <v>-72858</v>
      </c>
      <c r="E299" s="164">
        <v>86150297.260000005</v>
      </c>
      <c r="F299" s="85">
        <f t="shared" si="66"/>
        <v>0.38268103591683417</v>
      </c>
      <c r="G299" s="85">
        <f t="shared" si="65"/>
        <v>-2.2099554766374812E-3</v>
      </c>
      <c r="H299" s="6"/>
      <c r="I299" s="6"/>
      <c r="J299" s="32"/>
    </row>
    <row r="300" spans="1:10" s="26" customFormat="1" ht="16.5">
      <c r="A300" s="82"/>
      <c r="B300" s="83" t="s">
        <v>28</v>
      </c>
      <c r="C300" s="164">
        <v>80244836</v>
      </c>
      <c r="D300" s="164">
        <v>-1344416</v>
      </c>
      <c r="E300" s="164">
        <v>247793209.88999999</v>
      </c>
      <c r="F300" s="85">
        <f t="shared" si="66"/>
        <v>0.323837913216517</v>
      </c>
      <c r="G300" s="85">
        <f t="shared" si="65"/>
        <v>-1.6753925448860035E-2</v>
      </c>
      <c r="H300" s="6"/>
      <c r="I300" s="6"/>
      <c r="J300" s="32"/>
    </row>
    <row r="301" spans="1:10" s="26" customFormat="1" ht="16.5">
      <c r="A301" s="82"/>
      <c r="B301" s="83" t="s">
        <v>39</v>
      </c>
      <c r="C301" s="164">
        <v>81408</v>
      </c>
      <c r="D301" s="164">
        <v>0</v>
      </c>
      <c r="E301" s="164">
        <v>0</v>
      </c>
      <c r="F301" s="85" t="str">
        <f t="shared" si="66"/>
        <v>-</v>
      </c>
      <c r="G301" s="85">
        <f t="shared" si="65"/>
        <v>0</v>
      </c>
      <c r="H301" s="6"/>
      <c r="I301" s="6"/>
      <c r="J301" s="32"/>
    </row>
    <row r="302" spans="1:10" s="26" customFormat="1" ht="16.5">
      <c r="A302" s="82"/>
      <c r="B302" s="83" t="s">
        <v>50</v>
      </c>
      <c r="C302" s="164">
        <v>8273076</v>
      </c>
      <c r="D302" s="164">
        <v>-3526924</v>
      </c>
      <c r="E302" s="164">
        <v>0</v>
      </c>
      <c r="F302" s="85" t="str">
        <f t="shared" si="66"/>
        <v>-</v>
      </c>
      <c r="G302" s="85">
        <f t="shared" si="65"/>
        <v>-0.42631350177370547</v>
      </c>
      <c r="H302" s="6"/>
      <c r="I302" s="6"/>
      <c r="J302" s="32"/>
    </row>
    <row r="303" spans="1:10" s="26" customFormat="1" ht="16.5">
      <c r="A303" s="82"/>
      <c r="B303" s="83" t="s">
        <v>29</v>
      </c>
      <c r="C303" s="164">
        <v>69847102</v>
      </c>
      <c r="D303" s="164">
        <v>-6885468</v>
      </c>
      <c r="E303" s="164">
        <v>442463603.77999997</v>
      </c>
      <c r="F303" s="85">
        <f t="shared" si="66"/>
        <v>0.15785954235171196</v>
      </c>
      <c r="G303" s="85">
        <f t="shared" si="65"/>
        <v>-9.8579150785668965E-2</v>
      </c>
      <c r="H303" s="6"/>
      <c r="I303" s="6"/>
      <c r="J303" s="32"/>
    </row>
    <row r="304" spans="1:10" s="26" customFormat="1" ht="16.5">
      <c r="A304" s="82"/>
      <c r="B304" s="83" t="s">
        <v>30</v>
      </c>
      <c r="C304" s="164">
        <v>17868116</v>
      </c>
      <c r="D304" s="164">
        <v>-98457</v>
      </c>
      <c r="E304" s="164">
        <v>61750737.539999999</v>
      </c>
      <c r="F304" s="85">
        <f t="shared" si="66"/>
        <v>0.28935874633765551</v>
      </c>
      <c r="G304" s="85">
        <f t="shared" si="65"/>
        <v>-5.5102060004535453E-3</v>
      </c>
      <c r="H304" s="6"/>
      <c r="I304" s="6"/>
      <c r="J304" s="32"/>
    </row>
    <row r="305" spans="1:31" s="26" customFormat="1" ht="16.5">
      <c r="A305" s="82"/>
      <c r="B305" s="83" t="s">
        <v>92</v>
      </c>
      <c r="C305" s="164">
        <v>7050120</v>
      </c>
      <c r="D305" s="164">
        <v>0</v>
      </c>
      <c r="E305" s="164">
        <v>0</v>
      </c>
      <c r="F305" s="85" t="str">
        <f t="shared" si="66"/>
        <v>-</v>
      </c>
      <c r="G305" s="85">
        <f t="shared" si="65"/>
        <v>0</v>
      </c>
      <c r="H305" s="6"/>
      <c r="I305" s="6"/>
      <c r="J305" s="32"/>
    </row>
    <row r="306" spans="1:31" s="26" customFormat="1">
      <c r="A306" s="82"/>
      <c r="B306" s="83" t="s">
        <v>31</v>
      </c>
      <c r="C306" s="164">
        <v>-301736</v>
      </c>
      <c r="D306" s="164">
        <v>-1160236</v>
      </c>
      <c r="E306" s="164">
        <v>0</v>
      </c>
      <c r="F306" s="85" t="str">
        <f t="shared" si="66"/>
        <v>-</v>
      </c>
      <c r="G306" s="85">
        <f t="shared" si="65"/>
        <v>3.8452024286130921</v>
      </c>
      <c r="H306" s="6"/>
      <c r="I306" s="6"/>
    </row>
    <row r="307" spans="1:31" s="79" customFormat="1" ht="16.5">
      <c r="A307" s="82"/>
      <c r="B307" s="86" t="s">
        <v>32</v>
      </c>
      <c r="C307" s="87">
        <f>SUM(C284:C306)</f>
        <v>2404610392</v>
      </c>
      <c r="D307" s="87">
        <f>SUM(D284:D306)</f>
        <v>-86998932</v>
      </c>
      <c r="E307" s="87">
        <f>SUM(E284:E306)</f>
        <v>6068096467.1399994</v>
      </c>
      <c r="F307" s="88">
        <f>C307/E307*100%</f>
        <v>0.39627095663713718</v>
      </c>
      <c r="G307" s="88">
        <v>2.1700000000000001E-2</v>
      </c>
      <c r="H307" s="6"/>
      <c r="I307" s="27"/>
      <c r="J307" s="32"/>
      <c r="K307" s="26"/>
      <c r="L307" s="26"/>
      <c r="M307" s="26"/>
      <c r="O307" s="26"/>
      <c r="P307" s="26"/>
      <c r="R307" s="26"/>
      <c r="S307" s="26"/>
      <c r="U307" s="26"/>
      <c r="V307" s="26"/>
      <c r="X307" s="26"/>
      <c r="Y307" s="26"/>
      <c r="Z307" s="26"/>
      <c r="AA307" s="26"/>
      <c r="AB307" s="26"/>
      <c r="AC307" s="26"/>
      <c r="AD307" s="26"/>
      <c r="AE307" s="26"/>
    </row>
    <row r="308" spans="1:31" s="79" customFormat="1">
      <c r="A308" s="89"/>
      <c r="B308" s="90"/>
      <c r="C308" s="91"/>
      <c r="D308" s="91"/>
      <c r="E308" s="91"/>
      <c r="F308" s="92"/>
      <c r="H308" s="6"/>
      <c r="I308" s="6"/>
      <c r="J308" s="83" t="s">
        <v>50</v>
      </c>
      <c r="K308" s="26"/>
      <c r="L308" s="93"/>
      <c r="M308" s="26"/>
      <c r="O308" s="26"/>
      <c r="P308" s="26"/>
      <c r="R308" s="26"/>
      <c r="S308" s="26"/>
      <c r="X308" s="26"/>
      <c r="Y308" s="26"/>
      <c r="Z308" s="26"/>
      <c r="AA308" s="26"/>
      <c r="AB308" s="26"/>
      <c r="AD308" s="26"/>
      <c r="AE308" s="26"/>
    </row>
    <row r="309" spans="1:31" s="79" customFormat="1" ht="16.5">
      <c r="A309" s="165">
        <f>+A1</f>
        <v>46248</v>
      </c>
      <c r="B309" s="166"/>
      <c r="C309" s="169"/>
      <c r="D309" s="169"/>
      <c r="E309" s="169"/>
      <c r="F309" s="170"/>
      <c r="H309" s="6"/>
      <c r="I309" s="6"/>
      <c r="J309" s="32"/>
      <c r="K309" s="26"/>
      <c r="L309" s="27"/>
      <c r="M309" s="26"/>
      <c r="O309" s="26"/>
      <c r="P309" s="26"/>
      <c r="R309" s="26"/>
      <c r="S309" s="26"/>
      <c r="X309" s="26"/>
      <c r="Y309" s="26"/>
      <c r="Z309" s="26"/>
      <c r="AA309" s="26"/>
      <c r="AB309" s="26"/>
      <c r="AD309" s="26"/>
      <c r="AE309" s="26"/>
    </row>
    <row r="310" spans="1:31" s="78" customFormat="1">
      <c r="A310" s="167"/>
      <c r="B310" s="168"/>
      <c r="C310" s="171"/>
      <c r="D310" s="171"/>
      <c r="E310" s="171"/>
      <c r="F310" s="172"/>
      <c r="G310" s="94">
        <f>+H2</f>
        <v>0.42857142857142855</v>
      </c>
      <c r="H310" s="6"/>
      <c r="I310" s="6"/>
      <c r="J310" s="27"/>
      <c r="K310" s="26"/>
      <c r="L310" s="26"/>
      <c r="M310" s="26"/>
      <c r="O310" s="26"/>
      <c r="P310" s="26"/>
      <c r="R310" s="26"/>
      <c r="S310" s="26"/>
      <c r="U310" s="79"/>
      <c r="V310" s="79"/>
      <c r="X310" s="26"/>
      <c r="Y310" s="26"/>
      <c r="Z310" s="26"/>
      <c r="AA310" s="26"/>
      <c r="AB310" s="26"/>
      <c r="AC310" s="79"/>
      <c r="AD310" s="26"/>
      <c r="AE310" s="26"/>
    </row>
    <row r="311" spans="1:31">
      <c r="A311" s="95" t="s">
        <v>1</v>
      </c>
      <c r="B311" s="12" t="s">
        <v>2</v>
      </c>
      <c r="C311" s="13" t="s">
        <v>3</v>
      </c>
      <c r="D311" s="13" t="s">
        <v>4</v>
      </c>
      <c r="E311" s="13" t="s">
        <v>6</v>
      </c>
      <c r="F311" s="15" t="s">
        <v>7</v>
      </c>
      <c r="G311" s="81" t="s">
        <v>8</v>
      </c>
      <c r="O311" s="26"/>
      <c r="P311" s="26"/>
      <c r="R311" s="26"/>
      <c r="S311" s="26"/>
      <c r="U311" s="78"/>
      <c r="V311" s="78"/>
      <c r="X311" s="26"/>
      <c r="Y311" s="26"/>
      <c r="Z311" s="79"/>
      <c r="AA311" s="26"/>
      <c r="AB311" s="26"/>
      <c r="AC311" s="78"/>
      <c r="AD311" s="79"/>
      <c r="AE311" s="79"/>
    </row>
    <row r="312" spans="1:31">
      <c r="A312" s="173" t="s">
        <v>69</v>
      </c>
      <c r="B312" s="174"/>
      <c r="C312" s="96">
        <f>+C5+C63+C113+C199+C216+C233+C248+C264+C21</f>
        <v>2404610392</v>
      </c>
      <c r="D312" s="96">
        <f>+D5+D63+D113+D199+D216+D233+D248+D264+D21</f>
        <v>-83492493</v>
      </c>
      <c r="E312" s="97">
        <f>+F63+F113+F199+F216+F5+F248+F233+F264+F21</f>
        <v>6124056260.9800005</v>
      </c>
      <c r="F312" s="31">
        <f>C312/E312*100%</f>
        <v>0.39264995119675844</v>
      </c>
      <c r="G312" s="31">
        <f>D312/C312*100%</f>
        <v>-3.4721838214529351E-2</v>
      </c>
      <c r="L312" s="98"/>
      <c r="M312" s="98"/>
      <c r="O312" s="26"/>
      <c r="P312" s="26"/>
      <c r="R312" s="26"/>
      <c r="S312" s="26"/>
      <c r="X312" s="79"/>
      <c r="Y312" s="79"/>
      <c r="Z312" s="79"/>
      <c r="AA312" s="26"/>
      <c r="AB312" s="26"/>
      <c r="AD312" s="79"/>
      <c r="AE312" s="79"/>
    </row>
    <row r="313" spans="1:31" s="26" customFormat="1">
      <c r="A313" s="99"/>
      <c r="B313" s="6"/>
      <c r="C313" s="78"/>
      <c r="D313" s="6"/>
      <c r="E313" s="6"/>
      <c r="F313" s="6"/>
      <c r="G313" s="6"/>
      <c r="H313" s="6"/>
      <c r="I313" s="6"/>
      <c r="J313" s="6"/>
      <c r="L313" s="98"/>
      <c r="M313" s="98"/>
      <c r="U313" s="6"/>
      <c r="V313" s="6"/>
      <c r="X313" s="79"/>
      <c r="Y313" s="79"/>
      <c r="Z313" s="79"/>
      <c r="AC313" s="6"/>
      <c r="AD313" s="79"/>
      <c r="AE313" s="79"/>
    </row>
    <row r="314" spans="1:31">
      <c r="J314" s="78"/>
      <c r="O314" s="26"/>
      <c r="P314" s="26"/>
      <c r="R314" s="26"/>
      <c r="S314" s="26"/>
      <c r="X314" s="26"/>
      <c r="Y314" s="26"/>
      <c r="Z314" s="26"/>
      <c r="AA314" s="26"/>
      <c r="AB314" s="26"/>
      <c r="AD314" s="26"/>
      <c r="AE314" s="26"/>
    </row>
    <row r="315" spans="1:31">
      <c r="O315" s="26"/>
      <c r="P315" s="26"/>
      <c r="R315" s="26"/>
      <c r="S315" s="26"/>
      <c r="X315" s="26"/>
      <c r="Y315" s="26"/>
      <c r="Z315" s="26"/>
      <c r="AA315" s="26"/>
      <c r="AB315" s="26"/>
      <c r="AD315" s="26"/>
      <c r="AE315" s="26"/>
    </row>
    <row r="316" spans="1:31">
      <c r="O316" s="26"/>
      <c r="P316" s="26"/>
      <c r="R316" s="26"/>
      <c r="S316" s="26"/>
      <c r="X316" s="26"/>
      <c r="Y316" s="26"/>
      <c r="Z316" s="26"/>
      <c r="AA316" s="26"/>
      <c r="AB316" s="26"/>
      <c r="AD316" s="26"/>
      <c r="AE316" s="26"/>
    </row>
    <row r="317" spans="1:31">
      <c r="O317" s="26"/>
      <c r="P317" s="26"/>
      <c r="R317" s="26"/>
      <c r="S317" s="26"/>
      <c r="X317" s="26"/>
      <c r="Y317" s="26"/>
      <c r="AA317" s="26"/>
      <c r="AB317" s="26"/>
    </row>
    <row r="318" spans="1:31">
      <c r="O318" s="26"/>
      <c r="P318" s="26"/>
      <c r="R318" s="26"/>
      <c r="S318" s="26"/>
      <c r="AA318" s="26"/>
      <c r="AB318" s="26"/>
    </row>
    <row r="319" spans="1:31">
      <c r="O319" s="26"/>
      <c r="P319" s="26"/>
      <c r="R319" s="26"/>
      <c r="S319" s="26"/>
      <c r="AA319" s="26"/>
      <c r="AB319" s="26"/>
    </row>
  </sheetData>
  <mergeCells count="10">
    <mergeCell ref="A309:B310"/>
    <mergeCell ref="C309:F309"/>
    <mergeCell ref="C310:F310"/>
    <mergeCell ref="A312:B312"/>
    <mergeCell ref="A1:B2"/>
    <mergeCell ref="C2:G2"/>
    <mergeCell ref="A279:B279"/>
    <mergeCell ref="A281:B282"/>
    <mergeCell ref="C281:F281"/>
    <mergeCell ref="C282:F282"/>
  </mergeCells>
  <conditionalFormatting sqref="F284:F306">
    <cfRule type="top10" dxfId="3" priority="1" bottom="1" rank="3"/>
    <cfRule type="top10" dxfId="2" priority="2" rank="3"/>
  </conditionalFormatting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A2709-F746-4B92-A448-E2A6B803887E}">
  <dimension ref="A1:AE319"/>
  <sheetViews>
    <sheetView showGridLines="0" tabSelected="1" topLeftCell="A3" zoomScale="70" zoomScaleNormal="70" zoomScaleSheetLayoutView="70" workbookViewId="0">
      <selection activeCell="J284" sqref="J284"/>
    </sheetView>
  </sheetViews>
  <sheetFormatPr baseColWidth="10" defaultColWidth="11.453125" defaultRowHeight="15.5" outlineLevelRow="2"/>
  <cols>
    <col min="1" max="1" width="36.7265625" style="6" customWidth="1"/>
    <col min="2" max="2" width="30.7265625" style="6" customWidth="1"/>
    <col min="3" max="3" width="18.81640625" style="78" bestFit="1" customWidth="1"/>
    <col min="4" max="4" width="18" style="78" customWidth="1"/>
    <col min="5" max="5" width="28.7265625" style="78" customWidth="1"/>
    <col min="6" max="6" width="22.26953125" style="79" bestFit="1" customWidth="1"/>
    <col min="7" max="7" width="18.7265625" style="79" bestFit="1" customWidth="1"/>
    <col min="8" max="8" width="11.81640625" style="6" customWidth="1"/>
    <col min="9" max="9" width="13.1796875" style="6" bestFit="1" customWidth="1"/>
    <col min="10" max="10" width="13.81640625" style="6" customWidth="1"/>
    <col min="11" max="11" width="3.26953125" style="26" customWidth="1"/>
    <col min="12" max="12" width="19.54296875" style="26" customWidth="1"/>
    <col min="13" max="13" width="18.81640625" style="26" customWidth="1"/>
    <col min="14" max="14" width="11.453125" style="6"/>
    <col min="15" max="15" width="21.7265625" style="6" bestFit="1" customWidth="1"/>
    <col min="16" max="16" width="13" style="6" bestFit="1" customWidth="1"/>
    <col min="17" max="17" width="11.453125" style="6"/>
    <col min="18" max="18" width="21.7265625" style="6" bestFit="1" customWidth="1"/>
    <col min="19" max="19" width="13" style="6" bestFit="1" customWidth="1"/>
    <col min="20" max="20" width="11.453125" style="6"/>
    <col min="21" max="21" width="22.26953125" style="6" bestFit="1" customWidth="1"/>
    <col min="22" max="22" width="13.54296875" style="6" bestFit="1" customWidth="1"/>
    <col min="23" max="23" width="11.453125" style="6"/>
    <col min="24" max="24" width="22.26953125" style="6" bestFit="1" customWidth="1"/>
    <col min="25" max="25" width="14.26953125" style="6" bestFit="1" customWidth="1"/>
    <col min="26" max="26" width="11.453125" style="6"/>
    <col min="27" max="27" width="22.26953125" style="6" bestFit="1" customWidth="1"/>
    <col min="28" max="28" width="13" style="6" bestFit="1" customWidth="1"/>
    <col min="29" max="29" width="11.453125" style="6"/>
    <col min="30" max="30" width="26.54296875" style="6" bestFit="1" customWidth="1"/>
    <col min="31" max="31" width="14.26953125" style="6" bestFit="1" customWidth="1"/>
    <col min="32" max="16384" width="11.453125" style="6"/>
  </cols>
  <sheetData>
    <row r="1" spans="1:13">
      <c r="A1" s="175">
        <v>46251</v>
      </c>
      <c r="B1" s="176"/>
      <c r="C1" s="1"/>
      <c r="D1" s="1"/>
      <c r="E1" s="1"/>
      <c r="F1" s="2"/>
      <c r="G1" s="2"/>
      <c r="H1" s="3"/>
      <c r="I1" s="4" t="s">
        <v>0</v>
      </c>
      <c r="J1" s="5"/>
      <c r="K1" s="6"/>
      <c r="L1" s="6"/>
      <c r="M1" s="6"/>
    </row>
    <row r="2" spans="1:13">
      <c r="A2" s="177"/>
      <c r="B2" s="178"/>
      <c r="C2" s="179"/>
      <c r="D2" s="179"/>
      <c r="E2" s="179"/>
      <c r="F2" s="179"/>
      <c r="G2" s="180"/>
      <c r="H2" s="7">
        <f>+M2/100</f>
        <v>0.42857142857142855</v>
      </c>
      <c r="I2" s="8">
        <v>9</v>
      </c>
      <c r="J2" s="9"/>
      <c r="K2" s="6"/>
      <c r="L2" s="10">
        <f>100/21</f>
        <v>4.7619047619047619</v>
      </c>
      <c r="M2" s="10">
        <f>L2*I2</f>
        <v>42.857142857142854</v>
      </c>
    </row>
    <row r="3" spans="1:13" ht="31">
      <c r="A3" s="11" t="s">
        <v>1</v>
      </c>
      <c r="B3" s="12" t="s">
        <v>2</v>
      </c>
      <c r="C3" s="13" t="s">
        <v>3</v>
      </c>
      <c r="D3" s="13" t="s">
        <v>4</v>
      </c>
      <c r="E3" s="14" t="s">
        <v>5</v>
      </c>
      <c r="F3" s="13" t="s">
        <v>6</v>
      </c>
      <c r="G3" s="15" t="s">
        <v>7</v>
      </c>
      <c r="H3" s="16" t="s">
        <v>8</v>
      </c>
      <c r="I3" s="17" t="s">
        <v>9</v>
      </c>
      <c r="J3" s="18" t="s">
        <v>10</v>
      </c>
      <c r="K3" s="6"/>
      <c r="L3" s="6"/>
      <c r="M3" s="6"/>
    </row>
    <row r="4" spans="1:13" ht="18.75" hidden="1" customHeight="1" outlineLevel="1">
      <c r="A4" s="19" t="s">
        <v>11</v>
      </c>
      <c r="B4" s="20" t="s">
        <v>12</v>
      </c>
      <c r="C4" s="21" t="s">
        <v>13</v>
      </c>
      <c r="D4" s="21" t="s">
        <v>14</v>
      </c>
      <c r="E4" s="14" t="s">
        <v>5</v>
      </c>
      <c r="F4" s="21" t="s">
        <v>6</v>
      </c>
      <c r="G4" s="22" t="s">
        <v>15</v>
      </c>
      <c r="H4" s="23">
        <f t="shared" ref="H4:I19" si="0">IFERROR(+D4/L4*100%,0)</f>
        <v>0</v>
      </c>
      <c r="I4" s="24">
        <f t="shared" si="0"/>
        <v>0</v>
      </c>
      <c r="J4" s="25"/>
      <c r="L4" s="27"/>
      <c r="M4" s="27"/>
    </row>
    <row r="5" spans="1:13" ht="16.5" collapsed="1">
      <c r="A5" s="28" t="s">
        <v>16</v>
      </c>
      <c r="B5" s="29" t="s">
        <v>17</v>
      </c>
      <c r="C5" s="30">
        <f>+C20</f>
        <v>44074086</v>
      </c>
      <c r="D5" s="30">
        <f>+D20</f>
        <v>-1160236</v>
      </c>
      <c r="E5" s="30">
        <f>+E20</f>
        <v>0</v>
      </c>
      <c r="F5" s="30">
        <f>+F20</f>
        <v>132391087.09</v>
      </c>
      <c r="G5" s="31">
        <f t="shared" ref="G5" si="1">IFERROR(C5/F5*100%,"-")</f>
        <v>0.33290825665656976</v>
      </c>
      <c r="H5" s="23">
        <f t="shared" si="0"/>
        <v>-2.5649461486346583E-2</v>
      </c>
      <c r="I5" s="24">
        <f t="shared" si="0"/>
        <v>0</v>
      </c>
      <c r="J5" s="32"/>
      <c r="L5" s="27">
        <f t="shared" ref="L5:L57" si="2">C5-(D5+E5)</f>
        <v>45234322</v>
      </c>
      <c r="M5" s="27">
        <f t="shared" ref="M5:M72" si="3">L5</f>
        <v>45234322</v>
      </c>
    </row>
    <row r="6" spans="1:13" ht="16.5" hidden="1" outlineLevel="1">
      <c r="A6" s="33"/>
      <c r="B6" s="34" t="s">
        <v>18</v>
      </c>
      <c r="C6" s="35">
        <v>0</v>
      </c>
      <c r="D6" s="36">
        <v>0</v>
      </c>
      <c r="E6" s="36">
        <v>0</v>
      </c>
      <c r="F6" s="35">
        <v>2190251</v>
      </c>
      <c r="G6" s="37">
        <f>IFERROR(C6/F6*100%,"-")</f>
        <v>0</v>
      </c>
      <c r="H6" s="23">
        <f t="shared" si="0"/>
        <v>0</v>
      </c>
      <c r="I6" s="24">
        <f t="shared" si="0"/>
        <v>0</v>
      </c>
      <c r="J6" s="32" t="str" cm="1">
        <f t="array" ref="J6">IFERROR(_xlfn.IFS(B6="044 - BLEND TRADICION","BLEND",B6="113 - CAFÉ GOURMET","GOURMET",B6="114 - CAFÉ CONSUMO","CONSUMO",B6="112 - CAFÉ ORGANICO","GOURMET",B6="172 - CAFÉ COSECHA","ESPECIALES",B6="176 - CAFE DESCAFEINADO","GOURMET",B6="147 - CAPSULAS","CAPSULAS",B6="130 - GALLETAS CAFECITAS","DERIVADOS",B6="140 - MERENGUES","DERIVADOS",B6="100 - CAFÉ ESPECIAL","ESPECIALES",B6="141 - AREQUIPE","DERIVADOS",B6="142 - MERMELADA","DERIVADOS",B6="131 - GALLETAS AVENA","DERIVADOS",B6="160 - SOUVENIR","OTROS",B6="148 - CARAMELOS","DERIVADOS",B6="143 - CHOCOFFES","DERIVADOS",B6="162 - CONVENIOS Y DSC POS ","OTROS"),"OTROS")</f>
        <v>BLEND</v>
      </c>
      <c r="L6" s="27">
        <f t="shared" si="2"/>
        <v>0</v>
      </c>
      <c r="M6" s="27">
        <f t="shared" si="3"/>
        <v>0</v>
      </c>
    </row>
    <row r="7" spans="1:13" ht="16.5" hidden="1" outlineLevel="1">
      <c r="A7" s="33"/>
      <c r="B7" s="34" t="s">
        <v>19</v>
      </c>
      <c r="C7" s="35">
        <v>122080</v>
      </c>
      <c r="D7" s="36">
        <v>0</v>
      </c>
      <c r="E7" s="36"/>
      <c r="F7" s="35">
        <v>3013430.38</v>
      </c>
      <c r="G7" s="37">
        <f t="shared" ref="G7:G18" si="4">IFERROR(C7/F7*100%,"-")</f>
        <v>4.0511969617828041E-2</v>
      </c>
      <c r="H7" s="23">
        <f t="shared" si="0"/>
        <v>0</v>
      </c>
      <c r="I7" s="24">
        <f t="shared" si="0"/>
        <v>0</v>
      </c>
      <c r="J7" s="32" t="str" cm="1">
        <f t="array" ref="J7">IFERROR(_xlfn.IFS(B7="044 - BLEND TRADICION","BLEND",B7="113 - CAFÉ GOURMET","GOURMET",B7="114 - CAFÉ CONSUMO","CONSUMO",B7="112 - CAFÉ ORGANICO","GOURMET",B7="172 - CAFÉ COSECHA","ESPECIALES",B7="176 - CAFE DESCAFEINADO","GOURMET",B7="147 - CAPSULAS","CAPSULAS",B7="130 - GALLETAS CAFECITAS","DERIVADOS",B7="140 - MERENGUES","DERIVADOS",B7="100 - CAFÉ ESPECIAL","ESPECIALES",B7="141 - AREQUIPE","DERIVADOS",B7="142 - MERMELADA","DERIVADOS",B7="131 - GALLETAS AVENA","DERIVADOS",B7="160 - SOUVENIR","OTROS",B7="148 - CARAMELOS","DERIVADOS",B7="143 - CHOCOFFES","DERIVADOS",B7="162 - CONVENIOS Y DSC POS ","OTROS"),"OTROS")</f>
        <v>ESPECIALES</v>
      </c>
      <c r="L7" s="27">
        <f t="shared" si="2"/>
        <v>122080</v>
      </c>
      <c r="M7" s="27">
        <f t="shared" si="3"/>
        <v>122080</v>
      </c>
    </row>
    <row r="8" spans="1:13" ht="16.5" hidden="1" outlineLevel="1">
      <c r="A8" s="38"/>
      <c r="B8" s="39" t="s">
        <v>20</v>
      </c>
      <c r="C8" s="36">
        <v>136918</v>
      </c>
      <c r="D8" s="36">
        <v>0</v>
      </c>
      <c r="E8" s="36">
        <v>0</v>
      </c>
      <c r="F8" s="36">
        <v>2838463.33</v>
      </c>
      <c r="G8" s="37">
        <f t="shared" si="4"/>
        <v>4.8236663321629028E-2</v>
      </c>
      <c r="H8" s="23">
        <f t="shared" si="0"/>
        <v>0</v>
      </c>
      <c r="I8" s="24">
        <f t="shared" si="0"/>
        <v>0</v>
      </c>
      <c r="J8" s="32" t="str" cm="1">
        <f t="array" ref="J8">IFERROR(_xlfn.IFS(B8="044 - BLEND TRADICION","BLEND",B8="113 - CAFÉ GOURMET","GOURMET",B8="114 - CAFÉ CONSUMO","CONSUMO",B8="112 - CAFÉ ORGANICO","GOURMET",B8="172 - CAFÉ COSECHA","ESPECIALES",B8="176 - CAFE DESCAFEINADO","GOURMET",B8="147 - CAPSULAS","CAPSULAS",B8="130 - GALLETAS CAFECITAS","DERIVADOS",B8="140 - MERENGUES","DERIVADOS",B8="100 - CAFÉ ESPECIAL","ESPECIALES",B8="141 - AREQUIPE","DERIVADOS",B8="142 - MERMELADA","DERIVADOS",B8="131 - GALLETAS AVENA","DERIVADOS",B8="160 - SOUVENIR","OTROS",B8="148 - CARAMELOS","DERIVADOS",B8="143 - CHOCOFFES","DERIVADOS",B8="162 - CONVENIOS Y DSC POS ","OTROS"),"OTROS")</f>
        <v>GOURMET</v>
      </c>
      <c r="L8" s="27">
        <f t="shared" si="2"/>
        <v>136918</v>
      </c>
      <c r="M8" s="27">
        <f t="shared" si="3"/>
        <v>136918</v>
      </c>
    </row>
    <row r="9" spans="1:13" ht="16.5" hidden="1" outlineLevel="1">
      <c r="A9" s="38"/>
      <c r="B9" s="39" t="s">
        <v>21</v>
      </c>
      <c r="C9" s="36">
        <v>28019684</v>
      </c>
      <c r="D9" s="36">
        <v>0</v>
      </c>
      <c r="E9" s="36">
        <v>0</v>
      </c>
      <c r="F9" s="36">
        <v>87912157.530000001</v>
      </c>
      <c r="G9" s="37">
        <f t="shared" si="4"/>
        <v>0.31872365310154388</v>
      </c>
      <c r="H9" s="23">
        <f t="shared" si="0"/>
        <v>0</v>
      </c>
      <c r="I9" s="24">
        <f t="shared" si="0"/>
        <v>0</v>
      </c>
      <c r="J9" s="32" t="str" cm="1">
        <f t="array" ref="J9">IFERROR(_xlfn.IFS(B9="044 - BLEND TRADICION","BLEND",B9="113 - CAFÉ GOURMET","GOURMET",B9="114 - CAFÉ CONSUMO","CONSUMO",B9="112 - CAFÉ ORGANICO","GOURMET",B9="172 - CAFÉ COSECHA","ESPECIALES",B9="176 - CAFE DESCAFEINADO","GOURMET",B9="147 - CAPSULAS","CAPSULAS",B9="130 - GALLETAS CAFECITAS","DERIVADOS",B9="140 - MERENGUES","DERIVADOS",B9="100 - CAFÉ ESPECIAL","ESPECIALES",B9="141 - AREQUIPE","DERIVADOS",B9="142 - MERMELADA","DERIVADOS",B9="131 - GALLETAS AVENA","DERIVADOS",B9="160 - SOUVENIR","OTROS",B9="148 - CARAMELOS","DERIVADOS",B9="143 - CHOCOFFES","DERIVADOS",B9="162 - CONVENIOS Y DSC POS ","OTROS"),"OTROS")</f>
        <v>GOURMET</v>
      </c>
      <c r="L9" s="27">
        <f t="shared" si="2"/>
        <v>28019684</v>
      </c>
      <c r="M9" s="27">
        <f t="shared" si="3"/>
        <v>28019684</v>
      </c>
    </row>
    <row r="10" spans="1:13" ht="16.5" hidden="1" outlineLevel="1">
      <c r="A10" s="38"/>
      <c r="B10" s="39" t="s">
        <v>22</v>
      </c>
      <c r="C10" s="36">
        <v>616017</v>
      </c>
      <c r="D10" s="36">
        <v>0</v>
      </c>
      <c r="E10" s="36">
        <v>0</v>
      </c>
      <c r="F10" s="36">
        <v>4458765.92</v>
      </c>
      <c r="G10" s="37">
        <f t="shared" si="4"/>
        <v>0.13815863201896905</v>
      </c>
      <c r="H10" s="23">
        <f t="shared" si="0"/>
        <v>0</v>
      </c>
      <c r="I10" s="24">
        <f t="shared" si="0"/>
        <v>0</v>
      </c>
      <c r="J10" s="32" t="str" cm="1">
        <f t="array" ref="J10">IFERROR(_xlfn.IFS(B10="044 - BLEND TRADICION","BLEND",B10="113 - CAFÉ GOURMET","GOURMET",B10="114 - CAFÉ CONSUMO","CONSUMO",B10="112 - CAFÉ ORGANICO","GOURMET",B10="172 - CAFÉ COSECHA","ESPECIALES",B10="176 - CAFE DESCAFEINADO","GOURMET",B10="147 - CAPSULAS","CAPSULAS",B10="130 - GALLETAS CAFECITAS","DERIVADOS",B10="140 - MERENGUES","DERIVADOS",B10="100 - CAFÉ ESPECIAL","ESPECIALES",B10="141 - AREQUIPE","DERIVADOS",B10="142 - MERMELADA","DERIVADOS",B10="131 - GALLETAS AVENA","DERIVADOS",B10="160 - SOUVENIR","OTROS",B10="148 - CARAMELOS","DERIVADOS",B10="143 - CHOCOFFES","DERIVADOS",B10="162 - CONVENIOS Y DSC POS ","OTROS"),"OTROS")</f>
        <v>DERIVADOS</v>
      </c>
      <c r="L10" s="27">
        <f t="shared" si="2"/>
        <v>616017</v>
      </c>
      <c r="M10" s="27">
        <f t="shared" si="3"/>
        <v>616017</v>
      </c>
    </row>
    <row r="11" spans="1:13" ht="16.5" hidden="1" outlineLevel="1">
      <c r="A11" s="38"/>
      <c r="B11" s="39" t="s">
        <v>23</v>
      </c>
      <c r="C11" s="36">
        <v>63836</v>
      </c>
      <c r="D11" s="36">
        <v>0</v>
      </c>
      <c r="E11" s="36">
        <v>0</v>
      </c>
      <c r="F11" s="36">
        <v>347556.62</v>
      </c>
      <c r="G11" s="37">
        <f t="shared" si="4"/>
        <v>0.18367079297755859</v>
      </c>
      <c r="H11" s="23">
        <f t="shared" si="0"/>
        <v>0</v>
      </c>
      <c r="I11" s="24">
        <f t="shared" si="0"/>
        <v>0</v>
      </c>
      <c r="J11" s="32" t="str" cm="1">
        <f t="array" ref="J11">IFERROR(_xlfn.IFS(B11="044 - BLEND TRADICION","BLEND",B11="113 - CAFÉ GOURMET","GOURMET",B11="114 - CAFÉ CONSUMO","CONSUMO",B11="112 - CAFÉ ORGANICO","GOURMET",B11="172 - CAFÉ COSECHA","ESPECIALES",B11="176 - CAFE DESCAFEINADO","GOURMET",B11="147 - CAPSULAS","CAPSULAS",B11="130 - GALLETAS CAFECITAS","DERIVADOS",B11="140 - MERENGUES","DERIVADOS",B11="100 - CAFÉ ESPECIAL","ESPECIALES",B11="141 - AREQUIPE","DERIVADOS",B11="142 - MERMELADA","DERIVADOS",B11="131 - GALLETAS AVENA","DERIVADOS",B11="160 - SOUVENIR","OTROS",B11="148 - CARAMELOS","DERIVADOS",B11="143 - CHOCOFFES","DERIVADOS",B11="162 - CONVENIOS Y DSC POS ","OTROS"),"OTROS")</f>
        <v>DERIVADOS</v>
      </c>
      <c r="L11" s="27">
        <f t="shared" si="2"/>
        <v>63836</v>
      </c>
      <c r="M11" s="27">
        <f t="shared" si="3"/>
        <v>63836</v>
      </c>
    </row>
    <row r="12" spans="1:13" ht="16.5" hidden="1" outlineLevel="1">
      <c r="A12" s="38"/>
      <c r="B12" s="39" t="s">
        <v>24</v>
      </c>
      <c r="C12" s="36">
        <v>48741</v>
      </c>
      <c r="D12" s="36">
        <v>0</v>
      </c>
      <c r="E12" s="36"/>
      <c r="F12" s="36">
        <v>1108552.25</v>
      </c>
      <c r="G12" s="37">
        <f t="shared" si="4"/>
        <v>4.3968157567674415E-2</v>
      </c>
      <c r="H12" s="23">
        <f t="shared" si="0"/>
        <v>0</v>
      </c>
      <c r="I12" s="24">
        <f t="shared" si="0"/>
        <v>0</v>
      </c>
      <c r="J12" s="32" t="str" cm="1">
        <f t="array" ref="J12">IFERROR(_xlfn.IFS(B12="044 - BLEND TRADICION","BLEND",B12="113 - CAFÉ GOURMET","GOURMET",B12="114 - CAFÉ CONSUMO","CONSUMO",B12="112 - CAFÉ ORGANICO","GOURMET",B12="172 - CAFÉ COSECHA","ESPECIALES",B12="176 - CAFE DESCAFEINADO","GOURMET",B12="147 - CAPSULAS","CAPSULAS",B12="130 - GALLETAS CAFECITAS","DERIVADOS",B12="140 - MERENGUES","DERIVADOS",B12="100 - CAFÉ ESPECIAL","ESPECIALES",B12="141 - AREQUIPE","DERIVADOS",B12="142 - MERMELADA","DERIVADOS",B12="131 - GALLETAS AVENA","DERIVADOS",B12="160 - SOUVENIR","OTROS",B12="148 - CARAMELOS","DERIVADOS",B12="143 - CHOCOFFES","DERIVADOS",B12="162 - CONVENIOS Y DSC POS ","OTROS"),"OTROS")</f>
        <v>DERIVADOS</v>
      </c>
      <c r="L12" s="27">
        <f t="shared" si="2"/>
        <v>48741</v>
      </c>
      <c r="M12" s="27">
        <f t="shared" si="3"/>
        <v>48741</v>
      </c>
    </row>
    <row r="13" spans="1:13" ht="16.5" hidden="1" outlineLevel="1">
      <c r="A13" s="38"/>
      <c r="B13" s="39" t="s">
        <v>25</v>
      </c>
      <c r="C13" s="36">
        <v>140478</v>
      </c>
      <c r="D13" s="36">
        <v>0</v>
      </c>
      <c r="E13" s="36"/>
      <c r="F13" s="36">
        <v>5164325.42</v>
      </c>
      <c r="G13" s="37">
        <f t="shared" si="4"/>
        <v>2.7201616585966419E-2</v>
      </c>
      <c r="H13" s="23">
        <f t="shared" si="0"/>
        <v>0</v>
      </c>
      <c r="I13" s="24">
        <f t="shared" si="0"/>
        <v>0</v>
      </c>
      <c r="J13" s="32" t="str" cm="1">
        <f t="array" ref="J13">IFERROR(_xlfn.IFS(B13="044 - BLEND TRADICION","BLEND",B13="113 - CAFÉ GOURMET","GOURMET",B13="114 - CAFÉ CONSUMO","CONSUMO",B13="112 - CAFÉ ORGANICO","GOURMET",B13="172 - CAFÉ COSECHA","ESPECIALES",B13="176 - CAFE DESCAFEINADO","GOURMET",B13="147 - CAPSULAS","CAPSULAS",B13="130 - GALLETAS CAFECITAS","DERIVADOS",B13="140 - MERENGUES","DERIVADOS",B13="100 - CAFÉ ESPECIAL","ESPECIALES",B13="141 - AREQUIPE","DERIVADOS",B13="142 - MERMELADA","DERIVADOS",B13="131 - GALLETAS AVENA","DERIVADOS",B13="160 - SOUVENIR","OTROS",B13="148 - CARAMELOS","DERIVADOS",B13="143 - CHOCOFFES","DERIVADOS",B13="162 - CONVENIOS Y DSC POS ","OTROS"),"OTROS")</f>
        <v>DERIVADOS</v>
      </c>
      <c r="L13" s="27">
        <f t="shared" si="2"/>
        <v>140478</v>
      </c>
      <c r="M13" s="27">
        <f t="shared" si="3"/>
        <v>140478</v>
      </c>
    </row>
    <row r="14" spans="1:13" ht="16.5" hidden="1" outlineLevel="1">
      <c r="A14" s="38"/>
      <c r="B14" s="39" t="s">
        <v>26</v>
      </c>
      <c r="C14" s="36">
        <v>0</v>
      </c>
      <c r="D14" s="36">
        <v>0</v>
      </c>
      <c r="E14" s="36"/>
      <c r="F14" s="36">
        <v>2621339.7000000002</v>
      </c>
      <c r="G14" s="37">
        <f t="shared" si="4"/>
        <v>0</v>
      </c>
      <c r="H14" s="23">
        <f t="shared" si="0"/>
        <v>0</v>
      </c>
      <c r="I14" s="24">
        <f t="shared" si="0"/>
        <v>0</v>
      </c>
      <c r="J14" s="32" t="str" cm="1">
        <f t="array" ref="J14">IFERROR(_xlfn.IFS(B14="044 - BLEND TRADICION","BLEND",B14="113 - CAFÉ GOURMET","GOURMET",B14="114 - CAFÉ CONSUMO","CONSUMO",B14="112 - CAFÉ ORGANICO","GOURMET",B14="172 - CAFÉ COSECHA","ESPECIALES",B14="176 - CAFE DESCAFEINADO","GOURMET",B14="147 - CAPSULAS","CAPSULAS",B14="130 - GALLETAS CAFECITAS","DERIVADOS",B14="140 - MERENGUES","DERIVADOS",B14="100 - CAFÉ ESPECIAL","ESPECIALES",B14="141 - AREQUIPE","DERIVADOS",B14="142 - MERMELADA","DERIVADOS",B14="131 - GALLETAS AVENA","DERIVADOS",B14="160 - SOUVENIR","OTROS",B14="148 - CARAMELOS","DERIVADOS",B14="143 - CHOCOFFES","DERIVADOS",B14="162 - CONVENIOS Y DSC POS ","OTROS"),"OTROS")</f>
        <v>CAPSULAS</v>
      </c>
      <c r="L14" s="27">
        <f t="shared" si="2"/>
        <v>0</v>
      </c>
      <c r="M14" s="27">
        <f t="shared" si="3"/>
        <v>0</v>
      </c>
    </row>
    <row r="15" spans="1:13" ht="16.5" hidden="1" outlineLevel="1">
      <c r="A15" s="38"/>
      <c r="B15" s="39" t="s">
        <v>27</v>
      </c>
      <c r="C15" s="36">
        <v>187764</v>
      </c>
      <c r="D15" s="36">
        <v>0</v>
      </c>
      <c r="E15" s="36"/>
      <c r="F15" s="36">
        <v>4581829.2699999996</v>
      </c>
      <c r="G15" s="37">
        <f t="shared" si="4"/>
        <v>4.0980138921675714E-2</v>
      </c>
      <c r="H15" s="23">
        <f t="shared" si="0"/>
        <v>0</v>
      </c>
      <c r="I15" s="24">
        <f t="shared" si="0"/>
        <v>0</v>
      </c>
      <c r="J15" s="32" t="str" cm="1">
        <f t="array" ref="J15">IFERROR(_xlfn.IFS(B15="044 - BLEND TRADICION","BLEND",B15="113 - CAFÉ GOURMET","GOURMET",B15="114 - CAFÉ CONSUMO","CONSUMO",B15="112 - CAFÉ ORGANICO","GOURMET",B15="172 - CAFÉ COSECHA","ESPECIALES",B15="176 - CAFE DESCAFEINADO","GOURMET",B15="147 - CAPSULAS","CAPSULAS",B15="130 - GALLETAS CAFECITAS","DERIVADOS",B15="140 - MERENGUES","DERIVADOS",B15="100 - CAFÉ ESPECIAL","ESPECIALES",B15="141 - AREQUIPE","DERIVADOS",B15="142 - MERMELADA","DERIVADOS",B15="131 - GALLETAS AVENA","DERIVADOS",B15="160 - SOUVENIR","OTROS",B15="148 - CARAMELOS","DERIVADOS",B15="143 - CHOCOFFES","DERIVADOS",B15="162 - CONVENIOS Y DSC POS ","OTROS"),"OTROS")</f>
        <v>DERIVADOS</v>
      </c>
      <c r="L15" s="27">
        <f t="shared" si="2"/>
        <v>187764</v>
      </c>
      <c r="M15" s="27">
        <f t="shared" si="3"/>
        <v>187764</v>
      </c>
    </row>
    <row r="16" spans="1:13" ht="16.5" hidden="1" outlineLevel="1">
      <c r="A16" s="38"/>
      <c r="B16" s="39" t="s">
        <v>28</v>
      </c>
      <c r="C16" s="36">
        <v>14855432</v>
      </c>
      <c r="D16" s="36">
        <v>0</v>
      </c>
      <c r="E16" s="36"/>
      <c r="F16" s="36">
        <v>11251446.380000001</v>
      </c>
      <c r="G16" s="37">
        <f t="shared" si="4"/>
        <v>1.3203130956039804</v>
      </c>
      <c r="H16" s="23">
        <f t="shared" si="0"/>
        <v>0</v>
      </c>
      <c r="I16" s="24">
        <f t="shared" si="0"/>
        <v>0</v>
      </c>
      <c r="J16" s="32" t="str" cm="1">
        <f t="array" ref="J16">IFERROR(_xlfn.IFS(B16="044 - BLEND TRADICION","BLEND",B16="113 - CAFÉ GOURMET","GOURMET",B16="114 - CAFÉ CONSUMO","CONSUMO",B16="112 - CAFÉ ORGANICO","GOURMET",B16="172 - CAFÉ COSECHA","ESPECIALES",B16="176 - CAFE DESCAFEINADO","GOURMET",B16="147 - CAPSULAS","CAPSULAS",B16="130 - GALLETAS CAFECITAS","DERIVADOS",B16="140 - MERENGUES","DERIVADOS",B16="100 - CAFÉ ESPECIAL","ESPECIALES",B16="141 - AREQUIPE","DERIVADOS",B16="142 - MERMELADA","DERIVADOS",B16="131 - GALLETAS AVENA","DERIVADOS",B16="160 - SOUVENIR","OTROS",B16="148 - CARAMELOS","DERIVADOS",B16="143 - CHOCOFFES","DERIVADOS",B16="162 - CONVENIOS Y DSC POS ","OTROS"),"OTROS")</f>
        <v>OTROS</v>
      </c>
      <c r="L16" s="27">
        <f t="shared" si="2"/>
        <v>14855432</v>
      </c>
      <c r="M16" s="27">
        <f t="shared" si="3"/>
        <v>14855432</v>
      </c>
    </row>
    <row r="17" spans="1:13" ht="16.5" hidden="1" outlineLevel="1">
      <c r="A17" s="38"/>
      <c r="B17" s="39" t="s">
        <v>29</v>
      </c>
      <c r="C17" s="36">
        <v>163521</v>
      </c>
      <c r="D17" s="36">
        <v>0</v>
      </c>
      <c r="E17" s="36"/>
      <c r="F17" s="36">
        <v>6227226.4500000002</v>
      </c>
      <c r="G17" s="37">
        <f t="shared" si="4"/>
        <v>2.625904185642711E-2</v>
      </c>
      <c r="H17" s="23">
        <f t="shared" si="0"/>
        <v>0</v>
      </c>
      <c r="I17" s="24">
        <f t="shared" si="0"/>
        <v>0</v>
      </c>
      <c r="J17" s="32" t="str" cm="1">
        <f t="array" ref="J17">IFERROR(_xlfn.IFS(B17="044 - BLEND TRADICION","BLEND",B17="113 - CAFÉ GOURMET","GOURMET",B17="114 - CAFÉ CONSUMO","CONSUMO",B17="112 - CAFÉ ORGANICO","GOURMET",B17="172 - CAFÉ COSECHA","ESPECIALES",B17="176 - CAFE DESCAFEINADO","GOURMET",B17="147 - CAPSULAS","CAPSULAS",B17="130 - GALLETAS CAFECITAS","DERIVADOS",B17="140 - MERENGUES","DERIVADOS",B17="100 - CAFÉ ESPECIAL","ESPECIALES",B17="141 - AREQUIPE","DERIVADOS",B17="142 - MERMELADA","DERIVADOS",B17="131 - GALLETAS AVENA","DERIVADOS",B17="160 - SOUVENIR","OTROS",B17="148 - CARAMELOS","DERIVADOS",B17="143 - CHOCOFFES","DERIVADOS",B17="162 - CONVENIOS Y DSC POS ","OTROS"),"OTROS")</f>
        <v>ESPECIALES</v>
      </c>
      <c r="L17" s="27">
        <f t="shared" si="2"/>
        <v>163521</v>
      </c>
      <c r="M17" s="27">
        <f t="shared" si="3"/>
        <v>163521</v>
      </c>
    </row>
    <row r="18" spans="1:13" ht="16.5" hidden="1" outlineLevel="1">
      <c r="A18" s="38"/>
      <c r="B18" s="39" t="s">
        <v>30</v>
      </c>
      <c r="C18" s="36">
        <v>216351</v>
      </c>
      <c r="D18" s="36">
        <v>0</v>
      </c>
      <c r="E18" s="36"/>
      <c r="F18" s="36">
        <v>675742.84</v>
      </c>
      <c r="G18" s="37">
        <f t="shared" si="4"/>
        <v>0.32016765431062505</v>
      </c>
      <c r="H18" s="23">
        <f t="shared" si="0"/>
        <v>0</v>
      </c>
      <c r="I18" s="24">
        <f t="shared" si="0"/>
        <v>0</v>
      </c>
      <c r="J18" s="32" t="str" cm="1">
        <f t="array" ref="J18">IFERROR(_xlfn.IFS(B18="044 - BLEND TRADICION","BLEND",B18="113 - CAFÉ GOURMET","GOURMET",B18="114 - CAFÉ CONSUMO","CONSUMO",B18="112 - CAFÉ ORGANICO","GOURMET",B18="172 - CAFÉ COSECHA","ESPECIALES",B18="176 - CAFE DESCAFEINADO","GOURMET",B18="147 - CAPSULAS","CAPSULAS",B18="130 - GALLETAS CAFECITAS","DERIVADOS",B18="140 - MERENGUES","DERIVADOS",B18="100 - CAFÉ ESPECIAL","ESPECIALES",B18="141 - AREQUIPE","DERIVADOS",B18="142 - MERMELADA","DERIVADOS",B18="131 - GALLETAS AVENA","DERIVADOS",B18="160 - SOUVENIR","OTROS",B18="148 - CARAMELOS","DERIVADOS",B18="143 - CHOCOFFES","DERIVADOS",B18="162 - CONVENIOS Y DSC POS ","OTROS"),"OTROS")</f>
        <v>GOURMET</v>
      </c>
      <c r="L18" s="27">
        <f t="shared" si="2"/>
        <v>216351</v>
      </c>
      <c r="M18" s="27">
        <f t="shared" si="3"/>
        <v>216351</v>
      </c>
    </row>
    <row r="19" spans="1:13" ht="16.5" hidden="1" outlineLevel="1">
      <c r="A19" s="38"/>
      <c r="B19" s="39" t="s">
        <v>31</v>
      </c>
      <c r="C19" s="36">
        <v>-496736</v>
      </c>
      <c r="D19" s="36">
        <v>-1160236</v>
      </c>
      <c r="E19" s="36"/>
      <c r="F19" s="36"/>
      <c r="G19" s="37"/>
      <c r="H19" s="23">
        <f t="shared" si="0"/>
        <v>-1.7486601356443106</v>
      </c>
      <c r="I19" s="24">
        <f t="shared" si="0"/>
        <v>0</v>
      </c>
      <c r="J19" s="32" t="str" cm="1">
        <f t="array" ref="J19">IFERROR(_xlfn.IFS(B19="044 - BLEND TRADICION","BLEND",B19="113 - CAFÉ GOURMET","GOURMET",B19="114 - CAFÉ CONSUMO","CONSUMO",B19="112 - CAFÉ ORGANICO","GOURMET",B19="172 - CAFÉ COSECHA","ESPECIALES",B19="176 - CAFE DESCAFEINADO","GOURMET",B19="147 - CAPSULAS","CAPSULAS",B19="130 - GALLETAS CAFECITAS","DERIVADOS",B19="140 - MERENGUES","DERIVADOS",B19="100 - CAFÉ ESPECIAL","ESPECIALES",B19="141 - AREQUIPE","DERIVADOS",B19="142 - MERMELADA","DERIVADOS",B19="131 - GALLETAS AVENA","DERIVADOS",B19="160 - SOUVENIR","OTROS",B19="148 - CARAMELOS","DERIVADOS",B19="143 - CHOCOFFES","DERIVADOS",B19="162 - CONVENIOS Y DSC POS ","OTROS"),"OTROS")</f>
        <v>OTROS</v>
      </c>
      <c r="L19" s="27">
        <f t="shared" si="2"/>
        <v>663500</v>
      </c>
      <c r="M19" s="27">
        <f t="shared" si="3"/>
        <v>663500</v>
      </c>
    </row>
    <row r="20" spans="1:13" ht="16.5" hidden="1" outlineLevel="1">
      <c r="A20" s="19" t="s">
        <v>16</v>
      </c>
      <c r="B20" s="40" t="s">
        <v>32</v>
      </c>
      <c r="C20" s="41">
        <f>SUM(C6:C19)</f>
        <v>44074086</v>
      </c>
      <c r="D20" s="41">
        <f>SUM(D6:D19)</f>
        <v>-1160236</v>
      </c>
      <c r="E20" s="41">
        <f>SUM(E6:E19)</f>
        <v>0</v>
      </c>
      <c r="F20" s="41">
        <f>SUM(F6:F19)</f>
        <v>132391087.09</v>
      </c>
      <c r="G20" s="42">
        <f t="shared" ref="G20:G86" si="5">IFERROR(C20/F20*100%,"-")</f>
        <v>0.33290825665656976</v>
      </c>
      <c r="H20" s="43">
        <f t="shared" ref="H20:I36" si="6">IFERROR(+D20/L20*100%,0)</f>
        <v>-2.5649461486346583E-2</v>
      </c>
      <c r="I20" s="24">
        <f t="shared" si="6"/>
        <v>0</v>
      </c>
      <c r="J20" s="32" t="str" cm="1">
        <f t="array" ref="J20">IFERROR(_xlfn.IFS(B20="044 - BLEND TRADICION","BLEND",B20="113 - CAFÉ GOURMET","GOURMET",B20="114 - CAFÉ CONSUMO","CONSUMO",B20="112 - CAFÉ ORGANICO","GOURMET",B20="172 - CAFÉ COSECHA","ESPECIALES",B20="176 - CAFE DESCAFEINADO","GOURMET",B20="147 - CAPSULAS","CAPSULAS",B20="130 - GALLETAS CAFECITAS","DERIVADOS",B20="140 - MERENGUES","DERIVADOS",B20="100 - CAFÉ ESPECIAL","ESPECIALES",B20="141 - AREQUIPE","DERIVADOS",B20="142 - MERMELADA","DERIVADOS",B20="131 - GALLETAS AVENA","DERIVADOS",B20="160 - SOUVENIR","OTROS",B20="148 - CARAMELOS","DERIVADOS",B20="143 - CHOCOFFES","DERIVADOS",B20="162 - CONVENIOS Y DSC POS ","OTROS"),"OTROS")</f>
        <v>OTROS</v>
      </c>
      <c r="L20" s="27">
        <f t="shared" si="2"/>
        <v>45234322</v>
      </c>
      <c r="M20" s="27">
        <f t="shared" si="3"/>
        <v>45234322</v>
      </c>
    </row>
    <row r="21" spans="1:13" ht="16.5" collapsed="1">
      <c r="A21" s="28" t="s">
        <v>33</v>
      </c>
      <c r="B21" s="29" t="s">
        <v>17</v>
      </c>
      <c r="C21" s="30">
        <f>+C26+C62+C42</f>
        <v>233738989</v>
      </c>
      <c r="D21" s="30">
        <f>+D26+D62+D42</f>
        <v>-13844750</v>
      </c>
      <c r="E21" s="30">
        <f>+E26+E62+E42</f>
        <v>0</v>
      </c>
      <c r="F21" s="30">
        <f>+F26+F62+F42</f>
        <v>482062133.13</v>
      </c>
      <c r="G21" s="31">
        <f t="shared" si="5"/>
        <v>0.48487315832576811</v>
      </c>
      <c r="H21" s="43">
        <f t="shared" si="6"/>
        <v>-5.5919464080797322E-2</v>
      </c>
      <c r="I21" s="24">
        <f t="shared" si="6"/>
        <v>0</v>
      </c>
      <c r="J21" s="32" t="str" cm="1">
        <f t="array" ref="J21">IFERROR(_xlfn.IFS(B21="044 - BLEND TRADICION","BLEND",B21="113 - CAFÉ GOURMET","GOURMET",B21="114 - CAFÉ CONSUMO","CONSUMO",B21="112 - CAFÉ ORGANICO","GOURMET",B21="172 - CAFÉ COSECHA","ESPECIALES",B21="176 - CAFE DESCAFEINADO","GOURMET",B21="147 - CAPSULAS","CAPSULAS",B21="130 - GALLETAS CAFECITAS","DERIVADOS",B21="140 - MERENGUES","DERIVADOS",B21="100 - CAFÉ ESPECIAL","ESPECIALES",B21="141 - AREQUIPE","DERIVADOS",B21="142 - MERMELADA","DERIVADOS",B21="131 - GALLETAS AVENA","DERIVADOS",B21="160 - SOUVENIR","OTROS",B21="148 - CARAMELOS","DERIVADOS",B21="143 - CHOCOFFES","DERIVADOS",B21="162 - CONVENIOS Y DSC POS ","OTROS"),"OTROS")</f>
        <v>OTROS</v>
      </c>
      <c r="L21" s="27">
        <f t="shared" si="2"/>
        <v>247583739</v>
      </c>
      <c r="M21" s="27">
        <f t="shared" si="3"/>
        <v>247583739</v>
      </c>
    </row>
    <row r="22" spans="1:13" ht="16.5" hidden="1" outlineLevel="1">
      <c r="A22" s="44"/>
      <c r="B22" s="45" t="s">
        <v>34</v>
      </c>
      <c r="C22" s="46">
        <v>26048700</v>
      </c>
      <c r="D22" s="47">
        <v>0</v>
      </c>
      <c r="E22" s="48"/>
      <c r="F22" s="48">
        <v>43207145.729999997</v>
      </c>
      <c r="G22" s="49">
        <f t="shared" si="5"/>
        <v>0.60287944412661398</v>
      </c>
      <c r="H22" s="43">
        <f t="shared" si="6"/>
        <v>0</v>
      </c>
      <c r="I22" s="24">
        <f t="shared" si="6"/>
        <v>0</v>
      </c>
      <c r="J22" s="32" t="str" cm="1">
        <f t="array" ref="J22">IFERROR(_xlfn.IFS(B22="044 - BLEND TRADICION","BLEND",B22="113 - CAFÉ GOURMET","GOURMET",B22="114 - CAFÉ CONSUMO","CONSUMO",B22="112 - CAFÉ ORGANICO","GOURMET",B22="172 - CAFÉ COSECHA","ESPECIALES",B22="176 - CAFE DESCAFEINADO","GOURMET",B22="147 - CAPSULAS","CAPSULAS",B22="130 - GALLETAS CAFECITAS","DERIVADOS",B22="140 - MERENGUES","DERIVADOS",B22="100 - CAFÉ ESPECIAL","ESPECIALES",B22="141 - AREQUIPE","DERIVADOS",B22="142 - MERMELADA","DERIVADOS",B22="131 - GALLETAS AVENA","DERIVADOS",B22="160 - SOUVENIR","OTROS",B22="148 - CARAMELOS","DERIVADOS",B22="143 - CHOCOFFES","DERIVADOS",B22="162 - CONVENIOS Y DSC POS ","OTROS"),"OTROS")</f>
        <v>OTROS</v>
      </c>
      <c r="L22" s="27">
        <f t="shared" si="2"/>
        <v>26048700</v>
      </c>
      <c r="M22" s="27">
        <f t="shared" si="3"/>
        <v>26048700</v>
      </c>
    </row>
    <row r="23" spans="1:13" ht="16.5" hidden="1" outlineLevel="1">
      <c r="A23" s="44"/>
      <c r="B23" s="45" t="s">
        <v>21</v>
      </c>
      <c r="C23" s="46">
        <v>17902500</v>
      </c>
      <c r="D23" s="50">
        <v>0</v>
      </c>
      <c r="E23" s="51"/>
      <c r="F23" s="51">
        <v>40827157.719999999</v>
      </c>
      <c r="G23" s="49">
        <f t="shared" si="5"/>
        <v>0.43849488918083812</v>
      </c>
      <c r="H23" s="43">
        <f t="shared" si="6"/>
        <v>0</v>
      </c>
      <c r="I23" s="24">
        <f t="shared" si="6"/>
        <v>0</v>
      </c>
      <c r="J23" s="32" t="str" cm="1">
        <f t="array" ref="J23">IFERROR(_xlfn.IFS(B23="044 - BLEND TRADICION","BLEND",B23="113 - CAFÉ GOURMET","GOURMET",B23="114 - CAFÉ CONSUMO","CONSUMO",B23="112 - CAFÉ ORGANICO","GOURMET",B23="172 - CAFÉ COSECHA","ESPECIALES",B23="176 - CAFE DESCAFEINADO","GOURMET",B23="147 - CAPSULAS","CAPSULAS",B23="130 - GALLETAS CAFECITAS","DERIVADOS",B23="140 - MERENGUES","DERIVADOS",B23="100 - CAFÉ ESPECIAL","ESPECIALES",B23="141 - AREQUIPE","DERIVADOS",B23="142 - MERMELADA","DERIVADOS",B23="131 - GALLETAS AVENA","DERIVADOS",B23="160 - SOUVENIR","OTROS",B23="148 - CARAMELOS","DERIVADOS",B23="143 - CHOCOFFES","DERIVADOS",B23="162 - CONVENIOS Y DSC POS ","OTROS"),"OTROS")</f>
        <v>GOURMET</v>
      </c>
      <c r="L23" s="27">
        <f t="shared" si="2"/>
        <v>17902500</v>
      </c>
      <c r="M23" s="27">
        <f t="shared" si="3"/>
        <v>17902500</v>
      </c>
    </row>
    <row r="24" spans="1:13" ht="16.5" hidden="1" outlineLevel="1">
      <c r="A24" s="44"/>
      <c r="B24" s="45" t="s">
        <v>26</v>
      </c>
      <c r="C24" s="46">
        <v>0</v>
      </c>
      <c r="D24" s="50">
        <v>0</v>
      </c>
      <c r="E24" s="51"/>
      <c r="F24" s="51">
        <v>72407.34</v>
      </c>
      <c r="G24" s="49">
        <f t="shared" si="5"/>
        <v>0</v>
      </c>
      <c r="H24" s="43">
        <f t="shared" si="6"/>
        <v>0</v>
      </c>
      <c r="I24" s="24">
        <f t="shared" si="6"/>
        <v>0</v>
      </c>
      <c r="J24" s="32" t="str" cm="1">
        <f t="array" ref="J24">IFERROR(_xlfn.IFS(B24="044 - BLEND TRADICION","BLEND",B24="113 - CAFÉ GOURMET","GOURMET",B24="114 - CAFÉ CONSUMO","CONSUMO",B24="112 - CAFÉ ORGANICO","GOURMET",B24="172 - CAFÉ COSECHA","ESPECIALES",B24="176 - CAFE DESCAFEINADO","GOURMET",B24="147 - CAPSULAS","CAPSULAS",B24="130 - GALLETAS CAFECITAS","DERIVADOS",B24="140 - MERENGUES","DERIVADOS",B24="100 - CAFÉ ESPECIAL","ESPECIALES",B24="141 - AREQUIPE","DERIVADOS",B24="142 - MERMELADA","DERIVADOS",B24="131 - GALLETAS AVENA","DERIVADOS",B24="160 - SOUVENIR","OTROS",B24="148 - CARAMELOS","DERIVADOS",B24="143 - CHOCOFFES","DERIVADOS",B24="162 - CONVENIOS Y DSC POS ","OTROS"),"OTROS")</f>
        <v>CAPSULAS</v>
      </c>
      <c r="L24" s="27">
        <f t="shared" si="2"/>
        <v>0</v>
      </c>
      <c r="M24" s="27">
        <f t="shared" si="3"/>
        <v>0</v>
      </c>
    </row>
    <row r="25" spans="1:13" ht="16.5" hidden="1" outlineLevel="1">
      <c r="A25" s="44"/>
      <c r="B25" s="45" t="s">
        <v>28</v>
      </c>
      <c r="C25" s="46">
        <v>0</v>
      </c>
      <c r="D25" s="50">
        <v>0</v>
      </c>
      <c r="E25" s="51"/>
      <c r="F25" s="51">
        <v>7805453.8099999996</v>
      </c>
      <c r="G25" s="49">
        <f t="shared" si="5"/>
        <v>0</v>
      </c>
      <c r="H25" s="43">
        <f t="shared" si="6"/>
        <v>0</v>
      </c>
      <c r="I25" s="24">
        <f t="shared" si="6"/>
        <v>0</v>
      </c>
      <c r="J25" s="32" t="str" cm="1">
        <f t="array" ref="J25">IFERROR(_xlfn.IFS(B25="044 - BLEND TRADICION","BLEND",B25="113 - CAFÉ GOURMET","GOURMET",B25="114 - CAFÉ CONSUMO","CONSUMO",B25="112 - CAFÉ ORGANICO","GOURMET",B25="172 - CAFÉ COSECHA","ESPECIALES",B25="176 - CAFE DESCAFEINADO","GOURMET",B25="147 - CAPSULAS","CAPSULAS",B25="130 - GALLETAS CAFECITAS","DERIVADOS",B25="140 - MERENGUES","DERIVADOS",B25="100 - CAFÉ ESPECIAL","ESPECIALES",B25="141 - AREQUIPE","DERIVADOS",B25="142 - MERMELADA","DERIVADOS",B25="131 - GALLETAS AVENA","DERIVADOS",B25="160 - SOUVENIR","OTROS",B25="148 - CARAMELOS","DERIVADOS",B25="143 - CHOCOFFES","DERIVADOS",B25="162 - CONVENIOS Y DSC POS ","OTROS"),"OTROS")</f>
        <v>OTROS</v>
      </c>
      <c r="L25" s="27">
        <f t="shared" si="2"/>
        <v>0</v>
      </c>
      <c r="M25" s="27">
        <f t="shared" si="3"/>
        <v>0</v>
      </c>
    </row>
    <row r="26" spans="1:13" ht="16.5" hidden="1" outlineLevel="1">
      <c r="A26" s="52" t="s">
        <v>35</v>
      </c>
      <c r="B26" s="20" t="s">
        <v>32</v>
      </c>
      <c r="C26" s="21">
        <f>SUM(C22:C25)</f>
        <v>43951200</v>
      </c>
      <c r="D26" s="53">
        <f t="shared" ref="D26:E26" si="7">SUM(D22)</f>
        <v>0</v>
      </c>
      <c r="E26" s="54">
        <f t="shared" si="7"/>
        <v>0</v>
      </c>
      <c r="F26" s="54">
        <f>SUM(F22:F25)</f>
        <v>91912164.599999994</v>
      </c>
      <c r="G26" s="55">
        <f t="shared" si="5"/>
        <v>0.47818697548115413</v>
      </c>
      <c r="H26" s="43">
        <f t="shared" si="6"/>
        <v>0</v>
      </c>
      <c r="I26" s="24">
        <f t="shared" si="6"/>
        <v>0</v>
      </c>
      <c r="J26" s="32" t="str" cm="1">
        <f t="array" ref="J26">IFERROR(_xlfn.IFS(B26="044 - BLEND TRADICION","BLEND",B26="113 - CAFÉ GOURMET","GOURMET",B26="114 - CAFÉ CONSUMO","CONSUMO",B26="112 - CAFÉ ORGANICO","GOURMET",B26="172 - CAFÉ COSECHA","ESPECIALES",B26="176 - CAFE DESCAFEINADO","GOURMET",B26="147 - CAPSULAS","CAPSULAS",B26="130 - GALLETAS CAFECITAS","DERIVADOS",B26="140 - MERENGUES","DERIVADOS",B26="100 - CAFÉ ESPECIAL","ESPECIALES",B26="141 - AREQUIPE","DERIVADOS",B26="142 - MERMELADA","DERIVADOS",B26="131 - GALLETAS AVENA","DERIVADOS",B26="160 - SOUVENIR","OTROS",B26="148 - CARAMELOS","DERIVADOS",B26="143 - CHOCOFFES","DERIVADOS",B26="162 - CONVENIOS Y DSC POS ","OTROS"),"OTROS")</f>
        <v>OTROS</v>
      </c>
      <c r="L26" s="27">
        <f t="shared" si="2"/>
        <v>43951200</v>
      </c>
      <c r="M26" s="27">
        <f t="shared" si="3"/>
        <v>43951200</v>
      </c>
    </row>
    <row r="27" spans="1:13" ht="16.5" hidden="1" outlineLevel="1">
      <c r="A27" s="44"/>
      <c r="B27" s="45" t="s">
        <v>34</v>
      </c>
      <c r="C27" s="46">
        <v>3692240</v>
      </c>
      <c r="D27" s="47">
        <v>-3928366</v>
      </c>
      <c r="E27" s="48">
        <v>0</v>
      </c>
      <c r="F27" s="48">
        <v>6545773.3099999996</v>
      </c>
      <c r="G27" s="49">
        <f t="shared" si="5"/>
        <v>0.56406475219044827</v>
      </c>
      <c r="H27" s="43">
        <f t="shared" si="6"/>
        <v>-0.51549259993234131</v>
      </c>
      <c r="I27" s="24">
        <f t="shared" si="6"/>
        <v>0</v>
      </c>
      <c r="J27" s="32" t="str" cm="1">
        <f t="array" ref="J27">IFERROR(_xlfn.IFS(B27="044 - BLEND TRADICION","BLEND",B27="113 - CAFÉ GOURMET","GOURMET",B27="114 - CAFÉ CONSUMO","CONSUMO",B27="112 - CAFÉ ORGANICO","GOURMET",B27="172 - CAFÉ COSECHA","ESPECIALES",B27="176 - CAFE DESCAFEINADO","GOURMET",B27="147 - CAPSULAS","CAPSULAS",B27="130 - GALLETAS CAFECITAS","DERIVADOS",B27="140 - MERENGUES","DERIVADOS",B27="100 - CAFÉ ESPECIAL","ESPECIALES",B27="141 - AREQUIPE","DERIVADOS",B27="142 - MERMELADA","DERIVADOS",B27="131 - GALLETAS AVENA","DERIVADOS",B27="160 - SOUVENIR","OTROS",B27="148 - CARAMELOS","DERIVADOS",B27="143 - CHOCOFFES","DERIVADOS",B27="162 - CONVENIOS Y DSC POS ","OTROS"),"OTROS")</f>
        <v>OTROS</v>
      </c>
      <c r="L27" s="27">
        <f t="shared" si="2"/>
        <v>7620606</v>
      </c>
      <c r="M27" s="27">
        <f t="shared" si="3"/>
        <v>7620606</v>
      </c>
    </row>
    <row r="28" spans="1:13" ht="16.5" hidden="1" outlineLevel="1">
      <c r="A28" s="38"/>
      <c r="B28" s="34" t="s">
        <v>19</v>
      </c>
      <c r="C28" s="35">
        <v>1330340</v>
      </c>
      <c r="D28" s="36">
        <v>0</v>
      </c>
      <c r="E28" s="48">
        <v>0</v>
      </c>
      <c r="F28" s="48">
        <v>4061262.59</v>
      </c>
      <c r="G28" s="49">
        <f t="shared" si="5"/>
        <v>0.3275680827129181</v>
      </c>
      <c r="H28" s="23">
        <f t="shared" si="6"/>
        <v>0</v>
      </c>
      <c r="I28" s="24">
        <f t="shared" si="6"/>
        <v>0</v>
      </c>
      <c r="J28" s="32" t="str" cm="1">
        <f t="array" ref="J28">IFERROR(_xlfn.IFS(B28="044 - BLEND TRADICION","BLEND",B28="113 - CAFÉ GOURMET","GOURMET",B28="114 - CAFÉ CONSUMO","CONSUMO",B28="112 - CAFÉ ORGANICO","GOURMET",B28="172 - CAFÉ COSECHA","ESPECIALES",B28="176 - CAFE DESCAFEINADO","GOURMET",B28="147 - CAPSULAS","CAPSULAS",B28="130 - GALLETAS CAFECITAS","DERIVADOS",B28="140 - MERENGUES","DERIVADOS",B28="100 - CAFÉ ESPECIAL","ESPECIALES",B28="141 - AREQUIPE","DERIVADOS",B28="142 - MERMELADA","DERIVADOS",B28="131 - GALLETAS AVENA","DERIVADOS",B28="160 - SOUVENIR","OTROS",B28="148 - CARAMELOS","DERIVADOS",B28="143 - CHOCOFFES","DERIVADOS",B28="162 - CONVENIOS Y DSC POS ","OTROS"),"OTROS")</f>
        <v>ESPECIALES</v>
      </c>
      <c r="L28" s="27">
        <f t="shared" si="2"/>
        <v>1330340</v>
      </c>
      <c r="M28" s="27">
        <f t="shared" si="3"/>
        <v>1330340</v>
      </c>
    </row>
    <row r="29" spans="1:13" ht="16.5" hidden="1" outlineLevel="1">
      <c r="A29" s="38"/>
      <c r="B29" s="39" t="s">
        <v>20</v>
      </c>
      <c r="C29" s="36">
        <v>639804</v>
      </c>
      <c r="D29" s="36">
        <v>0</v>
      </c>
      <c r="E29" s="48">
        <v>0</v>
      </c>
      <c r="F29" s="48">
        <v>1222472.22</v>
      </c>
      <c r="G29" s="49">
        <f t="shared" si="5"/>
        <v>0.52336894821217284</v>
      </c>
      <c r="H29" s="23">
        <f t="shared" si="6"/>
        <v>0</v>
      </c>
      <c r="I29" s="24">
        <f t="shared" si="6"/>
        <v>0</v>
      </c>
      <c r="J29" s="32" t="str" cm="1">
        <f t="array" ref="J29">IFERROR(_xlfn.IFS(B29="044 - BLEND TRADICION","BLEND",B29="113 - CAFÉ GOURMET","GOURMET",B29="114 - CAFÉ CONSUMO","CONSUMO",B29="112 - CAFÉ ORGANICO","GOURMET",B29="172 - CAFÉ COSECHA","ESPECIALES",B29="176 - CAFE DESCAFEINADO","GOURMET",B29="147 - CAPSULAS","CAPSULAS",B29="130 - GALLETAS CAFECITAS","DERIVADOS",B29="140 - MERENGUES","DERIVADOS",B29="100 - CAFÉ ESPECIAL","ESPECIALES",B29="141 - AREQUIPE","DERIVADOS",B29="142 - MERMELADA","DERIVADOS",B29="131 - GALLETAS AVENA","DERIVADOS",B29="160 - SOUVENIR","OTROS",B29="148 - CARAMELOS","DERIVADOS",B29="143 - CHOCOFFES","DERIVADOS",B29="162 - CONVENIOS Y DSC POS ","OTROS"),"OTROS")</f>
        <v>GOURMET</v>
      </c>
      <c r="L29" s="27">
        <f t="shared" si="2"/>
        <v>639804</v>
      </c>
      <c r="M29" s="27">
        <f t="shared" si="3"/>
        <v>639804</v>
      </c>
    </row>
    <row r="30" spans="1:13" ht="16.5" hidden="1" outlineLevel="1">
      <c r="A30" s="38"/>
      <c r="B30" s="39" t="s">
        <v>21</v>
      </c>
      <c r="C30" s="36">
        <v>111003643</v>
      </c>
      <c r="D30" s="36">
        <v>-8013700</v>
      </c>
      <c r="E30" s="48">
        <v>0</v>
      </c>
      <c r="F30" s="48">
        <v>223480484.16999999</v>
      </c>
      <c r="G30" s="49">
        <f t="shared" si="5"/>
        <v>0.49670396684643092</v>
      </c>
      <c r="H30" s="23">
        <f t="shared" si="6"/>
        <v>-6.7332203845283281E-2</v>
      </c>
      <c r="I30" s="24">
        <f t="shared" si="6"/>
        <v>0</v>
      </c>
      <c r="J30" s="32" t="str" cm="1">
        <f t="array" ref="J30">IFERROR(_xlfn.IFS(B30="044 - BLEND TRADICION","BLEND",B30="113 - CAFÉ GOURMET","GOURMET",B30="114 - CAFÉ CONSUMO","CONSUMO",B30="112 - CAFÉ ORGANICO","GOURMET",B30="172 - CAFÉ COSECHA","ESPECIALES",B30="176 - CAFE DESCAFEINADO","GOURMET",B30="147 - CAPSULAS","CAPSULAS",B30="130 - GALLETAS CAFECITAS","DERIVADOS",B30="140 - MERENGUES","DERIVADOS",B30="100 - CAFÉ ESPECIAL","ESPECIALES",B30="141 - AREQUIPE","DERIVADOS",B30="142 - MERMELADA","DERIVADOS",B30="131 - GALLETAS AVENA","DERIVADOS",B30="160 - SOUVENIR","OTROS",B30="148 - CARAMELOS","DERIVADOS",B30="143 - CHOCOFFES","DERIVADOS",B30="162 - CONVENIOS Y DSC POS ","OTROS"),"OTROS")</f>
        <v>GOURMET</v>
      </c>
      <c r="L30" s="27">
        <f t="shared" si="2"/>
        <v>119017343</v>
      </c>
      <c r="M30" s="27">
        <f t="shared" si="3"/>
        <v>119017343</v>
      </c>
    </row>
    <row r="31" spans="1:13" ht="16.5" hidden="1" outlineLevel="1">
      <c r="A31" s="38"/>
      <c r="B31" s="39" t="s">
        <v>38</v>
      </c>
      <c r="C31" s="36">
        <v>14257425</v>
      </c>
      <c r="D31" s="36">
        <v>0</v>
      </c>
      <c r="E31" s="48">
        <v>0</v>
      </c>
      <c r="F31" s="48">
        <v>12078505</v>
      </c>
      <c r="G31" s="49">
        <f t="shared" si="5"/>
        <v>1.1803964977453749</v>
      </c>
      <c r="H31" s="23">
        <f t="shared" si="6"/>
        <v>0</v>
      </c>
      <c r="I31" s="24">
        <f t="shared" si="6"/>
        <v>0</v>
      </c>
      <c r="J31" s="32" t="str" cm="1">
        <f t="array" ref="J31">IFERROR(_xlfn.IFS(B31="044 - BLEND TRADICION","BLEND",B31="113 - CAFÉ GOURMET","GOURMET",B31="114 - CAFÉ CONSUMO","CONSUMO",B31="112 - CAFÉ ORGANICO","GOURMET",B31="172 - CAFÉ COSECHA","ESPECIALES",B31="176 - CAFE DESCAFEINADO","GOURMET",B31="147 - CAPSULAS","CAPSULAS",B31="130 - GALLETAS CAFECITAS","DERIVADOS",B31="140 - MERENGUES","DERIVADOS",B31="100 - CAFÉ ESPECIAL","ESPECIALES",B31="141 - AREQUIPE","DERIVADOS",B31="142 - MERMELADA","DERIVADOS",B31="131 - GALLETAS AVENA","DERIVADOS",B31="160 - SOUVENIR","OTROS",B31="148 - CARAMELOS","DERIVADOS",B31="143 - CHOCOFFES","DERIVADOS",B31="162 - CONVENIOS Y DSC POS ","OTROS"),"OTROS")</f>
        <v>CONSUMO</v>
      </c>
      <c r="L31" s="27">
        <f t="shared" si="2"/>
        <v>14257425</v>
      </c>
      <c r="M31" s="27">
        <f t="shared" si="3"/>
        <v>14257425</v>
      </c>
    </row>
    <row r="32" spans="1:13" ht="16.5" hidden="1" outlineLevel="1">
      <c r="A32" s="38"/>
      <c r="B32" s="39" t="s">
        <v>22</v>
      </c>
      <c r="C32" s="36">
        <v>1377980</v>
      </c>
      <c r="D32" s="36">
        <v>0</v>
      </c>
      <c r="E32" s="48">
        <v>0</v>
      </c>
      <c r="F32" s="48">
        <v>876245.45</v>
      </c>
      <c r="G32" s="49">
        <f t="shared" si="5"/>
        <v>1.5725958976448895</v>
      </c>
      <c r="H32" s="23">
        <f t="shared" si="6"/>
        <v>0</v>
      </c>
      <c r="I32" s="24">
        <f t="shared" si="6"/>
        <v>0</v>
      </c>
      <c r="J32" s="32" t="str" cm="1">
        <f t="array" ref="J32">IFERROR(_xlfn.IFS(B32="044 - BLEND TRADICION","BLEND",B32="113 - CAFÉ GOURMET","GOURMET",B32="114 - CAFÉ CONSUMO","CONSUMO",B32="112 - CAFÉ ORGANICO","GOURMET",B32="172 - CAFÉ COSECHA","ESPECIALES",B32="176 - CAFE DESCAFEINADO","GOURMET",B32="147 - CAPSULAS","CAPSULAS",B32="130 - GALLETAS CAFECITAS","DERIVADOS",B32="140 - MERENGUES","DERIVADOS",B32="100 - CAFÉ ESPECIAL","ESPECIALES",B32="141 - AREQUIPE","DERIVADOS",B32="142 - MERMELADA","DERIVADOS",B32="131 - GALLETAS AVENA","DERIVADOS",B32="160 - SOUVENIR","OTROS",B32="148 - CARAMELOS","DERIVADOS",B32="143 - CHOCOFFES","DERIVADOS",B32="162 - CONVENIOS Y DSC POS ","OTROS"),"OTROS")</f>
        <v>DERIVADOS</v>
      </c>
      <c r="L32" s="27">
        <f t="shared" si="2"/>
        <v>1377980</v>
      </c>
      <c r="M32" s="27">
        <f t="shared" si="3"/>
        <v>1377980</v>
      </c>
    </row>
    <row r="33" spans="1:13" ht="16.5" hidden="1" outlineLevel="1">
      <c r="A33" s="38"/>
      <c r="B33" s="39" t="s">
        <v>23</v>
      </c>
      <c r="C33" s="36">
        <v>169037</v>
      </c>
      <c r="D33" s="36">
        <v>0</v>
      </c>
      <c r="E33" s="48"/>
      <c r="F33" s="48">
        <v>315313</v>
      </c>
      <c r="G33" s="49">
        <f t="shared" si="5"/>
        <v>0.5360927078807407</v>
      </c>
      <c r="H33" s="23">
        <f t="shared" si="6"/>
        <v>0</v>
      </c>
      <c r="I33" s="24">
        <f t="shared" si="6"/>
        <v>0</v>
      </c>
      <c r="J33" s="32" t="str" cm="1">
        <f t="array" ref="J33">IFERROR(_xlfn.IFS(B33="044 - BLEND TRADICION","BLEND",B33="113 - CAFÉ GOURMET","GOURMET",B33="114 - CAFÉ CONSUMO","CONSUMO",B33="112 - CAFÉ ORGANICO","GOURMET",B33="172 - CAFÉ COSECHA","ESPECIALES",B33="176 - CAFE DESCAFEINADO","GOURMET",B33="147 - CAPSULAS","CAPSULAS",B33="130 - GALLETAS CAFECITAS","DERIVADOS",B33="140 - MERENGUES","DERIVADOS",B33="100 - CAFÉ ESPECIAL","ESPECIALES",B33="141 - AREQUIPE","DERIVADOS",B33="142 - MERMELADA","DERIVADOS",B33="131 - GALLETAS AVENA","DERIVADOS",B33="160 - SOUVENIR","OTROS",B33="148 - CARAMELOS","DERIVADOS",B33="143 - CHOCOFFES","DERIVADOS",B33="162 - CONVENIOS Y DSC POS ","OTROS"),"OTROS")</f>
        <v>DERIVADOS</v>
      </c>
      <c r="L33" s="27">
        <f t="shared" si="2"/>
        <v>169037</v>
      </c>
      <c r="M33" s="27">
        <f t="shared" si="3"/>
        <v>169037</v>
      </c>
    </row>
    <row r="34" spans="1:13" ht="16.5" hidden="1" outlineLevel="1">
      <c r="A34" s="38"/>
      <c r="B34" s="39" t="s">
        <v>24</v>
      </c>
      <c r="C34" s="36">
        <v>388295</v>
      </c>
      <c r="D34" s="36">
        <v>0</v>
      </c>
      <c r="E34" s="48"/>
      <c r="F34" s="48">
        <v>443819.64</v>
      </c>
      <c r="G34" s="49">
        <f t="shared" si="5"/>
        <v>0.87489368429031211</v>
      </c>
      <c r="H34" s="23">
        <f t="shared" si="6"/>
        <v>0</v>
      </c>
      <c r="I34" s="24">
        <f t="shared" si="6"/>
        <v>0</v>
      </c>
      <c r="J34" s="32" t="str" cm="1">
        <f t="array" ref="J34">IFERROR(_xlfn.IFS(B34="044 - BLEND TRADICION","BLEND",B34="113 - CAFÉ GOURMET","GOURMET",B34="114 - CAFÉ CONSUMO","CONSUMO",B34="112 - CAFÉ ORGANICO","GOURMET",B34="172 - CAFÉ COSECHA","ESPECIALES",B34="176 - CAFE DESCAFEINADO","GOURMET",B34="147 - CAPSULAS","CAPSULAS",B34="130 - GALLETAS CAFECITAS","DERIVADOS",B34="140 - MERENGUES","DERIVADOS",B34="100 - CAFÉ ESPECIAL","ESPECIALES",B34="141 - AREQUIPE","DERIVADOS",B34="142 - MERMELADA","DERIVADOS",B34="131 - GALLETAS AVENA","DERIVADOS",B34="160 - SOUVENIR","OTROS",B34="148 - CARAMELOS","DERIVADOS",B34="143 - CHOCOFFES","DERIVADOS",B34="162 - CONVENIOS Y DSC POS ","OTROS"),"OTROS")</f>
        <v>DERIVADOS</v>
      </c>
      <c r="L34" s="27">
        <f t="shared" si="2"/>
        <v>388295</v>
      </c>
      <c r="M34" s="27">
        <f t="shared" si="3"/>
        <v>388295</v>
      </c>
    </row>
    <row r="35" spans="1:13" ht="16.5" hidden="1" outlineLevel="1">
      <c r="A35" s="38"/>
      <c r="B35" s="39" t="s">
        <v>25</v>
      </c>
      <c r="C35" s="36">
        <v>211752</v>
      </c>
      <c r="D35" s="36">
        <v>0</v>
      </c>
      <c r="E35" s="48"/>
      <c r="F35" s="48">
        <v>253263.49</v>
      </c>
      <c r="G35" s="49">
        <f t="shared" si="5"/>
        <v>0.83609366671840468</v>
      </c>
      <c r="H35" s="23">
        <f t="shared" si="6"/>
        <v>0</v>
      </c>
      <c r="I35" s="24">
        <f t="shared" si="6"/>
        <v>0</v>
      </c>
      <c r="J35" s="32" t="str" cm="1">
        <f t="array" ref="J35">IFERROR(_xlfn.IFS(B35="044 - BLEND TRADICION","BLEND",B35="113 - CAFÉ GOURMET","GOURMET",B35="114 - CAFÉ CONSUMO","CONSUMO",B35="112 - CAFÉ ORGANICO","GOURMET",B35="172 - CAFÉ COSECHA","ESPECIALES",B35="176 - CAFE DESCAFEINADO","GOURMET",B35="147 - CAPSULAS","CAPSULAS",B35="130 - GALLETAS CAFECITAS","DERIVADOS",B35="140 - MERENGUES","DERIVADOS",B35="100 - CAFÉ ESPECIAL","ESPECIALES",B35="141 - AREQUIPE","DERIVADOS",B35="142 - MERMELADA","DERIVADOS",B35="131 - GALLETAS AVENA","DERIVADOS",B35="160 - SOUVENIR","OTROS",B35="148 - CARAMELOS","DERIVADOS",B35="143 - CHOCOFFES","DERIVADOS",B35="162 - CONVENIOS Y DSC POS ","OTROS"),"OTROS")</f>
        <v>DERIVADOS</v>
      </c>
      <c r="L35" s="27">
        <f t="shared" si="2"/>
        <v>211752</v>
      </c>
      <c r="M35" s="27">
        <f t="shared" si="3"/>
        <v>211752</v>
      </c>
    </row>
    <row r="36" spans="1:13" ht="16.5" hidden="1" outlineLevel="1">
      <c r="A36" s="38"/>
      <c r="B36" s="39" t="s">
        <v>26</v>
      </c>
      <c r="C36" s="36">
        <v>17472199</v>
      </c>
      <c r="D36" s="36">
        <v>-1819838</v>
      </c>
      <c r="E36" s="48"/>
      <c r="F36" s="48">
        <v>19346780.550000001</v>
      </c>
      <c r="G36" s="49">
        <f t="shared" si="5"/>
        <v>0.9031062793545771</v>
      </c>
      <c r="H36" s="23">
        <f t="shared" si="6"/>
        <v>-9.4331044461505018E-2</v>
      </c>
      <c r="I36" s="24">
        <f t="shared" si="6"/>
        <v>0</v>
      </c>
      <c r="J36" s="32" t="str" cm="1">
        <f t="array" ref="J36">IFERROR(_xlfn.IFS(B36="044 - BLEND TRADICION","BLEND",B36="113 - CAFÉ GOURMET","GOURMET",B36="114 - CAFÉ CONSUMO","CONSUMO",B36="112 - CAFÉ ORGANICO","GOURMET",B36="172 - CAFÉ COSECHA","ESPECIALES",B36="176 - CAFE DESCAFEINADO","GOURMET",B36="147 - CAPSULAS","CAPSULAS",B36="130 - GALLETAS CAFECITAS","DERIVADOS",B36="140 - MERENGUES","DERIVADOS",B36="100 - CAFÉ ESPECIAL","ESPECIALES",B36="141 - AREQUIPE","DERIVADOS",B36="142 - MERMELADA","DERIVADOS",B36="131 - GALLETAS AVENA","DERIVADOS",B36="160 - SOUVENIR","OTROS",B36="148 - CARAMELOS","DERIVADOS",B36="143 - CHOCOFFES","DERIVADOS",B36="162 - CONVENIOS Y DSC POS ","OTROS"),"OTROS")</f>
        <v>CAPSULAS</v>
      </c>
      <c r="L36" s="27">
        <f t="shared" si="2"/>
        <v>19292037</v>
      </c>
      <c r="M36" s="27">
        <f t="shared" si="3"/>
        <v>19292037</v>
      </c>
    </row>
    <row r="37" spans="1:13" ht="16.5" hidden="1" outlineLevel="1">
      <c r="A37" s="38"/>
      <c r="B37" s="39" t="s">
        <v>27</v>
      </c>
      <c r="C37" s="36">
        <v>337636</v>
      </c>
      <c r="D37" s="36">
        <v>0</v>
      </c>
      <c r="E37" s="48"/>
      <c r="F37" s="48">
        <v>709870.17</v>
      </c>
      <c r="G37" s="49">
        <f t="shared" si="5"/>
        <v>0.47563063538787659</v>
      </c>
      <c r="H37" s="23">
        <f t="shared" ref="H37:I86" si="8">IFERROR(+D37/L37*100%,0)</f>
        <v>0</v>
      </c>
      <c r="I37" s="24">
        <f t="shared" si="8"/>
        <v>0</v>
      </c>
      <c r="J37" s="32" t="str" cm="1">
        <f t="array" ref="J37">IFERROR(_xlfn.IFS(B37="044 - BLEND TRADICION","BLEND",B37="113 - CAFÉ GOURMET","GOURMET",B37="114 - CAFÉ CONSUMO","CONSUMO",B37="112 - CAFÉ ORGANICO","GOURMET",B37="172 - CAFÉ COSECHA","ESPECIALES",B37="176 - CAFE DESCAFEINADO","GOURMET",B37="147 - CAPSULAS","CAPSULAS",B37="130 - GALLETAS CAFECITAS","DERIVADOS",B37="140 - MERENGUES","DERIVADOS",B37="100 - CAFÉ ESPECIAL","ESPECIALES",B37="141 - AREQUIPE","DERIVADOS",B37="142 - MERMELADA","DERIVADOS",B37="131 - GALLETAS AVENA","DERIVADOS",B37="160 - SOUVENIR","OTROS",B37="148 - CARAMELOS","DERIVADOS",B37="143 - CHOCOFFES","DERIVADOS",B37="162 - CONVENIOS Y DSC POS ","OTROS"),"OTROS")</f>
        <v>DERIVADOS</v>
      </c>
      <c r="L37" s="27">
        <f t="shared" si="2"/>
        <v>337636</v>
      </c>
      <c r="M37" s="27">
        <f t="shared" si="3"/>
        <v>337636</v>
      </c>
    </row>
    <row r="38" spans="1:13" ht="16.5" hidden="1" outlineLevel="1">
      <c r="A38" s="38"/>
      <c r="B38" s="39" t="s">
        <v>28</v>
      </c>
      <c r="C38" s="36">
        <v>368139</v>
      </c>
      <c r="D38" s="36">
        <v>0</v>
      </c>
      <c r="E38" s="48"/>
      <c r="F38" s="48">
        <v>926563.16</v>
      </c>
      <c r="G38" s="49">
        <f t="shared" si="5"/>
        <v>0.39731668157408717</v>
      </c>
      <c r="H38" s="23">
        <f t="shared" si="8"/>
        <v>0</v>
      </c>
      <c r="I38" s="24">
        <f t="shared" si="8"/>
        <v>0</v>
      </c>
      <c r="J38" s="32" t="str" cm="1">
        <f t="array" ref="J38">IFERROR(_xlfn.IFS(B38="044 - BLEND TRADICION","BLEND",B38="113 - CAFÉ GOURMET","GOURMET",B38="114 - CAFÉ CONSUMO","CONSUMO",B38="112 - CAFÉ ORGANICO","GOURMET",B38="172 - CAFÉ COSECHA","ESPECIALES",B38="176 - CAFE DESCAFEINADO","GOURMET",B38="147 - CAPSULAS","CAPSULAS",B38="130 - GALLETAS CAFECITAS","DERIVADOS",B38="140 - MERENGUES","DERIVADOS",B38="100 - CAFÉ ESPECIAL","ESPECIALES",B38="141 - AREQUIPE","DERIVADOS",B38="142 - MERMELADA","DERIVADOS",B38="131 - GALLETAS AVENA","DERIVADOS",B38="160 - SOUVENIR","OTROS",B38="148 - CARAMELOS","DERIVADOS",B38="143 - CHOCOFFES","DERIVADOS",B38="162 - CONVENIOS Y DSC POS ","OTROS"),"OTROS")</f>
        <v>OTROS</v>
      </c>
      <c r="L38" s="27">
        <f t="shared" si="2"/>
        <v>368139</v>
      </c>
      <c r="M38" s="27">
        <f t="shared" si="3"/>
        <v>368139</v>
      </c>
    </row>
    <row r="39" spans="1:13" ht="16.5" hidden="1" outlineLevel="1">
      <c r="A39" s="38"/>
      <c r="B39" s="39" t="s">
        <v>29</v>
      </c>
      <c r="C39" s="36">
        <v>218101</v>
      </c>
      <c r="D39" s="36">
        <v>0</v>
      </c>
      <c r="E39" s="48"/>
      <c r="F39" s="48">
        <v>1035996.29</v>
      </c>
      <c r="G39" s="49">
        <f t="shared" si="5"/>
        <v>0.21052295467197088</v>
      </c>
      <c r="H39" s="23">
        <f t="shared" si="8"/>
        <v>0</v>
      </c>
      <c r="I39" s="24">
        <f t="shared" si="8"/>
        <v>0</v>
      </c>
      <c r="J39" s="32" t="str" cm="1">
        <f t="array" ref="J39">IFERROR(_xlfn.IFS(B39="044 - BLEND TRADICION","BLEND",B39="113 - CAFÉ GOURMET","GOURMET",B39="114 - CAFÉ CONSUMO","CONSUMO",B39="112 - CAFÉ ORGANICO","GOURMET",B39="172 - CAFÉ COSECHA","ESPECIALES",B39="176 - CAFE DESCAFEINADO","GOURMET",B39="147 - CAPSULAS","CAPSULAS",B39="130 - GALLETAS CAFECITAS","DERIVADOS",B39="140 - MERENGUES","DERIVADOS",B39="100 - CAFÉ ESPECIAL","ESPECIALES",B39="141 - AREQUIPE","DERIVADOS",B39="142 - MERMELADA","DERIVADOS",B39="131 - GALLETAS AVENA","DERIVADOS",B39="160 - SOUVENIR","OTROS",B39="148 - CARAMELOS","DERIVADOS",B39="143 - CHOCOFFES","DERIVADOS",B39="162 - CONVENIOS Y DSC POS ","OTROS"),"OTROS")</f>
        <v>ESPECIALES</v>
      </c>
      <c r="L39" s="27">
        <f t="shared" si="2"/>
        <v>218101</v>
      </c>
      <c r="M39" s="27">
        <f t="shared" si="3"/>
        <v>218101</v>
      </c>
    </row>
    <row r="40" spans="1:13" ht="16.5" hidden="1" outlineLevel="1">
      <c r="A40" s="38"/>
      <c r="B40" s="39" t="s">
        <v>30</v>
      </c>
      <c r="C40" s="36">
        <v>63262</v>
      </c>
      <c r="D40" s="36">
        <v>0</v>
      </c>
      <c r="E40" s="48"/>
      <c r="F40" s="48">
        <v>573972.9</v>
      </c>
      <c r="G40" s="49">
        <f t="shared" si="5"/>
        <v>0.11021774721419773</v>
      </c>
      <c r="H40" s="23">
        <f t="shared" si="8"/>
        <v>0</v>
      </c>
      <c r="I40" s="24">
        <f t="shared" si="8"/>
        <v>0</v>
      </c>
      <c r="J40" s="32" t="str" cm="1">
        <f t="array" ref="J40">IFERROR(_xlfn.IFS(B40="044 - BLEND TRADICION","BLEND",B40="113 - CAFÉ GOURMET","GOURMET",B40="114 - CAFÉ CONSUMO","CONSUMO",B40="112 - CAFÉ ORGANICO","GOURMET",B40="172 - CAFÉ COSECHA","ESPECIALES",B40="176 - CAFE DESCAFEINADO","GOURMET",B40="147 - CAPSULAS","CAPSULAS",B40="130 - GALLETAS CAFECITAS","DERIVADOS",B40="140 - MERENGUES","DERIVADOS",B40="100 - CAFÉ ESPECIAL","ESPECIALES",B40="141 - AREQUIPE","DERIVADOS",B40="142 - MERMELADA","DERIVADOS",B40="131 - GALLETAS AVENA","DERIVADOS",B40="160 - SOUVENIR","OTROS",B40="148 - CARAMELOS","DERIVADOS",B40="143 - CHOCOFFES","DERIVADOS",B40="162 - CONVENIOS Y DSC POS ","OTROS"),"OTROS")</f>
        <v>GOURMET</v>
      </c>
      <c r="L40" s="27">
        <f t="shared" si="2"/>
        <v>63262</v>
      </c>
      <c r="M40" s="27">
        <f t="shared" si="3"/>
        <v>63262</v>
      </c>
    </row>
    <row r="41" spans="1:13" ht="16.5" hidden="1" outlineLevel="1">
      <c r="A41" s="38"/>
      <c r="B41" s="39" t="s">
        <v>31</v>
      </c>
      <c r="C41" s="36">
        <v>36000</v>
      </c>
      <c r="D41" s="36">
        <v>0</v>
      </c>
      <c r="E41" s="48"/>
      <c r="F41" s="48">
        <v>0</v>
      </c>
      <c r="G41" s="49" t="str">
        <f t="shared" si="5"/>
        <v>-</v>
      </c>
      <c r="H41" s="23">
        <f t="shared" si="8"/>
        <v>0</v>
      </c>
      <c r="I41" s="24">
        <f t="shared" si="8"/>
        <v>0</v>
      </c>
      <c r="J41" s="32" t="str" cm="1">
        <f t="array" ref="J41">IFERROR(_xlfn.IFS(B41="044 - BLEND TRADICION","BLEND",B41="113 - CAFÉ GOURMET","GOURMET",B41="114 - CAFÉ CONSUMO","CONSUMO",B41="112 - CAFÉ ORGANICO","GOURMET",B41="172 - CAFÉ COSECHA","ESPECIALES",B41="176 - CAFE DESCAFEINADO","GOURMET",B41="147 - CAPSULAS","CAPSULAS",B41="130 - GALLETAS CAFECITAS","DERIVADOS",B41="140 - MERENGUES","DERIVADOS",B41="100 - CAFÉ ESPECIAL","ESPECIALES",B41="141 - AREQUIPE","DERIVADOS",B41="142 - MERMELADA","DERIVADOS",B41="131 - GALLETAS AVENA","DERIVADOS",B41="160 - SOUVENIR","OTROS",B41="148 - CARAMELOS","DERIVADOS",B41="143 - CHOCOFFES","DERIVADOS",B41="162 - CONVENIOS Y DSC POS ","OTROS"),"OTROS")</f>
        <v>OTROS</v>
      </c>
      <c r="L41" s="27">
        <f t="shared" si="2"/>
        <v>36000</v>
      </c>
      <c r="M41" s="27">
        <f t="shared" si="3"/>
        <v>36000</v>
      </c>
    </row>
    <row r="42" spans="1:13" ht="16.5" hidden="1" outlineLevel="1">
      <c r="A42" s="19" t="s">
        <v>37</v>
      </c>
      <c r="B42" s="56" t="s">
        <v>32</v>
      </c>
      <c r="C42" s="54">
        <f>SUM(C27:C41)</f>
        <v>151565853</v>
      </c>
      <c r="D42" s="54">
        <f>SUM(D27:D41)</f>
        <v>-13761904</v>
      </c>
      <c r="E42" s="54">
        <f>SUM(E27:E41)</f>
        <v>0</v>
      </c>
      <c r="F42" s="54">
        <f>SUM(F27:F41)</f>
        <v>271870321.94</v>
      </c>
      <c r="G42" s="55">
        <f t="shared" si="5"/>
        <v>0.55749318983573937</v>
      </c>
      <c r="H42" s="23">
        <f t="shared" si="8"/>
        <v>-8.3240130088984399E-2</v>
      </c>
      <c r="I42" s="24">
        <f t="shared" si="8"/>
        <v>0</v>
      </c>
      <c r="J42" s="32" t="str" cm="1">
        <f t="array" ref="J42">IFERROR(_xlfn.IFS(B42="044 - BLEND TRADICION","BLEND",B42="113 - CAFÉ GOURMET","GOURMET",B42="114 - CAFÉ CONSUMO","CONSUMO",B42="112 - CAFÉ ORGANICO","GOURMET",B42="172 - CAFÉ COSECHA","ESPECIALES",B42="176 - CAFE DESCAFEINADO","GOURMET",B42="147 - CAPSULAS","CAPSULAS",B42="130 - GALLETAS CAFECITAS","DERIVADOS",B42="140 - MERENGUES","DERIVADOS",B42="100 - CAFÉ ESPECIAL","ESPECIALES",B42="141 - AREQUIPE","DERIVADOS",B42="142 - MERMELADA","DERIVADOS",B42="131 - GALLETAS AVENA","DERIVADOS",B42="160 - SOUVENIR","OTROS",B42="148 - CARAMELOS","DERIVADOS",B42="143 - CHOCOFFES","DERIVADOS",B42="162 - CONVENIOS Y DSC POS ","OTROS"),"OTROS")</f>
        <v>OTROS</v>
      </c>
      <c r="L42" s="27">
        <f t="shared" si="2"/>
        <v>165327757</v>
      </c>
      <c r="M42" s="27">
        <f t="shared" si="3"/>
        <v>165327757</v>
      </c>
    </row>
    <row r="43" spans="1:13" ht="16.5" hidden="1" outlineLevel="1">
      <c r="A43" s="38"/>
      <c r="B43" s="39" t="s">
        <v>34</v>
      </c>
      <c r="C43" s="36">
        <v>7510</v>
      </c>
      <c r="D43" s="36">
        <v>0</v>
      </c>
      <c r="E43" s="48">
        <v>0</v>
      </c>
      <c r="F43" s="48">
        <v>16995.71</v>
      </c>
      <c r="G43" s="49">
        <f t="shared" si="5"/>
        <v>0.44187621464475452</v>
      </c>
      <c r="H43" s="23">
        <f t="shared" si="8"/>
        <v>0</v>
      </c>
      <c r="I43" s="24">
        <f t="shared" si="8"/>
        <v>0</v>
      </c>
      <c r="J43" s="32" t="str" cm="1">
        <f t="array" ref="J43">IFERROR(_xlfn.IFS(B43="044 - BLEND TRADICION","BLEND",B43="113 - CAFÉ GOURMET","GOURMET",B43="114 - CAFÉ CONSUMO","CONSUMO",B43="112 - CAFÉ ORGANICO","GOURMET",B43="172 - CAFÉ COSECHA","ESPECIALES",B43="176 - CAFE DESCAFEINADO","GOURMET",B43="147 - CAPSULAS","CAPSULAS",B43="130 - GALLETAS CAFECITAS","DERIVADOS",B43="140 - MERENGUES","DERIVADOS",B43="100 - CAFÉ ESPECIAL","ESPECIALES",B43="141 - AREQUIPE","DERIVADOS",B43="142 - MERMELADA","DERIVADOS",B43="131 - GALLETAS AVENA","DERIVADOS",B43="160 - SOUVENIR","OTROS",B43="148 - CARAMELOS","DERIVADOS",B43="143 - CHOCOFFES","DERIVADOS",B43="162 - CONVENIOS Y DSC POS ","OTROS"),"OTROS")</f>
        <v>OTROS</v>
      </c>
      <c r="L43" s="27">
        <f t="shared" si="2"/>
        <v>7510</v>
      </c>
      <c r="M43" s="27">
        <f t="shared" si="3"/>
        <v>7510</v>
      </c>
    </row>
    <row r="44" spans="1:13" ht="16.5" hidden="1" outlineLevel="1">
      <c r="A44" s="38"/>
      <c r="B44" s="39" t="s">
        <v>95</v>
      </c>
      <c r="C44" s="36">
        <v>522421</v>
      </c>
      <c r="D44" s="36">
        <v>-82846</v>
      </c>
      <c r="E44" s="48">
        <v>0</v>
      </c>
      <c r="F44" s="48">
        <v>0</v>
      </c>
      <c r="G44" s="49" t="str">
        <f t="shared" si="5"/>
        <v>-</v>
      </c>
      <c r="H44" s="23">
        <f t="shared" si="8"/>
        <v>-0.1368751311404719</v>
      </c>
      <c r="I44" s="24">
        <f t="shared" si="8"/>
        <v>0</v>
      </c>
      <c r="J44" s="32" t="str" cm="1">
        <f t="array" ref="J44">IFERROR(_xlfn.IFS(B44="044 - BLEND TRADICION","BLEND",B44="113 - CAFÉ GOURMET","GOURMET",B44="114 - CAFÉ CONSUMO","CONSUMO",B44="112 - CAFÉ ORGANICO","GOURMET",B44="172 - CAFÉ COSECHA","ESPECIALES",B44="176 - CAFE DESCAFEINADO","GOURMET",B44="147 - CAPSULAS","CAPSULAS",B44="130 - GALLETAS CAFECITAS","DERIVADOS",B44="140 - MERENGUES","DERIVADOS",B44="100 - CAFÉ ESPECIAL","ESPECIALES",B44="141 - AREQUIPE","DERIVADOS",B44="142 - MERMELADA","DERIVADOS",B44="131 - GALLETAS AVENA","DERIVADOS",B44="160 - SOUVENIR","OTROS",B44="148 - CARAMELOS","DERIVADOS",B44="143 - CHOCOFFES","DERIVADOS",B44="162 - CONVENIOS Y DSC POS ","OTROS"),"OTROS")</f>
        <v>OTROS</v>
      </c>
      <c r="L44" s="27">
        <f t="shared" si="2"/>
        <v>605267</v>
      </c>
      <c r="M44" s="27">
        <f t="shared" si="3"/>
        <v>605267</v>
      </c>
    </row>
    <row r="45" spans="1:13" ht="16.5" hidden="1" outlineLevel="1">
      <c r="A45" s="38"/>
      <c r="B45" s="39" t="s">
        <v>42</v>
      </c>
      <c r="C45" s="36">
        <v>348131</v>
      </c>
      <c r="D45" s="36">
        <v>0</v>
      </c>
      <c r="E45" s="48">
        <v>0</v>
      </c>
      <c r="F45" s="48">
        <v>0</v>
      </c>
      <c r="G45" s="49" t="str">
        <f t="shared" si="5"/>
        <v>-</v>
      </c>
      <c r="H45" s="23">
        <f t="shared" si="8"/>
        <v>0</v>
      </c>
      <c r="I45" s="24">
        <f t="shared" si="8"/>
        <v>0</v>
      </c>
      <c r="J45" s="32" t="str" cm="1">
        <f t="array" ref="J45">IFERROR(_xlfn.IFS(B45="044 - BLEND TRADICION","BLEND",B45="113 - CAFÉ GOURMET","GOURMET",B45="114 - CAFÉ CONSUMO","CONSUMO",B45="112 - CAFÉ ORGANICO","GOURMET",B45="172 - CAFÉ COSECHA","ESPECIALES",B45="176 - CAFE DESCAFEINADO","GOURMET",B45="147 - CAPSULAS","CAPSULAS",B45="130 - GALLETAS CAFECITAS","DERIVADOS",B45="140 - MERENGUES","DERIVADOS",B45="100 - CAFÉ ESPECIAL","ESPECIALES",B45="141 - AREQUIPE","DERIVADOS",B45="142 - MERMELADA","DERIVADOS",B45="131 - GALLETAS AVENA","DERIVADOS",B45="160 - SOUVENIR","OTROS",B45="148 - CARAMELOS","DERIVADOS",B45="143 - CHOCOFFES","DERIVADOS",B45="162 - CONVENIOS Y DSC POS ","OTROS"),"OTROS")</f>
        <v>OTROS</v>
      </c>
      <c r="L45" s="27">
        <f t="shared" si="2"/>
        <v>348131</v>
      </c>
      <c r="M45" s="27">
        <f t="shared" si="3"/>
        <v>348131</v>
      </c>
    </row>
    <row r="46" spans="1:13" ht="16.5" hidden="1" outlineLevel="1">
      <c r="A46" s="38"/>
      <c r="B46" s="39" t="s">
        <v>18</v>
      </c>
      <c r="C46" s="36">
        <v>0</v>
      </c>
      <c r="D46" s="36">
        <v>0</v>
      </c>
      <c r="E46" s="48">
        <v>0</v>
      </c>
      <c r="F46" s="48">
        <v>89635.4</v>
      </c>
      <c r="G46" s="49">
        <f t="shared" si="5"/>
        <v>0</v>
      </c>
      <c r="H46" s="23">
        <f t="shared" si="8"/>
        <v>0</v>
      </c>
      <c r="I46" s="24">
        <f t="shared" si="8"/>
        <v>0</v>
      </c>
      <c r="J46" s="32" t="str" cm="1">
        <f t="array" ref="J46">IFERROR(_xlfn.IFS(B46="044 - BLEND TRADICION","BLEND",B46="113 - CAFÉ GOURMET","GOURMET",B46="114 - CAFÉ CONSUMO","CONSUMO",B46="112 - CAFÉ ORGANICO","GOURMET",B46="172 - CAFÉ COSECHA","ESPECIALES",B46="176 - CAFE DESCAFEINADO","GOURMET",B46="147 - CAPSULAS","CAPSULAS",B46="130 - GALLETAS CAFECITAS","DERIVADOS",B46="140 - MERENGUES","DERIVADOS",B46="100 - CAFÉ ESPECIAL","ESPECIALES",B46="141 - AREQUIPE","DERIVADOS",B46="142 - MERMELADA","DERIVADOS",B46="131 - GALLETAS AVENA","DERIVADOS",B46="160 - SOUVENIR","OTROS",B46="148 - CARAMELOS","DERIVADOS",B46="143 - CHOCOFFES","DERIVADOS",B46="162 - CONVENIOS Y DSC POS ","OTROS"),"OTROS")</f>
        <v>BLEND</v>
      </c>
      <c r="L46" s="27">
        <f t="shared" si="2"/>
        <v>0</v>
      </c>
      <c r="M46" s="27">
        <f t="shared" si="3"/>
        <v>0</v>
      </c>
    </row>
    <row r="47" spans="1:13" ht="16.5" hidden="1" outlineLevel="1">
      <c r="A47" s="38"/>
      <c r="B47" s="39" t="s">
        <v>36</v>
      </c>
      <c r="C47" s="36">
        <v>138455</v>
      </c>
      <c r="D47" s="36">
        <v>0</v>
      </c>
      <c r="E47" s="48"/>
      <c r="F47" s="48">
        <v>0</v>
      </c>
      <c r="G47" s="49" t="str">
        <f t="shared" si="5"/>
        <v>-</v>
      </c>
      <c r="H47" s="23">
        <f t="shared" si="8"/>
        <v>0</v>
      </c>
      <c r="I47" s="24">
        <f t="shared" si="8"/>
        <v>0</v>
      </c>
      <c r="J47" s="32" t="str" cm="1">
        <f t="array" ref="J47">IFERROR(_xlfn.IFS(B47="044 - BLEND TRADICION","BLEND",B47="113 - CAFÉ GOURMET","GOURMET",B47="114 - CAFÉ CONSUMO","CONSUMO",B47="112 - CAFÉ ORGANICO","GOURMET",B47="172 - CAFÉ COSECHA","ESPECIALES",B47="176 - CAFE DESCAFEINADO","GOURMET",B47="147 - CAPSULAS","CAPSULAS",B47="130 - GALLETAS CAFECITAS","DERIVADOS",B47="140 - MERENGUES","DERIVADOS",B47="100 - CAFÉ ESPECIAL","ESPECIALES",B47="141 - AREQUIPE","DERIVADOS",B47="142 - MERMELADA","DERIVADOS",B47="131 - GALLETAS AVENA","DERIVADOS",B47="160 - SOUVENIR","OTROS",B47="148 - CARAMELOS","DERIVADOS",B47="143 - CHOCOFFES","DERIVADOS",B47="162 - CONVENIOS Y DSC POS ","OTROS"),"OTROS")</f>
        <v>OTROS</v>
      </c>
      <c r="L47" s="27">
        <f t="shared" si="2"/>
        <v>138455</v>
      </c>
      <c r="M47" s="27">
        <f t="shared" si="3"/>
        <v>138455</v>
      </c>
    </row>
    <row r="48" spans="1:13" ht="16.5" hidden="1" outlineLevel="1">
      <c r="A48" s="38"/>
      <c r="B48" s="39" t="s">
        <v>19</v>
      </c>
      <c r="C48" s="36">
        <v>0</v>
      </c>
      <c r="D48" s="36">
        <v>0</v>
      </c>
      <c r="E48" s="48"/>
      <c r="F48" s="48">
        <v>94237.05</v>
      </c>
      <c r="G48" s="49">
        <f t="shared" si="5"/>
        <v>0</v>
      </c>
      <c r="H48" s="23">
        <f t="shared" si="8"/>
        <v>0</v>
      </c>
      <c r="I48" s="24">
        <f t="shared" si="8"/>
        <v>0</v>
      </c>
      <c r="J48" s="32" t="str" cm="1">
        <f t="array" ref="J48">IFERROR(_xlfn.IFS(B48="044 - BLEND TRADICION","BLEND",B48="113 - CAFÉ GOURMET","GOURMET",B48="114 - CAFÉ CONSUMO","CONSUMO",B48="112 - CAFÉ ORGANICO","GOURMET",B48="172 - CAFÉ COSECHA","ESPECIALES",B48="176 - CAFE DESCAFEINADO","GOURMET",B48="147 - CAPSULAS","CAPSULAS",B48="130 - GALLETAS CAFECITAS","DERIVADOS",B48="140 - MERENGUES","DERIVADOS",B48="100 - CAFÉ ESPECIAL","ESPECIALES",B48="141 - AREQUIPE","DERIVADOS",B48="142 - MERMELADA","DERIVADOS",B48="131 - GALLETAS AVENA","DERIVADOS",B48="160 - SOUVENIR","OTROS",B48="148 - CARAMELOS","DERIVADOS",B48="143 - CHOCOFFES","DERIVADOS",B48="162 - CONVENIOS Y DSC POS ","OTROS"),"OTROS")</f>
        <v>ESPECIALES</v>
      </c>
      <c r="L48" s="27">
        <f t="shared" si="2"/>
        <v>0</v>
      </c>
      <c r="M48" s="27">
        <f t="shared" si="3"/>
        <v>0</v>
      </c>
    </row>
    <row r="49" spans="1:13" ht="16.5" hidden="1" outlineLevel="1">
      <c r="A49" s="38"/>
      <c r="B49" s="39" t="s">
        <v>20</v>
      </c>
      <c r="C49" s="36">
        <v>0</v>
      </c>
      <c r="D49" s="36">
        <v>0</v>
      </c>
      <c r="E49" s="48"/>
      <c r="F49" s="48">
        <v>136038.93</v>
      </c>
      <c r="G49" s="49">
        <f t="shared" si="5"/>
        <v>0</v>
      </c>
      <c r="H49" s="23">
        <f t="shared" si="8"/>
        <v>0</v>
      </c>
      <c r="I49" s="24">
        <f t="shared" si="8"/>
        <v>0</v>
      </c>
      <c r="J49" s="32" t="str" cm="1">
        <f t="array" ref="J49">IFERROR(_xlfn.IFS(B49="044 - BLEND TRADICION","BLEND",B49="113 - CAFÉ GOURMET","GOURMET",B49="114 - CAFÉ CONSUMO","CONSUMO",B49="112 - CAFÉ ORGANICO","GOURMET",B49="172 - CAFÉ COSECHA","ESPECIALES",B49="176 - CAFE DESCAFEINADO","GOURMET",B49="147 - CAPSULAS","CAPSULAS",B49="130 - GALLETAS CAFECITAS","DERIVADOS",B49="140 - MERENGUES","DERIVADOS",B49="100 - CAFÉ ESPECIAL","ESPECIALES",B49="141 - AREQUIPE","DERIVADOS",B49="142 - MERMELADA","DERIVADOS",B49="131 - GALLETAS AVENA","DERIVADOS",B49="160 - SOUVENIR","OTROS",B49="148 - CARAMELOS","DERIVADOS",B49="143 - CHOCOFFES","DERIVADOS",B49="162 - CONVENIOS Y DSC POS ","OTROS"),"OTROS")</f>
        <v>GOURMET</v>
      </c>
      <c r="L49" s="27">
        <f t="shared" si="2"/>
        <v>0</v>
      </c>
      <c r="M49" s="27">
        <f t="shared" si="3"/>
        <v>0</v>
      </c>
    </row>
    <row r="50" spans="1:13" ht="16.5" hidden="1" outlineLevel="1">
      <c r="A50" s="38"/>
      <c r="B50" s="39" t="s">
        <v>21</v>
      </c>
      <c r="C50" s="36">
        <v>23043672</v>
      </c>
      <c r="D50" s="36">
        <v>0</v>
      </c>
      <c r="E50" s="48"/>
      <c r="F50" s="48">
        <v>69823497.540000007</v>
      </c>
      <c r="G50" s="49">
        <f t="shared" si="5"/>
        <v>0.33002746656738152</v>
      </c>
      <c r="H50" s="23">
        <f t="shared" si="8"/>
        <v>0</v>
      </c>
      <c r="I50" s="24">
        <f t="shared" si="8"/>
        <v>0</v>
      </c>
      <c r="J50" s="32" t="str" cm="1">
        <f t="array" ref="J50">IFERROR(_xlfn.IFS(B50="044 - BLEND TRADICION","BLEND",B50="113 - CAFÉ GOURMET","GOURMET",B50="114 - CAFÉ CONSUMO","CONSUMO",B50="112 - CAFÉ ORGANICO","GOURMET",B50="172 - CAFÉ COSECHA","ESPECIALES",B50="176 - CAFE DESCAFEINADO","GOURMET",B50="147 - CAPSULAS","CAPSULAS",B50="130 - GALLETAS CAFECITAS","DERIVADOS",B50="140 - MERENGUES","DERIVADOS",B50="100 - CAFÉ ESPECIAL","ESPECIALES",B50="141 - AREQUIPE","DERIVADOS",B50="142 - MERMELADA","DERIVADOS",B50="131 - GALLETAS AVENA","DERIVADOS",B50="160 - SOUVENIR","OTROS",B50="148 - CARAMELOS","DERIVADOS",B50="143 - CHOCOFFES","DERIVADOS",B50="162 - CONVENIOS Y DSC POS ","OTROS"),"OTROS")</f>
        <v>GOURMET</v>
      </c>
      <c r="L50" s="27">
        <f t="shared" si="2"/>
        <v>23043672</v>
      </c>
      <c r="M50" s="27">
        <f t="shared" si="3"/>
        <v>23043672</v>
      </c>
    </row>
    <row r="51" spans="1:13" ht="16.5" hidden="1" outlineLevel="1">
      <c r="A51" s="38"/>
      <c r="B51" s="39" t="s">
        <v>38</v>
      </c>
      <c r="C51" s="36">
        <v>3688174</v>
      </c>
      <c r="D51" s="36">
        <v>0</v>
      </c>
      <c r="E51" s="48"/>
      <c r="F51" s="48">
        <v>14106647.08</v>
      </c>
      <c r="G51" s="49">
        <f t="shared" si="5"/>
        <v>0.26144937057573286</v>
      </c>
      <c r="H51" s="23">
        <f t="shared" si="8"/>
        <v>0</v>
      </c>
      <c r="I51" s="24">
        <f t="shared" si="8"/>
        <v>0</v>
      </c>
      <c r="J51" s="32" t="str" cm="1">
        <f t="array" ref="J51">IFERROR(_xlfn.IFS(B51="044 - BLEND TRADICION","BLEND",B51="113 - CAFÉ GOURMET","GOURMET",B51="114 - CAFÉ CONSUMO","CONSUMO",B51="112 - CAFÉ ORGANICO","GOURMET",B51="172 - CAFÉ COSECHA","ESPECIALES",B51="176 - CAFE DESCAFEINADO","GOURMET",B51="147 - CAPSULAS","CAPSULAS",B51="130 - GALLETAS CAFECITAS","DERIVADOS",B51="140 - MERENGUES","DERIVADOS",B51="100 - CAFÉ ESPECIAL","ESPECIALES",B51="141 - AREQUIPE","DERIVADOS",B51="142 - MERMELADA","DERIVADOS",B51="131 - GALLETAS AVENA","DERIVADOS",B51="160 - SOUVENIR","OTROS",B51="148 - CARAMELOS","DERIVADOS",B51="143 - CHOCOFFES","DERIVADOS",B51="162 - CONVENIOS Y DSC POS ","OTROS"),"OTROS")</f>
        <v>CONSUMO</v>
      </c>
      <c r="L51" s="27">
        <f t="shared" si="2"/>
        <v>3688174</v>
      </c>
      <c r="M51" s="27">
        <f t="shared" si="3"/>
        <v>3688174</v>
      </c>
    </row>
    <row r="52" spans="1:13" ht="16.5" hidden="1" outlineLevel="1">
      <c r="A52" s="38"/>
      <c r="B52" s="39" t="s">
        <v>22</v>
      </c>
      <c r="C52" s="36">
        <v>1390318</v>
      </c>
      <c r="D52" s="36">
        <v>0</v>
      </c>
      <c r="E52" s="48"/>
      <c r="F52" s="48">
        <v>2927476.03</v>
      </c>
      <c r="G52" s="49">
        <f t="shared" si="5"/>
        <v>0.47492037022759159</v>
      </c>
      <c r="H52" s="23">
        <f t="shared" si="8"/>
        <v>0</v>
      </c>
      <c r="I52" s="24">
        <f t="shared" si="8"/>
        <v>0</v>
      </c>
      <c r="J52" s="32" t="str" cm="1">
        <f t="array" ref="J52">IFERROR(_xlfn.IFS(B52="044 - BLEND TRADICION","BLEND",B52="113 - CAFÉ GOURMET","GOURMET",B52="114 - CAFÉ CONSUMO","CONSUMO",B52="112 - CAFÉ ORGANICO","GOURMET",B52="172 - CAFÉ COSECHA","ESPECIALES",B52="176 - CAFE DESCAFEINADO","GOURMET",B52="147 - CAPSULAS","CAPSULAS",B52="130 - GALLETAS CAFECITAS","DERIVADOS",B52="140 - MERENGUES","DERIVADOS",B52="100 - CAFÉ ESPECIAL","ESPECIALES",B52="141 - AREQUIPE","DERIVADOS",B52="142 - MERMELADA","DERIVADOS",B52="131 - GALLETAS AVENA","DERIVADOS",B52="160 - SOUVENIR","OTROS",B52="148 - CARAMELOS","DERIVADOS",B52="143 - CHOCOFFES","DERIVADOS",B52="162 - CONVENIOS Y DSC POS ","OTROS"),"OTROS")</f>
        <v>DERIVADOS</v>
      </c>
      <c r="L52" s="27">
        <f t="shared" si="2"/>
        <v>1390318</v>
      </c>
      <c r="M52" s="27">
        <f t="shared" si="3"/>
        <v>1390318</v>
      </c>
    </row>
    <row r="53" spans="1:13" ht="16.5" hidden="1" outlineLevel="1">
      <c r="A53" s="38"/>
      <c r="B53" s="39" t="s">
        <v>23</v>
      </c>
      <c r="C53" s="36">
        <v>59660</v>
      </c>
      <c r="D53" s="36">
        <v>0</v>
      </c>
      <c r="E53" s="48"/>
      <c r="F53" s="48">
        <v>256078.41</v>
      </c>
      <c r="G53" s="49">
        <f t="shared" si="5"/>
        <v>0.2329755171472675</v>
      </c>
      <c r="H53" s="23">
        <f t="shared" si="8"/>
        <v>0</v>
      </c>
      <c r="I53" s="24">
        <f t="shared" si="8"/>
        <v>0</v>
      </c>
      <c r="J53" s="32" t="str" cm="1">
        <f t="array" ref="J53">IFERROR(_xlfn.IFS(B53="044 - BLEND TRADICION","BLEND",B53="113 - CAFÉ GOURMET","GOURMET",B53="114 - CAFÉ CONSUMO","CONSUMO",B53="112 - CAFÉ ORGANICO","GOURMET",B53="172 - CAFÉ COSECHA","ESPECIALES",B53="176 - CAFE DESCAFEINADO","GOURMET",B53="147 - CAPSULAS","CAPSULAS",B53="130 - GALLETAS CAFECITAS","DERIVADOS",B53="140 - MERENGUES","DERIVADOS",B53="100 - CAFÉ ESPECIAL","ESPECIALES",B53="141 - AREQUIPE","DERIVADOS",B53="142 - MERMELADA","DERIVADOS",B53="131 - GALLETAS AVENA","DERIVADOS",B53="160 - SOUVENIR","OTROS",B53="148 - CARAMELOS","DERIVADOS",B53="143 - CHOCOFFES","DERIVADOS",B53="162 - CONVENIOS Y DSC POS ","OTROS"),"OTROS")</f>
        <v>DERIVADOS</v>
      </c>
      <c r="L53" s="27">
        <f t="shared" si="2"/>
        <v>59660</v>
      </c>
      <c r="M53" s="27">
        <f t="shared" si="3"/>
        <v>59660</v>
      </c>
    </row>
    <row r="54" spans="1:13" ht="16.5" hidden="1" outlineLevel="1">
      <c r="A54" s="38"/>
      <c r="B54" s="39" t="s">
        <v>24</v>
      </c>
      <c r="C54" s="36">
        <v>402154</v>
      </c>
      <c r="D54" s="36">
        <v>0</v>
      </c>
      <c r="E54" s="48"/>
      <c r="F54" s="48">
        <v>589663.42000000004</v>
      </c>
      <c r="G54" s="49">
        <f t="shared" si="5"/>
        <v>0.68200601624567447</v>
      </c>
      <c r="H54" s="23">
        <f t="shared" si="8"/>
        <v>0</v>
      </c>
      <c r="I54" s="24">
        <f t="shared" si="8"/>
        <v>0</v>
      </c>
      <c r="J54" s="32" t="str" cm="1">
        <f t="array" ref="J54">IFERROR(_xlfn.IFS(B54="044 - BLEND TRADICION","BLEND",B54="113 - CAFÉ GOURMET","GOURMET",B54="114 - CAFÉ CONSUMO","CONSUMO",B54="112 - CAFÉ ORGANICO","GOURMET",B54="172 - CAFÉ COSECHA","ESPECIALES",B54="176 - CAFE DESCAFEINADO","GOURMET",B54="147 - CAPSULAS","CAPSULAS",B54="130 - GALLETAS CAFECITAS","DERIVADOS",B54="140 - MERENGUES","DERIVADOS",B54="100 - CAFÉ ESPECIAL","ESPECIALES",B54="141 - AREQUIPE","DERIVADOS",B54="142 - MERMELADA","DERIVADOS",B54="131 - GALLETAS AVENA","DERIVADOS",B54="160 - SOUVENIR","OTROS",B54="148 - CARAMELOS","DERIVADOS",B54="143 - CHOCOFFES","DERIVADOS",B54="162 - CONVENIOS Y DSC POS ","OTROS"),"OTROS")</f>
        <v>DERIVADOS</v>
      </c>
      <c r="L54" s="27">
        <f t="shared" si="2"/>
        <v>402154</v>
      </c>
      <c r="M54" s="27">
        <f t="shared" si="3"/>
        <v>402154</v>
      </c>
    </row>
    <row r="55" spans="1:13" ht="16.5" hidden="1" outlineLevel="1">
      <c r="A55" s="38"/>
      <c r="B55" s="39" t="s">
        <v>25</v>
      </c>
      <c r="C55" s="36">
        <v>13114</v>
      </c>
      <c r="D55" s="36">
        <v>0</v>
      </c>
      <c r="E55" s="48"/>
      <c r="F55" s="48">
        <v>1309142.77</v>
      </c>
      <c r="G55" s="49">
        <f t="shared" si="5"/>
        <v>1.0017242046106246E-2</v>
      </c>
      <c r="H55" s="23">
        <f t="shared" si="8"/>
        <v>0</v>
      </c>
      <c r="I55" s="24">
        <f t="shared" si="8"/>
        <v>0</v>
      </c>
      <c r="J55" s="32" t="str" cm="1">
        <f t="array" ref="J55">IFERROR(_xlfn.IFS(B55="044 - BLEND TRADICION","BLEND",B55="113 - CAFÉ GOURMET","GOURMET",B55="114 - CAFÉ CONSUMO","CONSUMO",B55="112 - CAFÉ ORGANICO","GOURMET",B55="172 - CAFÉ COSECHA","ESPECIALES",B55="176 - CAFE DESCAFEINADO","GOURMET",B55="147 - CAPSULAS","CAPSULAS",B55="130 - GALLETAS CAFECITAS","DERIVADOS",B55="140 - MERENGUES","DERIVADOS",B55="100 - CAFÉ ESPECIAL","ESPECIALES",B55="141 - AREQUIPE","DERIVADOS",B55="142 - MERMELADA","DERIVADOS",B55="131 - GALLETAS AVENA","DERIVADOS",B55="160 - SOUVENIR","OTROS",B55="148 - CARAMELOS","DERIVADOS",B55="143 - CHOCOFFES","DERIVADOS",B55="162 - CONVENIOS Y DSC POS ","OTROS"),"OTROS")</f>
        <v>DERIVADOS</v>
      </c>
      <c r="L55" s="27">
        <f t="shared" si="2"/>
        <v>13114</v>
      </c>
      <c r="M55" s="27">
        <f t="shared" si="3"/>
        <v>13114</v>
      </c>
    </row>
    <row r="56" spans="1:13" ht="16.5" hidden="1" outlineLevel="1">
      <c r="A56" s="38"/>
      <c r="B56" s="39" t="s">
        <v>26</v>
      </c>
      <c r="C56" s="36">
        <v>7125232</v>
      </c>
      <c r="D56" s="36">
        <v>0</v>
      </c>
      <c r="E56" s="48"/>
      <c r="F56" s="48">
        <v>11209211.369999999</v>
      </c>
      <c r="G56" s="49">
        <f t="shared" si="5"/>
        <v>0.63565863509985721</v>
      </c>
      <c r="H56" s="23">
        <f t="shared" si="8"/>
        <v>0</v>
      </c>
      <c r="I56" s="24">
        <f t="shared" si="8"/>
        <v>0</v>
      </c>
      <c r="J56" s="32" t="str" cm="1">
        <f t="array" ref="J56">IFERROR(_xlfn.IFS(B56="044 - BLEND TRADICION","BLEND",B56="113 - CAFÉ GOURMET","GOURMET",B56="114 - CAFÉ CONSUMO","CONSUMO",B56="112 - CAFÉ ORGANICO","GOURMET",B56="172 - CAFÉ COSECHA","ESPECIALES",B56="176 - CAFE DESCAFEINADO","GOURMET",B56="147 - CAPSULAS","CAPSULAS",B56="130 - GALLETAS CAFECITAS","DERIVADOS",B56="140 - MERENGUES","DERIVADOS",B56="100 - CAFÉ ESPECIAL","ESPECIALES",B56="141 - AREQUIPE","DERIVADOS",B56="142 - MERMELADA","DERIVADOS",B56="131 - GALLETAS AVENA","DERIVADOS",B56="160 - SOUVENIR","OTROS",B56="148 - CARAMELOS","DERIVADOS",B56="143 - CHOCOFFES","DERIVADOS",B56="162 - CONVENIOS Y DSC POS ","OTROS"),"OTROS")</f>
        <v>CAPSULAS</v>
      </c>
      <c r="L56" s="27">
        <f t="shared" si="2"/>
        <v>7125232</v>
      </c>
      <c r="M56" s="27">
        <f t="shared" si="3"/>
        <v>7125232</v>
      </c>
    </row>
    <row r="57" spans="1:13" ht="16.5" hidden="1" outlineLevel="1">
      <c r="A57" s="38"/>
      <c r="B57" s="39" t="s">
        <v>27</v>
      </c>
      <c r="C57" s="36">
        <v>559325</v>
      </c>
      <c r="D57" s="36">
        <v>0</v>
      </c>
      <c r="E57" s="48"/>
      <c r="F57" s="48">
        <v>1035181.45</v>
      </c>
      <c r="G57" s="49">
        <f t="shared" si="5"/>
        <v>0.54031590307187216</v>
      </c>
      <c r="H57" s="23">
        <f t="shared" si="8"/>
        <v>0</v>
      </c>
      <c r="I57" s="24">
        <f t="shared" si="8"/>
        <v>0</v>
      </c>
      <c r="J57" s="32" t="str" cm="1">
        <f t="array" ref="J57">IFERROR(_xlfn.IFS(B57="044 - BLEND TRADICION","BLEND",B57="113 - CAFÉ GOURMET","GOURMET",B57="114 - CAFÉ CONSUMO","CONSUMO",B57="112 - CAFÉ ORGANICO","GOURMET",B57="172 - CAFÉ COSECHA","ESPECIALES",B57="176 - CAFE DESCAFEINADO","GOURMET",B57="147 - CAPSULAS","CAPSULAS",B57="130 - GALLETAS CAFECITAS","DERIVADOS",B57="140 - MERENGUES","DERIVADOS",B57="100 - CAFÉ ESPECIAL","ESPECIALES",B57="141 - AREQUIPE","DERIVADOS",B57="142 - MERMELADA","DERIVADOS",B57="131 - GALLETAS AVENA","DERIVADOS",B57="160 - SOUVENIR","OTROS",B57="148 - CARAMELOS","DERIVADOS",B57="143 - CHOCOFFES","DERIVADOS",B57="162 - CONVENIOS Y DSC POS ","OTROS"),"OTROS")</f>
        <v>DERIVADOS</v>
      </c>
      <c r="L57" s="27">
        <f t="shared" si="2"/>
        <v>559325</v>
      </c>
      <c r="M57" s="27">
        <f t="shared" si="3"/>
        <v>559325</v>
      </c>
    </row>
    <row r="58" spans="1:13" ht="16.5" hidden="1" outlineLevel="1">
      <c r="A58" s="38"/>
      <c r="B58" s="39" t="s">
        <v>28</v>
      </c>
      <c r="C58" s="36">
        <v>0</v>
      </c>
      <c r="D58" s="36">
        <v>0</v>
      </c>
      <c r="E58" s="48">
        <v>0</v>
      </c>
      <c r="F58" s="48">
        <v>11765277.34</v>
      </c>
      <c r="G58" s="49">
        <f t="shared" si="5"/>
        <v>0</v>
      </c>
      <c r="H58" s="23">
        <f t="shared" si="8"/>
        <v>0</v>
      </c>
      <c r="I58" s="24">
        <f t="shared" si="8"/>
        <v>0</v>
      </c>
      <c r="J58" s="32" t="str" cm="1">
        <f t="array" ref="J58">IFERROR(_xlfn.IFS(B58="044 - BLEND TRADICION","BLEND",B58="113 - CAFÉ GOURMET","GOURMET",B58="114 - CAFÉ CONSUMO","CONSUMO",B58="112 - CAFÉ ORGANICO","GOURMET",B58="172 - CAFÉ COSECHA","ESPECIALES",B58="176 - CAFE DESCAFEINADO","GOURMET",B58="147 - CAPSULAS","CAPSULAS",B58="130 - GALLETAS CAFECITAS","DERIVADOS",B58="140 - MERENGUES","DERIVADOS",B58="100 - CAFÉ ESPECIAL","ESPECIALES",B58="141 - AREQUIPE","DERIVADOS",B58="142 - MERMELADA","DERIVADOS",B58="131 - GALLETAS AVENA","DERIVADOS",B58="160 - SOUVENIR","OTROS",B58="148 - CARAMELOS","DERIVADOS",B58="143 - CHOCOFFES","DERIVADOS",B58="162 - CONVENIOS Y DSC POS ","OTROS"),"OTROS")</f>
        <v>OTROS</v>
      </c>
      <c r="L58" s="27">
        <f>C58-(D58+E58)</f>
        <v>0</v>
      </c>
      <c r="M58" s="27">
        <f t="shared" si="3"/>
        <v>0</v>
      </c>
    </row>
    <row r="59" spans="1:13" ht="16.5" hidden="1" outlineLevel="1">
      <c r="A59" s="38"/>
      <c r="B59" s="39" t="s">
        <v>39</v>
      </c>
      <c r="C59" s="36">
        <v>120780</v>
      </c>
      <c r="D59" s="36">
        <v>0</v>
      </c>
      <c r="E59" s="48"/>
      <c r="F59" s="48">
        <v>0</v>
      </c>
      <c r="G59" s="49" t="str">
        <f t="shared" si="5"/>
        <v>-</v>
      </c>
      <c r="H59" s="23">
        <f t="shared" si="8"/>
        <v>0</v>
      </c>
      <c r="I59" s="24">
        <f t="shared" si="8"/>
        <v>0</v>
      </c>
      <c r="J59" s="32" t="str" cm="1">
        <f t="array" ref="J59">IFERROR(_xlfn.IFS(B59="044 - BLEND TRADICION","BLEND",B59="113 - CAFÉ GOURMET","GOURMET",B59="114 - CAFÉ CONSUMO","CONSUMO",B59="112 - CAFÉ ORGANICO","GOURMET",B59="172 - CAFÉ COSECHA","ESPECIALES",B59="176 - CAFE DESCAFEINADO","GOURMET",B59="147 - CAPSULAS","CAPSULAS",B59="130 - GALLETAS CAFECITAS","DERIVADOS",B59="140 - MERENGUES","DERIVADOS",B59="100 - CAFÉ ESPECIAL","ESPECIALES",B59="141 - AREQUIPE","DERIVADOS",B59="142 - MERMELADA","DERIVADOS",B59="131 - GALLETAS AVENA","DERIVADOS",B59="160 - SOUVENIR","OTROS",B59="148 - CARAMELOS","DERIVADOS",B59="143 - CHOCOFFES","DERIVADOS",B59="162 - CONVENIOS Y DSC POS ","OTROS"),"OTROS")</f>
        <v>OTROS</v>
      </c>
      <c r="L59" s="27">
        <f t="shared" ref="L59:L86" si="9">C59-(D59+E59)</f>
        <v>120780</v>
      </c>
      <c r="M59" s="27">
        <f t="shared" si="3"/>
        <v>120780</v>
      </c>
    </row>
    <row r="60" spans="1:13" ht="16.5" hidden="1" outlineLevel="1">
      <c r="A60" s="38"/>
      <c r="B60" s="39" t="s">
        <v>29</v>
      </c>
      <c r="C60" s="36">
        <v>789990</v>
      </c>
      <c r="D60" s="36">
        <v>0</v>
      </c>
      <c r="E60" s="48"/>
      <c r="F60" s="48">
        <v>4920564.09</v>
      </c>
      <c r="G60" s="49">
        <f t="shared" si="5"/>
        <v>0.16054866587460709</v>
      </c>
      <c r="H60" s="23">
        <f t="shared" si="8"/>
        <v>0</v>
      </c>
      <c r="I60" s="24">
        <f t="shared" si="8"/>
        <v>0</v>
      </c>
      <c r="J60" s="32" t="str" cm="1">
        <f t="array" ref="J60">IFERROR(_xlfn.IFS(B60="044 - BLEND TRADICION","BLEND",B60="113 - CAFÉ GOURMET","GOURMET",B60="114 - CAFÉ CONSUMO","CONSUMO",B60="112 - CAFÉ ORGANICO","GOURMET",B60="172 - CAFÉ COSECHA","ESPECIALES",B60="176 - CAFE DESCAFEINADO","GOURMET",B60="147 - CAPSULAS","CAPSULAS",B60="130 - GALLETAS CAFECITAS","DERIVADOS",B60="140 - MERENGUES","DERIVADOS",B60="100 - CAFÉ ESPECIAL","ESPECIALES",B60="141 - AREQUIPE","DERIVADOS",B60="142 - MERMELADA","DERIVADOS",B60="131 - GALLETAS AVENA","DERIVADOS",B60="160 - SOUVENIR","OTROS",B60="148 - CARAMELOS","DERIVADOS",B60="143 - CHOCOFFES","DERIVADOS",B60="162 - CONVENIOS Y DSC POS ","OTROS"),"OTROS")</f>
        <v>ESPECIALES</v>
      </c>
      <c r="L60" s="27">
        <f t="shared" si="9"/>
        <v>789990</v>
      </c>
      <c r="M60" s="27">
        <f t="shared" si="3"/>
        <v>789990</v>
      </c>
    </row>
    <row r="61" spans="1:13" ht="16.5" hidden="1" outlineLevel="1">
      <c r="A61" s="38"/>
      <c r="B61" s="39" t="s">
        <v>31</v>
      </c>
      <c r="C61" s="36">
        <v>13000</v>
      </c>
      <c r="D61" s="36">
        <v>0</v>
      </c>
      <c r="E61" s="48"/>
      <c r="F61" s="48">
        <v>0</v>
      </c>
      <c r="G61" s="49" t="str">
        <f t="shared" si="5"/>
        <v>-</v>
      </c>
      <c r="H61" s="23">
        <f t="shared" si="8"/>
        <v>0</v>
      </c>
      <c r="I61" s="24">
        <f t="shared" si="8"/>
        <v>0</v>
      </c>
      <c r="J61" s="32" t="str" cm="1">
        <f t="array" ref="J61">IFERROR(_xlfn.IFS(B61="044 - BLEND TRADICION","BLEND",B61="113 - CAFÉ GOURMET","GOURMET",B61="114 - CAFÉ CONSUMO","CONSUMO",B61="112 - CAFÉ ORGANICO","GOURMET",B61="172 - CAFÉ COSECHA","ESPECIALES",B61="176 - CAFE DESCAFEINADO","GOURMET",B61="147 - CAPSULAS","CAPSULAS",B61="130 - GALLETAS CAFECITAS","DERIVADOS",B61="140 - MERENGUES","DERIVADOS",B61="100 - CAFÉ ESPECIAL","ESPECIALES",B61="141 - AREQUIPE","DERIVADOS",B61="142 - MERMELADA","DERIVADOS",B61="131 - GALLETAS AVENA","DERIVADOS",B61="160 - SOUVENIR","OTROS",B61="148 - CARAMELOS","DERIVADOS",B61="143 - CHOCOFFES","DERIVADOS",B61="162 - CONVENIOS Y DSC POS ","OTROS"),"OTROS")</f>
        <v>OTROS</v>
      </c>
      <c r="L61" s="27">
        <f t="shared" si="9"/>
        <v>13000</v>
      </c>
      <c r="M61" s="27">
        <f t="shared" si="3"/>
        <v>13000</v>
      </c>
    </row>
    <row r="62" spans="1:13" ht="16.5" hidden="1" outlineLevel="1">
      <c r="A62" s="19" t="s">
        <v>40</v>
      </c>
      <c r="B62" s="56" t="s">
        <v>32</v>
      </c>
      <c r="C62" s="54">
        <f>SUM(C43:C61)</f>
        <v>38221936</v>
      </c>
      <c r="D62" s="54">
        <f>SUM(D43:D61)</f>
        <v>-82846</v>
      </c>
      <c r="E62" s="54">
        <f>SUM(E43:E61)</f>
        <v>0</v>
      </c>
      <c r="F62" s="54">
        <f>SUM(F43:F61)</f>
        <v>118279646.59000002</v>
      </c>
      <c r="G62" s="55">
        <f t="shared" si="5"/>
        <v>0.32314888572918243</v>
      </c>
      <c r="H62" s="23">
        <f t="shared" si="8"/>
        <v>-2.1628108991718058E-3</v>
      </c>
      <c r="I62" s="24">
        <f t="shared" si="8"/>
        <v>0</v>
      </c>
      <c r="J62" s="32" t="str" cm="1">
        <f t="array" ref="J62">IFERROR(_xlfn.IFS(B62="044 - BLEND TRADICION","BLEND",B62="113 - CAFÉ GOURMET","GOURMET",B62="114 - CAFÉ CONSUMO","CONSUMO",B62="112 - CAFÉ ORGANICO","GOURMET",B62="172 - CAFÉ COSECHA","ESPECIALES",B62="176 - CAFE DESCAFEINADO","GOURMET",B62="147 - CAPSULAS","CAPSULAS",B62="130 - GALLETAS CAFECITAS","DERIVADOS",B62="140 - MERENGUES","DERIVADOS",B62="100 - CAFÉ ESPECIAL","ESPECIALES",B62="141 - AREQUIPE","DERIVADOS",B62="142 - MERMELADA","DERIVADOS",B62="131 - GALLETAS AVENA","DERIVADOS",B62="160 - SOUVENIR","OTROS",B62="148 - CARAMELOS","DERIVADOS",B62="143 - CHOCOFFES","DERIVADOS",B62="162 - CONVENIOS Y DSC POS ","OTROS"),"OTROS")</f>
        <v>OTROS</v>
      </c>
      <c r="L62" s="27">
        <f t="shared" si="9"/>
        <v>38304782</v>
      </c>
      <c r="M62" s="27">
        <f t="shared" si="3"/>
        <v>38304782</v>
      </c>
    </row>
    <row r="63" spans="1:13" ht="16.5" collapsed="1">
      <c r="A63" s="28" t="s">
        <v>41</v>
      </c>
      <c r="B63" s="29" t="s">
        <v>17</v>
      </c>
      <c r="C63" s="30">
        <f>+C83+C98+C112+C66</f>
        <v>266719578</v>
      </c>
      <c r="D63" s="30">
        <f>+D83+D98+D112+D66</f>
        <v>-4133905</v>
      </c>
      <c r="E63" s="30">
        <f>+E83+E98+E112+E66</f>
        <v>-2347272</v>
      </c>
      <c r="F63" s="30">
        <f>+F83+F98+F112+F66</f>
        <v>488313278.77999997</v>
      </c>
      <c r="G63" s="31">
        <f t="shared" si="5"/>
        <v>0.54620586740211363</v>
      </c>
      <c r="H63" s="23">
        <f t="shared" si="8"/>
        <v>-1.5131382049072302E-2</v>
      </c>
      <c r="I63" s="24">
        <f t="shared" si="8"/>
        <v>-8.5917478522341568E-3</v>
      </c>
      <c r="J63" s="32" t="str" cm="1">
        <f t="array" ref="J63">IFERROR(_xlfn.IFS(B63="044 - BLEND TRADICION","BLEND",B63="113 - CAFÉ GOURMET","GOURMET",B63="114 - CAFÉ CONSUMO","CONSUMO",B63="112 - CAFÉ ORGANICO","GOURMET",B63="172 - CAFÉ COSECHA","ESPECIALES",B63="176 - CAFE DESCAFEINADO","GOURMET",B63="147 - CAPSULAS","CAPSULAS",B63="130 - GALLETAS CAFECITAS","DERIVADOS",B63="140 - MERENGUES","DERIVADOS",B63="100 - CAFÉ ESPECIAL","ESPECIALES",B63="141 - AREQUIPE","DERIVADOS",B63="142 - MERMELADA","DERIVADOS",B63="131 - GALLETAS AVENA","DERIVADOS",B63="160 - SOUVENIR","OTROS",B63="148 - CARAMELOS","DERIVADOS",B63="143 - CHOCOFFES","DERIVADOS",B63="162 - CONVENIOS Y DSC POS ","OTROS"),"OTROS")</f>
        <v>OTROS</v>
      </c>
      <c r="L63" s="27">
        <f t="shared" si="9"/>
        <v>273200755</v>
      </c>
      <c r="M63" s="27">
        <f t="shared" si="3"/>
        <v>273200755</v>
      </c>
    </row>
    <row r="64" spans="1:13" ht="16.5" hidden="1" outlineLevel="1">
      <c r="A64" s="38"/>
      <c r="B64" s="39" t="s">
        <v>42</v>
      </c>
      <c r="C64" s="36">
        <v>0</v>
      </c>
      <c r="D64" s="36">
        <v>0</v>
      </c>
      <c r="E64" s="48"/>
      <c r="F64" s="48">
        <v>0</v>
      </c>
      <c r="G64" s="49" t="str">
        <f t="shared" si="5"/>
        <v>-</v>
      </c>
      <c r="H64" s="23">
        <f t="shared" si="8"/>
        <v>0</v>
      </c>
      <c r="I64" s="24">
        <f t="shared" si="8"/>
        <v>0</v>
      </c>
      <c r="J64" s="32" t="str" cm="1">
        <f t="array" ref="J64">IFERROR(_xlfn.IFS(B64="044 - BLEND TRADICION","BLEND",B64="113 - CAFÉ GOURMET","GOURMET",B64="114 - CAFÉ CONSUMO","CONSUMO",B64="112 - CAFÉ ORGANICO","GOURMET",B64="172 - CAFÉ COSECHA","ESPECIALES",B64="176 - CAFE DESCAFEINADO","GOURMET",B64="147 - CAPSULAS","CAPSULAS",B64="130 - GALLETAS CAFECITAS","DERIVADOS",B64="140 - MERENGUES","DERIVADOS",B64="100 - CAFÉ ESPECIAL","ESPECIALES",B64="141 - AREQUIPE","DERIVADOS",B64="142 - MERMELADA","DERIVADOS",B64="131 - GALLETAS AVENA","DERIVADOS",B64="160 - SOUVENIR","OTROS",B64="148 - CARAMELOS","DERIVADOS",B64="143 - CHOCOFFES","DERIVADOS",B64="162 - CONVENIOS Y DSC POS ","OTROS"),"OTROS")</f>
        <v>OTROS</v>
      </c>
      <c r="L64" s="27">
        <f t="shared" si="9"/>
        <v>0</v>
      </c>
      <c r="M64" s="27">
        <f t="shared" si="3"/>
        <v>0</v>
      </c>
    </row>
    <row r="65" spans="1:13" ht="16.5" hidden="1" outlineLevel="1">
      <c r="A65" s="38"/>
      <c r="B65" s="39" t="s">
        <v>21</v>
      </c>
      <c r="C65" s="36">
        <v>0</v>
      </c>
      <c r="D65" s="36">
        <v>0</v>
      </c>
      <c r="E65" s="48"/>
      <c r="F65" s="48">
        <v>0</v>
      </c>
      <c r="G65" s="49" t="str">
        <f t="shared" si="5"/>
        <v>-</v>
      </c>
      <c r="H65" s="23">
        <f t="shared" si="8"/>
        <v>0</v>
      </c>
      <c r="I65" s="24">
        <f t="shared" si="8"/>
        <v>0</v>
      </c>
      <c r="J65" s="32" t="str" cm="1">
        <f t="array" ref="J65">IFERROR(_xlfn.IFS(B65="044 - BLEND TRADICION","BLEND",B65="113 - CAFÉ GOURMET","GOURMET",B65="114 - CAFÉ CONSUMO","CONSUMO",B65="112 - CAFÉ ORGANICO","GOURMET",B65="172 - CAFÉ COSECHA","ESPECIALES",B65="176 - CAFE DESCAFEINADO","GOURMET",B65="147 - CAPSULAS","CAPSULAS",B65="130 - GALLETAS CAFECITAS","DERIVADOS",B65="140 - MERENGUES","DERIVADOS",B65="100 - CAFÉ ESPECIAL","ESPECIALES",B65="141 - AREQUIPE","DERIVADOS",B65="142 - MERMELADA","DERIVADOS",B65="131 - GALLETAS AVENA","DERIVADOS",B65="160 - SOUVENIR","OTROS",B65="148 - CARAMELOS","DERIVADOS",B65="143 - CHOCOFFES","DERIVADOS",B65="162 - CONVENIOS Y DSC POS ","OTROS"),"OTROS")</f>
        <v>GOURMET</v>
      </c>
      <c r="L65" s="27">
        <f t="shared" si="9"/>
        <v>0</v>
      </c>
      <c r="M65" s="27">
        <f t="shared" si="3"/>
        <v>0</v>
      </c>
    </row>
    <row r="66" spans="1:13" ht="16.5" hidden="1" outlineLevel="1">
      <c r="A66" s="19" t="s">
        <v>43</v>
      </c>
      <c r="B66" s="56" t="s">
        <v>32</v>
      </c>
      <c r="C66" s="54">
        <f>SUM(C64:C65)</f>
        <v>0</v>
      </c>
      <c r="D66" s="54">
        <f>SUM(D64:D65)</f>
        <v>0</v>
      </c>
      <c r="E66" s="54">
        <f>SUM(E64:E65)</f>
        <v>0</v>
      </c>
      <c r="F66" s="54">
        <f>SUM(F64:F65)</f>
        <v>0</v>
      </c>
      <c r="G66" s="55" t="str">
        <f t="shared" si="5"/>
        <v>-</v>
      </c>
      <c r="H66" s="23">
        <f t="shared" si="8"/>
        <v>0</v>
      </c>
      <c r="I66" s="24">
        <f t="shared" si="8"/>
        <v>0</v>
      </c>
      <c r="J66" s="32" t="str" cm="1">
        <f t="array" ref="J66">IFERROR(_xlfn.IFS(B66="044 - BLEND TRADICION","BLEND",B66="113 - CAFÉ GOURMET","GOURMET",B66="114 - CAFÉ CONSUMO","CONSUMO",B66="112 - CAFÉ ORGANICO","GOURMET",B66="172 - CAFÉ COSECHA","ESPECIALES",B66="176 - CAFE DESCAFEINADO","GOURMET",B66="147 - CAPSULAS","CAPSULAS",B66="130 - GALLETAS CAFECITAS","DERIVADOS",B66="140 - MERENGUES","DERIVADOS",B66="100 - CAFÉ ESPECIAL","ESPECIALES",B66="141 - AREQUIPE","DERIVADOS",B66="142 - MERMELADA","DERIVADOS",B66="131 - GALLETAS AVENA","DERIVADOS",B66="160 - SOUVENIR","OTROS",B66="148 - CARAMELOS","DERIVADOS",B66="143 - CHOCOFFES","DERIVADOS",B66="162 - CONVENIOS Y DSC POS ","OTROS"),"OTROS")</f>
        <v>OTROS</v>
      </c>
      <c r="L66" s="27">
        <f t="shared" si="9"/>
        <v>0</v>
      </c>
      <c r="M66" s="27">
        <f t="shared" si="3"/>
        <v>0</v>
      </c>
    </row>
    <row r="67" spans="1:13" ht="16.5" hidden="1" outlineLevel="1">
      <c r="A67" s="33"/>
      <c r="B67" s="39" t="s">
        <v>34</v>
      </c>
      <c r="C67" s="36">
        <v>0</v>
      </c>
      <c r="D67" s="36">
        <v>0</v>
      </c>
      <c r="E67" s="48">
        <v>0</v>
      </c>
      <c r="F67" s="48">
        <v>142340.04</v>
      </c>
      <c r="G67" s="49">
        <f t="shared" si="5"/>
        <v>0</v>
      </c>
      <c r="H67" s="23">
        <f t="shared" si="8"/>
        <v>0</v>
      </c>
      <c r="I67" s="24">
        <f t="shared" si="8"/>
        <v>0</v>
      </c>
      <c r="J67" s="32" t="str" cm="1">
        <f t="array" ref="J67">IFERROR(_xlfn.IFS(B67="044 - BLEND TRADICION","BLEND",B67="113 - CAFÉ GOURMET","GOURMET",B67="114 - CAFÉ CONSUMO","CONSUMO",B67="112 - CAFÉ ORGANICO","GOURMET",B67="172 - CAFÉ COSECHA","ESPECIALES",B67="176 - CAFE DESCAFEINADO","GOURMET",B67="147 - CAPSULAS","CAPSULAS",B67="130 - GALLETAS CAFECITAS","DERIVADOS",B67="140 - MERENGUES","DERIVADOS",B67="100 - CAFÉ ESPECIAL","ESPECIALES",B67="141 - AREQUIPE","DERIVADOS",B67="142 - MERMELADA","DERIVADOS",B67="131 - GALLETAS AVENA","DERIVADOS",B67="160 - SOUVENIR","OTROS",B67="148 - CARAMELOS","DERIVADOS",B67="143 - CHOCOFFES","DERIVADOS",B67="162 - CONVENIOS Y DSC POS ","OTROS"),"OTROS")</f>
        <v>OTROS</v>
      </c>
      <c r="L67" s="27">
        <f t="shared" si="9"/>
        <v>0</v>
      </c>
      <c r="M67" s="27">
        <f t="shared" si="3"/>
        <v>0</v>
      </c>
    </row>
    <row r="68" spans="1:13" ht="16.5" hidden="1" outlineLevel="1">
      <c r="A68" s="38"/>
      <c r="B68" s="39" t="s">
        <v>18</v>
      </c>
      <c r="C68" s="36">
        <v>326000</v>
      </c>
      <c r="D68" s="36">
        <v>0</v>
      </c>
      <c r="E68" s="48">
        <v>0</v>
      </c>
      <c r="F68" s="48">
        <v>1206734.55</v>
      </c>
      <c r="G68" s="49">
        <f t="shared" si="5"/>
        <v>0.27015054802234673</v>
      </c>
      <c r="H68" s="23">
        <f t="shared" si="8"/>
        <v>0</v>
      </c>
      <c r="I68" s="24">
        <f t="shared" si="8"/>
        <v>0</v>
      </c>
      <c r="J68" s="32" t="str" cm="1">
        <f t="array" ref="J68">IFERROR(_xlfn.IFS(B68="044 - BLEND TRADICION","BLEND",B68="113 - CAFÉ GOURMET","GOURMET",B68="114 - CAFÉ CONSUMO","CONSUMO",B68="112 - CAFÉ ORGANICO","GOURMET",B68="172 - CAFÉ COSECHA","ESPECIALES",B68="176 - CAFE DESCAFEINADO","GOURMET",B68="147 - CAPSULAS","CAPSULAS",B68="130 - GALLETAS CAFECITAS","DERIVADOS",B68="140 - MERENGUES","DERIVADOS",B68="100 - CAFÉ ESPECIAL","ESPECIALES",B68="141 - AREQUIPE","DERIVADOS",B68="142 - MERMELADA","DERIVADOS",B68="131 - GALLETAS AVENA","DERIVADOS",B68="160 - SOUVENIR","OTROS",B68="148 - CARAMELOS","DERIVADOS",B68="143 - CHOCOFFES","DERIVADOS",B68="162 - CONVENIOS Y DSC POS ","OTROS"),"OTROS")</f>
        <v>BLEND</v>
      </c>
      <c r="L68" s="27">
        <f t="shared" si="9"/>
        <v>326000</v>
      </c>
      <c r="M68" s="27">
        <f t="shared" si="3"/>
        <v>326000</v>
      </c>
    </row>
    <row r="69" spans="1:13" ht="16.5" hidden="1" outlineLevel="1">
      <c r="A69" s="38"/>
      <c r="B69" s="39" t="s">
        <v>19</v>
      </c>
      <c r="C69" s="36">
        <v>1630537</v>
      </c>
      <c r="D69" s="36">
        <v>0</v>
      </c>
      <c r="E69" s="48">
        <v>0</v>
      </c>
      <c r="F69" s="48">
        <v>3072107.02</v>
      </c>
      <c r="G69" s="49">
        <f t="shared" si="5"/>
        <v>0.53075527297222869</v>
      </c>
      <c r="H69" s="23">
        <f t="shared" si="8"/>
        <v>0</v>
      </c>
      <c r="I69" s="24">
        <f t="shared" si="8"/>
        <v>0</v>
      </c>
      <c r="J69" s="32" t="str" cm="1">
        <f t="array" ref="J69">IFERROR(_xlfn.IFS(B69="044 - BLEND TRADICION","BLEND",B69="113 - CAFÉ GOURMET","GOURMET",B69="114 - CAFÉ CONSUMO","CONSUMO",B69="112 - CAFÉ ORGANICO","GOURMET",B69="172 - CAFÉ COSECHA","ESPECIALES",B69="176 - CAFE DESCAFEINADO","GOURMET",B69="147 - CAPSULAS","CAPSULAS",B69="130 - GALLETAS CAFECITAS","DERIVADOS",B69="140 - MERENGUES","DERIVADOS",B69="100 - CAFÉ ESPECIAL","ESPECIALES",B69="141 - AREQUIPE","DERIVADOS",B69="142 - MERMELADA","DERIVADOS",B69="131 - GALLETAS AVENA","DERIVADOS",B69="160 - SOUVENIR","OTROS",B69="148 - CARAMELOS","DERIVADOS",B69="143 - CHOCOFFES","DERIVADOS",B69="162 - CONVENIOS Y DSC POS ","OTROS"),"OTROS")</f>
        <v>ESPECIALES</v>
      </c>
      <c r="L69" s="27">
        <f t="shared" si="9"/>
        <v>1630537</v>
      </c>
      <c r="M69" s="27">
        <f t="shared" si="3"/>
        <v>1630537</v>
      </c>
    </row>
    <row r="70" spans="1:13" ht="16.5" hidden="1" outlineLevel="1">
      <c r="A70" s="38"/>
      <c r="B70" s="39" t="s">
        <v>20</v>
      </c>
      <c r="C70" s="36">
        <v>98210</v>
      </c>
      <c r="D70" s="36">
        <v>0</v>
      </c>
      <c r="E70" s="48"/>
      <c r="F70" s="48">
        <v>457781.38</v>
      </c>
      <c r="G70" s="49">
        <f t="shared" si="5"/>
        <v>0.21453471960786172</v>
      </c>
      <c r="H70" s="23">
        <f t="shared" si="8"/>
        <v>0</v>
      </c>
      <c r="I70" s="24">
        <f t="shared" si="8"/>
        <v>0</v>
      </c>
      <c r="J70" s="32" t="str" cm="1">
        <f t="array" ref="J70">IFERROR(_xlfn.IFS(B70="044 - BLEND TRADICION","BLEND",B70="113 - CAFÉ GOURMET","GOURMET",B70="114 - CAFÉ CONSUMO","CONSUMO",B70="112 - CAFÉ ORGANICO","GOURMET",B70="172 - CAFÉ COSECHA","ESPECIALES",B70="176 - CAFE DESCAFEINADO","GOURMET",B70="147 - CAPSULAS","CAPSULAS",B70="130 - GALLETAS CAFECITAS","DERIVADOS",B70="140 - MERENGUES","DERIVADOS",B70="100 - CAFÉ ESPECIAL","ESPECIALES",B70="141 - AREQUIPE","DERIVADOS",B70="142 - MERMELADA","DERIVADOS",B70="131 - GALLETAS AVENA","DERIVADOS",B70="160 - SOUVENIR","OTROS",B70="148 - CARAMELOS","DERIVADOS",B70="143 - CHOCOFFES","DERIVADOS",B70="162 - CONVENIOS Y DSC POS ","OTROS"),"OTROS")</f>
        <v>GOURMET</v>
      </c>
      <c r="L70" s="27">
        <f t="shared" si="9"/>
        <v>98210</v>
      </c>
      <c r="M70" s="27">
        <f t="shared" si="3"/>
        <v>98210</v>
      </c>
    </row>
    <row r="71" spans="1:13" ht="16.5" hidden="1" outlineLevel="1">
      <c r="A71" s="38"/>
      <c r="B71" s="39" t="s">
        <v>21</v>
      </c>
      <c r="C71" s="36">
        <v>61549676</v>
      </c>
      <c r="D71" s="36">
        <v>0</v>
      </c>
      <c r="E71" s="48"/>
      <c r="F71" s="48">
        <v>106018093.81999999</v>
      </c>
      <c r="G71" s="49">
        <f t="shared" si="5"/>
        <v>0.58055822154754533</v>
      </c>
      <c r="H71" s="23">
        <f t="shared" si="8"/>
        <v>0</v>
      </c>
      <c r="I71" s="24">
        <f t="shared" si="8"/>
        <v>0</v>
      </c>
      <c r="J71" s="32" t="str" cm="1">
        <f t="array" ref="J71">IFERROR(_xlfn.IFS(B71="044 - BLEND TRADICION","BLEND",B71="113 - CAFÉ GOURMET","GOURMET",B71="114 - CAFÉ CONSUMO","CONSUMO",B71="112 - CAFÉ ORGANICO","GOURMET",B71="172 - CAFÉ COSECHA","ESPECIALES",B71="176 - CAFE DESCAFEINADO","GOURMET",B71="147 - CAPSULAS","CAPSULAS",B71="130 - GALLETAS CAFECITAS","DERIVADOS",B71="140 - MERENGUES","DERIVADOS",B71="100 - CAFÉ ESPECIAL","ESPECIALES",B71="141 - AREQUIPE","DERIVADOS",B71="142 - MERMELADA","DERIVADOS",B71="131 - GALLETAS AVENA","DERIVADOS",B71="160 - SOUVENIR","OTROS",B71="148 - CARAMELOS","DERIVADOS",B71="143 - CHOCOFFES","DERIVADOS",B71="162 - CONVENIOS Y DSC POS ","OTROS"),"OTROS")</f>
        <v>GOURMET</v>
      </c>
      <c r="L71" s="27">
        <f t="shared" si="9"/>
        <v>61549676</v>
      </c>
      <c r="M71" s="27">
        <f t="shared" si="3"/>
        <v>61549676</v>
      </c>
    </row>
    <row r="72" spans="1:13" ht="16.5" hidden="1" outlineLevel="1">
      <c r="A72" s="38"/>
      <c r="B72" s="39" t="s">
        <v>22</v>
      </c>
      <c r="C72" s="36">
        <v>3293952</v>
      </c>
      <c r="D72" s="36">
        <v>0</v>
      </c>
      <c r="E72" s="48"/>
      <c r="F72" s="48">
        <v>5082259.87</v>
      </c>
      <c r="G72" s="49">
        <f t="shared" si="5"/>
        <v>0.64812742446403082</v>
      </c>
      <c r="H72" s="23">
        <f t="shared" si="8"/>
        <v>0</v>
      </c>
      <c r="I72" s="24">
        <f t="shared" si="8"/>
        <v>0</v>
      </c>
      <c r="J72" s="32" t="str" cm="1">
        <f t="array" ref="J72">IFERROR(_xlfn.IFS(B72="044 - BLEND TRADICION","BLEND",B72="113 - CAFÉ GOURMET","GOURMET",B72="114 - CAFÉ CONSUMO","CONSUMO",B72="112 - CAFÉ ORGANICO","GOURMET",B72="172 - CAFÉ COSECHA","ESPECIALES",B72="176 - CAFE DESCAFEINADO","GOURMET",B72="147 - CAPSULAS","CAPSULAS",B72="130 - GALLETAS CAFECITAS","DERIVADOS",B72="140 - MERENGUES","DERIVADOS",B72="100 - CAFÉ ESPECIAL","ESPECIALES",B72="141 - AREQUIPE","DERIVADOS",B72="142 - MERMELADA","DERIVADOS",B72="131 - GALLETAS AVENA","DERIVADOS",B72="160 - SOUVENIR","OTROS",B72="148 - CARAMELOS","DERIVADOS",B72="143 - CHOCOFFES","DERIVADOS",B72="162 - CONVENIOS Y DSC POS ","OTROS"),"OTROS")</f>
        <v>DERIVADOS</v>
      </c>
      <c r="L72" s="27">
        <f t="shared" si="9"/>
        <v>3293952</v>
      </c>
      <c r="M72" s="27">
        <f t="shared" si="3"/>
        <v>3293952</v>
      </c>
    </row>
    <row r="73" spans="1:13" ht="16.5" hidden="1" outlineLevel="1">
      <c r="A73" s="38"/>
      <c r="B73" s="39" t="s">
        <v>23</v>
      </c>
      <c r="C73" s="36">
        <v>0</v>
      </c>
      <c r="D73" s="36">
        <v>0</v>
      </c>
      <c r="E73" s="48"/>
      <c r="F73" s="48">
        <v>42776.35</v>
      </c>
      <c r="G73" s="49">
        <f t="shared" si="5"/>
        <v>0</v>
      </c>
      <c r="H73" s="23">
        <f t="shared" si="8"/>
        <v>0</v>
      </c>
      <c r="I73" s="24">
        <f t="shared" si="8"/>
        <v>0</v>
      </c>
      <c r="J73" s="32" t="str" cm="1">
        <f t="array" ref="J73">IFERROR(_xlfn.IFS(B73="044 - BLEND TRADICION","BLEND",B73="113 - CAFÉ GOURMET","GOURMET",B73="114 - CAFÉ CONSUMO","CONSUMO",B73="112 - CAFÉ ORGANICO","GOURMET",B73="172 - CAFÉ COSECHA","ESPECIALES",B73="176 - CAFE DESCAFEINADO","GOURMET",B73="147 - CAPSULAS","CAPSULAS",B73="130 - GALLETAS CAFECITAS","DERIVADOS",B73="140 - MERENGUES","DERIVADOS",B73="100 - CAFÉ ESPECIAL","ESPECIALES",B73="141 - AREQUIPE","DERIVADOS",B73="142 - MERMELADA","DERIVADOS",B73="131 - GALLETAS AVENA","DERIVADOS",B73="160 - SOUVENIR","OTROS",B73="148 - CARAMELOS","DERIVADOS",B73="143 - CHOCOFFES","DERIVADOS",B73="162 - CONVENIOS Y DSC POS ","OTROS"),"OTROS")</f>
        <v>DERIVADOS</v>
      </c>
      <c r="L73" s="27">
        <f t="shared" si="9"/>
        <v>0</v>
      </c>
      <c r="M73" s="27">
        <f t="shared" ref="M73:M86" si="10">L73</f>
        <v>0</v>
      </c>
    </row>
    <row r="74" spans="1:13" ht="16.5" hidden="1" outlineLevel="1">
      <c r="A74" s="38"/>
      <c r="B74" s="39" t="s">
        <v>24</v>
      </c>
      <c r="C74" s="36">
        <v>169530</v>
      </c>
      <c r="D74" s="36">
        <v>0</v>
      </c>
      <c r="E74" s="48"/>
      <c r="F74" s="48">
        <v>253296.1</v>
      </c>
      <c r="G74" s="49">
        <f t="shared" si="5"/>
        <v>0.66929573728138725</v>
      </c>
      <c r="H74" s="23">
        <f t="shared" si="8"/>
        <v>0</v>
      </c>
      <c r="I74" s="24">
        <f t="shared" si="8"/>
        <v>0</v>
      </c>
      <c r="J74" s="32" t="str" cm="1">
        <f t="array" ref="J74">IFERROR(_xlfn.IFS(B74="044 - BLEND TRADICION","BLEND",B74="113 - CAFÉ GOURMET","GOURMET",B74="114 - CAFÉ CONSUMO","CONSUMO",B74="112 - CAFÉ ORGANICO","GOURMET",B74="172 - CAFÉ COSECHA","ESPECIALES",B74="176 - CAFE DESCAFEINADO","GOURMET",B74="147 - CAPSULAS","CAPSULAS",B74="130 - GALLETAS CAFECITAS","DERIVADOS",B74="140 - MERENGUES","DERIVADOS",B74="100 - CAFÉ ESPECIAL","ESPECIALES",B74="141 - AREQUIPE","DERIVADOS",B74="142 - MERMELADA","DERIVADOS",B74="131 - GALLETAS AVENA","DERIVADOS",B74="160 - SOUVENIR","OTROS",B74="148 - CARAMELOS","DERIVADOS",B74="143 - CHOCOFFES","DERIVADOS",B74="162 - CONVENIOS Y DSC POS ","OTROS"),"OTROS")</f>
        <v>DERIVADOS</v>
      </c>
      <c r="L74" s="27">
        <f t="shared" si="9"/>
        <v>169530</v>
      </c>
      <c r="M74" s="27">
        <f t="shared" si="10"/>
        <v>169530</v>
      </c>
    </row>
    <row r="75" spans="1:13" ht="16.5" hidden="1" outlineLevel="1">
      <c r="A75" s="38"/>
      <c r="B75" s="39" t="s">
        <v>25</v>
      </c>
      <c r="C75" s="36">
        <v>7577200</v>
      </c>
      <c r="D75" s="36">
        <v>0</v>
      </c>
      <c r="E75" s="48"/>
      <c r="F75" s="48">
        <v>6237513.8499999996</v>
      </c>
      <c r="G75" s="49">
        <f t="shared" si="5"/>
        <v>1.2147788657815968</v>
      </c>
      <c r="H75" s="23">
        <f t="shared" si="8"/>
        <v>0</v>
      </c>
      <c r="I75" s="24">
        <f t="shared" si="8"/>
        <v>0</v>
      </c>
      <c r="J75" s="32" t="str" cm="1">
        <f t="array" ref="J75">IFERROR(_xlfn.IFS(B75="044 - BLEND TRADICION","BLEND",B75="113 - CAFÉ GOURMET","GOURMET",B75="114 - CAFÉ CONSUMO","CONSUMO",B75="112 - CAFÉ ORGANICO","GOURMET",B75="172 - CAFÉ COSECHA","ESPECIALES",B75="176 - CAFE DESCAFEINADO","GOURMET",B75="147 - CAPSULAS","CAPSULAS",B75="130 - GALLETAS CAFECITAS","DERIVADOS",B75="140 - MERENGUES","DERIVADOS",B75="100 - CAFÉ ESPECIAL","ESPECIALES",B75="141 - AREQUIPE","DERIVADOS",B75="142 - MERMELADA","DERIVADOS",B75="131 - GALLETAS AVENA","DERIVADOS",B75="160 - SOUVENIR","OTROS",B75="148 - CARAMELOS","DERIVADOS",B75="143 - CHOCOFFES","DERIVADOS",B75="162 - CONVENIOS Y DSC POS ","OTROS"),"OTROS")</f>
        <v>DERIVADOS</v>
      </c>
      <c r="L75" s="27">
        <f t="shared" si="9"/>
        <v>7577200</v>
      </c>
      <c r="M75" s="27">
        <f t="shared" si="10"/>
        <v>7577200</v>
      </c>
    </row>
    <row r="76" spans="1:13" ht="16.5" hidden="1" outlineLevel="1">
      <c r="A76" s="38"/>
      <c r="B76" s="39" t="s">
        <v>26</v>
      </c>
      <c r="C76" s="36">
        <v>0</v>
      </c>
      <c r="D76" s="36">
        <v>0</v>
      </c>
      <c r="E76" s="48">
        <v>0</v>
      </c>
      <c r="F76" s="48">
        <v>834555.96</v>
      </c>
      <c r="G76" s="49">
        <f t="shared" si="5"/>
        <v>0</v>
      </c>
      <c r="H76" s="23">
        <f t="shared" si="8"/>
        <v>0</v>
      </c>
      <c r="I76" s="24">
        <f t="shared" si="8"/>
        <v>0</v>
      </c>
      <c r="J76" s="32" t="str" cm="1">
        <f t="array" ref="J76">IFERROR(_xlfn.IFS(B76="044 - BLEND TRADICION","BLEND",B76="113 - CAFÉ GOURMET","GOURMET",B76="114 - CAFÉ CONSUMO","CONSUMO",B76="112 - CAFÉ ORGANICO","GOURMET",B76="172 - CAFÉ COSECHA","ESPECIALES",B76="176 - CAFE DESCAFEINADO","GOURMET",B76="147 - CAPSULAS","CAPSULAS",B76="130 - GALLETAS CAFECITAS","DERIVADOS",B76="140 - MERENGUES","DERIVADOS",B76="100 - CAFÉ ESPECIAL","ESPECIALES",B76="141 - AREQUIPE","DERIVADOS",B76="142 - MERMELADA","DERIVADOS",B76="131 - GALLETAS AVENA","DERIVADOS",B76="160 - SOUVENIR","OTROS",B76="148 - CARAMELOS","DERIVADOS",B76="143 - CHOCOFFES","DERIVADOS",B76="162 - CONVENIOS Y DSC POS ","OTROS"),"OTROS")</f>
        <v>CAPSULAS</v>
      </c>
      <c r="L76" s="27">
        <f t="shared" si="9"/>
        <v>0</v>
      </c>
      <c r="M76" s="27">
        <f t="shared" si="10"/>
        <v>0</v>
      </c>
    </row>
    <row r="77" spans="1:13" ht="16.5" hidden="1" outlineLevel="1">
      <c r="A77" s="38"/>
      <c r="B77" s="39" t="s">
        <v>27</v>
      </c>
      <c r="C77" s="36">
        <v>7720799</v>
      </c>
      <c r="D77" s="36">
        <v>0</v>
      </c>
      <c r="E77" s="48"/>
      <c r="F77" s="48">
        <v>6191934.2800000003</v>
      </c>
      <c r="G77" s="49">
        <f t="shared" si="5"/>
        <v>1.2469122976544254</v>
      </c>
      <c r="H77" s="23">
        <f t="shared" si="8"/>
        <v>0</v>
      </c>
      <c r="I77" s="24">
        <f t="shared" si="8"/>
        <v>0</v>
      </c>
      <c r="J77" s="32" t="str" cm="1">
        <f t="array" ref="J77">IFERROR(_xlfn.IFS(B77="044 - BLEND TRADICION","BLEND",B77="113 - CAFÉ GOURMET","GOURMET",B77="114 - CAFÉ CONSUMO","CONSUMO",B77="112 - CAFÉ ORGANICO","GOURMET",B77="172 - CAFÉ COSECHA","ESPECIALES",B77="176 - CAFE DESCAFEINADO","GOURMET",B77="147 - CAPSULAS","CAPSULAS",B77="130 - GALLETAS CAFECITAS","DERIVADOS",B77="140 - MERENGUES","DERIVADOS",B77="100 - CAFÉ ESPECIAL","ESPECIALES",B77="141 - AREQUIPE","DERIVADOS",B77="142 - MERMELADA","DERIVADOS",B77="131 - GALLETAS AVENA","DERIVADOS",B77="160 - SOUVENIR","OTROS",B77="148 - CARAMELOS","DERIVADOS",B77="143 - CHOCOFFES","DERIVADOS",B77="162 - CONVENIOS Y DSC POS ","OTROS"),"OTROS")</f>
        <v>DERIVADOS</v>
      </c>
      <c r="L77" s="27">
        <f t="shared" si="9"/>
        <v>7720799</v>
      </c>
      <c r="M77" s="27">
        <f t="shared" si="10"/>
        <v>7720799</v>
      </c>
    </row>
    <row r="78" spans="1:13" ht="16.5" hidden="1" outlineLevel="1">
      <c r="A78" s="38"/>
      <c r="B78" s="39" t="s">
        <v>28</v>
      </c>
      <c r="C78" s="36">
        <v>5226600</v>
      </c>
      <c r="D78" s="36">
        <v>0</v>
      </c>
      <c r="E78" s="48">
        <v>0</v>
      </c>
      <c r="F78" s="48">
        <v>6313546.5</v>
      </c>
      <c r="G78" s="49">
        <f t="shared" si="5"/>
        <v>0.82783899667168048</v>
      </c>
      <c r="H78" s="23">
        <f t="shared" si="8"/>
        <v>0</v>
      </c>
      <c r="I78" s="24">
        <f t="shared" si="8"/>
        <v>0</v>
      </c>
      <c r="J78" s="32" t="str" cm="1">
        <f t="array" ref="J78">IFERROR(_xlfn.IFS(B78="044 - BLEND TRADICION","BLEND",B78="113 - CAFÉ GOURMET","GOURMET",B78="114 - CAFÉ CONSUMO","CONSUMO",B78="112 - CAFÉ ORGANICO","GOURMET",B78="172 - CAFÉ COSECHA","ESPECIALES",B78="176 - CAFE DESCAFEINADO","GOURMET",B78="147 - CAPSULAS","CAPSULAS",B78="130 - GALLETAS CAFECITAS","DERIVADOS",B78="140 - MERENGUES","DERIVADOS",B78="100 - CAFÉ ESPECIAL","ESPECIALES",B78="141 - AREQUIPE","DERIVADOS",B78="142 - MERMELADA","DERIVADOS",B78="131 - GALLETAS AVENA","DERIVADOS",B78="160 - SOUVENIR","OTROS",B78="148 - CARAMELOS","DERIVADOS",B78="143 - CHOCOFFES","DERIVADOS",B78="162 - CONVENIOS Y DSC POS ","OTROS"),"OTROS")</f>
        <v>OTROS</v>
      </c>
      <c r="L78" s="27">
        <f t="shared" si="9"/>
        <v>5226600</v>
      </c>
      <c r="M78" s="27">
        <f t="shared" si="10"/>
        <v>5226600</v>
      </c>
    </row>
    <row r="79" spans="1:13" ht="16.5" hidden="1" outlineLevel="1">
      <c r="A79" s="38"/>
      <c r="B79" s="39" t="s">
        <v>50</v>
      </c>
      <c r="C79" s="36">
        <v>-2347272</v>
      </c>
      <c r="D79" s="36">
        <v>0</v>
      </c>
      <c r="E79" s="36">
        <v>-2347272</v>
      </c>
      <c r="F79" s="48">
        <v>0</v>
      </c>
      <c r="G79" s="49" t="str">
        <f t="shared" si="5"/>
        <v>-</v>
      </c>
      <c r="H79" s="23">
        <f t="shared" si="8"/>
        <v>0</v>
      </c>
      <c r="I79" s="24">
        <f t="shared" si="8"/>
        <v>0</v>
      </c>
      <c r="J79" s="32" t="str" cm="1">
        <f t="array" ref="J79">IFERROR(_xlfn.IFS(B79="044 - BLEND TRADICION","BLEND",B79="113 - CAFÉ GOURMET","GOURMET",B79="114 - CAFÉ CONSUMO","CONSUMO",B79="112 - CAFÉ ORGANICO","GOURMET",B79="172 - CAFÉ COSECHA","ESPECIALES",B79="176 - CAFE DESCAFEINADO","GOURMET",B79="147 - CAPSULAS","CAPSULAS",B79="130 - GALLETAS CAFECITAS","DERIVADOS",B79="140 - MERENGUES","DERIVADOS",B79="100 - CAFÉ ESPECIAL","ESPECIALES",B79="141 - AREQUIPE","DERIVADOS",B79="142 - MERMELADA","DERIVADOS",B79="131 - GALLETAS AVENA","DERIVADOS",B79="160 - SOUVENIR","OTROS",B79="148 - CARAMELOS","DERIVADOS",B79="143 - CHOCOFFES","DERIVADOS",B79="162 - CONVENIOS Y DSC POS ","OTROS"),"OTROS")</f>
        <v>OTROS</v>
      </c>
      <c r="L79" s="27">
        <f t="shared" si="9"/>
        <v>0</v>
      </c>
      <c r="M79" s="27">
        <f t="shared" si="10"/>
        <v>0</v>
      </c>
    </row>
    <row r="80" spans="1:13" ht="16.5" hidden="1" outlineLevel="1">
      <c r="A80" s="38"/>
      <c r="B80" s="39" t="s">
        <v>29</v>
      </c>
      <c r="C80" s="36">
        <v>2323633</v>
      </c>
      <c r="D80" s="36">
        <v>0</v>
      </c>
      <c r="E80" s="48"/>
      <c r="F80" s="48">
        <v>10016848.720000001</v>
      </c>
      <c r="G80" s="49">
        <f t="shared" si="5"/>
        <v>0.23197245610393924</v>
      </c>
      <c r="H80" s="23">
        <f t="shared" si="8"/>
        <v>0</v>
      </c>
      <c r="I80" s="24">
        <f t="shared" si="8"/>
        <v>0</v>
      </c>
      <c r="J80" s="32" t="str" cm="1">
        <f t="array" ref="J80">IFERROR(_xlfn.IFS(B80="044 - BLEND TRADICION","BLEND",B80="113 - CAFÉ GOURMET","GOURMET",B80="114 - CAFÉ CONSUMO","CONSUMO",B80="112 - CAFÉ ORGANICO","GOURMET",B80="172 - CAFÉ COSECHA","ESPECIALES",B80="176 - CAFE DESCAFEINADO","GOURMET",B80="147 - CAPSULAS","CAPSULAS",B80="130 - GALLETAS CAFECITAS","DERIVADOS",B80="140 - MERENGUES","DERIVADOS",B80="100 - CAFÉ ESPECIAL","ESPECIALES",B80="141 - AREQUIPE","DERIVADOS",B80="142 - MERMELADA","DERIVADOS",B80="131 - GALLETAS AVENA","DERIVADOS",B80="160 - SOUVENIR","OTROS",B80="148 - CARAMELOS","DERIVADOS",B80="143 - CHOCOFFES","DERIVADOS",B80="162 - CONVENIOS Y DSC POS ","OTROS"),"OTROS")</f>
        <v>ESPECIALES</v>
      </c>
      <c r="L80" s="27">
        <f t="shared" si="9"/>
        <v>2323633</v>
      </c>
      <c r="M80" s="27">
        <f t="shared" si="10"/>
        <v>2323633</v>
      </c>
    </row>
    <row r="81" spans="1:13" ht="16.5" hidden="1" outlineLevel="1">
      <c r="A81" s="38"/>
      <c r="B81" s="39" t="s">
        <v>30</v>
      </c>
      <c r="C81" s="36">
        <v>194214</v>
      </c>
      <c r="D81" s="36">
        <v>0</v>
      </c>
      <c r="E81" s="48">
        <v>0</v>
      </c>
      <c r="F81" s="48">
        <v>1809439.28</v>
      </c>
      <c r="G81" s="49">
        <f t="shared" si="5"/>
        <v>0.1073338034310828</v>
      </c>
      <c r="H81" s="23">
        <f t="shared" si="8"/>
        <v>0</v>
      </c>
      <c r="I81" s="24">
        <f t="shared" si="8"/>
        <v>0</v>
      </c>
      <c r="J81" s="32" t="str" cm="1">
        <f t="array" ref="J81">IFERROR(_xlfn.IFS(B81="044 - BLEND TRADICION","BLEND",B81="113 - CAFÉ GOURMET","GOURMET",B81="114 - CAFÉ CONSUMO","CONSUMO",B81="112 - CAFÉ ORGANICO","GOURMET",B81="172 - CAFÉ COSECHA","ESPECIALES",B81="176 - CAFE DESCAFEINADO","GOURMET",B81="147 - CAPSULAS","CAPSULAS",B81="130 - GALLETAS CAFECITAS","DERIVADOS",B81="140 - MERENGUES","DERIVADOS",B81="100 - CAFÉ ESPECIAL","ESPECIALES",B81="141 - AREQUIPE","DERIVADOS",B81="142 - MERMELADA","DERIVADOS",B81="131 - GALLETAS AVENA","DERIVADOS",B81="160 - SOUVENIR","OTROS",B81="148 - CARAMELOS","DERIVADOS",B81="143 - CHOCOFFES","DERIVADOS",B81="162 - CONVENIOS Y DSC POS ","OTROS"),"OTROS")</f>
        <v>GOURMET</v>
      </c>
      <c r="L81" s="27">
        <f t="shared" si="9"/>
        <v>194214</v>
      </c>
      <c r="M81" s="27">
        <f t="shared" si="10"/>
        <v>194214</v>
      </c>
    </row>
    <row r="82" spans="1:13" ht="16.5" hidden="1" outlineLevel="1">
      <c r="A82" s="38"/>
      <c r="B82" s="39" t="s">
        <v>31</v>
      </c>
      <c r="C82" s="36">
        <v>36000</v>
      </c>
      <c r="D82" s="36">
        <v>0</v>
      </c>
      <c r="E82" s="48">
        <v>0</v>
      </c>
      <c r="F82" s="48">
        <v>0</v>
      </c>
      <c r="G82" s="49" t="str">
        <f t="shared" si="5"/>
        <v>-</v>
      </c>
      <c r="H82" s="23">
        <f t="shared" si="8"/>
        <v>0</v>
      </c>
      <c r="I82" s="24">
        <f t="shared" si="8"/>
        <v>0</v>
      </c>
      <c r="J82" s="32" t="str" cm="1">
        <f t="array" ref="J82">IFERROR(_xlfn.IFS(B82="044 - BLEND TRADICION","BLEND",B82="113 - CAFÉ GOURMET","GOURMET",B82="114 - CAFÉ CONSUMO","CONSUMO",B82="112 - CAFÉ ORGANICO","GOURMET",B82="172 - CAFÉ COSECHA","ESPECIALES",B82="176 - CAFE DESCAFEINADO","GOURMET",B82="147 - CAPSULAS","CAPSULAS",B82="130 - GALLETAS CAFECITAS","DERIVADOS",B82="140 - MERENGUES","DERIVADOS",B82="100 - CAFÉ ESPECIAL","ESPECIALES",B82="141 - AREQUIPE","DERIVADOS",B82="142 - MERMELADA","DERIVADOS",B82="131 - GALLETAS AVENA","DERIVADOS",B82="160 - SOUVENIR","OTROS",B82="148 - CARAMELOS","DERIVADOS",B82="143 - CHOCOFFES","DERIVADOS",B82="162 - CONVENIOS Y DSC POS ","OTROS"),"OTROS")</f>
        <v>OTROS</v>
      </c>
      <c r="L82" s="27">
        <f t="shared" si="9"/>
        <v>36000</v>
      </c>
      <c r="M82" s="27">
        <f t="shared" si="10"/>
        <v>36000</v>
      </c>
    </row>
    <row r="83" spans="1:13" ht="16.5" hidden="1" outlineLevel="1">
      <c r="A83" s="19" t="s">
        <v>44</v>
      </c>
      <c r="B83" s="56" t="s">
        <v>32</v>
      </c>
      <c r="C83" s="54">
        <f>SUM(C67:C82)</f>
        <v>87799079</v>
      </c>
      <c r="D83" s="54">
        <f>SUM(D67:D82)</f>
        <v>0</v>
      </c>
      <c r="E83" s="58">
        <f>SUM(E67:E82)</f>
        <v>-2347272</v>
      </c>
      <c r="F83" s="58">
        <f>SUM(F67:F82)</f>
        <v>147679227.71999997</v>
      </c>
      <c r="G83" s="55">
        <f t="shared" si="5"/>
        <v>0.59452558328966332</v>
      </c>
      <c r="H83" s="23">
        <f t="shared" si="8"/>
        <v>0</v>
      </c>
      <c r="I83" s="24">
        <f t="shared" si="8"/>
        <v>-2.6038458284351411E-2</v>
      </c>
      <c r="J83" s="32" t="str" cm="1">
        <f t="array" ref="J83">IFERROR(_xlfn.IFS(B83="044 - BLEND TRADICION","BLEND",B83="113 - CAFÉ GOURMET","GOURMET",B83="114 - CAFÉ CONSUMO","CONSUMO",B83="112 - CAFÉ ORGANICO","GOURMET",B83="172 - CAFÉ COSECHA","ESPECIALES",B83="176 - CAFE DESCAFEINADO","GOURMET",B83="147 - CAPSULAS","CAPSULAS",B83="130 - GALLETAS CAFECITAS","DERIVADOS",B83="140 - MERENGUES","DERIVADOS",B83="100 - CAFÉ ESPECIAL","ESPECIALES",B83="141 - AREQUIPE","DERIVADOS",B83="142 - MERMELADA","DERIVADOS",B83="131 - GALLETAS AVENA","DERIVADOS",B83="160 - SOUVENIR","OTROS",B83="148 - CARAMELOS","DERIVADOS",B83="143 - CHOCOFFES","DERIVADOS",B83="162 - CONVENIOS Y DSC POS ","OTROS"),"OTROS")</f>
        <v>OTROS</v>
      </c>
      <c r="L83" s="27">
        <f t="shared" si="9"/>
        <v>90146351</v>
      </c>
      <c r="M83" s="27">
        <f t="shared" si="10"/>
        <v>90146351</v>
      </c>
    </row>
    <row r="84" spans="1:13" ht="16.5" hidden="1" outlineLevel="1">
      <c r="A84" s="59"/>
      <c r="B84" s="39" t="s">
        <v>19</v>
      </c>
      <c r="C84" s="36">
        <v>2352274</v>
      </c>
      <c r="D84" s="36">
        <v>0</v>
      </c>
      <c r="E84" s="36">
        <v>0</v>
      </c>
      <c r="F84" s="48">
        <v>2429943.91</v>
      </c>
      <c r="G84" s="49">
        <f t="shared" si="5"/>
        <v>0.96803633627905417</v>
      </c>
      <c r="H84" s="23">
        <f t="shared" si="8"/>
        <v>0</v>
      </c>
      <c r="I84" s="24">
        <f t="shared" si="8"/>
        <v>0</v>
      </c>
      <c r="J84" s="32" t="str" cm="1">
        <f t="array" ref="J84">IFERROR(_xlfn.IFS(B84="044 - BLEND TRADICION","BLEND",B84="113 - CAFÉ GOURMET","GOURMET",B84="114 - CAFÉ CONSUMO","CONSUMO",B84="112 - CAFÉ ORGANICO","GOURMET",B84="172 - CAFÉ COSECHA","ESPECIALES",B84="176 - CAFE DESCAFEINADO","GOURMET",B84="147 - CAPSULAS","CAPSULAS",B84="130 - GALLETAS CAFECITAS","DERIVADOS",B84="140 - MERENGUES","DERIVADOS",B84="100 - CAFÉ ESPECIAL","ESPECIALES",B84="141 - AREQUIPE","DERIVADOS",B84="142 - MERMELADA","DERIVADOS",B84="131 - GALLETAS AVENA","DERIVADOS",B84="160 - SOUVENIR","OTROS",B84="148 - CARAMELOS","DERIVADOS",B84="143 - CHOCOFFES","DERIVADOS",B84="162 - CONVENIOS Y DSC POS ","OTROS"),"OTROS")</f>
        <v>ESPECIALES</v>
      </c>
      <c r="L84" s="27">
        <f t="shared" si="9"/>
        <v>2352274</v>
      </c>
      <c r="M84" s="27">
        <f t="shared" si="10"/>
        <v>2352274</v>
      </c>
    </row>
    <row r="85" spans="1:13" ht="16.5" hidden="1" outlineLevel="1">
      <c r="A85" s="59"/>
      <c r="B85" s="39" t="s">
        <v>20</v>
      </c>
      <c r="C85" s="36">
        <v>308385</v>
      </c>
      <c r="D85" s="36">
        <v>0</v>
      </c>
      <c r="E85" s="36">
        <v>0</v>
      </c>
      <c r="F85" s="48">
        <v>2531872.7599999998</v>
      </c>
      <c r="G85" s="49">
        <f t="shared" si="5"/>
        <v>0.12180114454092868</v>
      </c>
      <c r="H85" s="23">
        <f t="shared" si="8"/>
        <v>0</v>
      </c>
      <c r="I85" s="24">
        <f t="shared" si="8"/>
        <v>0</v>
      </c>
      <c r="J85" s="32" t="str" cm="1">
        <f t="array" ref="J85">IFERROR(_xlfn.IFS(B85="044 - BLEND TRADICION","BLEND",B85="113 - CAFÉ GOURMET","GOURMET",B85="114 - CAFÉ CONSUMO","CONSUMO",B85="112 - CAFÉ ORGANICO","GOURMET",B85="172 - CAFÉ COSECHA","ESPECIALES",B85="176 - CAFE DESCAFEINADO","GOURMET",B85="147 - CAPSULAS","CAPSULAS",B85="130 - GALLETAS CAFECITAS","DERIVADOS",B85="140 - MERENGUES","DERIVADOS",B85="100 - CAFÉ ESPECIAL","ESPECIALES",B85="141 - AREQUIPE","DERIVADOS",B85="142 - MERMELADA","DERIVADOS",B85="131 - GALLETAS AVENA","DERIVADOS",B85="160 - SOUVENIR","OTROS",B85="148 - CARAMELOS","DERIVADOS",B85="143 - CHOCOFFES","DERIVADOS",B85="162 - CONVENIOS Y DSC POS ","OTROS"),"OTROS")</f>
        <v>GOURMET</v>
      </c>
      <c r="L85" s="27">
        <f t="shared" si="9"/>
        <v>308385</v>
      </c>
      <c r="M85" s="27">
        <f t="shared" si="10"/>
        <v>308385</v>
      </c>
    </row>
    <row r="86" spans="1:13" ht="16.5" hidden="1" outlineLevel="1">
      <c r="A86" s="59"/>
      <c r="B86" s="39" t="s">
        <v>21</v>
      </c>
      <c r="C86" s="36">
        <v>41408208</v>
      </c>
      <c r="D86" s="36">
        <v>-3107055</v>
      </c>
      <c r="E86" s="36">
        <v>0</v>
      </c>
      <c r="F86" s="48">
        <v>112116243.56</v>
      </c>
      <c r="G86" s="49">
        <f t="shared" si="5"/>
        <v>0.36933281641602655</v>
      </c>
      <c r="H86" s="23">
        <f t="shared" si="8"/>
        <v>-6.9797520908727415E-2</v>
      </c>
      <c r="I86" s="24">
        <f t="shared" si="8"/>
        <v>0</v>
      </c>
      <c r="J86" s="32" t="str" cm="1">
        <f t="array" ref="J86">IFERROR(_xlfn.IFS(B86="044 - BLEND TRADICION","BLEND",B86="113 - CAFÉ GOURMET","GOURMET",B86="114 - CAFÉ CONSUMO","CONSUMO",B86="112 - CAFÉ ORGANICO","GOURMET",B86="172 - CAFÉ COSECHA","ESPECIALES",B86="176 - CAFE DESCAFEINADO","GOURMET",B86="147 - CAPSULAS","CAPSULAS",B86="130 - GALLETAS CAFECITAS","DERIVADOS",B86="140 - MERENGUES","DERIVADOS",B86="100 - CAFÉ ESPECIAL","ESPECIALES",B86="141 - AREQUIPE","DERIVADOS",B86="142 - MERMELADA","DERIVADOS",B86="131 - GALLETAS AVENA","DERIVADOS",B86="160 - SOUVENIR","OTROS",B86="148 - CARAMELOS","DERIVADOS",B86="143 - CHOCOFFES","DERIVADOS",B86="162 - CONVENIOS Y DSC POS ","OTROS"),"OTROS")</f>
        <v>GOURMET</v>
      </c>
      <c r="L86" s="27">
        <f t="shared" si="9"/>
        <v>44515263</v>
      </c>
      <c r="M86" s="27">
        <f t="shared" si="10"/>
        <v>44515263</v>
      </c>
    </row>
    <row r="87" spans="1:13" ht="16.5" hidden="1" outlineLevel="1">
      <c r="A87" s="59"/>
      <c r="B87" s="39" t="s">
        <v>22</v>
      </c>
      <c r="C87" s="36">
        <v>1382358</v>
      </c>
      <c r="D87" s="36">
        <v>0</v>
      </c>
      <c r="E87" s="36"/>
      <c r="F87" s="48"/>
      <c r="G87" s="49"/>
      <c r="H87" s="23"/>
      <c r="I87" s="24"/>
      <c r="J87" s="32"/>
      <c r="L87" s="27"/>
      <c r="M87" s="27"/>
    </row>
    <row r="88" spans="1:13" ht="16.5" hidden="1" outlineLevel="1">
      <c r="A88" s="59"/>
      <c r="B88" s="39" t="s">
        <v>23</v>
      </c>
      <c r="C88" s="36">
        <v>-104428</v>
      </c>
      <c r="D88" s="36">
        <v>-343068</v>
      </c>
      <c r="E88" s="36">
        <v>0</v>
      </c>
      <c r="F88" s="48">
        <v>3725758.66</v>
      </c>
      <c r="G88" s="49">
        <f t="shared" ref="G88:G137" si="11">IFERROR(C88/F88*100%,"-")</f>
        <v>-2.8028653901055415E-2</v>
      </c>
      <c r="H88" s="23">
        <f t="shared" ref="H88:I144" si="12">IFERROR(+D88/L88*100%,0)</f>
        <v>-1.4375963794837412</v>
      </c>
      <c r="I88" s="24">
        <f t="shared" si="12"/>
        <v>0</v>
      </c>
      <c r="J88" s="32" t="str" cm="1">
        <f t="array" ref="J88">IFERROR(_xlfn.IFS(B88="044 - BLEND TRADICION","BLEND",B88="113 - CAFÉ GOURMET","GOURMET",B88="114 - CAFÉ CONSUMO","CONSUMO",B88="112 - CAFÉ ORGANICO","GOURMET",B88="172 - CAFÉ COSECHA","ESPECIALES",B88="176 - CAFE DESCAFEINADO","GOURMET",B88="147 - CAPSULAS","CAPSULAS",B88="130 - GALLETAS CAFECITAS","DERIVADOS",B88="140 - MERENGUES","DERIVADOS",B88="100 - CAFÉ ESPECIAL","ESPECIALES",B88="141 - AREQUIPE","DERIVADOS",B88="142 - MERMELADA","DERIVADOS",B88="131 - GALLETAS AVENA","DERIVADOS",B88="160 - SOUVENIR","OTROS",B88="148 - CARAMELOS","DERIVADOS",B88="143 - CHOCOFFES","DERIVADOS",B88="162 - CONVENIOS Y DSC POS ","OTROS"),"OTROS")</f>
        <v>DERIVADOS</v>
      </c>
      <c r="L88" s="27">
        <f t="shared" ref="L88:L153" si="13">C88-(D88+E88)</f>
        <v>238640</v>
      </c>
      <c r="M88" s="27">
        <f t="shared" ref="M88:M153" si="14">L88</f>
        <v>238640</v>
      </c>
    </row>
    <row r="89" spans="1:13" ht="16.5" hidden="1" outlineLevel="1">
      <c r="A89" s="59"/>
      <c r="B89" s="39" t="s">
        <v>24</v>
      </c>
      <c r="C89" s="36">
        <v>637730</v>
      </c>
      <c r="D89" s="36">
        <v>0</v>
      </c>
      <c r="E89" s="36"/>
      <c r="F89" s="48">
        <v>530387.72</v>
      </c>
      <c r="G89" s="49">
        <f t="shared" si="11"/>
        <v>1.202384549928871</v>
      </c>
      <c r="H89" s="23">
        <f t="shared" si="12"/>
        <v>0</v>
      </c>
      <c r="I89" s="24">
        <f t="shared" si="12"/>
        <v>0</v>
      </c>
      <c r="J89" s="32" t="str" cm="1">
        <f t="array" ref="J89">IFERROR(_xlfn.IFS(B89="044 - BLEND TRADICION","BLEND",B89="113 - CAFÉ GOURMET","GOURMET",B89="114 - CAFÉ CONSUMO","CONSUMO",B89="112 - CAFÉ ORGANICO","GOURMET",B89="172 - CAFÉ COSECHA","ESPECIALES",B89="176 - CAFE DESCAFEINADO","GOURMET",B89="147 - CAPSULAS","CAPSULAS",B89="130 - GALLETAS CAFECITAS","DERIVADOS",B89="140 - MERENGUES","DERIVADOS",B89="100 - CAFÉ ESPECIAL","ESPECIALES",B89="141 - AREQUIPE","DERIVADOS",B89="142 - MERMELADA","DERIVADOS",B89="131 - GALLETAS AVENA","DERIVADOS",B89="160 - SOUVENIR","OTROS",B89="148 - CARAMELOS","DERIVADOS",B89="143 - CHOCOFFES","DERIVADOS",B89="162 - CONVENIOS Y DSC POS ","OTROS"),"OTROS")</f>
        <v>DERIVADOS</v>
      </c>
      <c r="L89" s="27">
        <f t="shared" si="13"/>
        <v>637730</v>
      </c>
      <c r="M89" s="27">
        <f t="shared" si="14"/>
        <v>637730</v>
      </c>
    </row>
    <row r="90" spans="1:13" ht="16.5" hidden="1" outlineLevel="1">
      <c r="A90" s="59"/>
      <c r="B90" s="39" t="s">
        <v>25</v>
      </c>
      <c r="C90" s="36">
        <v>196710</v>
      </c>
      <c r="D90" s="36">
        <v>0</v>
      </c>
      <c r="E90" s="36"/>
      <c r="F90" s="48">
        <v>1022579.12</v>
      </c>
      <c r="G90" s="49">
        <f t="shared" si="11"/>
        <v>0.19236653296812867</v>
      </c>
      <c r="H90" s="23">
        <f t="shared" si="12"/>
        <v>0</v>
      </c>
      <c r="I90" s="24">
        <f t="shared" si="12"/>
        <v>0</v>
      </c>
      <c r="J90" s="32" t="str" cm="1">
        <f t="array" ref="J90">IFERROR(_xlfn.IFS(B90="044 - BLEND TRADICION","BLEND",B90="113 - CAFÉ GOURMET","GOURMET",B90="114 - CAFÉ CONSUMO","CONSUMO",B90="112 - CAFÉ ORGANICO","GOURMET",B90="172 - CAFÉ COSECHA","ESPECIALES",B90="176 - CAFE DESCAFEINADO","GOURMET",B90="147 - CAPSULAS","CAPSULAS",B90="130 - GALLETAS CAFECITAS","DERIVADOS",B90="140 - MERENGUES","DERIVADOS",B90="100 - CAFÉ ESPECIAL","ESPECIALES",B90="141 - AREQUIPE","DERIVADOS",B90="142 - MERMELADA","DERIVADOS",B90="131 - GALLETAS AVENA","DERIVADOS",B90="160 - SOUVENIR","OTROS",B90="148 - CARAMELOS","DERIVADOS",B90="143 - CHOCOFFES","DERIVADOS",B90="162 - CONVENIOS Y DSC POS ","OTROS"),"OTROS")</f>
        <v>DERIVADOS</v>
      </c>
      <c r="L90" s="27">
        <f t="shared" si="13"/>
        <v>196710</v>
      </c>
      <c r="M90" s="27">
        <f t="shared" si="14"/>
        <v>196710</v>
      </c>
    </row>
    <row r="91" spans="1:13" ht="16.5" hidden="1" outlineLevel="1">
      <c r="A91" s="59"/>
      <c r="B91" s="39" t="s">
        <v>26</v>
      </c>
      <c r="C91" s="36">
        <v>1173705</v>
      </c>
      <c r="D91" s="36">
        <v>0</v>
      </c>
      <c r="E91" s="36"/>
      <c r="F91" s="48">
        <v>1766197.25</v>
      </c>
      <c r="G91" s="49">
        <f t="shared" si="11"/>
        <v>0.6645378934883972</v>
      </c>
      <c r="H91" s="23">
        <f t="shared" si="12"/>
        <v>0</v>
      </c>
      <c r="I91" s="24">
        <f t="shared" si="12"/>
        <v>0</v>
      </c>
      <c r="J91" s="32" t="str" cm="1">
        <f t="array" ref="J91">IFERROR(_xlfn.IFS(B91="044 - BLEND TRADICION","BLEND",B91="113 - CAFÉ GOURMET","GOURMET",B91="114 - CAFÉ CONSUMO","CONSUMO",B91="112 - CAFÉ ORGANICO","GOURMET",B91="172 - CAFÉ COSECHA","ESPECIALES",B91="176 - CAFE DESCAFEINADO","GOURMET",B91="147 - CAPSULAS","CAPSULAS",B91="130 - GALLETAS CAFECITAS","DERIVADOS",B91="140 - MERENGUES","DERIVADOS",B91="100 - CAFÉ ESPECIAL","ESPECIALES",B91="141 - AREQUIPE","DERIVADOS",B91="142 - MERMELADA","DERIVADOS",B91="131 - GALLETAS AVENA","DERIVADOS",B91="160 - SOUVENIR","OTROS",B91="148 - CARAMELOS","DERIVADOS",B91="143 - CHOCOFFES","DERIVADOS",B91="162 - CONVENIOS Y DSC POS ","OTROS"),"OTROS")</f>
        <v>CAPSULAS</v>
      </c>
      <c r="L91" s="27">
        <f t="shared" si="13"/>
        <v>1173705</v>
      </c>
      <c r="M91" s="27">
        <f t="shared" si="14"/>
        <v>1173705</v>
      </c>
    </row>
    <row r="92" spans="1:13" ht="16.5" hidden="1" outlineLevel="1">
      <c r="A92" s="59"/>
      <c r="B92" s="39" t="s">
        <v>27</v>
      </c>
      <c r="C92" s="36">
        <v>595312</v>
      </c>
      <c r="D92" s="36">
        <v>0</v>
      </c>
      <c r="E92" s="36"/>
      <c r="F92" s="48">
        <v>2921002.36</v>
      </c>
      <c r="G92" s="49">
        <f t="shared" si="11"/>
        <v>0.20380401198991158</v>
      </c>
      <c r="H92" s="23">
        <f t="shared" si="12"/>
        <v>0</v>
      </c>
      <c r="I92" s="24">
        <f t="shared" si="12"/>
        <v>0</v>
      </c>
      <c r="J92" s="32" t="str" cm="1">
        <f t="array" ref="J92">IFERROR(_xlfn.IFS(B92="044 - BLEND TRADICION","BLEND",B92="113 - CAFÉ GOURMET","GOURMET",B92="114 - CAFÉ CONSUMO","CONSUMO",B92="112 - CAFÉ ORGANICO","GOURMET",B92="172 - CAFÉ COSECHA","ESPECIALES",B92="176 - CAFE DESCAFEINADO","GOURMET",B92="147 - CAPSULAS","CAPSULAS",B92="130 - GALLETAS CAFECITAS","DERIVADOS",B92="140 - MERENGUES","DERIVADOS",B92="100 - CAFÉ ESPECIAL","ESPECIALES",B92="141 - AREQUIPE","DERIVADOS",B92="142 - MERMELADA","DERIVADOS",B92="131 - GALLETAS AVENA","DERIVADOS",B92="160 - SOUVENIR","OTROS",B92="148 - CARAMELOS","DERIVADOS",B92="143 - CHOCOFFES","DERIVADOS",B92="162 - CONVENIOS Y DSC POS ","OTROS"),"OTROS")</f>
        <v>DERIVADOS</v>
      </c>
      <c r="L92" s="27">
        <f t="shared" si="13"/>
        <v>595312</v>
      </c>
      <c r="M92" s="27">
        <f t="shared" si="14"/>
        <v>595312</v>
      </c>
    </row>
    <row r="93" spans="1:13" ht="16.5" hidden="1" outlineLevel="1">
      <c r="A93" s="59"/>
      <c r="B93" s="39" t="s">
        <v>28</v>
      </c>
      <c r="C93" s="36">
        <v>55124</v>
      </c>
      <c r="D93" s="36">
        <v>0</v>
      </c>
      <c r="E93" s="36"/>
      <c r="F93" s="48">
        <v>1719908.5</v>
      </c>
      <c r="G93" s="49">
        <f t="shared" si="11"/>
        <v>3.2050542223612477E-2</v>
      </c>
      <c r="H93" s="23">
        <f t="shared" si="12"/>
        <v>0</v>
      </c>
      <c r="I93" s="24">
        <f t="shared" si="12"/>
        <v>0</v>
      </c>
      <c r="J93" s="32" t="str" cm="1">
        <f t="array" ref="J93">IFERROR(_xlfn.IFS(B93="044 - BLEND TRADICION","BLEND",B93="113 - CAFÉ GOURMET","GOURMET",B93="114 - CAFÉ CONSUMO","CONSUMO",B93="112 - CAFÉ ORGANICO","GOURMET",B93="172 - CAFÉ COSECHA","ESPECIALES",B93="176 - CAFE DESCAFEINADO","GOURMET",B93="147 - CAPSULAS","CAPSULAS",B93="130 - GALLETAS CAFECITAS","DERIVADOS",B93="140 - MERENGUES","DERIVADOS",B93="100 - CAFÉ ESPECIAL","ESPECIALES",B93="141 - AREQUIPE","DERIVADOS",B93="142 - MERMELADA","DERIVADOS",B93="131 - GALLETAS AVENA","DERIVADOS",B93="160 - SOUVENIR","OTROS",B93="148 - CARAMELOS","DERIVADOS",B93="143 - CHOCOFFES","DERIVADOS",B93="162 - CONVENIOS Y DSC POS ","OTROS"),"OTROS")</f>
        <v>OTROS</v>
      </c>
      <c r="L93" s="27">
        <f t="shared" si="13"/>
        <v>55124</v>
      </c>
      <c r="M93" s="27">
        <f t="shared" si="14"/>
        <v>55124</v>
      </c>
    </row>
    <row r="94" spans="1:13" ht="16.5" hidden="1" outlineLevel="1">
      <c r="A94" s="59"/>
      <c r="B94" s="39" t="s">
        <v>50</v>
      </c>
      <c r="C94" s="36">
        <v>-264542</v>
      </c>
      <c r="D94" s="36">
        <v>-264542</v>
      </c>
      <c r="E94" s="36"/>
      <c r="F94" s="48">
        <v>6824547.4699999997</v>
      </c>
      <c r="G94" s="49">
        <f t="shared" si="11"/>
        <v>-3.8763302792294889E-2</v>
      </c>
      <c r="H94" s="23">
        <f t="shared" si="12"/>
        <v>0</v>
      </c>
      <c r="I94" s="24">
        <f t="shared" si="12"/>
        <v>0</v>
      </c>
      <c r="J94" s="32" t="str" cm="1">
        <f t="array" ref="J94">IFERROR(_xlfn.IFS(B94="044 - BLEND TRADICION","BLEND",B94="113 - CAFÉ GOURMET","GOURMET",B94="114 - CAFÉ CONSUMO","CONSUMO",B94="112 - CAFÉ ORGANICO","GOURMET",B94="172 - CAFÉ COSECHA","ESPECIALES",B94="176 - CAFE DESCAFEINADO","GOURMET",B94="147 - CAPSULAS","CAPSULAS",B94="130 - GALLETAS CAFECITAS","DERIVADOS",B94="140 - MERENGUES","DERIVADOS",B94="100 - CAFÉ ESPECIAL","ESPECIALES",B94="141 - AREQUIPE","DERIVADOS",B94="142 - MERMELADA","DERIVADOS",B94="131 - GALLETAS AVENA","DERIVADOS",B94="160 - SOUVENIR","OTROS",B94="148 - CARAMELOS","DERIVADOS",B94="143 - CHOCOFFES","DERIVADOS",B94="162 - CONVENIOS Y DSC POS ","OTROS"),"OTROS")</f>
        <v>OTROS</v>
      </c>
      <c r="L94" s="27">
        <f t="shared" si="13"/>
        <v>0</v>
      </c>
      <c r="M94" s="27">
        <f t="shared" si="14"/>
        <v>0</v>
      </c>
    </row>
    <row r="95" spans="1:13" ht="16.5" hidden="1" outlineLevel="1">
      <c r="A95" s="59"/>
      <c r="B95" s="39" t="s">
        <v>29</v>
      </c>
      <c r="C95" s="36">
        <v>203763</v>
      </c>
      <c r="D95" s="36">
        <v>0</v>
      </c>
      <c r="E95" s="36"/>
      <c r="F95" s="48">
        <v>1667302.64</v>
      </c>
      <c r="G95" s="49">
        <f t="shared" si="11"/>
        <v>0.12221116617436653</v>
      </c>
      <c r="H95" s="23">
        <f t="shared" si="12"/>
        <v>0</v>
      </c>
      <c r="I95" s="24">
        <f t="shared" si="12"/>
        <v>0</v>
      </c>
      <c r="J95" s="32" t="str" cm="1">
        <f t="array" ref="J95">IFERROR(_xlfn.IFS(B95="044 - BLEND TRADICION","BLEND",B95="113 - CAFÉ GOURMET","GOURMET",B95="114 - CAFÉ CONSUMO","CONSUMO",B95="112 - CAFÉ ORGANICO","GOURMET",B95="172 - CAFÉ COSECHA","ESPECIALES",B95="176 - CAFE DESCAFEINADO","GOURMET",B95="147 - CAPSULAS","CAPSULAS",B95="130 - GALLETAS CAFECITAS","DERIVADOS",B95="140 - MERENGUES","DERIVADOS",B95="100 - CAFÉ ESPECIAL","ESPECIALES",B95="141 - AREQUIPE","DERIVADOS",B95="142 - MERMELADA","DERIVADOS",B95="131 - GALLETAS AVENA","DERIVADOS",B95="160 - SOUVENIR","OTROS",B95="148 - CARAMELOS","DERIVADOS",B95="143 - CHOCOFFES","DERIVADOS",B95="162 - CONVENIOS Y DSC POS ","OTROS"),"OTROS")</f>
        <v>ESPECIALES</v>
      </c>
      <c r="L95" s="27">
        <f t="shared" si="13"/>
        <v>203763</v>
      </c>
      <c r="M95" s="27">
        <f t="shared" si="14"/>
        <v>203763</v>
      </c>
    </row>
    <row r="96" spans="1:13" ht="16.5" hidden="1" outlineLevel="1">
      <c r="A96" s="59"/>
      <c r="B96" s="39" t="s">
        <v>30</v>
      </c>
      <c r="C96" s="36">
        <v>189786</v>
      </c>
      <c r="D96" s="36">
        <v>0</v>
      </c>
      <c r="E96" s="36"/>
      <c r="F96" s="48">
        <v>382592.22</v>
      </c>
      <c r="G96" s="49">
        <f t="shared" si="11"/>
        <v>0.49605295162562379</v>
      </c>
      <c r="H96" s="23">
        <f t="shared" si="12"/>
        <v>0</v>
      </c>
      <c r="I96" s="24">
        <f t="shared" si="12"/>
        <v>0</v>
      </c>
      <c r="J96" s="32" t="str" cm="1">
        <f t="array" ref="J96">IFERROR(_xlfn.IFS(B96="044 - BLEND TRADICION","BLEND",B96="113 - CAFÉ GOURMET","GOURMET",B96="114 - CAFÉ CONSUMO","CONSUMO",B96="112 - CAFÉ ORGANICO","GOURMET",B96="172 - CAFÉ COSECHA","ESPECIALES",B96="176 - CAFE DESCAFEINADO","GOURMET",B96="147 - CAPSULAS","CAPSULAS",B96="130 - GALLETAS CAFECITAS","DERIVADOS",B96="140 - MERENGUES","DERIVADOS",B96="100 - CAFÉ ESPECIAL","ESPECIALES",B96="141 - AREQUIPE","DERIVADOS",B96="142 - MERMELADA","DERIVADOS",B96="131 - GALLETAS AVENA","DERIVADOS",B96="160 - SOUVENIR","OTROS",B96="148 - CARAMELOS","DERIVADOS",B96="143 - CHOCOFFES","DERIVADOS",B96="162 - CONVENIOS Y DSC POS ","OTROS"),"OTROS")</f>
        <v>GOURMET</v>
      </c>
      <c r="L96" s="27">
        <f t="shared" si="13"/>
        <v>189786</v>
      </c>
      <c r="M96" s="27">
        <f t="shared" si="14"/>
        <v>189786</v>
      </c>
    </row>
    <row r="97" spans="1:13" ht="16.5" hidden="1" outlineLevel="1">
      <c r="A97" s="59"/>
      <c r="B97" s="39" t="s">
        <v>31</v>
      </c>
      <c r="C97" s="36">
        <v>36000</v>
      </c>
      <c r="D97" s="36">
        <v>0</v>
      </c>
      <c r="E97" s="36"/>
      <c r="F97" s="48">
        <v>0</v>
      </c>
      <c r="G97" s="49" t="str">
        <f t="shared" si="11"/>
        <v>-</v>
      </c>
      <c r="H97" s="23">
        <f t="shared" si="12"/>
        <v>0</v>
      </c>
      <c r="I97" s="24">
        <f t="shared" si="12"/>
        <v>0</v>
      </c>
      <c r="J97" s="32" t="str" cm="1">
        <f t="array" ref="J97">IFERROR(_xlfn.IFS(B97="044 - BLEND TRADICION","BLEND",B97="113 - CAFÉ GOURMET","GOURMET",B97="114 - CAFÉ CONSUMO","CONSUMO",B97="112 - CAFÉ ORGANICO","GOURMET",B97="172 - CAFÉ COSECHA","ESPECIALES",B97="176 - CAFE DESCAFEINADO","GOURMET",B97="147 - CAPSULAS","CAPSULAS",B97="130 - GALLETAS CAFECITAS","DERIVADOS",B97="140 - MERENGUES","DERIVADOS",B97="100 - CAFÉ ESPECIAL","ESPECIALES",B97="141 - AREQUIPE","DERIVADOS",B97="142 - MERMELADA","DERIVADOS",B97="131 - GALLETAS AVENA","DERIVADOS",B97="160 - SOUVENIR","OTROS",B97="148 - CARAMELOS","DERIVADOS",B97="143 - CHOCOFFES","DERIVADOS",B97="162 - CONVENIOS Y DSC POS ","OTROS"),"OTROS")</f>
        <v>OTROS</v>
      </c>
      <c r="L97" s="27">
        <f t="shared" si="13"/>
        <v>36000</v>
      </c>
      <c r="M97" s="27">
        <f t="shared" si="14"/>
        <v>36000</v>
      </c>
    </row>
    <row r="98" spans="1:13" ht="16.5" hidden="1" outlineLevel="1">
      <c r="A98" s="19" t="s">
        <v>45</v>
      </c>
      <c r="B98" s="56" t="s">
        <v>32</v>
      </c>
      <c r="C98" s="54">
        <f>SUM(C84:C97)</f>
        <v>48170385</v>
      </c>
      <c r="D98" s="54">
        <f>SUM(D84:D97)</f>
        <v>-3714665</v>
      </c>
      <c r="E98" s="57">
        <v>0</v>
      </c>
      <c r="F98" s="58">
        <f>SUM(F84:F97)</f>
        <v>137638336.16999999</v>
      </c>
      <c r="G98" s="55">
        <f t="shared" si="11"/>
        <v>0.34997796646207457</v>
      </c>
      <c r="H98" s="23">
        <f t="shared" si="12"/>
        <v>-7.1594129715592453E-2</v>
      </c>
      <c r="I98" s="24">
        <f t="shared" si="12"/>
        <v>0</v>
      </c>
      <c r="J98" s="32" t="str" cm="1">
        <f t="array" ref="J98">IFERROR(_xlfn.IFS(B98="044 - BLEND TRADICION","BLEND",B98="113 - CAFÉ GOURMET","GOURMET",B98="114 - CAFÉ CONSUMO","CONSUMO",B98="112 - CAFÉ ORGANICO","GOURMET",B98="172 - CAFÉ COSECHA","ESPECIALES",B98="176 - CAFE DESCAFEINADO","GOURMET",B98="147 - CAPSULAS","CAPSULAS",B98="130 - GALLETAS CAFECITAS","DERIVADOS",B98="140 - MERENGUES","DERIVADOS",B98="100 - CAFÉ ESPECIAL","ESPECIALES",B98="141 - AREQUIPE","DERIVADOS",B98="142 - MERMELADA","DERIVADOS",B98="131 - GALLETAS AVENA","DERIVADOS",B98="160 - SOUVENIR","OTROS",B98="148 - CARAMELOS","DERIVADOS",B98="143 - CHOCOFFES","DERIVADOS",B98="162 - CONVENIOS Y DSC POS ","OTROS"),"OTROS")</f>
        <v>OTROS</v>
      </c>
      <c r="L98" s="27">
        <f t="shared" si="13"/>
        <v>51885050</v>
      </c>
      <c r="M98" s="27">
        <f t="shared" si="14"/>
        <v>51885050</v>
      </c>
    </row>
    <row r="99" spans="1:13" ht="16.5" hidden="1" outlineLevel="1">
      <c r="A99" s="59"/>
      <c r="B99" s="39" t="s">
        <v>18</v>
      </c>
      <c r="C99" s="60">
        <v>1467000</v>
      </c>
      <c r="D99" s="60">
        <v>0</v>
      </c>
      <c r="E99" s="36">
        <v>0</v>
      </c>
      <c r="F99" s="48">
        <v>4980625.03</v>
      </c>
      <c r="G99" s="49">
        <f t="shared" si="11"/>
        <v>0.29454134594830156</v>
      </c>
      <c r="H99" s="23">
        <f t="shared" si="12"/>
        <v>0</v>
      </c>
      <c r="I99" s="24">
        <f t="shared" si="12"/>
        <v>0</v>
      </c>
      <c r="J99" s="32" t="str" cm="1">
        <f t="array" ref="J99">IFERROR(_xlfn.IFS(B99="044 - BLEND TRADICION","BLEND",B99="113 - CAFÉ GOURMET","GOURMET",B99="114 - CAFÉ CONSUMO","CONSUMO",B99="112 - CAFÉ ORGANICO","GOURMET",B99="172 - CAFÉ COSECHA","ESPECIALES",B99="176 - CAFE DESCAFEINADO","GOURMET",B99="147 - CAPSULAS","CAPSULAS",B99="130 - GALLETAS CAFECITAS","DERIVADOS",B99="140 - MERENGUES","DERIVADOS",B99="100 - CAFÉ ESPECIAL","ESPECIALES",B99="141 - AREQUIPE","DERIVADOS",B99="142 - MERMELADA","DERIVADOS",B99="131 - GALLETAS AVENA","DERIVADOS",B99="160 - SOUVENIR","OTROS",B99="148 - CARAMELOS","DERIVADOS",B99="143 - CHOCOFFES","DERIVADOS",B99="162 - CONVENIOS Y DSC POS ","OTROS"),"OTROS")</f>
        <v>BLEND</v>
      </c>
      <c r="L99" s="27">
        <f t="shared" si="13"/>
        <v>1467000</v>
      </c>
      <c r="M99" s="27">
        <f t="shared" si="14"/>
        <v>1467000</v>
      </c>
    </row>
    <row r="100" spans="1:13" ht="16.5" hidden="1" outlineLevel="1">
      <c r="A100" s="59"/>
      <c r="B100" s="39" t="s">
        <v>19</v>
      </c>
      <c r="C100" s="60">
        <v>3904024</v>
      </c>
      <c r="D100" s="60">
        <v>0</v>
      </c>
      <c r="E100" s="36">
        <v>0</v>
      </c>
      <c r="F100" s="48">
        <v>4364104.07</v>
      </c>
      <c r="G100" s="49">
        <f t="shared" si="11"/>
        <v>0.89457628355778407</v>
      </c>
      <c r="H100" s="23">
        <f t="shared" si="12"/>
        <v>0</v>
      </c>
      <c r="I100" s="24">
        <f t="shared" si="12"/>
        <v>0</v>
      </c>
      <c r="J100" s="32" t="str" cm="1">
        <f t="array" ref="J100">IFERROR(_xlfn.IFS(B100="044 - BLEND TRADICION","BLEND",B100="113 - CAFÉ GOURMET","GOURMET",B100="114 - CAFÉ CONSUMO","CONSUMO",B100="112 - CAFÉ ORGANICO","GOURMET",B100="172 - CAFÉ COSECHA","ESPECIALES",B100="176 - CAFE DESCAFEINADO","GOURMET",B100="147 - CAPSULAS","CAPSULAS",B100="130 - GALLETAS CAFECITAS","DERIVADOS",B100="140 - MERENGUES","DERIVADOS",B100="100 - CAFÉ ESPECIAL","ESPECIALES",B100="141 - AREQUIPE","DERIVADOS",B100="142 - MERMELADA","DERIVADOS",B100="131 - GALLETAS AVENA","DERIVADOS",B100="160 - SOUVENIR","OTROS",B100="148 - CARAMELOS","DERIVADOS",B100="143 - CHOCOFFES","DERIVADOS",B100="162 - CONVENIOS Y DSC POS ","OTROS"),"OTROS")</f>
        <v>ESPECIALES</v>
      </c>
      <c r="L100" s="27">
        <f t="shared" si="13"/>
        <v>3904024</v>
      </c>
      <c r="M100" s="27">
        <f t="shared" si="14"/>
        <v>3904024</v>
      </c>
    </row>
    <row r="101" spans="1:13" ht="16.5" hidden="1" outlineLevel="1">
      <c r="A101" s="59"/>
      <c r="B101" s="39" t="s">
        <v>20</v>
      </c>
      <c r="C101" s="60">
        <v>5813007</v>
      </c>
      <c r="D101" s="60">
        <v>0</v>
      </c>
      <c r="E101" s="36">
        <v>0</v>
      </c>
      <c r="F101" s="48">
        <v>6833481.9699999997</v>
      </c>
      <c r="G101" s="49">
        <f t="shared" si="11"/>
        <v>0.85066544779366704</v>
      </c>
      <c r="H101" s="23">
        <f t="shared" si="12"/>
        <v>0</v>
      </c>
      <c r="I101" s="24">
        <f t="shared" si="12"/>
        <v>0</v>
      </c>
      <c r="J101" s="32" t="str" cm="1">
        <f t="array" ref="J101">IFERROR(_xlfn.IFS(B101="044 - BLEND TRADICION","BLEND",B101="113 - CAFÉ GOURMET","GOURMET",B101="114 - CAFÉ CONSUMO","CONSUMO",B101="112 - CAFÉ ORGANICO","GOURMET",B101="172 - CAFÉ COSECHA","ESPECIALES",B101="176 - CAFE DESCAFEINADO","GOURMET",B101="147 - CAPSULAS","CAPSULAS",B101="130 - GALLETAS CAFECITAS","DERIVADOS",B101="140 - MERENGUES","DERIVADOS",B101="100 - CAFÉ ESPECIAL","ESPECIALES",B101="141 - AREQUIPE","DERIVADOS",B101="142 - MERMELADA","DERIVADOS",B101="131 - GALLETAS AVENA","DERIVADOS",B101="160 - SOUVENIR","OTROS",B101="148 - CARAMELOS","DERIVADOS",B101="143 - CHOCOFFES","DERIVADOS",B101="162 - CONVENIOS Y DSC POS ","OTROS"),"OTROS")</f>
        <v>GOURMET</v>
      </c>
      <c r="L101" s="27">
        <f t="shared" si="13"/>
        <v>5813007</v>
      </c>
      <c r="M101" s="27">
        <f t="shared" si="14"/>
        <v>5813007</v>
      </c>
    </row>
    <row r="102" spans="1:13" ht="16.5" hidden="1" outlineLevel="1">
      <c r="A102" s="59"/>
      <c r="B102" s="39" t="s">
        <v>21</v>
      </c>
      <c r="C102" s="60">
        <v>66534972</v>
      </c>
      <c r="D102" s="60">
        <v>-419240</v>
      </c>
      <c r="E102" s="36"/>
      <c r="F102" s="48">
        <v>128071723.90000001</v>
      </c>
      <c r="G102" s="49">
        <f t="shared" si="11"/>
        <v>0.51951336308982088</v>
      </c>
      <c r="H102" s="23">
        <f t="shared" si="12"/>
        <v>-6.2615926239263332E-3</v>
      </c>
      <c r="I102" s="24">
        <f t="shared" si="12"/>
        <v>0</v>
      </c>
      <c r="J102" s="32" t="str" cm="1">
        <f t="array" ref="J102">IFERROR(_xlfn.IFS(B102="044 - BLEND TRADICION","BLEND",B102="113 - CAFÉ GOURMET","GOURMET",B102="114 - CAFÉ CONSUMO","CONSUMO",B102="112 - CAFÉ ORGANICO","GOURMET",B102="172 - CAFÉ COSECHA","ESPECIALES",B102="176 - CAFE DESCAFEINADO","GOURMET",B102="147 - CAPSULAS","CAPSULAS",B102="130 - GALLETAS CAFECITAS","DERIVADOS",B102="140 - MERENGUES","DERIVADOS",B102="100 - CAFÉ ESPECIAL","ESPECIALES",B102="141 - AREQUIPE","DERIVADOS",B102="142 - MERMELADA","DERIVADOS",B102="131 - GALLETAS AVENA","DERIVADOS",B102="160 - SOUVENIR","OTROS",B102="148 - CARAMELOS","DERIVADOS",B102="143 - CHOCOFFES","DERIVADOS",B102="162 - CONVENIOS Y DSC POS ","OTROS"),"OTROS")</f>
        <v>GOURMET</v>
      </c>
      <c r="L102" s="27">
        <f t="shared" si="13"/>
        <v>66954212</v>
      </c>
      <c r="M102" s="27">
        <f t="shared" si="14"/>
        <v>66954212</v>
      </c>
    </row>
    <row r="103" spans="1:13" ht="16.5" hidden="1" outlineLevel="1">
      <c r="A103" s="59"/>
      <c r="B103" s="39" t="s">
        <v>22</v>
      </c>
      <c r="C103" s="60">
        <v>3344914</v>
      </c>
      <c r="D103" s="60">
        <v>0</v>
      </c>
      <c r="E103" s="36">
        <v>0</v>
      </c>
      <c r="F103" s="48">
        <v>5287340.72</v>
      </c>
      <c r="G103" s="49">
        <f t="shared" si="11"/>
        <v>0.63262690587490644</v>
      </c>
      <c r="H103" s="23">
        <f t="shared" si="12"/>
        <v>0</v>
      </c>
      <c r="I103" s="24">
        <f t="shared" si="12"/>
        <v>0</v>
      </c>
      <c r="J103" s="32" t="str" cm="1">
        <f t="array" ref="J103">IFERROR(_xlfn.IFS(B103="044 - BLEND TRADICION","BLEND",B103="113 - CAFÉ GOURMET","GOURMET",B103="114 - CAFÉ CONSUMO","CONSUMO",B103="112 - CAFÉ ORGANICO","GOURMET",B103="172 - CAFÉ COSECHA","ESPECIALES",B103="176 - CAFE DESCAFEINADO","GOURMET",B103="147 - CAPSULAS","CAPSULAS",B103="130 - GALLETAS CAFECITAS","DERIVADOS",B103="140 - MERENGUES","DERIVADOS",B103="100 - CAFÉ ESPECIAL","ESPECIALES",B103="141 - AREQUIPE","DERIVADOS",B103="142 - MERMELADA","DERIVADOS",B103="131 - GALLETAS AVENA","DERIVADOS",B103="160 - SOUVENIR","OTROS",B103="148 - CARAMELOS","DERIVADOS",B103="143 - CHOCOFFES","DERIVADOS",B103="162 - CONVENIOS Y DSC POS ","OTROS"),"OTROS")</f>
        <v>DERIVADOS</v>
      </c>
      <c r="L103" s="27">
        <f t="shared" si="13"/>
        <v>3344914</v>
      </c>
      <c r="M103" s="27">
        <f t="shared" si="14"/>
        <v>3344914</v>
      </c>
    </row>
    <row r="104" spans="1:13" ht="16.5" hidden="1" outlineLevel="1">
      <c r="A104" s="59"/>
      <c r="B104" s="39" t="s">
        <v>23</v>
      </c>
      <c r="C104" s="60">
        <v>59660</v>
      </c>
      <c r="D104" s="60">
        <v>0</v>
      </c>
      <c r="E104" s="36">
        <v>0</v>
      </c>
      <c r="F104" s="48">
        <v>0</v>
      </c>
      <c r="G104" s="49" t="str">
        <f t="shared" si="11"/>
        <v>-</v>
      </c>
      <c r="H104" s="23">
        <f t="shared" si="12"/>
        <v>0</v>
      </c>
      <c r="I104" s="24">
        <f t="shared" si="12"/>
        <v>0</v>
      </c>
      <c r="J104" s="32" t="str" cm="1">
        <f t="array" ref="J104">IFERROR(_xlfn.IFS(B104="044 - BLEND TRADICION","BLEND",B104="113 - CAFÉ GOURMET","GOURMET",B104="114 - CAFÉ CONSUMO","CONSUMO",B104="112 - CAFÉ ORGANICO","GOURMET",B104="172 - CAFÉ COSECHA","ESPECIALES",B104="176 - CAFE DESCAFEINADO","GOURMET",B104="147 - CAPSULAS","CAPSULAS",B104="130 - GALLETAS CAFECITAS","DERIVADOS",B104="140 - MERENGUES","DERIVADOS",B104="100 - CAFÉ ESPECIAL","ESPECIALES",B104="141 - AREQUIPE","DERIVADOS",B104="142 - MERMELADA","DERIVADOS",B104="131 - GALLETAS AVENA","DERIVADOS",B104="160 - SOUVENIR","OTROS",B104="148 - CARAMELOS","DERIVADOS",B104="143 - CHOCOFFES","DERIVADOS",B104="162 - CONVENIOS Y DSC POS ","OTROS"),"OTROS")</f>
        <v>DERIVADOS</v>
      </c>
      <c r="L104" s="27">
        <f t="shared" si="13"/>
        <v>59660</v>
      </c>
      <c r="M104" s="27">
        <f t="shared" si="14"/>
        <v>59660</v>
      </c>
    </row>
    <row r="105" spans="1:13" ht="16.5" hidden="1" outlineLevel="1">
      <c r="A105" s="59"/>
      <c r="B105" s="39" t="s">
        <v>24</v>
      </c>
      <c r="C105" s="60">
        <v>1287513</v>
      </c>
      <c r="D105" s="60">
        <v>0</v>
      </c>
      <c r="E105" s="36"/>
      <c r="F105" s="48">
        <v>843982.64</v>
      </c>
      <c r="G105" s="49">
        <f t="shared" si="11"/>
        <v>1.5255207145019001</v>
      </c>
      <c r="H105" s="23">
        <f t="shared" si="12"/>
        <v>0</v>
      </c>
      <c r="I105" s="24">
        <f t="shared" si="12"/>
        <v>0</v>
      </c>
      <c r="J105" s="32" t="str" cm="1">
        <f t="array" ref="J105">IFERROR(_xlfn.IFS(B105="044 - BLEND TRADICION","BLEND",B105="113 - CAFÉ GOURMET","GOURMET",B105="114 - CAFÉ CONSUMO","CONSUMO",B105="112 - CAFÉ ORGANICO","GOURMET",B105="172 - CAFÉ COSECHA","ESPECIALES",B105="176 - CAFE DESCAFEINADO","GOURMET",B105="147 - CAPSULAS","CAPSULAS",B105="130 - GALLETAS CAFECITAS","DERIVADOS",B105="140 - MERENGUES","DERIVADOS",B105="100 - CAFÉ ESPECIAL","ESPECIALES",B105="141 - AREQUIPE","DERIVADOS",B105="142 - MERMELADA","DERIVADOS",B105="131 - GALLETAS AVENA","DERIVADOS",B105="160 - SOUVENIR","OTROS",B105="148 - CARAMELOS","DERIVADOS",B105="143 - CHOCOFFES","DERIVADOS",B105="162 - CONVENIOS Y DSC POS ","OTROS"),"OTROS")</f>
        <v>DERIVADOS</v>
      </c>
      <c r="L105" s="27">
        <f t="shared" si="13"/>
        <v>1287513</v>
      </c>
      <c r="M105" s="27">
        <f t="shared" si="14"/>
        <v>1287513</v>
      </c>
    </row>
    <row r="106" spans="1:13" ht="16.5" hidden="1" outlineLevel="1">
      <c r="A106" s="59"/>
      <c r="B106" s="39" t="s">
        <v>25</v>
      </c>
      <c r="C106" s="60">
        <v>6610811</v>
      </c>
      <c r="D106" s="60">
        <v>0</v>
      </c>
      <c r="E106" s="36"/>
      <c r="F106" s="48">
        <v>5547744.04</v>
      </c>
      <c r="G106" s="49">
        <f t="shared" si="11"/>
        <v>1.1916214865601478</v>
      </c>
      <c r="H106" s="23">
        <f t="shared" si="12"/>
        <v>0</v>
      </c>
      <c r="I106" s="24">
        <f t="shared" si="12"/>
        <v>0</v>
      </c>
      <c r="J106" s="32" t="str" cm="1">
        <f t="array" ref="J106">IFERROR(_xlfn.IFS(B106="044 - BLEND TRADICION","BLEND",B106="113 - CAFÉ GOURMET","GOURMET",B106="114 - CAFÉ CONSUMO","CONSUMO",B106="112 - CAFÉ ORGANICO","GOURMET",B106="172 - CAFÉ COSECHA","ESPECIALES",B106="176 - CAFE DESCAFEINADO","GOURMET",B106="147 - CAPSULAS","CAPSULAS",B106="130 - GALLETAS CAFECITAS","DERIVADOS",B106="140 - MERENGUES","DERIVADOS",B106="100 - CAFÉ ESPECIAL","ESPECIALES",B106="141 - AREQUIPE","DERIVADOS",B106="142 - MERMELADA","DERIVADOS",B106="131 - GALLETAS AVENA","DERIVADOS",B106="160 - SOUVENIR","OTROS",B106="148 - CARAMELOS","DERIVADOS",B106="143 - CHOCOFFES","DERIVADOS",B106="162 - CONVENIOS Y DSC POS ","OTROS"),"OTROS")</f>
        <v>DERIVADOS</v>
      </c>
      <c r="L106" s="27">
        <f t="shared" si="13"/>
        <v>6610811</v>
      </c>
      <c r="M106" s="27">
        <f t="shared" si="14"/>
        <v>6610811</v>
      </c>
    </row>
    <row r="107" spans="1:13" ht="16.5" hidden="1" outlineLevel="1">
      <c r="A107" s="59"/>
      <c r="B107" s="39" t="s">
        <v>26</v>
      </c>
      <c r="C107" s="60">
        <v>2312268</v>
      </c>
      <c r="D107" s="60">
        <v>0</v>
      </c>
      <c r="E107" s="36"/>
      <c r="F107" s="48">
        <v>1612858.44</v>
      </c>
      <c r="G107" s="49">
        <f t="shared" si="11"/>
        <v>1.4336459683343319</v>
      </c>
      <c r="H107" s="23">
        <f t="shared" si="12"/>
        <v>0</v>
      </c>
      <c r="I107" s="24">
        <f t="shared" si="12"/>
        <v>0</v>
      </c>
      <c r="J107" s="32" t="str" cm="1">
        <f t="array" ref="J107">IFERROR(_xlfn.IFS(B107="044 - BLEND TRADICION","BLEND",B107="113 - CAFÉ GOURMET","GOURMET",B107="114 - CAFÉ CONSUMO","CONSUMO",B107="112 - CAFÉ ORGANICO","GOURMET",B107="172 - CAFÉ COSECHA","ESPECIALES",B107="176 - CAFE DESCAFEINADO","GOURMET",B107="147 - CAPSULAS","CAPSULAS",B107="130 - GALLETAS CAFECITAS","DERIVADOS",B107="140 - MERENGUES","DERIVADOS",B107="100 - CAFÉ ESPECIAL","ESPECIALES",B107="141 - AREQUIPE","DERIVADOS",B107="142 - MERMELADA","DERIVADOS",B107="131 - GALLETAS AVENA","DERIVADOS",B107="160 - SOUVENIR","OTROS",B107="148 - CARAMELOS","DERIVADOS",B107="143 - CHOCOFFES","DERIVADOS",B107="162 - CONVENIOS Y DSC POS ","OTROS"),"OTROS")</f>
        <v>CAPSULAS</v>
      </c>
      <c r="L107" s="27">
        <f t="shared" si="13"/>
        <v>2312268</v>
      </c>
      <c r="M107" s="27">
        <f t="shared" si="14"/>
        <v>2312268</v>
      </c>
    </row>
    <row r="108" spans="1:13" ht="16.5" hidden="1" outlineLevel="1">
      <c r="A108" s="59"/>
      <c r="B108" s="39" t="s">
        <v>27</v>
      </c>
      <c r="C108" s="60">
        <v>8733127</v>
      </c>
      <c r="D108" s="60">
        <v>0</v>
      </c>
      <c r="E108" s="36"/>
      <c r="F108" s="48">
        <v>6748851.9699999997</v>
      </c>
      <c r="G108" s="49">
        <f t="shared" si="11"/>
        <v>1.2940166770319605</v>
      </c>
      <c r="H108" s="23">
        <f t="shared" si="12"/>
        <v>0</v>
      </c>
      <c r="I108" s="24">
        <f t="shared" si="12"/>
        <v>0</v>
      </c>
      <c r="J108" s="32" t="str" cm="1">
        <f t="array" ref="J108">IFERROR(_xlfn.IFS(B108="044 - BLEND TRADICION","BLEND",B108="113 - CAFÉ GOURMET","GOURMET",B108="114 - CAFÉ CONSUMO","CONSUMO",B108="112 - CAFÉ ORGANICO","GOURMET",B108="172 - CAFÉ COSECHA","ESPECIALES",B108="176 - CAFE DESCAFEINADO","GOURMET",B108="147 - CAPSULAS","CAPSULAS",B108="130 - GALLETAS CAFECITAS","DERIVADOS",B108="140 - MERENGUES","DERIVADOS",B108="100 - CAFÉ ESPECIAL","ESPECIALES",B108="141 - AREQUIPE","DERIVADOS",B108="142 - MERMELADA","DERIVADOS",B108="131 - GALLETAS AVENA","DERIVADOS",B108="160 - SOUVENIR","OTROS",B108="148 - CARAMELOS","DERIVADOS",B108="143 - CHOCOFFES","DERIVADOS",B108="162 - CONVENIOS Y DSC POS ","OTROS"),"OTROS")</f>
        <v>DERIVADOS</v>
      </c>
      <c r="L108" s="27">
        <f t="shared" si="13"/>
        <v>8733127</v>
      </c>
      <c r="M108" s="27">
        <f t="shared" si="14"/>
        <v>8733127</v>
      </c>
    </row>
    <row r="109" spans="1:13" ht="16.5" hidden="1" outlineLevel="1">
      <c r="A109" s="59"/>
      <c r="B109" s="39" t="s">
        <v>28</v>
      </c>
      <c r="C109" s="60">
        <v>15479275</v>
      </c>
      <c r="D109" s="60">
        <v>0</v>
      </c>
      <c r="E109" s="36"/>
      <c r="F109" s="48">
        <v>13175768.16</v>
      </c>
      <c r="G109" s="49">
        <f t="shared" si="11"/>
        <v>1.1748290355467215</v>
      </c>
      <c r="H109" s="23">
        <f t="shared" si="12"/>
        <v>0</v>
      </c>
      <c r="I109" s="24">
        <f t="shared" si="12"/>
        <v>0</v>
      </c>
      <c r="J109" s="32" t="str" cm="1">
        <f t="array" ref="J109">IFERROR(_xlfn.IFS(B109="044 - BLEND TRADICION","BLEND",B109="113 - CAFÉ GOURMET","GOURMET",B109="114 - CAFÉ CONSUMO","CONSUMO",B109="112 - CAFÉ ORGANICO","GOURMET",B109="172 - CAFÉ COSECHA","ESPECIALES",B109="176 - CAFE DESCAFEINADO","GOURMET",B109="147 - CAPSULAS","CAPSULAS",B109="130 - GALLETAS CAFECITAS","DERIVADOS",B109="140 - MERENGUES","DERIVADOS",B109="100 - CAFÉ ESPECIAL","ESPECIALES",B109="141 - AREQUIPE","DERIVADOS",B109="142 - MERMELADA","DERIVADOS",B109="131 - GALLETAS AVENA","DERIVADOS",B109="160 - SOUVENIR","OTROS",B109="148 - CARAMELOS","DERIVADOS",B109="143 - CHOCOFFES","DERIVADOS",B109="162 - CONVENIOS Y DSC POS ","OTROS"),"OTROS")</f>
        <v>OTROS</v>
      </c>
      <c r="L109" s="27">
        <f t="shared" si="13"/>
        <v>15479275</v>
      </c>
      <c r="M109" s="27">
        <f t="shared" si="14"/>
        <v>15479275</v>
      </c>
    </row>
    <row r="110" spans="1:13" ht="16.5" hidden="1" outlineLevel="1">
      <c r="A110" s="59"/>
      <c r="B110" s="39" t="s">
        <v>29</v>
      </c>
      <c r="C110" s="60">
        <v>13590359</v>
      </c>
      <c r="D110" s="60">
        <v>0</v>
      </c>
      <c r="E110" s="36"/>
      <c r="F110" s="48">
        <v>23863639.710000001</v>
      </c>
      <c r="G110" s="49">
        <f t="shared" si="11"/>
        <v>0.56950067823497152</v>
      </c>
      <c r="H110" s="23">
        <f t="shared" si="12"/>
        <v>0</v>
      </c>
      <c r="I110" s="24">
        <f t="shared" si="12"/>
        <v>0</v>
      </c>
      <c r="J110" s="32" t="str" cm="1">
        <f t="array" ref="J110">IFERROR(_xlfn.IFS(B110="044 - BLEND TRADICION","BLEND",B110="113 - CAFÉ GOURMET","GOURMET",B110="114 - CAFÉ CONSUMO","CONSUMO",B110="112 - CAFÉ ORGANICO","GOURMET",B110="172 - CAFÉ COSECHA","ESPECIALES",B110="176 - CAFE DESCAFEINADO","GOURMET",B110="147 - CAPSULAS","CAPSULAS",B110="130 - GALLETAS CAFECITAS","DERIVADOS",B110="140 - MERENGUES","DERIVADOS",B110="100 - CAFÉ ESPECIAL","ESPECIALES",B110="141 - AREQUIPE","DERIVADOS",B110="142 - MERMELADA","DERIVADOS",B110="131 - GALLETAS AVENA","DERIVADOS",B110="160 - SOUVENIR","OTROS",B110="148 - CARAMELOS","DERIVADOS",B110="143 - CHOCOFFES","DERIVADOS",B110="162 - CONVENIOS Y DSC POS ","OTROS"),"OTROS")</f>
        <v>ESPECIALES</v>
      </c>
      <c r="L110" s="27">
        <f t="shared" si="13"/>
        <v>13590359</v>
      </c>
      <c r="M110" s="27">
        <f t="shared" si="14"/>
        <v>13590359</v>
      </c>
    </row>
    <row r="111" spans="1:13" ht="16.5" hidden="1" outlineLevel="1">
      <c r="A111" s="59"/>
      <c r="B111" s="39" t="s">
        <v>30</v>
      </c>
      <c r="C111" s="60">
        <v>1613184</v>
      </c>
      <c r="D111" s="60">
        <v>0</v>
      </c>
      <c r="E111" s="36">
        <v>0</v>
      </c>
      <c r="F111" s="48">
        <v>1665594.24</v>
      </c>
      <c r="G111" s="49">
        <f t="shared" si="11"/>
        <v>0.96853360876175942</v>
      </c>
      <c r="H111" s="23">
        <f t="shared" si="12"/>
        <v>0</v>
      </c>
      <c r="I111" s="24">
        <f t="shared" si="12"/>
        <v>0</v>
      </c>
      <c r="J111" s="32" t="str" cm="1">
        <f t="array" ref="J111">IFERROR(_xlfn.IFS(B111="044 - BLEND TRADICION","BLEND",B111="113 - CAFÉ GOURMET","GOURMET",B111="114 - CAFÉ CONSUMO","CONSUMO",B111="112 - CAFÉ ORGANICO","GOURMET",B111="172 - CAFÉ COSECHA","ESPECIALES",B111="176 - CAFE DESCAFEINADO","GOURMET",B111="147 - CAPSULAS","CAPSULAS",B111="130 - GALLETAS CAFECITAS","DERIVADOS",B111="140 - MERENGUES","DERIVADOS",B111="100 - CAFÉ ESPECIAL","ESPECIALES",B111="141 - AREQUIPE","DERIVADOS",B111="142 - MERMELADA","DERIVADOS",B111="131 - GALLETAS AVENA","DERIVADOS",B111="160 - SOUVENIR","OTROS",B111="148 - CARAMELOS","DERIVADOS",B111="143 - CHOCOFFES","DERIVADOS",B111="162 - CONVENIOS Y DSC POS ","OTROS"),"OTROS")</f>
        <v>GOURMET</v>
      </c>
      <c r="L111" s="27">
        <f t="shared" si="13"/>
        <v>1613184</v>
      </c>
      <c r="M111" s="27">
        <f t="shared" si="14"/>
        <v>1613184</v>
      </c>
    </row>
    <row r="112" spans="1:13" ht="16.5" hidden="1" outlineLevel="1">
      <c r="A112" s="19" t="s">
        <v>46</v>
      </c>
      <c r="B112" s="56" t="s">
        <v>32</v>
      </c>
      <c r="C112" s="54">
        <f>SUM(C99:C111)</f>
        <v>130750114</v>
      </c>
      <c r="D112" s="54">
        <f>SUM(D99:D111)</f>
        <v>-419240</v>
      </c>
      <c r="E112" s="54">
        <f>SUM(E99:E111)</f>
        <v>0</v>
      </c>
      <c r="F112" s="54">
        <f>SUM(F99:F111)</f>
        <v>202995714.88999999</v>
      </c>
      <c r="G112" s="55">
        <f t="shared" si="11"/>
        <v>0.64410282783974682</v>
      </c>
      <c r="H112" s="23">
        <f t="shared" si="12"/>
        <v>-3.196173398856565E-3</v>
      </c>
      <c r="I112" s="24">
        <f t="shared" si="12"/>
        <v>0</v>
      </c>
      <c r="J112" s="32" t="str" cm="1">
        <f t="array" ref="J112">IFERROR(_xlfn.IFS(B112="044 - BLEND TRADICION","BLEND",B112="113 - CAFÉ GOURMET","GOURMET",B112="114 - CAFÉ CONSUMO","CONSUMO",B112="112 - CAFÉ ORGANICO","GOURMET",B112="172 - CAFÉ COSECHA","ESPECIALES",B112="176 - CAFE DESCAFEINADO","GOURMET",B112="147 - CAPSULAS","CAPSULAS",B112="130 - GALLETAS CAFECITAS","DERIVADOS",B112="140 - MERENGUES","DERIVADOS",B112="100 - CAFÉ ESPECIAL","ESPECIALES",B112="141 - AREQUIPE","DERIVADOS",B112="142 - MERMELADA","DERIVADOS",B112="131 - GALLETAS AVENA","DERIVADOS",B112="160 - SOUVENIR","OTROS",B112="148 - CARAMELOS","DERIVADOS",B112="143 - CHOCOFFES","DERIVADOS",B112="162 - CONVENIOS Y DSC POS ","OTROS"),"OTROS")</f>
        <v>OTROS</v>
      </c>
      <c r="L112" s="27">
        <f t="shared" si="13"/>
        <v>131169354</v>
      </c>
      <c r="M112" s="27">
        <f t="shared" si="14"/>
        <v>131169354</v>
      </c>
    </row>
    <row r="113" spans="1:13" ht="16.5" collapsed="1">
      <c r="A113" s="28" t="s">
        <v>47</v>
      </c>
      <c r="B113" s="29" t="s">
        <v>17</v>
      </c>
      <c r="C113" s="30">
        <f>+C135+C150+C167+C183+C198+C121</f>
        <v>255271710</v>
      </c>
      <c r="D113" s="30">
        <f>+D135+D150+D167+D183+D198+D121</f>
        <v>-1318133</v>
      </c>
      <c r="E113" s="30">
        <f>+E135+E150+E167+E183+E198+E121</f>
        <v>-72504</v>
      </c>
      <c r="F113" s="30">
        <f>+F135+F150+F167+F183+F198+F121</f>
        <v>664228042.13999987</v>
      </c>
      <c r="G113" s="31">
        <f t="shared" si="11"/>
        <v>0.38431335897468205</v>
      </c>
      <c r="H113" s="23">
        <f t="shared" si="12"/>
        <v>-5.1356695495346659E-3</v>
      </c>
      <c r="I113" s="24">
        <f t="shared" si="12"/>
        <v>-2.8248787111730106E-4</v>
      </c>
      <c r="J113" s="32" t="str" cm="1">
        <f t="array" ref="J113">IFERROR(_xlfn.IFS(B113="044 - BLEND TRADICION","BLEND",B113="113 - CAFÉ GOURMET","GOURMET",B113="114 - CAFÉ CONSUMO","CONSUMO",B113="112 - CAFÉ ORGANICO","GOURMET",B113="172 - CAFÉ COSECHA","ESPECIALES",B113="176 - CAFE DESCAFEINADO","GOURMET",B113="147 - CAPSULAS","CAPSULAS",B113="130 - GALLETAS CAFECITAS","DERIVADOS",B113="140 - MERENGUES","DERIVADOS",B113="100 - CAFÉ ESPECIAL","ESPECIALES",B113="141 - AREQUIPE","DERIVADOS",B113="142 - MERMELADA","DERIVADOS",B113="131 - GALLETAS AVENA","DERIVADOS",B113="160 - SOUVENIR","OTROS",B113="148 - CARAMELOS","DERIVADOS",B113="143 - CHOCOFFES","DERIVADOS",B113="162 - CONVENIOS Y DSC POS ","OTROS"),"OTROS")</f>
        <v>OTROS</v>
      </c>
      <c r="L113" s="27">
        <f t="shared" si="13"/>
        <v>256662347</v>
      </c>
      <c r="M113" s="27">
        <f t="shared" si="14"/>
        <v>256662347</v>
      </c>
    </row>
    <row r="114" spans="1:13" ht="16.5" hidden="1" outlineLevel="1">
      <c r="A114" s="38"/>
      <c r="B114" s="39" t="s">
        <v>19</v>
      </c>
      <c r="C114" s="36">
        <v>0</v>
      </c>
      <c r="D114" s="36">
        <v>0</v>
      </c>
      <c r="E114" s="36">
        <v>0</v>
      </c>
      <c r="F114" s="36">
        <v>397872.45</v>
      </c>
      <c r="G114" s="37">
        <f t="shared" si="11"/>
        <v>0</v>
      </c>
      <c r="H114" s="23">
        <f t="shared" si="12"/>
        <v>0</v>
      </c>
      <c r="I114" s="24">
        <f t="shared" si="12"/>
        <v>0</v>
      </c>
      <c r="J114" s="32" t="str" cm="1">
        <f t="array" ref="J114">IFERROR(_xlfn.IFS(B114="044 - BLEND TRADICION","BLEND",B114="113 - CAFÉ GOURMET","GOURMET",B114="114 - CAFÉ CONSUMO","CONSUMO",B114="112 - CAFÉ ORGANICO","GOURMET",B114="172 - CAFÉ COSECHA","ESPECIALES",B114="176 - CAFE DESCAFEINADO","GOURMET",B114="147 - CAPSULAS","CAPSULAS",B114="130 - GALLETAS CAFECITAS","DERIVADOS",B114="140 - MERENGUES","DERIVADOS",B114="100 - CAFÉ ESPECIAL","ESPECIALES",B114="141 - AREQUIPE","DERIVADOS",B114="142 - MERMELADA","DERIVADOS",B114="131 - GALLETAS AVENA","DERIVADOS",B114="160 - SOUVENIR","OTROS",B114="148 - CARAMELOS","DERIVADOS",B114="143 - CHOCOFFES","DERIVADOS",B114="162 - CONVENIOS Y DSC POS ","OTROS"),"OTROS")</f>
        <v>ESPECIALES</v>
      </c>
      <c r="L114" s="27">
        <f t="shared" si="13"/>
        <v>0</v>
      </c>
      <c r="M114" s="27">
        <f t="shared" si="14"/>
        <v>0</v>
      </c>
    </row>
    <row r="115" spans="1:13" ht="16.5" hidden="1" outlineLevel="1">
      <c r="A115" s="38"/>
      <c r="B115" s="39" t="s">
        <v>20</v>
      </c>
      <c r="C115" s="36">
        <v>0</v>
      </c>
      <c r="D115" s="36">
        <v>0</v>
      </c>
      <c r="E115" s="36"/>
      <c r="F115" s="36">
        <v>550199.43000000005</v>
      </c>
      <c r="G115" s="37">
        <f t="shared" si="11"/>
        <v>0</v>
      </c>
      <c r="H115" s="23">
        <f t="shared" si="12"/>
        <v>0</v>
      </c>
      <c r="I115" s="24">
        <f t="shared" si="12"/>
        <v>0</v>
      </c>
      <c r="J115" s="32" t="str" cm="1">
        <f t="array" ref="J115">IFERROR(_xlfn.IFS(B115="044 - BLEND TRADICION","BLEND",B115="113 - CAFÉ GOURMET","GOURMET",B115="114 - CAFÉ CONSUMO","CONSUMO",B115="112 - CAFÉ ORGANICO","GOURMET",B115="172 - CAFÉ COSECHA","ESPECIALES",B115="176 - CAFE DESCAFEINADO","GOURMET",B115="147 - CAPSULAS","CAPSULAS",B115="130 - GALLETAS CAFECITAS","DERIVADOS",B115="140 - MERENGUES","DERIVADOS",B115="100 - CAFÉ ESPECIAL","ESPECIALES",B115="141 - AREQUIPE","DERIVADOS",B115="142 - MERMELADA","DERIVADOS",B115="131 - GALLETAS AVENA","DERIVADOS",B115="160 - SOUVENIR","OTROS",B115="148 - CARAMELOS","DERIVADOS",B115="143 - CHOCOFFES","DERIVADOS",B115="162 - CONVENIOS Y DSC POS ","OTROS"),"OTROS")</f>
        <v>GOURMET</v>
      </c>
      <c r="L115" s="27">
        <f t="shared" si="13"/>
        <v>0</v>
      </c>
      <c r="M115" s="27">
        <f t="shared" si="14"/>
        <v>0</v>
      </c>
    </row>
    <row r="116" spans="1:13" ht="16.5" hidden="1" outlineLevel="1">
      <c r="A116" s="38"/>
      <c r="B116" s="39" t="s">
        <v>21</v>
      </c>
      <c r="C116" s="36">
        <v>0</v>
      </c>
      <c r="D116" s="36">
        <v>0</v>
      </c>
      <c r="E116" s="36"/>
      <c r="F116" s="36">
        <v>1226924.78</v>
      </c>
      <c r="G116" s="37">
        <f t="shared" si="11"/>
        <v>0</v>
      </c>
      <c r="H116" s="23">
        <f t="shared" si="12"/>
        <v>0</v>
      </c>
      <c r="I116" s="24">
        <f t="shared" si="12"/>
        <v>0</v>
      </c>
      <c r="J116" s="32" t="str" cm="1">
        <f t="array" ref="J116">IFERROR(_xlfn.IFS(B116="044 - BLEND TRADICION","BLEND",B116="113 - CAFÉ GOURMET","GOURMET",B116="114 - CAFÉ CONSUMO","CONSUMO",B116="112 - CAFÉ ORGANICO","GOURMET",B116="172 - CAFÉ COSECHA","ESPECIALES",B116="176 - CAFE DESCAFEINADO","GOURMET",B116="147 - CAPSULAS","CAPSULAS",B116="130 - GALLETAS CAFECITAS","DERIVADOS",B116="140 - MERENGUES","DERIVADOS",B116="100 - CAFÉ ESPECIAL","ESPECIALES",B116="141 - AREQUIPE","DERIVADOS",B116="142 - MERMELADA","DERIVADOS",B116="131 - GALLETAS AVENA","DERIVADOS",B116="160 - SOUVENIR","OTROS",B116="148 - CARAMELOS","DERIVADOS",B116="143 - CHOCOFFES","DERIVADOS",B116="162 - CONVENIOS Y DSC POS ","OTROS"),"OTROS")</f>
        <v>GOURMET</v>
      </c>
      <c r="L116" s="27">
        <f t="shared" si="13"/>
        <v>0</v>
      </c>
      <c r="M116" s="27">
        <f t="shared" si="14"/>
        <v>0</v>
      </c>
    </row>
    <row r="117" spans="1:13" ht="16.5" hidden="1" outlineLevel="1">
      <c r="A117" s="38"/>
      <c r="B117" s="39" t="s">
        <v>22</v>
      </c>
      <c r="C117" s="36">
        <v>0</v>
      </c>
      <c r="D117" s="36">
        <v>0</v>
      </c>
      <c r="E117" s="36"/>
      <c r="F117" s="36">
        <v>231859.77</v>
      </c>
      <c r="G117" s="37">
        <f t="shared" si="11"/>
        <v>0</v>
      </c>
      <c r="H117" s="23">
        <f t="shared" si="12"/>
        <v>0</v>
      </c>
      <c r="I117" s="24">
        <f t="shared" si="12"/>
        <v>0</v>
      </c>
      <c r="J117" s="32" t="str" cm="1">
        <f t="array" ref="J117">IFERROR(_xlfn.IFS(B117="044 - BLEND TRADICION","BLEND",B117="113 - CAFÉ GOURMET","GOURMET",B117="114 - CAFÉ CONSUMO","CONSUMO",B117="112 - CAFÉ ORGANICO","GOURMET",B117="172 - CAFÉ COSECHA","ESPECIALES",B117="176 - CAFE DESCAFEINADO","GOURMET",B117="147 - CAPSULAS","CAPSULAS",B117="130 - GALLETAS CAFECITAS","DERIVADOS",B117="140 - MERENGUES","DERIVADOS",B117="100 - CAFÉ ESPECIAL","ESPECIALES",B117="141 - AREQUIPE","DERIVADOS",B117="142 - MERMELADA","DERIVADOS",B117="131 - GALLETAS AVENA","DERIVADOS",B117="160 - SOUVENIR","OTROS",B117="148 - CARAMELOS","DERIVADOS",B117="143 - CHOCOFFES","DERIVADOS",B117="162 - CONVENIOS Y DSC POS ","OTROS"),"OTROS")</f>
        <v>DERIVADOS</v>
      </c>
      <c r="L117" s="27">
        <f t="shared" si="13"/>
        <v>0</v>
      </c>
      <c r="M117" s="27">
        <f t="shared" si="14"/>
        <v>0</v>
      </c>
    </row>
    <row r="118" spans="1:13" ht="16.5" hidden="1" outlineLevel="1">
      <c r="A118" s="38"/>
      <c r="B118" s="39" t="s">
        <v>28</v>
      </c>
      <c r="C118" s="36">
        <v>0</v>
      </c>
      <c r="D118" s="36">
        <v>0</v>
      </c>
      <c r="E118" s="36"/>
      <c r="F118" s="36">
        <v>197515.99</v>
      </c>
      <c r="G118" s="37">
        <f t="shared" si="11"/>
        <v>0</v>
      </c>
      <c r="H118" s="23">
        <f t="shared" si="12"/>
        <v>0</v>
      </c>
      <c r="I118" s="24">
        <f t="shared" si="12"/>
        <v>0</v>
      </c>
      <c r="J118" s="32" t="str" cm="1">
        <f t="array" ref="J118">IFERROR(_xlfn.IFS(B118="044 - BLEND TRADICION","BLEND",B118="113 - CAFÉ GOURMET","GOURMET",B118="114 - CAFÉ CONSUMO","CONSUMO",B118="112 - CAFÉ ORGANICO","GOURMET",B118="172 - CAFÉ COSECHA","ESPECIALES",B118="176 - CAFE DESCAFEINADO","GOURMET",B118="147 - CAPSULAS","CAPSULAS",B118="130 - GALLETAS CAFECITAS","DERIVADOS",B118="140 - MERENGUES","DERIVADOS",B118="100 - CAFÉ ESPECIAL","ESPECIALES",B118="141 - AREQUIPE","DERIVADOS",B118="142 - MERMELADA","DERIVADOS",B118="131 - GALLETAS AVENA","DERIVADOS",B118="160 - SOUVENIR","OTROS",B118="148 - CARAMELOS","DERIVADOS",B118="143 - CHOCOFFES","DERIVADOS",B118="162 - CONVENIOS Y DSC POS ","OTROS"),"OTROS")</f>
        <v>OTROS</v>
      </c>
      <c r="L118" s="27">
        <f t="shared" si="13"/>
        <v>0</v>
      </c>
      <c r="M118" s="27">
        <f t="shared" si="14"/>
        <v>0</v>
      </c>
    </row>
    <row r="119" spans="1:13" ht="16.5" hidden="1" outlineLevel="1">
      <c r="A119" s="38"/>
      <c r="B119" s="39" t="s">
        <v>50</v>
      </c>
      <c r="C119" s="36">
        <v>0</v>
      </c>
      <c r="D119" s="36">
        <v>-189774</v>
      </c>
      <c r="E119" s="36"/>
      <c r="F119" s="36">
        <v>0</v>
      </c>
      <c r="G119" s="37" t="str">
        <f t="shared" si="11"/>
        <v>-</v>
      </c>
      <c r="H119" s="23">
        <f t="shared" si="12"/>
        <v>-1</v>
      </c>
      <c r="I119" s="24">
        <f t="shared" si="12"/>
        <v>0</v>
      </c>
      <c r="J119" s="32" t="str" cm="1">
        <f t="array" ref="J119">IFERROR(_xlfn.IFS(B119="044 - BLEND TRADICION","BLEND",B119="113 - CAFÉ GOURMET","GOURMET",B119="114 - CAFÉ CONSUMO","CONSUMO",B119="112 - CAFÉ ORGANICO","GOURMET",B119="172 - CAFÉ COSECHA","ESPECIALES",B119="176 - CAFE DESCAFEINADO","GOURMET",B119="147 - CAPSULAS","CAPSULAS",B119="130 - GALLETAS CAFECITAS","DERIVADOS",B119="140 - MERENGUES","DERIVADOS",B119="100 - CAFÉ ESPECIAL","ESPECIALES",B119="141 - AREQUIPE","DERIVADOS",B119="142 - MERMELADA","DERIVADOS",B119="131 - GALLETAS AVENA","DERIVADOS",B119="160 - SOUVENIR","OTROS",B119="148 - CARAMELOS","DERIVADOS",B119="143 - CHOCOFFES","DERIVADOS",B119="162 - CONVENIOS Y DSC POS ","OTROS"),"OTROS")</f>
        <v>OTROS</v>
      </c>
      <c r="L119" s="27">
        <f t="shared" si="13"/>
        <v>189774</v>
      </c>
      <c r="M119" s="27">
        <f t="shared" si="14"/>
        <v>189774</v>
      </c>
    </row>
    <row r="120" spans="1:13" ht="16.5" hidden="1" outlineLevel="1">
      <c r="A120" s="38"/>
      <c r="B120" s="39" t="s">
        <v>29</v>
      </c>
      <c r="C120" s="36">
        <v>0</v>
      </c>
      <c r="D120" s="36">
        <v>0</v>
      </c>
      <c r="E120" s="36"/>
      <c r="F120" s="36">
        <v>934062.72</v>
      </c>
      <c r="G120" s="37">
        <f t="shared" si="11"/>
        <v>0</v>
      </c>
      <c r="H120" s="23">
        <f t="shared" si="12"/>
        <v>0</v>
      </c>
      <c r="I120" s="24">
        <f t="shared" si="12"/>
        <v>0</v>
      </c>
      <c r="J120" s="32" t="str" cm="1">
        <f t="array" ref="J120">IFERROR(_xlfn.IFS(B120="044 - BLEND TRADICION","BLEND",B120="113 - CAFÉ GOURMET","GOURMET",B120="114 - CAFÉ CONSUMO","CONSUMO",B120="112 - CAFÉ ORGANICO","GOURMET",B120="172 - CAFÉ COSECHA","ESPECIALES",B120="176 - CAFE DESCAFEINADO","GOURMET",B120="147 - CAPSULAS","CAPSULAS",B120="130 - GALLETAS CAFECITAS","DERIVADOS",B120="140 - MERENGUES","DERIVADOS",B120="100 - CAFÉ ESPECIAL","ESPECIALES",B120="141 - AREQUIPE","DERIVADOS",B120="142 - MERMELADA","DERIVADOS",B120="131 - GALLETAS AVENA","DERIVADOS",B120="160 - SOUVENIR","OTROS",B120="148 - CARAMELOS","DERIVADOS",B120="143 - CHOCOFFES","DERIVADOS",B120="162 - CONVENIOS Y DSC POS ","OTROS"),"OTROS")</f>
        <v>ESPECIALES</v>
      </c>
      <c r="L120" s="27">
        <f t="shared" si="13"/>
        <v>0</v>
      </c>
      <c r="M120" s="27">
        <f t="shared" si="14"/>
        <v>0</v>
      </c>
    </row>
    <row r="121" spans="1:13" ht="16.5" hidden="1" outlineLevel="1">
      <c r="A121" s="19" t="s">
        <v>48</v>
      </c>
      <c r="B121" s="56" t="s">
        <v>32</v>
      </c>
      <c r="C121" s="54">
        <f>SUM(C114:C120)</f>
        <v>0</v>
      </c>
      <c r="D121" s="54">
        <f>SUM(D114:D120)</f>
        <v>-189774</v>
      </c>
      <c r="E121" s="54">
        <f>SUM(E114:E120)</f>
        <v>0</v>
      </c>
      <c r="F121" s="54">
        <f>SUM(F114:F120)</f>
        <v>3538435.1399999997</v>
      </c>
      <c r="G121" s="55">
        <f t="shared" si="11"/>
        <v>0</v>
      </c>
      <c r="H121" s="23">
        <f t="shared" si="12"/>
        <v>-1</v>
      </c>
      <c r="I121" s="24">
        <f t="shared" si="12"/>
        <v>0</v>
      </c>
      <c r="J121" s="32" t="str" cm="1">
        <f t="array" ref="J121">IFERROR(_xlfn.IFS(B121="044 - BLEND TRADICION","BLEND",B121="113 - CAFÉ GOURMET","GOURMET",B121="114 - CAFÉ CONSUMO","CONSUMO",B121="112 - CAFÉ ORGANICO","GOURMET",B121="172 - CAFÉ COSECHA","ESPECIALES",B121="176 - CAFE DESCAFEINADO","GOURMET",B121="147 - CAPSULAS","CAPSULAS",B121="130 - GALLETAS CAFECITAS","DERIVADOS",B121="140 - MERENGUES","DERIVADOS",B121="100 - CAFÉ ESPECIAL","ESPECIALES",B121="141 - AREQUIPE","DERIVADOS",B121="142 - MERMELADA","DERIVADOS",B121="131 - GALLETAS AVENA","DERIVADOS",B121="160 - SOUVENIR","OTROS",B121="148 - CARAMELOS","DERIVADOS",B121="143 - CHOCOFFES","DERIVADOS",B121="162 - CONVENIOS Y DSC POS ","OTROS"),"OTROS")</f>
        <v>OTROS</v>
      </c>
      <c r="L121" s="27">
        <f t="shared" si="13"/>
        <v>189774</v>
      </c>
      <c r="M121" s="27">
        <f t="shared" si="14"/>
        <v>189774</v>
      </c>
    </row>
    <row r="122" spans="1:13" ht="16.5" hidden="1" outlineLevel="1">
      <c r="A122" s="33"/>
      <c r="B122" s="39" t="s">
        <v>18</v>
      </c>
      <c r="C122" s="36">
        <v>4064568</v>
      </c>
      <c r="D122" s="36">
        <v>0</v>
      </c>
      <c r="E122" s="36">
        <v>0</v>
      </c>
      <c r="F122" s="36">
        <v>4604527.18</v>
      </c>
      <c r="G122" s="37">
        <f t="shared" si="11"/>
        <v>0.88273298019711122</v>
      </c>
      <c r="H122" s="23">
        <f t="shared" si="12"/>
        <v>0</v>
      </c>
      <c r="I122" s="24">
        <f t="shared" si="12"/>
        <v>0</v>
      </c>
      <c r="J122" s="32" t="str" cm="1">
        <f t="array" ref="J122">IFERROR(_xlfn.IFS(B122="044 - BLEND TRADICION","BLEND",B122="113 - CAFÉ GOURMET","GOURMET",B122="114 - CAFÉ CONSUMO","CONSUMO",B122="112 - CAFÉ ORGANICO","GOURMET",B122="172 - CAFÉ COSECHA","ESPECIALES",B122="176 - CAFE DESCAFEINADO","GOURMET",B122="147 - CAPSULAS","CAPSULAS",B122="130 - GALLETAS CAFECITAS","DERIVADOS",B122="140 - MERENGUES","DERIVADOS",B122="100 - CAFÉ ESPECIAL","ESPECIALES",B122="141 - AREQUIPE","DERIVADOS",B122="142 - MERMELADA","DERIVADOS",B122="131 - GALLETAS AVENA","DERIVADOS",B122="160 - SOUVENIR","OTROS",B122="148 - CARAMELOS","DERIVADOS",B122="143 - CHOCOFFES","DERIVADOS",B122="162 - CONVENIOS Y DSC POS ","OTROS"),"OTROS")</f>
        <v>BLEND</v>
      </c>
      <c r="L122" s="27">
        <f t="shared" si="13"/>
        <v>4064568</v>
      </c>
      <c r="M122" s="27">
        <f t="shared" si="14"/>
        <v>4064568</v>
      </c>
    </row>
    <row r="123" spans="1:13" ht="16.5" hidden="1" outlineLevel="1">
      <c r="A123" s="38"/>
      <c r="B123" s="39" t="s">
        <v>19</v>
      </c>
      <c r="C123" s="36">
        <v>290640</v>
      </c>
      <c r="D123" s="36">
        <v>0</v>
      </c>
      <c r="E123" s="36">
        <v>0</v>
      </c>
      <c r="F123" s="36">
        <v>904271.48</v>
      </c>
      <c r="G123" s="37">
        <f t="shared" si="11"/>
        <v>0.32140790285678367</v>
      </c>
      <c r="H123" s="23">
        <f t="shared" si="12"/>
        <v>0</v>
      </c>
      <c r="I123" s="24">
        <f t="shared" si="12"/>
        <v>0</v>
      </c>
      <c r="J123" s="32" t="str" cm="1">
        <f t="array" ref="J123">IFERROR(_xlfn.IFS(B123="044 - BLEND TRADICION","BLEND",B123="113 - CAFÉ GOURMET","GOURMET",B123="114 - CAFÉ CONSUMO","CONSUMO",B123="112 - CAFÉ ORGANICO","GOURMET",B123="172 - CAFÉ COSECHA","ESPECIALES",B123="176 - CAFE DESCAFEINADO","GOURMET",B123="147 - CAPSULAS","CAPSULAS",B123="130 - GALLETAS CAFECITAS","DERIVADOS",B123="140 - MERENGUES","DERIVADOS",B123="100 - CAFÉ ESPECIAL","ESPECIALES",B123="141 - AREQUIPE","DERIVADOS",B123="142 - MERMELADA","DERIVADOS",B123="131 - GALLETAS AVENA","DERIVADOS",B123="160 - SOUVENIR","OTROS",B123="148 - CARAMELOS","DERIVADOS",B123="143 - CHOCOFFES","DERIVADOS",B123="162 - CONVENIOS Y DSC POS ","OTROS"),"OTROS")</f>
        <v>ESPECIALES</v>
      </c>
      <c r="L123" s="27">
        <f t="shared" si="13"/>
        <v>290640</v>
      </c>
      <c r="M123" s="27">
        <f t="shared" si="14"/>
        <v>290640</v>
      </c>
    </row>
    <row r="124" spans="1:13" ht="16.5" hidden="1" outlineLevel="1">
      <c r="A124" s="38"/>
      <c r="B124" s="39" t="s">
        <v>20</v>
      </c>
      <c r="C124" s="36">
        <v>319902</v>
      </c>
      <c r="D124" s="36">
        <v>0</v>
      </c>
      <c r="E124" s="36">
        <v>0</v>
      </c>
      <c r="F124" s="36">
        <v>1000950.28</v>
      </c>
      <c r="G124" s="37">
        <f t="shared" si="11"/>
        <v>0.31959829213495</v>
      </c>
      <c r="H124" s="23">
        <f t="shared" si="12"/>
        <v>0</v>
      </c>
      <c r="I124" s="24">
        <f t="shared" si="12"/>
        <v>0</v>
      </c>
      <c r="J124" s="32" t="str" cm="1">
        <f t="array" ref="J124">IFERROR(_xlfn.IFS(B124="044 - BLEND TRADICION","BLEND",B124="113 - CAFÉ GOURMET","GOURMET",B124="114 - CAFÉ CONSUMO","CONSUMO",B124="112 - CAFÉ ORGANICO","GOURMET",B124="172 - CAFÉ COSECHA","ESPECIALES",B124="176 - CAFE DESCAFEINADO","GOURMET",B124="147 - CAPSULAS","CAPSULAS",B124="130 - GALLETAS CAFECITAS","DERIVADOS",B124="140 - MERENGUES","DERIVADOS",B124="100 - CAFÉ ESPECIAL","ESPECIALES",B124="141 - AREQUIPE","DERIVADOS",B124="142 - MERMELADA","DERIVADOS",B124="131 - GALLETAS AVENA","DERIVADOS",B124="160 - SOUVENIR","OTROS",B124="148 - CARAMELOS","DERIVADOS",B124="143 - CHOCOFFES","DERIVADOS",B124="162 - CONVENIOS Y DSC POS ","OTROS"),"OTROS")</f>
        <v>GOURMET</v>
      </c>
      <c r="L124" s="27">
        <f t="shared" si="13"/>
        <v>319902</v>
      </c>
      <c r="M124" s="27">
        <f t="shared" si="14"/>
        <v>319902</v>
      </c>
    </row>
    <row r="125" spans="1:13" ht="16.5" hidden="1" outlineLevel="1">
      <c r="A125" s="38"/>
      <c r="B125" s="39" t="s">
        <v>21</v>
      </c>
      <c r="C125" s="36">
        <v>22994556</v>
      </c>
      <c r="D125" s="36">
        <v>-284231</v>
      </c>
      <c r="E125" s="36">
        <v>0</v>
      </c>
      <c r="F125" s="36">
        <v>29634733.52</v>
      </c>
      <c r="G125" s="37">
        <f t="shared" si="11"/>
        <v>0.77593260572028933</v>
      </c>
      <c r="H125" s="23">
        <f t="shared" si="12"/>
        <v>-1.2209871588240401E-2</v>
      </c>
      <c r="I125" s="24">
        <f t="shared" si="12"/>
        <v>0</v>
      </c>
      <c r="J125" s="32" t="str" cm="1">
        <f t="array" ref="J125">IFERROR(_xlfn.IFS(B125="044 - BLEND TRADICION","BLEND",B125="113 - CAFÉ GOURMET","GOURMET",B125="114 - CAFÉ CONSUMO","CONSUMO",B125="112 - CAFÉ ORGANICO","GOURMET",B125="172 - CAFÉ COSECHA","ESPECIALES",B125="176 - CAFE DESCAFEINADO","GOURMET",B125="147 - CAPSULAS","CAPSULAS",B125="130 - GALLETAS CAFECITAS","DERIVADOS",B125="140 - MERENGUES","DERIVADOS",B125="100 - CAFÉ ESPECIAL","ESPECIALES",B125="141 - AREQUIPE","DERIVADOS",B125="142 - MERMELADA","DERIVADOS",B125="131 - GALLETAS AVENA","DERIVADOS",B125="160 - SOUVENIR","OTROS",B125="148 - CARAMELOS","DERIVADOS",B125="143 - CHOCOFFES","DERIVADOS",B125="162 - CONVENIOS Y DSC POS ","OTROS"),"OTROS")</f>
        <v>GOURMET</v>
      </c>
      <c r="L125" s="27">
        <f t="shared" si="13"/>
        <v>23278787</v>
      </c>
      <c r="M125" s="27">
        <f t="shared" si="14"/>
        <v>23278787</v>
      </c>
    </row>
    <row r="126" spans="1:13" ht="16.5" hidden="1" outlineLevel="1">
      <c r="A126" s="38"/>
      <c r="B126" s="39" t="s">
        <v>22</v>
      </c>
      <c r="C126" s="36">
        <v>3975609</v>
      </c>
      <c r="D126" s="36">
        <v>0</v>
      </c>
      <c r="E126" s="36"/>
      <c r="F126" s="36">
        <v>7797334.1100000003</v>
      </c>
      <c r="G126" s="37">
        <f t="shared" si="11"/>
        <v>0.50986772452155449</v>
      </c>
      <c r="H126" s="23">
        <f t="shared" si="12"/>
        <v>0</v>
      </c>
      <c r="I126" s="24">
        <f t="shared" si="12"/>
        <v>0</v>
      </c>
      <c r="J126" s="32" t="str" cm="1">
        <f t="array" ref="J126">IFERROR(_xlfn.IFS(B126="044 - BLEND TRADICION","BLEND",B126="113 - CAFÉ GOURMET","GOURMET",B126="114 - CAFÉ CONSUMO","CONSUMO",B126="112 - CAFÉ ORGANICO","GOURMET",B126="172 - CAFÉ COSECHA","ESPECIALES",B126="176 - CAFE DESCAFEINADO","GOURMET",B126="147 - CAPSULAS","CAPSULAS",B126="130 - GALLETAS CAFECITAS","DERIVADOS",B126="140 - MERENGUES","DERIVADOS",B126="100 - CAFÉ ESPECIAL","ESPECIALES",B126="141 - AREQUIPE","DERIVADOS",B126="142 - MERMELADA","DERIVADOS",B126="131 - GALLETAS AVENA","DERIVADOS",B126="160 - SOUVENIR","OTROS",B126="148 - CARAMELOS","DERIVADOS",B126="143 - CHOCOFFES","DERIVADOS",B126="162 - CONVENIOS Y DSC POS ","OTROS"),"OTROS")</f>
        <v>DERIVADOS</v>
      </c>
      <c r="L126" s="27">
        <f t="shared" si="13"/>
        <v>3975609</v>
      </c>
      <c r="M126" s="27">
        <f t="shared" si="14"/>
        <v>3975609</v>
      </c>
    </row>
    <row r="127" spans="1:13" ht="16.5" hidden="1" outlineLevel="1">
      <c r="A127" s="38"/>
      <c r="B127" s="39" t="s">
        <v>23</v>
      </c>
      <c r="C127" s="36">
        <v>0</v>
      </c>
      <c r="D127" s="36">
        <v>0</v>
      </c>
      <c r="E127" s="36">
        <v>0</v>
      </c>
      <c r="F127" s="36">
        <v>251654.35</v>
      </c>
      <c r="G127" s="37">
        <f t="shared" si="11"/>
        <v>0</v>
      </c>
      <c r="H127" s="23">
        <f t="shared" si="12"/>
        <v>0</v>
      </c>
      <c r="I127" s="24">
        <f t="shared" si="12"/>
        <v>0</v>
      </c>
      <c r="J127" s="32" t="str" cm="1">
        <f t="array" ref="J127">IFERROR(_xlfn.IFS(B127="044 - BLEND TRADICION","BLEND",B127="113 - CAFÉ GOURMET","GOURMET",B127="114 - CAFÉ CONSUMO","CONSUMO",B127="112 - CAFÉ ORGANICO","GOURMET",B127="172 - CAFÉ COSECHA","ESPECIALES",B127="176 - CAFE DESCAFEINADO","GOURMET",B127="147 - CAPSULAS","CAPSULAS",B127="130 - GALLETAS CAFECITAS","DERIVADOS",B127="140 - MERENGUES","DERIVADOS",B127="100 - CAFÉ ESPECIAL","ESPECIALES",B127="141 - AREQUIPE","DERIVADOS",B127="142 - MERMELADA","DERIVADOS",B127="131 - GALLETAS AVENA","DERIVADOS",B127="160 - SOUVENIR","OTROS",B127="148 - CARAMELOS","DERIVADOS",B127="143 - CHOCOFFES","DERIVADOS",B127="162 - CONVENIOS Y DSC POS ","OTROS"),"OTROS")</f>
        <v>DERIVADOS</v>
      </c>
      <c r="L127" s="27">
        <f t="shared" si="13"/>
        <v>0</v>
      </c>
      <c r="M127" s="27">
        <f t="shared" si="14"/>
        <v>0</v>
      </c>
    </row>
    <row r="128" spans="1:13" ht="16.5" hidden="1" outlineLevel="1">
      <c r="A128" s="38"/>
      <c r="B128" s="39" t="s">
        <v>24</v>
      </c>
      <c r="C128" s="36">
        <v>177812</v>
      </c>
      <c r="D128" s="36">
        <v>0</v>
      </c>
      <c r="E128" s="36">
        <v>0</v>
      </c>
      <c r="F128" s="36">
        <v>965398.25</v>
      </c>
      <c r="G128" s="37">
        <f t="shared" si="11"/>
        <v>0.18418512774391294</v>
      </c>
      <c r="H128" s="23">
        <f t="shared" si="12"/>
        <v>0</v>
      </c>
      <c r="I128" s="24">
        <f t="shared" si="12"/>
        <v>0</v>
      </c>
      <c r="J128" s="32" t="str" cm="1">
        <f t="array" ref="J128">IFERROR(_xlfn.IFS(B128="044 - BLEND TRADICION","BLEND",B128="113 - CAFÉ GOURMET","GOURMET",B128="114 - CAFÉ CONSUMO","CONSUMO",B128="112 - CAFÉ ORGANICO","GOURMET",B128="172 - CAFÉ COSECHA","ESPECIALES",B128="176 - CAFE DESCAFEINADO","GOURMET",B128="147 - CAPSULAS","CAPSULAS",B128="130 - GALLETAS CAFECITAS","DERIVADOS",B128="140 - MERENGUES","DERIVADOS",B128="100 - CAFÉ ESPECIAL","ESPECIALES",B128="141 - AREQUIPE","DERIVADOS",B128="142 - MERMELADA","DERIVADOS",B128="131 - GALLETAS AVENA","DERIVADOS",B128="160 - SOUVENIR","OTROS",B128="148 - CARAMELOS","DERIVADOS",B128="143 - CHOCOFFES","DERIVADOS",B128="162 - CONVENIOS Y DSC POS ","OTROS"),"OTROS")</f>
        <v>DERIVADOS</v>
      </c>
      <c r="L128" s="27">
        <f t="shared" si="13"/>
        <v>177812</v>
      </c>
      <c r="M128" s="27">
        <f t="shared" si="14"/>
        <v>177812</v>
      </c>
    </row>
    <row r="129" spans="1:13" ht="16.5" hidden="1" outlineLevel="1">
      <c r="A129" s="38"/>
      <c r="B129" s="39" t="s">
        <v>25</v>
      </c>
      <c r="C129" s="36">
        <v>2403492</v>
      </c>
      <c r="D129" s="36">
        <v>0</v>
      </c>
      <c r="E129" s="36"/>
      <c r="F129" s="36">
        <v>4939039.0999999996</v>
      </c>
      <c r="G129" s="37">
        <f t="shared" si="11"/>
        <v>0.48663149882737317</v>
      </c>
      <c r="H129" s="23">
        <f t="shared" si="12"/>
        <v>0</v>
      </c>
      <c r="I129" s="24">
        <f t="shared" si="12"/>
        <v>0</v>
      </c>
      <c r="J129" s="32" t="str" cm="1">
        <f t="array" ref="J129">IFERROR(_xlfn.IFS(B129="044 - BLEND TRADICION","BLEND",B129="113 - CAFÉ GOURMET","GOURMET",B129="114 - CAFÉ CONSUMO","CONSUMO",B129="112 - CAFÉ ORGANICO","GOURMET",B129="172 - CAFÉ COSECHA","ESPECIALES",B129="176 - CAFE DESCAFEINADO","GOURMET",B129="147 - CAPSULAS","CAPSULAS",B129="130 - GALLETAS CAFECITAS","DERIVADOS",B129="140 - MERENGUES","DERIVADOS",B129="100 - CAFÉ ESPECIAL","ESPECIALES",B129="141 - AREQUIPE","DERIVADOS",B129="142 - MERMELADA","DERIVADOS",B129="131 - GALLETAS AVENA","DERIVADOS",B129="160 - SOUVENIR","OTROS",B129="148 - CARAMELOS","DERIVADOS",B129="143 - CHOCOFFES","DERIVADOS",B129="162 - CONVENIOS Y DSC POS ","OTROS"),"OTROS")</f>
        <v>DERIVADOS</v>
      </c>
      <c r="L129" s="27">
        <f t="shared" si="13"/>
        <v>2403492</v>
      </c>
      <c r="M129" s="27">
        <f t="shared" si="14"/>
        <v>2403492</v>
      </c>
    </row>
    <row r="130" spans="1:13" ht="16.5" hidden="1" outlineLevel="1">
      <c r="A130" s="38"/>
      <c r="B130" s="39" t="s">
        <v>26</v>
      </c>
      <c r="C130" s="36">
        <v>662371</v>
      </c>
      <c r="D130" s="36">
        <v>0</v>
      </c>
      <c r="E130" s="36"/>
      <c r="F130" s="36">
        <v>1642173.15</v>
      </c>
      <c r="G130" s="37">
        <f t="shared" si="11"/>
        <v>0.4033502800846549</v>
      </c>
      <c r="H130" s="23">
        <f t="shared" si="12"/>
        <v>0</v>
      </c>
      <c r="I130" s="24">
        <f t="shared" si="12"/>
        <v>0</v>
      </c>
      <c r="J130" s="32" t="str" cm="1">
        <f t="array" ref="J130">IFERROR(_xlfn.IFS(B130="044 - BLEND TRADICION","BLEND",B130="113 - CAFÉ GOURMET","GOURMET",B130="114 - CAFÉ CONSUMO","CONSUMO",B130="112 - CAFÉ ORGANICO","GOURMET",B130="172 - CAFÉ COSECHA","ESPECIALES",B130="176 - CAFE DESCAFEINADO","GOURMET",B130="147 - CAPSULAS","CAPSULAS",B130="130 - GALLETAS CAFECITAS","DERIVADOS",B130="140 - MERENGUES","DERIVADOS",B130="100 - CAFÉ ESPECIAL","ESPECIALES",B130="141 - AREQUIPE","DERIVADOS",B130="142 - MERMELADA","DERIVADOS",B130="131 - GALLETAS AVENA","DERIVADOS",B130="160 - SOUVENIR","OTROS",B130="148 - CARAMELOS","DERIVADOS",B130="143 - CHOCOFFES","DERIVADOS",B130="162 - CONVENIOS Y DSC POS ","OTROS"),"OTROS")</f>
        <v>CAPSULAS</v>
      </c>
      <c r="L130" s="27">
        <f t="shared" si="13"/>
        <v>662371</v>
      </c>
      <c r="M130" s="27">
        <f t="shared" si="14"/>
        <v>662371</v>
      </c>
    </row>
    <row r="131" spans="1:13" ht="16.5" hidden="1" outlineLevel="1">
      <c r="A131" s="38"/>
      <c r="B131" s="39" t="s">
        <v>27</v>
      </c>
      <c r="C131" s="36">
        <v>2262688</v>
      </c>
      <c r="D131" s="36">
        <v>0</v>
      </c>
      <c r="E131" s="36"/>
      <c r="F131" s="36">
        <v>3108561.46</v>
      </c>
      <c r="G131" s="37">
        <f t="shared" si="11"/>
        <v>0.72788909890171516</v>
      </c>
      <c r="H131" s="23">
        <f t="shared" si="12"/>
        <v>0</v>
      </c>
      <c r="I131" s="24">
        <f t="shared" si="12"/>
        <v>0</v>
      </c>
      <c r="J131" s="32" t="str" cm="1">
        <f t="array" ref="J131">IFERROR(_xlfn.IFS(B131="044 - BLEND TRADICION","BLEND",B131="113 - CAFÉ GOURMET","GOURMET",B131="114 - CAFÉ CONSUMO","CONSUMO",B131="112 - CAFÉ ORGANICO","GOURMET",B131="172 - CAFÉ COSECHA","ESPECIALES",B131="176 - CAFE DESCAFEINADO","GOURMET",B131="147 - CAPSULAS","CAPSULAS",B131="130 - GALLETAS CAFECITAS","DERIVADOS",B131="140 - MERENGUES","DERIVADOS",B131="100 - CAFÉ ESPECIAL","ESPECIALES",B131="141 - AREQUIPE","DERIVADOS",B131="142 - MERMELADA","DERIVADOS",B131="131 - GALLETAS AVENA","DERIVADOS",B131="160 - SOUVENIR","OTROS",B131="148 - CARAMELOS","DERIVADOS",B131="143 - CHOCOFFES","DERIVADOS",B131="162 - CONVENIOS Y DSC POS ","OTROS"),"OTROS")</f>
        <v>DERIVADOS</v>
      </c>
      <c r="L131" s="27">
        <f t="shared" si="13"/>
        <v>2262688</v>
      </c>
      <c r="M131" s="27">
        <f t="shared" si="14"/>
        <v>2262688</v>
      </c>
    </row>
    <row r="132" spans="1:13" ht="16.5" hidden="1" outlineLevel="1">
      <c r="A132" s="38"/>
      <c r="B132" s="39" t="s">
        <v>28</v>
      </c>
      <c r="C132" s="36">
        <v>105839</v>
      </c>
      <c r="D132" s="36">
        <v>0</v>
      </c>
      <c r="E132" s="36">
        <v>0</v>
      </c>
      <c r="F132" s="36">
        <v>1929397.03</v>
      </c>
      <c r="G132" s="37">
        <f t="shared" si="11"/>
        <v>5.4855998197530134E-2</v>
      </c>
      <c r="H132" s="23">
        <f t="shared" si="12"/>
        <v>0</v>
      </c>
      <c r="I132" s="24">
        <f t="shared" si="12"/>
        <v>0</v>
      </c>
      <c r="J132" s="32" t="str" cm="1">
        <f t="array" ref="J132">IFERROR(_xlfn.IFS(B132="044 - BLEND TRADICION","BLEND",B132="113 - CAFÉ GOURMET","GOURMET",B132="114 - CAFÉ CONSUMO","CONSUMO",B132="112 - CAFÉ ORGANICO","GOURMET",B132="172 - CAFÉ COSECHA","ESPECIALES",B132="176 - CAFE DESCAFEINADO","GOURMET",B132="147 - CAPSULAS","CAPSULAS",B132="130 - GALLETAS CAFECITAS","DERIVADOS",B132="140 - MERENGUES","DERIVADOS",B132="100 - CAFÉ ESPECIAL","ESPECIALES",B132="141 - AREQUIPE","DERIVADOS",B132="142 - MERMELADA","DERIVADOS",B132="131 - GALLETAS AVENA","DERIVADOS",B132="160 - SOUVENIR","OTROS",B132="148 - CARAMELOS","DERIVADOS",B132="143 - CHOCOFFES","DERIVADOS",B132="162 - CONVENIOS Y DSC POS ","OTROS"),"OTROS")</f>
        <v>OTROS</v>
      </c>
      <c r="L132" s="27">
        <f t="shared" si="13"/>
        <v>105839</v>
      </c>
      <c r="M132" s="27">
        <f t="shared" si="14"/>
        <v>105839</v>
      </c>
    </row>
    <row r="133" spans="1:13" ht="16.5" hidden="1" outlineLevel="1">
      <c r="A133" s="38"/>
      <c r="B133" s="39" t="s">
        <v>29</v>
      </c>
      <c r="C133" s="36">
        <v>127352</v>
      </c>
      <c r="D133" s="36">
        <v>0</v>
      </c>
      <c r="E133" s="36"/>
      <c r="F133" s="36">
        <v>2019776.56</v>
      </c>
      <c r="G133" s="37">
        <f t="shared" si="11"/>
        <v>6.3052519037056262E-2</v>
      </c>
      <c r="H133" s="23">
        <f t="shared" si="12"/>
        <v>0</v>
      </c>
      <c r="I133" s="24">
        <f t="shared" si="12"/>
        <v>0</v>
      </c>
      <c r="J133" s="32" t="str" cm="1">
        <f t="array" ref="J133">IFERROR(_xlfn.IFS(B133="044 - BLEND TRADICION","BLEND",B133="113 - CAFÉ GOURMET","GOURMET",B133="114 - CAFÉ CONSUMO","CONSUMO",B133="112 - CAFÉ ORGANICO","GOURMET",B133="172 - CAFÉ COSECHA","ESPECIALES",B133="176 - CAFE DESCAFEINADO","GOURMET",B133="147 - CAPSULAS","CAPSULAS",B133="130 - GALLETAS CAFECITAS","DERIVADOS",B133="140 - MERENGUES","DERIVADOS",B133="100 - CAFÉ ESPECIAL","ESPECIALES",B133="141 - AREQUIPE","DERIVADOS",B133="142 - MERMELADA","DERIVADOS",B133="131 - GALLETAS AVENA","DERIVADOS",B133="160 - SOUVENIR","OTROS",B133="148 - CARAMELOS","DERIVADOS",B133="143 - CHOCOFFES","DERIVADOS",B133="162 - CONVENIOS Y DSC POS ","OTROS"),"OTROS")</f>
        <v>ESPECIALES</v>
      </c>
      <c r="L133" s="27">
        <f t="shared" si="13"/>
        <v>127352</v>
      </c>
      <c r="M133" s="27">
        <f t="shared" si="14"/>
        <v>127352</v>
      </c>
    </row>
    <row r="134" spans="1:13" ht="16.5" hidden="1" outlineLevel="1">
      <c r="A134" s="38"/>
      <c r="B134" s="39" t="s">
        <v>30</v>
      </c>
      <c r="C134" s="36">
        <v>0</v>
      </c>
      <c r="D134" s="36">
        <v>0</v>
      </c>
      <c r="E134" s="36">
        <v>0</v>
      </c>
      <c r="F134" s="36">
        <v>75457.58</v>
      </c>
      <c r="G134" s="37">
        <f t="shared" si="11"/>
        <v>0</v>
      </c>
      <c r="H134" s="23">
        <f t="shared" si="12"/>
        <v>0</v>
      </c>
      <c r="I134" s="24">
        <f t="shared" si="12"/>
        <v>0</v>
      </c>
      <c r="J134" s="32" t="str" cm="1">
        <f t="array" ref="J134">IFERROR(_xlfn.IFS(B134="044 - BLEND TRADICION","BLEND",B134="113 - CAFÉ GOURMET","GOURMET",B134="114 - CAFÉ CONSUMO","CONSUMO",B134="112 - CAFÉ ORGANICO","GOURMET",B134="172 - CAFÉ COSECHA","ESPECIALES",B134="176 - CAFE DESCAFEINADO","GOURMET",B134="147 - CAPSULAS","CAPSULAS",B134="130 - GALLETAS CAFECITAS","DERIVADOS",B134="140 - MERENGUES","DERIVADOS",B134="100 - CAFÉ ESPECIAL","ESPECIALES",B134="141 - AREQUIPE","DERIVADOS",B134="142 - MERMELADA","DERIVADOS",B134="131 - GALLETAS AVENA","DERIVADOS",B134="160 - SOUVENIR","OTROS",B134="148 - CARAMELOS","DERIVADOS",B134="143 - CHOCOFFES","DERIVADOS",B134="162 - CONVENIOS Y DSC POS ","OTROS"),"OTROS")</f>
        <v>GOURMET</v>
      </c>
      <c r="L134" s="27">
        <f t="shared" si="13"/>
        <v>0</v>
      </c>
      <c r="M134" s="27">
        <f t="shared" si="14"/>
        <v>0</v>
      </c>
    </row>
    <row r="135" spans="1:13" ht="16.5" hidden="1" outlineLevel="1">
      <c r="A135" s="19" t="s">
        <v>49</v>
      </c>
      <c r="B135" s="56" t="s">
        <v>32</v>
      </c>
      <c r="C135" s="54">
        <f>SUM(C122:C134)</f>
        <v>37384829</v>
      </c>
      <c r="D135" s="54">
        <f>SUM(D122:D134)</f>
        <v>-284231</v>
      </c>
      <c r="E135" s="54">
        <f>SUM(E122:E134)</f>
        <v>0</v>
      </c>
      <c r="F135" s="58">
        <f>SUM(F122:F134)</f>
        <v>58873274.050000004</v>
      </c>
      <c r="G135" s="55">
        <f t="shared" si="11"/>
        <v>0.63500509532134641</v>
      </c>
      <c r="H135" s="23">
        <f t="shared" si="12"/>
        <v>-7.5454763139828811E-3</v>
      </c>
      <c r="I135" s="24">
        <f t="shared" si="12"/>
        <v>0</v>
      </c>
      <c r="J135" s="32" t="str" cm="1">
        <f t="array" ref="J135">IFERROR(_xlfn.IFS(B135="044 - BLEND TRADICION","BLEND",B135="113 - CAFÉ GOURMET","GOURMET",B135="114 - CAFÉ CONSUMO","CONSUMO",B135="112 - CAFÉ ORGANICO","GOURMET",B135="172 - CAFÉ COSECHA","ESPECIALES",B135="176 - CAFE DESCAFEINADO","GOURMET",B135="147 - CAPSULAS","CAPSULAS",B135="130 - GALLETAS CAFECITAS","DERIVADOS",B135="140 - MERENGUES","DERIVADOS",B135="100 - CAFÉ ESPECIAL","ESPECIALES",B135="141 - AREQUIPE","DERIVADOS",B135="142 - MERMELADA","DERIVADOS",B135="131 - GALLETAS AVENA","DERIVADOS",B135="160 - SOUVENIR","OTROS",B135="148 - CARAMELOS","DERIVADOS",B135="143 - CHOCOFFES","DERIVADOS",B135="162 - CONVENIOS Y DSC POS ","OTROS"),"OTROS")</f>
        <v>OTROS</v>
      </c>
      <c r="L135" s="27">
        <f t="shared" si="13"/>
        <v>37669060</v>
      </c>
      <c r="M135" s="27">
        <f t="shared" si="14"/>
        <v>37669060</v>
      </c>
    </row>
    <row r="136" spans="1:13" ht="16.5" hidden="1" outlineLevel="1">
      <c r="A136" s="33"/>
      <c r="B136" s="39" t="s">
        <v>18</v>
      </c>
      <c r="C136" s="36">
        <v>1799520</v>
      </c>
      <c r="D136" s="36">
        <v>0</v>
      </c>
      <c r="E136" s="36"/>
      <c r="F136" s="36">
        <v>5334403.3099999996</v>
      </c>
      <c r="G136" s="37">
        <f t="shared" si="11"/>
        <v>0.33734232217248683</v>
      </c>
      <c r="H136" s="23">
        <f t="shared" si="12"/>
        <v>0</v>
      </c>
      <c r="I136" s="24">
        <f t="shared" si="12"/>
        <v>0</v>
      </c>
      <c r="J136" s="32" t="str" cm="1">
        <f t="array" ref="J136">IFERROR(_xlfn.IFS(B136="044 - BLEND TRADICION","BLEND",B136="113 - CAFÉ GOURMET","GOURMET",B136="114 - CAFÉ CONSUMO","CONSUMO",B136="112 - CAFÉ ORGANICO","GOURMET",B136="172 - CAFÉ COSECHA","ESPECIALES",B136="176 - CAFE DESCAFEINADO","GOURMET",B136="147 - CAPSULAS","CAPSULAS",B136="130 - GALLETAS CAFECITAS","DERIVADOS",B136="140 - MERENGUES","DERIVADOS",B136="100 - CAFÉ ESPECIAL","ESPECIALES",B136="141 - AREQUIPE","DERIVADOS",B136="142 - MERMELADA","DERIVADOS",B136="131 - GALLETAS AVENA","DERIVADOS",B136="160 - SOUVENIR","OTROS",B136="148 - CARAMELOS","DERIVADOS",B136="143 - CHOCOFFES","DERIVADOS",B136="162 - CONVENIOS Y DSC POS ","OTROS"),"OTROS")</f>
        <v>BLEND</v>
      </c>
      <c r="L136" s="27">
        <f t="shared" si="13"/>
        <v>1799520</v>
      </c>
      <c r="M136" s="27">
        <f t="shared" si="14"/>
        <v>1799520</v>
      </c>
    </row>
    <row r="137" spans="1:13" ht="16.5" hidden="1" outlineLevel="1">
      <c r="A137" s="38"/>
      <c r="B137" s="39" t="s">
        <v>19</v>
      </c>
      <c r="C137" s="36">
        <v>0</v>
      </c>
      <c r="D137" s="36">
        <v>0</v>
      </c>
      <c r="E137" s="36"/>
      <c r="F137" s="36">
        <v>1332928.3500000001</v>
      </c>
      <c r="G137" s="37">
        <f t="shared" si="11"/>
        <v>0</v>
      </c>
      <c r="H137" s="23">
        <f t="shared" si="12"/>
        <v>0</v>
      </c>
      <c r="I137" s="24">
        <f t="shared" si="12"/>
        <v>0</v>
      </c>
      <c r="J137" s="32" t="str" cm="1">
        <f t="array" ref="J137">IFERROR(_xlfn.IFS(B137="044 - BLEND TRADICION","BLEND",B137="113 - CAFÉ GOURMET","GOURMET",B137="114 - CAFÉ CONSUMO","CONSUMO",B137="112 - CAFÉ ORGANICO","GOURMET",B137="172 - CAFÉ COSECHA","ESPECIALES",B137="176 - CAFE DESCAFEINADO","GOURMET",B137="147 - CAPSULAS","CAPSULAS",B137="130 - GALLETAS CAFECITAS","DERIVADOS",B137="140 - MERENGUES","DERIVADOS",B137="100 - CAFÉ ESPECIAL","ESPECIALES",B137="141 - AREQUIPE","DERIVADOS",B137="142 - MERMELADA","DERIVADOS",B137="131 - GALLETAS AVENA","DERIVADOS",B137="160 - SOUVENIR","OTROS",B137="148 - CARAMELOS","DERIVADOS",B137="143 - CHOCOFFES","DERIVADOS",B137="162 - CONVENIOS Y DSC POS ","OTROS"),"OTROS")</f>
        <v>ESPECIALES</v>
      </c>
      <c r="L137" s="27">
        <f t="shared" si="13"/>
        <v>0</v>
      </c>
      <c r="M137" s="27">
        <f t="shared" si="14"/>
        <v>0</v>
      </c>
    </row>
    <row r="138" spans="1:13" ht="16.5" hidden="1" outlineLevel="1">
      <c r="A138" s="38"/>
      <c r="B138" s="39" t="s">
        <v>20</v>
      </c>
      <c r="C138" s="36">
        <v>1247611</v>
      </c>
      <c r="D138" s="36">
        <v>0</v>
      </c>
      <c r="E138" s="36"/>
      <c r="F138" s="36">
        <v>1484611.46</v>
      </c>
      <c r="G138" s="37">
        <f>IFERROR(C138/F138*100%,"-")</f>
        <v>0.84036196244908412</v>
      </c>
      <c r="H138" s="23">
        <f t="shared" si="12"/>
        <v>0</v>
      </c>
      <c r="I138" s="24">
        <f t="shared" si="12"/>
        <v>0</v>
      </c>
      <c r="J138" s="32" t="str" cm="1">
        <f t="array" ref="J138">IFERROR(_xlfn.IFS(B138="044 - BLEND TRADICION","BLEND",B138="113 - CAFÉ GOURMET","GOURMET",B138="114 - CAFÉ CONSUMO","CONSUMO",B138="112 - CAFÉ ORGANICO","GOURMET",B138="172 - CAFÉ COSECHA","ESPECIALES",B138="176 - CAFE DESCAFEINADO","GOURMET",B138="147 - CAPSULAS","CAPSULAS",B138="130 - GALLETAS CAFECITAS","DERIVADOS",B138="140 - MERENGUES","DERIVADOS",B138="100 - CAFÉ ESPECIAL","ESPECIALES",B138="141 - AREQUIPE","DERIVADOS",B138="142 - MERMELADA","DERIVADOS",B138="131 - GALLETAS AVENA","DERIVADOS",B138="160 - SOUVENIR","OTROS",B138="148 - CARAMELOS","DERIVADOS",B138="143 - CHOCOFFES","DERIVADOS",B138="162 - CONVENIOS Y DSC POS ","OTROS"),"OTROS")</f>
        <v>GOURMET</v>
      </c>
      <c r="L138" s="27">
        <f t="shared" si="13"/>
        <v>1247611</v>
      </c>
      <c r="M138" s="27">
        <f t="shared" si="14"/>
        <v>1247611</v>
      </c>
    </row>
    <row r="139" spans="1:13" ht="16.5" hidden="1" outlineLevel="1">
      <c r="A139" s="38"/>
      <c r="B139" s="39" t="s">
        <v>21</v>
      </c>
      <c r="C139" s="36">
        <v>24477684</v>
      </c>
      <c r="D139" s="36">
        <v>0</v>
      </c>
      <c r="E139" s="36"/>
      <c r="F139" s="36">
        <v>49968995.509999998</v>
      </c>
      <c r="G139" s="37">
        <f t="shared" ref="G139:G149" si="15">IFERROR(C139/F139*100%,"-")</f>
        <v>0.48985743559926931</v>
      </c>
      <c r="H139" s="23">
        <f t="shared" si="12"/>
        <v>0</v>
      </c>
      <c r="I139" s="24">
        <f t="shared" si="12"/>
        <v>0</v>
      </c>
      <c r="J139" s="32" t="str" cm="1">
        <f t="array" ref="J139">IFERROR(_xlfn.IFS(B139="044 - BLEND TRADICION","BLEND",B139="113 - CAFÉ GOURMET","GOURMET",B139="114 - CAFÉ CONSUMO","CONSUMO",B139="112 - CAFÉ ORGANICO","GOURMET",B139="172 - CAFÉ COSECHA","ESPECIALES",B139="176 - CAFE DESCAFEINADO","GOURMET",B139="147 - CAPSULAS","CAPSULAS",B139="130 - GALLETAS CAFECITAS","DERIVADOS",B139="140 - MERENGUES","DERIVADOS",B139="100 - CAFÉ ESPECIAL","ESPECIALES",B139="141 - AREQUIPE","DERIVADOS",B139="142 - MERMELADA","DERIVADOS",B139="131 - GALLETAS AVENA","DERIVADOS",B139="160 - SOUVENIR","OTROS",B139="148 - CARAMELOS","DERIVADOS",B139="143 - CHOCOFFES","DERIVADOS",B139="162 - CONVENIOS Y DSC POS ","OTROS"),"OTROS")</f>
        <v>GOURMET</v>
      </c>
      <c r="L139" s="27">
        <f t="shared" si="13"/>
        <v>24477684</v>
      </c>
      <c r="M139" s="27">
        <f t="shared" si="14"/>
        <v>24477684</v>
      </c>
    </row>
    <row r="140" spans="1:13" ht="16.5" hidden="1" outlineLevel="1">
      <c r="A140" s="38"/>
      <c r="B140" s="39" t="s">
        <v>22</v>
      </c>
      <c r="C140" s="36">
        <v>2660977</v>
      </c>
      <c r="D140" s="36">
        <v>0</v>
      </c>
      <c r="E140" s="36"/>
      <c r="F140" s="36">
        <v>9961569.3200000003</v>
      </c>
      <c r="G140" s="37">
        <f t="shared" si="15"/>
        <v>0.26712427676003964</v>
      </c>
      <c r="H140" s="23">
        <f t="shared" si="12"/>
        <v>0</v>
      </c>
      <c r="I140" s="24">
        <f t="shared" si="12"/>
        <v>0</v>
      </c>
      <c r="J140" s="32" t="str" cm="1">
        <f t="array" ref="J140">IFERROR(_xlfn.IFS(B140="044 - BLEND TRADICION","BLEND",B140="113 - CAFÉ GOURMET","GOURMET",B140="114 - CAFÉ CONSUMO","CONSUMO",B140="112 - CAFÉ ORGANICO","GOURMET",B140="172 - CAFÉ COSECHA","ESPECIALES",B140="176 - CAFE DESCAFEINADO","GOURMET",B140="147 - CAPSULAS","CAPSULAS",B140="130 - GALLETAS CAFECITAS","DERIVADOS",B140="140 - MERENGUES","DERIVADOS",B140="100 - CAFÉ ESPECIAL","ESPECIALES",B140="141 - AREQUIPE","DERIVADOS",B140="142 - MERMELADA","DERIVADOS",B140="131 - GALLETAS AVENA","DERIVADOS",B140="160 - SOUVENIR","OTROS",B140="148 - CARAMELOS","DERIVADOS",B140="143 - CHOCOFFES","DERIVADOS",B140="162 - CONVENIOS Y DSC POS ","OTROS"),"OTROS")</f>
        <v>DERIVADOS</v>
      </c>
      <c r="L140" s="27">
        <f t="shared" si="13"/>
        <v>2660977</v>
      </c>
      <c r="M140" s="27">
        <f t="shared" si="14"/>
        <v>2660977</v>
      </c>
    </row>
    <row r="141" spans="1:13" ht="16.5" hidden="1" outlineLevel="1">
      <c r="A141" s="38"/>
      <c r="B141" s="39" t="s">
        <v>23</v>
      </c>
      <c r="C141" s="36">
        <v>0</v>
      </c>
      <c r="D141" s="36">
        <v>0</v>
      </c>
      <c r="E141" s="36"/>
      <c r="F141" s="36">
        <v>11794.96</v>
      </c>
      <c r="G141" s="37">
        <f t="shared" si="15"/>
        <v>0</v>
      </c>
      <c r="H141" s="23">
        <f t="shared" si="12"/>
        <v>0</v>
      </c>
      <c r="I141" s="24">
        <f t="shared" si="12"/>
        <v>0</v>
      </c>
      <c r="J141" s="32" t="str" cm="1">
        <f t="array" ref="J141">IFERROR(_xlfn.IFS(B141="044 - BLEND TRADICION","BLEND",B141="113 - CAFÉ GOURMET","GOURMET",B141="114 - CAFÉ CONSUMO","CONSUMO",B141="112 - CAFÉ ORGANICO","GOURMET",B141="172 - CAFÉ COSECHA","ESPECIALES",B141="176 - CAFE DESCAFEINADO","GOURMET",B141="147 - CAPSULAS","CAPSULAS",B141="130 - GALLETAS CAFECITAS","DERIVADOS",B141="140 - MERENGUES","DERIVADOS",B141="100 - CAFÉ ESPECIAL","ESPECIALES",B141="141 - AREQUIPE","DERIVADOS",B141="142 - MERMELADA","DERIVADOS",B141="131 - GALLETAS AVENA","DERIVADOS",B141="160 - SOUVENIR","OTROS",B141="148 - CARAMELOS","DERIVADOS",B141="143 - CHOCOFFES","DERIVADOS",B141="162 - CONVENIOS Y DSC POS ","OTROS"),"OTROS")</f>
        <v>DERIVADOS</v>
      </c>
      <c r="L141" s="27">
        <f t="shared" si="13"/>
        <v>0</v>
      </c>
      <c r="M141" s="27">
        <f t="shared" si="14"/>
        <v>0</v>
      </c>
    </row>
    <row r="142" spans="1:13" ht="16.5" hidden="1" outlineLevel="1">
      <c r="A142" s="38"/>
      <c r="B142" s="39" t="s">
        <v>24</v>
      </c>
      <c r="C142" s="36">
        <v>172459</v>
      </c>
      <c r="D142" s="36">
        <v>0</v>
      </c>
      <c r="E142" s="36"/>
      <c r="F142" s="36">
        <v>854376.78</v>
      </c>
      <c r="G142" s="37">
        <f t="shared" si="15"/>
        <v>0.20185356629191162</v>
      </c>
      <c r="H142" s="23">
        <f t="shared" si="12"/>
        <v>0</v>
      </c>
      <c r="I142" s="24">
        <f t="shared" si="12"/>
        <v>0</v>
      </c>
      <c r="J142" s="32" t="str" cm="1">
        <f t="array" ref="J142">IFERROR(_xlfn.IFS(B142="044 - BLEND TRADICION","BLEND",B142="113 - CAFÉ GOURMET","GOURMET",B142="114 - CAFÉ CONSUMO","CONSUMO",B142="112 - CAFÉ ORGANICO","GOURMET",B142="172 - CAFÉ COSECHA","ESPECIALES",B142="176 - CAFE DESCAFEINADO","GOURMET",B142="147 - CAPSULAS","CAPSULAS",B142="130 - GALLETAS CAFECITAS","DERIVADOS",B142="140 - MERENGUES","DERIVADOS",B142="100 - CAFÉ ESPECIAL","ESPECIALES",B142="141 - AREQUIPE","DERIVADOS",B142="142 - MERMELADA","DERIVADOS",B142="131 - GALLETAS AVENA","DERIVADOS",B142="160 - SOUVENIR","OTROS",B142="148 - CARAMELOS","DERIVADOS",B142="143 - CHOCOFFES","DERIVADOS",B142="162 - CONVENIOS Y DSC POS ","OTROS"),"OTROS")</f>
        <v>DERIVADOS</v>
      </c>
      <c r="L142" s="27">
        <f t="shared" si="13"/>
        <v>172459</v>
      </c>
      <c r="M142" s="27">
        <f t="shared" si="14"/>
        <v>172459</v>
      </c>
    </row>
    <row r="143" spans="1:13" ht="16.5" hidden="1" outlineLevel="1">
      <c r="A143" s="38"/>
      <c r="B143" s="39" t="s">
        <v>25</v>
      </c>
      <c r="C143" s="36">
        <v>1250576</v>
      </c>
      <c r="D143" s="36">
        <v>0</v>
      </c>
      <c r="E143" s="36"/>
      <c r="F143" s="36">
        <v>3865702.13</v>
      </c>
      <c r="G143" s="37">
        <f t="shared" si="15"/>
        <v>0.32350552576072383</v>
      </c>
      <c r="H143" s="23">
        <f t="shared" si="12"/>
        <v>0</v>
      </c>
      <c r="I143" s="24">
        <f t="shared" si="12"/>
        <v>0</v>
      </c>
      <c r="J143" s="32" t="str" cm="1">
        <f t="array" ref="J143">IFERROR(_xlfn.IFS(B143="044 - BLEND TRADICION","BLEND",B143="113 - CAFÉ GOURMET","GOURMET",B143="114 - CAFÉ CONSUMO","CONSUMO",B143="112 - CAFÉ ORGANICO","GOURMET",B143="172 - CAFÉ COSECHA","ESPECIALES",B143="176 - CAFE DESCAFEINADO","GOURMET",B143="147 - CAPSULAS","CAPSULAS",B143="130 - GALLETAS CAFECITAS","DERIVADOS",B143="140 - MERENGUES","DERIVADOS",B143="100 - CAFÉ ESPECIAL","ESPECIALES",B143="141 - AREQUIPE","DERIVADOS",B143="142 - MERMELADA","DERIVADOS",B143="131 - GALLETAS AVENA","DERIVADOS",B143="160 - SOUVENIR","OTROS",B143="148 - CARAMELOS","DERIVADOS",B143="143 - CHOCOFFES","DERIVADOS",B143="162 - CONVENIOS Y DSC POS ","OTROS"),"OTROS")</f>
        <v>DERIVADOS</v>
      </c>
      <c r="L143" s="27">
        <f t="shared" si="13"/>
        <v>1250576</v>
      </c>
      <c r="M143" s="27">
        <f t="shared" si="14"/>
        <v>1250576</v>
      </c>
    </row>
    <row r="144" spans="1:13" ht="16.5" hidden="1" outlineLevel="1">
      <c r="A144" s="38"/>
      <c r="B144" s="39" t="s">
        <v>26</v>
      </c>
      <c r="C144" s="36">
        <v>580944</v>
      </c>
      <c r="D144" s="36">
        <v>0</v>
      </c>
      <c r="E144" s="36"/>
      <c r="F144" s="36">
        <v>866649.1</v>
      </c>
      <c r="G144" s="37">
        <f t="shared" si="15"/>
        <v>0.6703335871461702</v>
      </c>
      <c r="H144" s="23">
        <f t="shared" si="12"/>
        <v>0</v>
      </c>
      <c r="I144" s="24">
        <f t="shared" si="12"/>
        <v>0</v>
      </c>
      <c r="J144" s="32" t="str" cm="1">
        <f t="array" ref="J144">IFERROR(_xlfn.IFS(B144="044 - BLEND TRADICION","BLEND",B144="113 - CAFÉ GOURMET","GOURMET",B144="114 - CAFÉ CONSUMO","CONSUMO",B144="112 - CAFÉ ORGANICO","GOURMET",B144="172 - CAFÉ COSECHA","ESPECIALES",B144="176 - CAFE DESCAFEINADO","GOURMET",B144="147 - CAPSULAS","CAPSULAS",B144="130 - GALLETAS CAFECITAS","DERIVADOS",B144="140 - MERENGUES","DERIVADOS",B144="100 - CAFÉ ESPECIAL","ESPECIALES",B144="141 - AREQUIPE","DERIVADOS",B144="142 - MERMELADA","DERIVADOS",B144="131 - GALLETAS AVENA","DERIVADOS",B144="160 - SOUVENIR","OTROS",B144="148 - CARAMELOS","DERIVADOS",B144="143 - CHOCOFFES","DERIVADOS",B144="162 - CONVENIOS Y DSC POS ","OTROS"),"OTROS")</f>
        <v>CAPSULAS</v>
      </c>
      <c r="L144" s="27">
        <f t="shared" si="13"/>
        <v>580944</v>
      </c>
      <c r="M144" s="27">
        <f t="shared" si="14"/>
        <v>580944</v>
      </c>
    </row>
    <row r="145" spans="1:13" ht="16.5" hidden="1" outlineLevel="1">
      <c r="A145" s="38"/>
      <c r="B145" s="39" t="s">
        <v>27</v>
      </c>
      <c r="C145" s="36">
        <v>3118125</v>
      </c>
      <c r="D145" s="36">
        <v>0</v>
      </c>
      <c r="E145" s="36"/>
      <c r="F145" s="36">
        <v>6049716.3799999999</v>
      </c>
      <c r="G145" s="37">
        <f t="shared" si="15"/>
        <v>0.51541672437873853</v>
      </c>
      <c r="H145" s="23">
        <f t="shared" ref="H145:I160" si="16">IFERROR(+D145/L145*100%,0)</f>
        <v>0</v>
      </c>
      <c r="I145" s="24">
        <f t="shared" si="16"/>
        <v>0</v>
      </c>
      <c r="J145" s="32" t="str" cm="1">
        <f t="array" ref="J145">IFERROR(_xlfn.IFS(B145="044 - BLEND TRADICION","BLEND",B145="113 - CAFÉ GOURMET","GOURMET",B145="114 - CAFÉ CONSUMO","CONSUMO",B145="112 - CAFÉ ORGANICO","GOURMET",B145="172 - CAFÉ COSECHA","ESPECIALES",B145="176 - CAFE DESCAFEINADO","GOURMET",B145="147 - CAPSULAS","CAPSULAS",B145="130 - GALLETAS CAFECITAS","DERIVADOS",B145="140 - MERENGUES","DERIVADOS",B145="100 - CAFÉ ESPECIAL","ESPECIALES",B145="141 - AREQUIPE","DERIVADOS",B145="142 - MERMELADA","DERIVADOS",B145="131 - GALLETAS AVENA","DERIVADOS",B145="160 - SOUVENIR","OTROS",B145="148 - CARAMELOS","DERIVADOS",B145="143 - CHOCOFFES","DERIVADOS",B145="162 - CONVENIOS Y DSC POS ","OTROS"),"OTROS")</f>
        <v>DERIVADOS</v>
      </c>
      <c r="L145" s="27">
        <f t="shared" si="13"/>
        <v>3118125</v>
      </c>
      <c r="M145" s="27">
        <f t="shared" si="14"/>
        <v>3118125</v>
      </c>
    </row>
    <row r="146" spans="1:13" ht="16.5" hidden="1" outlineLevel="1">
      <c r="A146" s="38"/>
      <c r="B146" s="39" t="s">
        <v>28</v>
      </c>
      <c r="C146" s="36">
        <v>152142</v>
      </c>
      <c r="D146" s="36">
        <v>0</v>
      </c>
      <c r="E146" s="36"/>
      <c r="F146" s="36">
        <v>2122980.0499999998</v>
      </c>
      <c r="G146" s="37">
        <f t="shared" si="15"/>
        <v>7.1664356902458884E-2</v>
      </c>
      <c r="H146" s="23">
        <f t="shared" si="16"/>
        <v>0</v>
      </c>
      <c r="I146" s="24">
        <f t="shared" si="16"/>
        <v>0</v>
      </c>
      <c r="J146" s="32" t="str" cm="1">
        <f t="array" ref="J146">IFERROR(_xlfn.IFS(B146="044 - BLEND TRADICION","BLEND",B146="113 - CAFÉ GOURMET","GOURMET",B146="114 - CAFÉ CONSUMO","CONSUMO",B146="112 - CAFÉ ORGANICO","GOURMET",B146="172 - CAFÉ COSECHA","ESPECIALES",B146="176 - CAFE DESCAFEINADO","GOURMET",B146="147 - CAPSULAS","CAPSULAS",B146="130 - GALLETAS CAFECITAS","DERIVADOS",B146="140 - MERENGUES","DERIVADOS",B146="100 - CAFÉ ESPECIAL","ESPECIALES",B146="141 - AREQUIPE","DERIVADOS",B146="142 - MERMELADA","DERIVADOS",B146="131 - GALLETAS AVENA","DERIVADOS",B146="160 - SOUVENIR","OTROS",B146="148 - CARAMELOS","DERIVADOS",B146="143 - CHOCOFFES","DERIVADOS",B146="162 - CONVENIOS Y DSC POS ","OTROS"),"OTROS")</f>
        <v>OTROS</v>
      </c>
      <c r="L146" s="27">
        <f t="shared" si="13"/>
        <v>152142</v>
      </c>
      <c r="M146" s="27">
        <f t="shared" si="14"/>
        <v>152142</v>
      </c>
    </row>
    <row r="147" spans="1:13" ht="16.5" hidden="1" outlineLevel="1">
      <c r="A147" s="38"/>
      <c r="B147" s="39" t="s">
        <v>50</v>
      </c>
      <c r="C147" s="36">
        <v>-20485</v>
      </c>
      <c r="D147" s="36">
        <v>0</v>
      </c>
      <c r="E147" s="36">
        <v>-20485</v>
      </c>
      <c r="F147" s="36">
        <v>0</v>
      </c>
      <c r="G147" s="37" t="str">
        <f t="shared" si="15"/>
        <v>-</v>
      </c>
      <c r="H147" s="23">
        <f t="shared" si="16"/>
        <v>0</v>
      </c>
      <c r="I147" s="24">
        <f t="shared" si="16"/>
        <v>0</v>
      </c>
      <c r="J147" s="32" t="str" cm="1">
        <f t="array" ref="J147">IFERROR(_xlfn.IFS(B147="044 - BLEND TRADICION","BLEND",B147="113 - CAFÉ GOURMET","GOURMET",B147="114 - CAFÉ CONSUMO","CONSUMO",B147="112 - CAFÉ ORGANICO","GOURMET",B147="172 - CAFÉ COSECHA","ESPECIALES",B147="176 - CAFE DESCAFEINADO","GOURMET",B147="147 - CAPSULAS","CAPSULAS",B147="130 - GALLETAS CAFECITAS","DERIVADOS",B147="140 - MERENGUES","DERIVADOS",B147="100 - CAFÉ ESPECIAL","ESPECIALES",B147="141 - AREQUIPE","DERIVADOS",B147="142 - MERMELADA","DERIVADOS",B147="131 - GALLETAS AVENA","DERIVADOS",B147="160 - SOUVENIR","OTROS",B147="148 - CARAMELOS","DERIVADOS",B147="143 - CHOCOFFES","DERIVADOS",B147="162 - CONVENIOS Y DSC POS ","OTROS"),"OTROS")</f>
        <v>OTROS</v>
      </c>
      <c r="L147" s="27">
        <f t="shared" si="13"/>
        <v>0</v>
      </c>
      <c r="M147" s="27">
        <f t="shared" si="14"/>
        <v>0</v>
      </c>
    </row>
    <row r="148" spans="1:13" ht="16.5" hidden="1" outlineLevel="1">
      <c r="A148" s="38"/>
      <c r="B148" s="39" t="s">
        <v>29</v>
      </c>
      <c r="C148" s="36">
        <v>908161</v>
      </c>
      <c r="D148" s="36">
        <v>0</v>
      </c>
      <c r="E148" s="36"/>
      <c r="F148" s="36">
        <v>6357550.9400000004</v>
      </c>
      <c r="G148" s="37">
        <f t="shared" si="15"/>
        <v>0.14284761672707885</v>
      </c>
      <c r="H148" s="23">
        <f t="shared" si="16"/>
        <v>0</v>
      </c>
      <c r="I148" s="24">
        <f t="shared" si="16"/>
        <v>0</v>
      </c>
      <c r="J148" s="32" t="str" cm="1">
        <f t="array" ref="J148">IFERROR(_xlfn.IFS(B148="044 - BLEND TRADICION","BLEND",B148="113 - CAFÉ GOURMET","GOURMET",B148="114 - CAFÉ CONSUMO","CONSUMO",B148="112 - CAFÉ ORGANICO","GOURMET",B148="172 - CAFÉ COSECHA","ESPECIALES",B148="176 - CAFE DESCAFEINADO","GOURMET",B148="147 - CAPSULAS","CAPSULAS",B148="130 - GALLETAS CAFECITAS","DERIVADOS",B148="140 - MERENGUES","DERIVADOS",B148="100 - CAFÉ ESPECIAL","ESPECIALES",B148="141 - AREQUIPE","DERIVADOS",B148="142 - MERMELADA","DERIVADOS",B148="131 - GALLETAS AVENA","DERIVADOS",B148="160 - SOUVENIR","OTROS",B148="148 - CARAMELOS","DERIVADOS",B148="143 - CHOCOFFES","DERIVADOS",B148="162 - CONVENIOS Y DSC POS ","OTROS"),"OTROS")</f>
        <v>ESPECIALES</v>
      </c>
      <c r="L148" s="27">
        <f t="shared" si="13"/>
        <v>908161</v>
      </c>
      <c r="M148" s="27">
        <f t="shared" si="14"/>
        <v>908161</v>
      </c>
    </row>
    <row r="149" spans="1:13" ht="16.5" hidden="1" outlineLevel="1">
      <c r="A149" s="38"/>
      <c r="B149" s="61" t="s">
        <v>30</v>
      </c>
      <c r="C149" s="100">
        <v>0</v>
      </c>
      <c r="D149" s="36">
        <v>0</v>
      </c>
      <c r="E149" s="36"/>
      <c r="F149" s="36">
        <v>974571.04</v>
      </c>
      <c r="G149" s="37">
        <f t="shared" si="15"/>
        <v>0</v>
      </c>
      <c r="H149" s="23">
        <f t="shared" si="16"/>
        <v>0</v>
      </c>
      <c r="I149" s="24">
        <f t="shared" si="16"/>
        <v>0</v>
      </c>
      <c r="J149" s="32" t="str" cm="1">
        <f t="array" ref="J149">IFERROR(_xlfn.IFS(B149="044 - BLEND TRADICION","BLEND",B149="113 - CAFÉ GOURMET","GOURMET",B149="114 - CAFÉ CONSUMO","CONSUMO",B149="112 - CAFÉ ORGANICO","GOURMET",B149="172 - CAFÉ COSECHA","ESPECIALES",B149="176 - CAFE DESCAFEINADO","GOURMET",B149="147 - CAPSULAS","CAPSULAS",B149="130 - GALLETAS CAFECITAS","DERIVADOS",B149="140 - MERENGUES","DERIVADOS",B149="100 - CAFÉ ESPECIAL","ESPECIALES",B149="141 - AREQUIPE","DERIVADOS",B149="142 - MERMELADA","DERIVADOS",B149="131 - GALLETAS AVENA","DERIVADOS",B149="160 - SOUVENIR","OTROS",B149="148 - CARAMELOS","DERIVADOS",B149="143 - CHOCOFFES","DERIVADOS",B149="162 - CONVENIOS Y DSC POS ","OTROS"),"OTROS")</f>
        <v>GOURMET</v>
      </c>
      <c r="L149" s="27">
        <f t="shared" si="13"/>
        <v>0</v>
      </c>
      <c r="M149" s="27">
        <f t="shared" si="14"/>
        <v>0</v>
      </c>
    </row>
    <row r="150" spans="1:13" ht="16.5" hidden="1" outlineLevel="1">
      <c r="A150" s="52" t="s">
        <v>51</v>
      </c>
      <c r="B150" s="20" t="s">
        <v>32</v>
      </c>
      <c r="C150" s="21">
        <f>SUM(C136:C149)</f>
        <v>36347714</v>
      </c>
      <c r="D150" s="53">
        <f>SUM(D136:D149)</f>
        <v>0</v>
      </c>
      <c r="E150" s="54">
        <f>SUM(E136:E149)</f>
        <v>-20485</v>
      </c>
      <c r="F150" s="58">
        <f>SUM(F136:F149)</f>
        <v>89185849.329999968</v>
      </c>
      <c r="G150" s="55">
        <f>IFERROR(C150/F150*100%,"-")</f>
        <v>0.40755023664694201</v>
      </c>
      <c r="H150" s="23">
        <f t="shared" si="16"/>
        <v>0</v>
      </c>
      <c r="I150" s="24">
        <f t="shared" si="16"/>
        <v>-5.6326682550323704E-4</v>
      </c>
      <c r="J150" s="32" t="str" cm="1">
        <f t="array" ref="J150">IFERROR(_xlfn.IFS(B150="044 - BLEND TRADICION","BLEND",B150="113 - CAFÉ GOURMET","GOURMET",B150="114 - CAFÉ CONSUMO","CONSUMO",B150="112 - CAFÉ ORGANICO","GOURMET",B150="172 - CAFÉ COSECHA","ESPECIALES",B150="176 - CAFE DESCAFEINADO","GOURMET",B150="147 - CAPSULAS","CAPSULAS",B150="130 - GALLETAS CAFECITAS","DERIVADOS",B150="140 - MERENGUES","DERIVADOS",B150="100 - CAFÉ ESPECIAL","ESPECIALES",B150="141 - AREQUIPE","DERIVADOS",B150="142 - MERMELADA","DERIVADOS",B150="131 - GALLETAS AVENA","DERIVADOS",B150="160 - SOUVENIR","OTROS",B150="148 - CARAMELOS","DERIVADOS",B150="143 - CHOCOFFES","DERIVADOS",B150="162 - CONVENIOS Y DSC POS ","OTROS"),"OTROS")</f>
        <v>OTROS</v>
      </c>
      <c r="L150" s="27">
        <f t="shared" si="13"/>
        <v>36368199</v>
      </c>
      <c r="M150" s="27">
        <f t="shared" si="14"/>
        <v>36368199</v>
      </c>
    </row>
    <row r="151" spans="1:13" ht="16.5" hidden="1" outlineLevel="1">
      <c r="A151" s="33"/>
      <c r="B151" s="45" t="s">
        <v>42</v>
      </c>
      <c r="C151" s="46">
        <v>40584</v>
      </c>
      <c r="D151" s="47">
        <v>0</v>
      </c>
      <c r="E151" s="36">
        <v>0</v>
      </c>
      <c r="F151" s="36">
        <v>0</v>
      </c>
      <c r="G151" s="37" t="str">
        <f t="shared" ref="G151:G220" si="17">IFERROR(C151/F151*100%,"-")</f>
        <v>-</v>
      </c>
      <c r="H151" s="23">
        <f t="shared" si="16"/>
        <v>0</v>
      </c>
      <c r="I151" s="24">
        <f t="shared" si="16"/>
        <v>0</v>
      </c>
      <c r="J151" s="32" t="str" cm="1">
        <f t="array" ref="J151">IFERROR(_xlfn.IFS(B151="044 - BLEND TRADICION","BLEND",B151="113 - CAFÉ GOURMET","GOURMET",B151="114 - CAFÉ CONSUMO","CONSUMO",B151="112 - CAFÉ ORGANICO","GOURMET",B151="172 - CAFÉ COSECHA","ESPECIALES",B151="176 - CAFE DESCAFEINADO","GOURMET",B151="147 - CAPSULAS","CAPSULAS",B151="130 - GALLETAS CAFECITAS","DERIVADOS",B151="140 - MERENGUES","DERIVADOS",B151="100 - CAFÉ ESPECIAL","ESPECIALES",B151="141 - AREQUIPE","DERIVADOS",B151="142 - MERMELADA","DERIVADOS",B151="131 - GALLETAS AVENA","DERIVADOS",B151="160 - SOUVENIR","OTROS",B151="148 - CARAMELOS","DERIVADOS",B151="143 - CHOCOFFES","DERIVADOS",B151="162 - CONVENIOS Y DSC POS ","OTROS"),"OTROS")</f>
        <v>OTROS</v>
      </c>
      <c r="L151" s="27">
        <f t="shared" si="13"/>
        <v>40584</v>
      </c>
      <c r="M151" s="27">
        <f t="shared" si="14"/>
        <v>40584</v>
      </c>
    </row>
    <row r="152" spans="1:13" ht="16.5" hidden="1" outlineLevel="1">
      <c r="A152" s="44"/>
      <c r="B152" s="45" t="s">
        <v>18</v>
      </c>
      <c r="C152" s="46">
        <v>6560424</v>
      </c>
      <c r="D152" s="47">
        <v>0</v>
      </c>
      <c r="E152" s="36">
        <v>0</v>
      </c>
      <c r="F152" s="36">
        <v>14379067.41</v>
      </c>
      <c r="G152" s="37">
        <f t="shared" si="17"/>
        <v>0.45624822618451022</v>
      </c>
      <c r="H152" s="23">
        <f t="shared" si="16"/>
        <v>0</v>
      </c>
      <c r="I152" s="24">
        <f t="shared" si="16"/>
        <v>0</v>
      </c>
      <c r="J152" s="32" t="str" cm="1">
        <f t="array" ref="J152">IFERROR(_xlfn.IFS(B152="044 - BLEND TRADICION","BLEND",B152="113 - CAFÉ GOURMET","GOURMET",B152="114 - CAFÉ CONSUMO","CONSUMO",B152="112 - CAFÉ ORGANICO","GOURMET",B152="172 - CAFÉ COSECHA","ESPECIALES",B152="176 - CAFE DESCAFEINADO","GOURMET",B152="147 - CAPSULAS","CAPSULAS",B152="130 - GALLETAS CAFECITAS","DERIVADOS",B152="140 - MERENGUES","DERIVADOS",B152="100 - CAFÉ ESPECIAL","ESPECIALES",B152="141 - AREQUIPE","DERIVADOS",B152="142 - MERMELADA","DERIVADOS",B152="131 - GALLETAS AVENA","DERIVADOS",B152="160 - SOUVENIR","OTROS",B152="148 - CARAMELOS","DERIVADOS",B152="143 - CHOCOFFES","DERIVADOS",B152="162 - CONVENIOS Y DSC POS ","OTROS"),"OTROS")</f>
        <v>BLEND</v>
      </c>
      <c r="L152" s="27">
        <f t="shared" si="13"/>
        <v>6560424</v>
      </c>
      <c r="M152" s="27">
        <f t="shared" si="14"/>
        <v>6560424</v>
      </c>
    </row>
    <row r="153" spans="1:13" ht="16.5" hidden="1" outlineLevel="1">
      <c r="A153" s="44"/>
      <c r="B153" s="45" t="s">
        <v>19</v>
      </c>
      <c r="C153" s="46">
        <v>1668654</v>
      </c>
      <c r="D153" s="47">
        <v>0</v>
      </c>
      <c r="E153" s="36">
        <v>0</v>
      </c>
      <c r="F153" s="36">
        <v>3909295.37</v>
      </c>
      <c r="G153" s="37">
        <f t="shared" si="17"/>
        <v>0.42684265118601156</v>
      </c>
      <c r="H153" s="23">
        <f t="shared" si="16"/>
        <v>0</v>
      </c>
      <c r="I153" s="24">
        <f t="shared" si="16"/>
        <v>0</v>
      </c>
      <c r="J153" s="32" t="str" cm="1">
        <f t="array" ref="J153">IFERROR(_xlfn.IFS(B153="044 - BLEND TRADICION","BLEND",B153="113 - CAFÉ GOURMET","GOURMET",B153="114 - CAFÉ CONSUMO","CONSUMO",B153="112 - CAFÉ ORGANICO","GOURMET",B153="172 - CAFÉ COSECHA","ESPECIALES",B153="176 - CAFE DESCAFEINADO","GOURMET",B153="147 - CAPSULAS","CAPSULAS",B153="130 - GALLETAS CAFECITAS","DERIVADOS",B153="140 - MERENGUES","DERIVADOS",B153="100 - CAFÉ ESPECIAL","ESPECIALES",B153="141 - AREQUIPE","DERIVADOS",B153="142 - MERMELADA","DERIVADOS",B153="131 - GALLETAS AVENA","DERIVADOS",B153="160 - SOUVENIR","OTROS",B153="148 - CARAMELOS","DERIVADOS",B153="143 - CHOCOFFES","DERIVADOS",B153="162 - CONVENIOS Y DSC POS ","OTROS"),"OTROS")</f>
        <v>ESPECIALES</v>
      </c>
      <c r="L153" s="27">
        <f t="shared" si="13"/>
        <v>1668654</v>
      </c>
      <c r="M153" s="27">
        <f t="shared" si="14"/>
        <v>1668654</v>
      </c>
    </row>
    <row r="154" spans="1:13" ht="16.5" hidden="1" outlineLevel="1">
      <c r="A154" s="44"/>
      <c r="B154" s="45" t="s">
        <v>20</v>
      </c>
      <c r="C154" s="46">
        <v>1900206</v>
      </c>
      <c r="D154" s="47">
        <v>0</v>
      </c>
      <c r="E154" s="36">
        <v>0</v>
      </c>
      <c r="F154" s="36">
        <v>4626025.21</v>
      </c>
      <c r="G154" s="37">
        <f t="shared" si="17"/>
        <v>0.41076429845050499</v>
      </c>
      <c r="H154" s="23">
        <f t="shared" si="16"/>
        <v>0</v>
      </c>
      <c r="I154" s="24">
        <f t="shared" si="16"/>
        <v>0</v>
      </c>
      <c r="J154" s="32" t="str" cm="1">
        <f t="array" ref="J154">IFERROR(_xlfn.IFS(B154="044 - BLEND TRADICION","BLEND",B154="113 - CAFÉ GOURMET","GOURMET",B154="114 - CAFÉ CONSUMO","CONSUMO",B154="112 - CAFÉ ORGANICO","GOURMET",B154="172 - CAFÉ COSECHA","ESPECIALES",B154="176 - CAFE DESCAFEINADO","GOURMET",B154="147 - CAPSULAS","CAPSULAS",B154="130 - GALLETAS CAFECITAS","DERIVADOS",B154="140 - MERENGUES","DERIVADOS",B154="100 - CAFÉ ESPECIAL","ESPECIALES",B154="141 - AREQUIPE","DERIVADOS",B154="142 - MERMELADA","DERIVADOS",B154="131 - GALLETAS AVENA","DERIVADOS",B154="160 - SOUVENIR","OTROS",B154="148 - CARAMELOS","DERIVADOS",B154="143 - CHOCOFFES","DERIVADOS",B154="162 - CONVENIOS Y DSC POS ","OTROS"),"OTROS")</f>
        <v>GOURMET</v>
      </c>
      <c r="L154" s="27">
        <f t="shared" ref="L154:L218" si="18">C154-(D154+E154)</f>
        <v>1900206</v>
      </c>
      <c r="M154" s="27">
        <f t="shared" ref="M154:M218" si="19">L154</f>
        <v>1900206</v>
      </c>
    </row>
    <row r="155" spans="1:13" ht="16.5" hidden="1" outlineLevel="1">
      <c r="A155" s="44"/>
      <c r="B155" s="45" t="s">
        <v>21</v>
      </c>
      <c r="C155" s="46">
        <v>37998179</v>
      </c>
      <c r="D155" s="47">
        <v>0</v>
      </c>
      <c r="E155" s="36"/>
      <c r="F155" s="36">
        <v>114747780.18000001</v>
      </c>
      <c r="G155" s="37">
        <f t="shared" si="17"/>
        <v>0.3311452207650018</v>
      </c>
      <c r="H155" s="23">
        <f t="shared" si="16"/>
        <v>0</v>
      </c>
      <c r="I155" s="24">
        <f t="shared" si="16"/>
        <v>0</v>
      </c>
      <c r="J155" s="32" t="str" cm="1">
        <f t="array" ref="J155">IFERROR(_xlfn.IFS(B155="044 - BLEND TRADICION","BLEND",B155="113 - CAFÉ GOURMET","GOURMET",B155="114 - CAFÉ CONSUMO","CONSUMO",B155="112 - CAFÉ ORGANICO","GOURMET",B155="172 - CAFÉ COSECHA","ESPECIALES",B155="176 - CAFE DESCAFEINADO","GOURMET",B155="147 - CAPSULAS","CAPSULAS",B155="130 - GALLETAS CAFECITAS","DERIVADOS",B155="140 - MERENGUES","DERIVADOS",B155="100 - CAFÉ ESPECIAL","ESPECIALES",B155="141 - AREQUIPE","DERIVADOS",B155="142 - MERMELADA","DERIVADOS",B155="131 - GALLETAS AVENA","DERIVADOS",B155="160 - SOUVENIR","OTROS",B155="148 - CARAMELOS","DERIVADOS",B155="143 - CHOCOFFES","DERIVADOS",B155="162 - CONVENIOS Y DSC POS ","OTROS"),"OTROS")</f>
        <v>GOURMET</v>
      </c>
      <c r="L155" s="27">
        <f t="shared" si="18"/>
        <v>37998179</v>
      </c>
      <c r="M155" s="27">
        <f t="shared" si="19"/>
        <v>37998179</v>
      </c>
    </row>
    <row r="156" spans="1:13" ht="16.5" hidden="1" outlineLevel="1">
      <c r="A156" s="38"/>
      <c r="B156" s="34" t="s">
        <v>38</v>
      </c>
      <c r="C156" s="35">
        <v>0</v>
      </c>
      <c r="D156" s="36">
        <v>0</v>
      </c>
      <c r="E156" s="36"/>
      <c r="F156" s="36">
        <v>353869.81</v>
      </c>
      <c r="G156" s="37">
        <f t="shared" si="17"/>
        <v>0</v>
      </c>
      <c r="H156" s="23">
        <f t="shared" si="16"/>
        <v>0</v>
      </c>
      <c r="I156" s="24">
        <f t="shared" si="16"/>
        <v>0</v>
      </c>
      <c r="J156" s="32" t="str" cm="1">
        <f t="array" ref="J156">IFERROR(_xlfn.IFS(B156="044 - BLEND TRADICION","BLEND",B156="113 - CAFÉ GOURMET","GOURMET",B156="114 - CAFÉ CONSUMO","CONSUMO",B156="112 - CAFÉ ORGANICO","GOURMET",B156="172 - CAFÉ COSECHA","ESPECIALES",B156="176 - CAFE DESCAFEINADO","GOURMET",B156="147 - CAPSULAS","CAPSULAS",B156="130 - GALLETAS CAFECITAS","DERIVADOS",B156="140 - MERENGUES","DERIVADOS",B156="100 - CAFÉ ESPECIAL","ESPECIALES",B156="141 - AREQUIPE","DERIVADOS",B156="142 - MERMELADA","DERIVADOS",B156="131 - GALLETAS AVENA","DERIVADOS",B156="160 - SOUVENIR","OTROS",B156="148 - CARAMELOS","DERIVADOS",B156="143 - CHOCOFFES","DERIVADOS",B156="162 - CONVENIOS Y DSC POS ","OTROS"),"OTROS")</f>
        <v>CONSUMO</v>
      </c>
      <c r="L156" s="27">
        <f t="shared" si="18"/>
        <v>0</v>
      </c>
      <c r="M156" s="27">
        <f t="shared" si="19"/>
        <v>0</v>
      </c>
    </row>
    <row r="157" spans="1:13" ht="16.5" hidden="1" outlineLevel="1">
      <c r="A157" s="38"/>
      <c r="B157" s="39" t="s">
        <v>22</v>
      </c>
      <c r="C157" s="36">
        <v>5506894</v>
      </c>
      <c r="D157" s="36">
        <v>0</v>
      </c>
      <c r="E157" s="36"/>
      <c r="F157" s="36">
        <v>21366443.850000001</v>
      </c>
      <c r="G157" s="37">
        <f t="shared" si="17"/>
        <v>0.25773563624627222</v>
      </c>
      <c r="H157" s="23">
        <f t="shared" si="16"/>
        <v>0</v>
      </c>
      <c r="I157" s="24">
        <f t="shared" si="16"/>
        <v>0</v>
      </c>
      <c r="J157" s="32" t="str" cm="1">
        <f t="array" ref="J157">IFERROR(_xlfn.IFS(B157="044 - BLEND TRADICION","BLEND",B157="113 - CAFÉ GOURMET","GOURMET",B157="114 - CAFÉ CONSUMO","CONSUMO",B157="112 - CAFÉ ORGANICO","GOURMET",B157="172 - CAFÉ COSECHA","ESPECIALES",B157="176 - CAFE DESCAFEINADO","GOURMET",B157="147 - CAPSULAS","CAPSULAS",B157="130 - GALLETAS CAFECITAS","DERIVADOS",B157="140 - MERENGUES","DERIVADOS",B157="100 - CAFÉ ESPECIAL","ESPECIALES",B157="141 - AREQUIPE","DERIVADOS",B157="142 - MERMELADA","DERIVADOS",B157="131 - GALLETAS AVENA","DERIVADOS",B157="160 - SOUVENIR","OTROS",B157="148 - CARAMELOS","DERIVADOS",B157="143 - CHOCOFFES","DERIVADOS",B157="162 - CONVENIOS Y DSC POS ","OTROS"),"OTROS")</f>
        <v>DERIVADOS</v>
      </c>
      <c r="L157" s="27">
        <f t="shared" si="18"/>
        <v>5506894</v>
      </c>
      <c r="M157" s="27">
        <f t="shared" si="19"/>
        <v>5506894</v>
      </c>
    </row>
    <row r="158" spans="1:13" ht="16.5" hidden="1" outlineLevel="1">
      <c r="A158" s="38"/>
      <c r="B158" s="39" t="s">
        <v>23</v>
      </c>
      <c r="C158" s="36">
        <v>59664</v>
      </c>
      <c r="D158" s="36">
        <v>0</v>
      </c>
      <c r="E158" s="36"/>
      <c r="F158" s="36">
        <v>227657.98</v>
      </c>
      <c r="G158" s="37">
        <f t="shared" si="17"/>
        <v>0.26207734953986678</v>
      </c>
      <c r="H158" s="23">
        <f t="shared" si="16"/>
        <v>0</v>
      </c>
      <c r="I158" s="24">
        <f t="shared" si="16"/>
        <v>0</v>
      </c>
      <c r="J158" s="32" t="str" cm="1">
        <f t="array" ref="J158">IFERROR(_xlfn.IFS(B158="044 - BLEND TRADICION","BLEND",B158="113 - CAFÉ GOURMET","GOURMET",B158="114 - CAFÉ CONSUMO","CONSUMO",B158="112 - CAFÉ ORGANICO","GOURMET",B158="172 - CAFÉ COSECHA","ESPECIALES",B158="176 - CAFE DESCAFEINADO","GOURMET",B158="147 - CAPSULAS","CAPSULAS",B158="130 - GALLETAS CAFECITAS","DERIVADOS",B158="140 - MERENGUES","DERIVADOS",B158="100 - CAFÉ ESPECIAL","ESPECIALES",B158="141 - AREQUIPE","DERIVADOS",B158="142 - MERMELADA","DERIVADOS",B158="131 - GALLETAS AVENA","DERIVADOS",B158="160 - SOUVENIR","OTROS",B158="148 - CARAMELOS","DERIVADOS",B158="143 - CHOCOFFES","DERIVADOS",B158="162 - CONVENIOS Y DSC POS ","OTROS"),"OTROS")</f>
        <v>DERIVADOS</v>
      </c>
      <c r="L158" s="27">
        <f t="shared" si="18"/>
        <v>59664</v>
      </c>
      <c r="M158" s="27">
        <f t="shared" si="19"/>
        <v>59664</v>
      </c>
    </row>
    <row r="159" spans="1:13" ht="16.5" hidden="1" outlineLevel="1">
      <c r="A159" s="38"/>
      <c r="B159" s="39" t="s">
        <v>24</v>
      </c>
      <c r="C159" s="36">
        <v>1113532</v>
      </c>
      <c r="D159" s="36">
        <v>0</v>
      </c>
      <c r="E159" s="36"/>
      <c r="F159" s="36">
        <v>2117327.71</v>
      </c>
      <c r="G159" s="37">
        <f t="shared" si="17"/>
        <v>0.52591386526557105</v>
      </c>
      <c r="H159" s="23">
        <f t="shared" si="16"/>
        <v>0</v>
      </c>
      <c r="I159" s="24">
        <f t="shared" si="16"/>
        <v>0</v>
      </c>
      <c r="J159" s="32" t="str" cm="1">
        <f t="array" ref="J159">IFERROR(_xlfn.IFS(B159="044 - BLEND TRADICION","BLEND",B159="113 - CAFÉ GOURMET","GOURMET",B159="114 - CAFÉ CONSUMO","CONSUMO",B159="112 - CAFÉ ORGANICO","GOURMET",B159="172 - CAFÉ COSECHA","ESPECIALES",B159="176 - CAFE DESCAFEINADO","GOURMET",B159="147 - CAPSULAS","CAPSULAS",B159="130 - GALLETAS CAFECITAS","DERIVADOS",B159="140 - MERENGUES","DERIVADOS",B159="100 - CAFÉ ESPECIAL","ESPECIALES",B159="141 - AREQUIPE","DERIVADOS",B159="142 - MERMELADA","DERIVADOS",B159="131 - GALLETAS AVENA","DERIVADOS",B159="160 - SOUVENIR","OTROS",B159="148 - CARAMELOS","DERIVADOS",B159="143 - CHOCOFFES","DERIVADOS",B159="162 - CONVENIOS Y DSC POS ","OTROS"),"OTROS")</f>
        <v>DERIVADOS</v>
      </c>
      <c r="L159" s="27">
        <f t="shared" si="18"/>
        <v>1113532</v>
      </c>
      <c r="M159" s="27">
        <f t="shared" si="19"/>
        <v>1113532</v>
      </c>
    </row>
    <row r="160" spans="1:13" ht="16.5" hidden="1" outlineLevel="1">
      <c r="A160" s="38"/>
      <c r="B160" s="39" t="s">
        <v>25</v>
      </c>
      <c r="C160" s="36">
        <v>3950849</v>
      </c>
      <c r="D160" s="36">
        <v>0</v>
      </c>
      <c r="E160" s="36"/>
      <c r="F160" s="36">
        <v>5087944.59</v>
      </c>
      <c r="G160" s="37">
        <f t="shared" si="17"/>
        <v>0.77651179766484058</v>
      </c>
      <c r="H160" s="23">
        <f t="shared" si="16"/>
        <v>0</v>
      </c>
      <c r="I160" s="24">
        <f t="shared" si="16"/>
        <v>0</v>
      </c>
      <c r="J160" s="32" t="str" cm="1">
        <f t="array" ref="J160">IFERROR(_xlfn.IFS(B160="044 - BLEND TRADICION","BLEND",B160="113 - CAFÉ GOURMET","GOURMET",B160="114 - CAFÉ CONSUMO","CONSUMO",B160="112 - CAFÉ ORGANICO","GOURMET",B160="172 - CAFÉ COSECHA","ESPECIALES",B160="176 - CAFE DESCAFEINADO","GOURMET",B160="147 - CAPSULAS","CAPSULAS",B160="130 - GALLETAS CAFECITAS","DERIVADOS",B160="140 - MERENGUES","DERIVADOS",B160="100 - CAFÉ ESPECIAL","ESPECIALES",B160="141 - AREQUIPE","DERIVADOS",B160="142 - MERMELADA","DERIVADOS",B160="131 - GALLETAS AVENA","DERIVADOS",B160="160 - SOUVENIR","OTROS",B160="148 - CARAMELOS","DERIVADOS",B160="143 - CHOCOFFES","DERIVADOS",B160="162 - CONVENIOS Y DSC POS ","OTROS"),"OTROS")</f>
        <v>DERIVADOS</v>
      </c>
      <c r="L160" s="27">
        <f t="shared" si="18"/>
        <v>3950849</v>
      </c>
      <c r="M160" s="27">
        <f t="shared" si="19"/>
        <v>3950849</v>
      </c>
    </row>
    <row r="161" spans="1:13" ht="16.5" hidden="1" outlineLevel="1">
      <c r="A161" s="38"/>
      <c r="B161" s="39" t="s">
        <v>26</v>
      </c>
      <c r="C161" s="36">
        <v>2234119</v>
      </c>
      <c r="D161" s="36">
        <v>-22687</v>
      </c>
      <c r="E161" s="36"/>
      <c r="F161" s="36">
        <v>4929036.9800000004</v>
      </c>
      <c r="G161" s="37">
        <f t="shared" si="17"/>
        <v>0.4532566927505583</v>
      </c>
      <c r="H161" s="23">
        <f t="shared" ref="H161:I193" si="20">IFERROR(+D161/L161*100%,0)</f>
        <v>-1.0052702802101731E-2</v>
      </c>
      <c r="I161" s="24">
        <f t="shared" si="20"/>
        <v>0</v>
      </c>
      <c r="J161" s="32" t="str" cm="1">
        <f t="array" ref="J161">IFERROR(_xlfn.IFS(B161="044 - BLEND TRADICION","BLEND",B161="113 - CAFÉ GOURMET","GOURMET",B161="114 - CAFÉ CONSUMO","CONSUMO",B161="112 - CAFÉ ORGANICO","GOURMET",B161="172 - CAFÉ COSECHA","ESPECIALES",B161="176 - CAFE DESCAFEINADO","GOURMET",B161="147 - CAPSULAS","CAPSULAS",B161="130 - GALLETAS CAFECITAS","DERIVADOS",B161="140 - MERENGUES","DERIVADOS",B161="100 - CAFÉ ESPECIAL","ESPECIALES",B161="141 - AREQUIPE","DERIVADOS",B161="142 - MERMELADA","DERIVADOS",B161="131 - GALLETAS AVENA","DERIVADOS",B161="160 - SOUVENIR","OTROS",B161="148 - CARAMELOS","DERIVADOS",B161="143 - CHOCOFFES","DERIVADOS",B161="162 - CONVENIOS Y DSC POS ","OTROS"),"OTROS")</f>
        <v>CAPSULAS</v>
      </c>
      <c r="L161" s="27">
        <f t="shared" si="18"/>
        <v>2256806</v>
      </c>
      <c r="M161" s="27">
        <f t="shared" si="19"/>
        <v>2256806</v>
      </c>
    </row>
    <row r="162" spans="1:13" ht="16.5" hidden="1" outlineLevel="1">
      <c r="A162" s="38"/>
      <c r="B162" s="39" t="s">
        <v>27</v>
      </c>
      <c r="C162" s="36">
        <v>1419838</v>
      </c>
      <c r="D162" s="36">
        <v>0</v>
      </c>
      <c r="E162" s="36"/>
      <c r="F162" s="36">
        <v>3748792.41</v>
      </c>
      <c r="G162" s="37">
        <f t="shared" si="17"/>
        <v>0.378745431785592</v>
      </c>
      <c r="H162" s="23">
        <f t="shared" si="20"/>
        <v>0</v>
      </c>
      <c r="I162" s="24">
        <f t="shared" si="20"/>
        <v>0</v>
      </c>
      <c r="J162" s="32" t="str" cm="1">
        <f t="array" ref="J162">IFERROR(_xlfn.IFS(B162="044 - BLEND TRADICION","BLEND",B162="113 - CAFÉ GOURMET","GOURMET",B162="114 - CAFÉ CONSUMO","CONSUMO",B162="112 - CAFÉ ORGANICO","GOURMET",B162="172 - CAFÉ COSECHA","ESPECIALES",B162="176 - CAFE DESCAFEINADO","GOURMET",B162="147 - CAPSULAS","CAPSULAS",B162="130 - GALLETAS CAFECITAS","DERIVADOS",B162="140 - MERENGUES","DERIVADOS",B162="100 - CAFÉ ESPECIAL","ESPECIALES",B162="141 - AREQUIPE","DERIVADOS",B162="142 - MERMELADA","DERIVADOS",B162="131 - GALLETAS AVENA","DERIVADOS",B162="160 - SOUVENIR","OTROS",B162="148 - CARAMELOS","DERIVADOS",B162="143 - CHOCOFFES","DERIVADOS",B162="162 - CONVENIOS Y DSC POS ","OTROS"),"OTROS")</f>
        <v>DERIVADOS</v>
      </c>
      <c r="L162" s="27">
        <f t="shared" si="18"/>
        <v>1419838</v>
      </c>
      <c r="M162" s="27">
        <f t="shared" si="19"/>
        <v>1419838</v>
      </c>
    </row>
    <row r="163" spans="1:13" ht="16.5" hidden="1" outlineLevel="1">
      <c r="A163" s="38"/>
      <c r="B163" s="39" t="s">
        <v>28</v>
      </c>
      <c r="C163" s="36">
        <v>983963</v>
      </c>
      <c r="D163" s="36">
        <v>0</v>
      </c>
      <c r="E163" s="36">
        <v>0</v>
      </c>
      <c r="F163" s="36">
        <v>3497038.66</v>
      </c>
      <c r="G163" s="37">
        <f t="shared" si="17"/>
        <v>0.28137035236550689</v>
      </c>
      <c r="H163" s="23">
        <f t="shared" si="20"/>
        <v>0</v>
      </c>
      <c r="I163" s="24">
        <f t="shared" si="20"/>
        <v>0</v>
      </c>
      <c r="J163" s="32" t="str" cm="1">
        <f t="array" ref="J163">IFERROR(_xlfn.IFS(B163="044 - BLEND TRADICION","BLEND",B163="113 - CAFÉ GOURMET","GOURMET",B163="114 - CAFÉ CONSUMO","CONSUMO",B163="112 - CAFÉ ORGANICO","GOURMET",B163="172 - CAFÉ COSECHA","ESPECIALES",B163="176 - CAFE DESCAFEINADO","GOURMET",B163="147 - CAPSULAS","CAPSULAS",B163="130 - GALLETAS CAFECITAS","DERIVADOS",B163="140 - MERENGUES","DERIVADOS",B163="100 - CAFÉ ESPECIAL","ESPECIALES",B163="141 - AREQUIPE","DERIVADOS",B163="142 - MERMELADA","DERIVADOS",B163="131 - GALLETAS AVENA","DERIVADOS",B163="160 - SOUVENIR","OTROS",B163="148 - CARAMELOS","DERIVADOS",B163="143 - CHOCOFFES","DERIVADOS",B163="162 - CONVENIOS Y DSC POS ","OTROS"),"OTROS")</f>
        <v>OTROS</v>
      </c>
      <c r="L163" s="27">
        <f t="shared" si="18"/>
        <v>983963</v>
      </c>
      <c r="M163" s="27">
        <f t="shared" si="19"/>
        <v>983963</v>
      </c>
    </row>
    <row r="164" spans="1:13" ht="16.5" hidden="1" outlineLevel="1">
      <c r="A164" s="38"/>
      <c r="B164" s="39" t="s">
        <v>50</v>
      </c>
      <c r="C164" s="36">
        <v>-52019</v>
      </c>
      <c r="D164" s="36">
        <v>0</v>
      </c>
      <c r="E164" s="36">
        <v>-52019</v>
      </c>
      <c r="F164" s="36">
        <v>0</v>
      </c>
      <c r="G164" s="37" t="str">
        <f t="shared" si="17"/>
        <v>-</v>
      </c>
      <c r="H164" s="23">
        <f t="shared" si="20"/>
        <v>0</v>
      </c>
      <c r="I164" s="24">
        <f t="shared" si="20"/>
        <v>0</v>
      </c>
      <c r="J164" s="32" t="str" cm="1">
        <f t="array" ref="J164">IFERROR(_xlfn.IFS(B164="044 - BLEND TRADICION","BLEND",B164="113 - CAFÉ GOURMET","GOURMET",B164="114 - CAFÉ CONSUMO","CONSUMO",B164="112 - CAFÉ ORGANICO","GOURMET",B164="172 - CAFÉ COSECHA","ESPECIALES",B164="176 - CAFE DESCAFEINADO","GOURMET",B164="147 - CAPSULAS","CAPSULAS",B164="130 - GALLETAS CAFECITAS","DERIVADOS",B164="140 - MERENGUES","DERIVADOS",B164="100 - CAFÉ ESPECIAL","ESPECIALES",B164="141 - AREQUIPE","DERIVADOS",B164="142 - MERMELADA","DERIVADOS",B164="131 - GALLETAS AVENA","DERIVADOS",B164="160 - SOUVENIR","OTROS",B164="148 - CARAMELOS","DERIVADOS",B164="143 - CHOCOFFES","DERIVADOS",B164="162 - CONVENIOS Y DSC POS ","OTROS"),"OTROS")</f>
        <v>OTROS</v>
      </c>
      <c r="L164" s="27">
        <f t="shared" si="18"/>
        <v>0</v>
      </c>
      <c r="M164" s="27">
        <f t="shared" si="19"/>
        <v>0</v>
      </c>
    </row>
    <row r="165" spans="1:13" ht="16.5" hidden="1" outlineLevel="1">
      <c r="A165" s="38"/>
      <c r="B165" s="39" t="s">
        <v>29</v>
      </c>
      <c r="C165" s="36">
        <v>1995504</v>
      </c>
      <c r="D165" s="36">
        <v>0</v>
      </c>
      <c r="E165" s="36">
        <v>0</v>
      </c>
      <c r="F165" s="36">
        <v>7182790.8499999996</v>
      </c>
      <c r="G165" s="37">
        <f t="shared" si="17"/>
        <v>0.27781736120020817</v>
      </c>
      <c r="H165" s="23">
        <f t="shared" si="20"/>
        <v>0</v>
      </c>
      <c r="I165" s="24">
        <f t="shared" si="20"/>
        <v>0</v>
      </c>
      <c r="J165" s="32" t="str" cm="1">
        <f t="array" ref="J165">IFERROR(_xlfn.IFS(B165="044 - BLEND TRADICION","BLEND",B165="113 - CAFÉ GOURMET","GOURMET",B165="114 - CAFÉ CONSUMO","CONSUMO",B165="112 - CAFÉ ORGANICO","GOURMET",B165="172 - CAFÉ COSECHA","ESPECIALES",B165="176 - CAFE DESCAFEINADO","GOURMET",B165="147 - CAPSULAS","CAPSULAS",B165="130 - GALLETAS CAFECITAS","DERIVADOS",B165="140 - MERENGUES","DERIVADOS",B165="100 - CAFÉ ESPECIAL","ESPECIALES",B165="141 - AREQUIPE","DERIVADOS",B165="142 - MERMELADA","DERIVADOS",B165="131 - GALLETAS AVENA","DERIVADOS",B165="160 - SOUVENIR","OTROS",B165="148 - CARAMELOS","DERIVADOS",B165="143 - CHOCOFFES","DERIVADOS",B165="162 - CONVENIOS Y DSC POS ","OTROS"),"OTROS")</f>
        <v>ESPECIALES</v>
      </c>
      <c r="L165" s="27">
        <f t="shared" si="18"/>
        <v>1995504</v>
      </c>
      <c r="M165" s="27">
        <f t="shared" si="19"/>
        <v>1995504</v>
      </c>
    </row>
    <row r="166" spans="1:13" ht="16.5" hidden="1" outlineLevel="1">
      <c r="A166" s="38"/>
      <c r="B166" s="39" t="s">
        <v>30</v>
      </c>
      <c r="C166" s="36">
        <v>740165</v>
      </c>
      <c r="D166" s="36">
        <v>0</v>
      </c>
      <c r="E166" s="36"/>
      <c r="F166" s="36">
        <v>1596976.67</v>
      </c>
      <c r="G166" s="37">
        <f t="shared" si="17"/>
        <v>0.46347890605064385</v>
      </c>
      <c r="H166" s="23">
        <f t="shared" si="20"/>
        <v>0</v>
      </c>
      <c r="I166" s="24">
        <f t="shared" si="20"/>
        <v>0</v>
      </c>
      <c r="J166" s="32" t="str" cm="1">
        <f t="array" ref="J166">IFERROR(_xlfn.IFS(B166="044 - BLEND TRADICION","BLEND",B166="113 - CAFÉ GOURMET","GOURMET",B166="114 - CAFÉ CONSUMO","CONSUMO",B166="112 - CAFÉ ORGANICO","GOURMET",B166="172 - CAFÉ COSECHA","ESPECIALES",B166="176 - CAFE DESCAFEINADO","GOURMET",B166="147 - CAPSULAS","CAPSULAS",B166="130 - GALLETAS CAFECITAS","DERIVADOS",B166="140 - MERENGUES","DERIVADOS",B166="100 - CAFÉ ESPECIAL","ESPECIALES",B166="141 - AREQUIPE","DERIVADOS",B166="142 - MERMELADA","DERIVADOS",B166="131 - GALLETAS AVENA","DERIVADOS",B166="160 - SOUVENIR","OTROS",B166="148 - CARAMELOS","DERIVADOS",B166="143 - CHOCOFFES","DERIVADOS",B166="162 - CONVENIOS Y DSC POS ","OTROS"),"OTROS")</f>
        <v>GOURMET</v>
      </c>
      <c r="L166" s="27">
        <f t="shared" si="18"/>
        <v>740165</v>
      </c>
      <c r="M166" s="27">
        <f t="shared" si="19"/>
        <v>740165</v>
      </c>
    </row>
    <row r="167" spans="1:13" ht="16.5" hidden="1" outlineLevel="1">
      <c r="A167" s="19" t="s">
        <v>52</v>
      </c>
      <c r="B167" s="56" t="s">
        <v>32</v>
      </c>
      <c r="C167" s="54">
        <f>SUM(C151:C166)</f>
        <v>66120556</v>
      </c>
      <c r="D167" s="54">
        <f>SUM(D151:D166)</f>
        <v>-22687</v>
      </c>
      <c r="E167" s="54">
        <f>SUM(E151:E166)</f>
        <v>-52019</v>
      </c>
      <c r="F167" s="58">
        <f>SUM(F151:F166)</f>
        <v>187770047.67999998</v>
      </c>
      <c r="G167" s="55">
        <f t="shared" si="17"/>
        <v>0.35213580023520824</v>
      </c>
      <c r="H167" s="23">
        <f t="shared" si="20"/>
        <v>-3.4272845690980116E-4</v>
      </c>
      <c r="I167" s="24">
        <f t="shared" si="20"/>
        <v>-7.8584174196636607E-4</v>
      </c>
      <c r="J167" s="32" t="str" cm="1">
        <f t="array" ref="J167">IFERROR(_xlfn.IFS(B167="044 - BLEND TRADICION","BLEND",B167="113 - CAFÉ GOURMET","GOURMET",B167="114 - CAFÉ CONSUMO","CONSUMO",B167="112 - CAFÉ ORGANICO","GOURMET",B167="172 - CAFÉ COSECHA","ESPECIALES",B167="176 - CAFE DESCAFEINADO","GOURMET",B167="147 - CAPSULAS","CAPSULAS",B167="130 - GALLETAS CAFECITAS","DERIVADOS",B167="140 - MERENGUES","DERIVADOS",B167="100 - CAFÉ ESPECIAL","ESPECIALES",B167="141 - AREQUIPE","DERIVADOS",B167="142 - MERMELADA","DERIVADOS",B167="131 - GALLETAS AVENA","DERIVADOS",B167="160 - SOUVENIR","OTROS",B167="148 - CARAMELOS","DERIVADOS",B167="143 - CHOCOFFES","DERIVADOS",B167="162 - CONVENIOS Y DSC POS ","OTROS"),"OTROS")</f>
        <v>OTROS</v>
      </c>
      <c r="L167" s="27">
        <f t="shared" si="18"/>
        <v>66195262</v>
      </c>
      <c r="M167" s="27">
        <f t="shared" si="19"/>
        <v>66195262</v>
      </c>
    </row>
    <row r="168" spans="1:13" ht="16.5" hidden="1" outlineLevel="1">
      <c r="A168" s="33"/>
      <c r="B168" s="39" t="s">
        <v>42</v>
      </c>
      <c r="C168" s="36">
        <v>24150</v>
      </c>
      <c r="D168" s="36">
        <v>0</v>
      </c>
      <c r="E168" s="36">
        <v>0</v>
      </c>
      <c r="F168" s="36">
        <v>0</v>
      </c>
      <c r="G168" s="37" t="str">
        <f t="shared" si="17"/>
        <v>-</v>
      </c>
      <c r="H168" s="23">
        <f t="shared" si="20"/>
        <v>0</v>
      </c>
      <c r="I168" s="24">
        <f t="shared" si="20"/>
        <v>0</v>
      </c>
      <c r="J168" s="32" t="str" cm="1">
        <f t="array" ref="J168">IFERROR(_xlfn.IFS(B168="044 - BLEND TRADICION","BLEND",B168="113 - CAFÉ GOURMET","GOURMET",B168="114 - CAFÉ CONSUMO","CONSUMO",B168="112 - CAFÉ ORGANICO","GOURMET",B168="172 - CAFÉ COSECHA","ESPECIALES",B168="176 - CAFE DESCAFEINADO","GOURMET",B168="147 - CAPSULAS","CAPSULAS",B168="130 - GALLETAS CAFECITAS","DERIVADOS",B168="140 - MERENGUES","DERIVADOS",B168="100 - CAFÉ ESPECIAL","ESPECIALES",B168="141 - AREQUIPE","DERIVADOS",B168="142 - MERMELADA","DERIVADOS",B168="131 - GALLETAS AVENA","DERIVADOS",B168="160 - SOUVENIR","OTROS",B168="148 - CARAMELOS","DERIVADOS",B168="143 - CHOCOFFES","DERIVADOS",B168="162 - CONVENIOS Y DSC POS ","OTROS"),"OTROS")</f>
        <v>OTROS</v>
      </c>
      <c r="L168" s="27">
        <f t="shared" si="18"/>
        <v>24150</v>
      </c>
      <c r="M168" s="27">
        <f t="shared" si="19"/>
        <v>24150</v>
      </c>
    </row>
    <row r="169" spans="1:13" ht="16.5" hidden="1" outlineLevel="1">
      <c r="A169" s="38"/>
      <c r="B169" s="39" t="s">
        <v>18</v>
      </c>
      <c r="C169" s="36">
        <v>2255268</v>
      </c>
      <c r="D169" s="36">
        <v>0</v>
      </c>
      <c r="E169" s="36">
        <v>0</v>
      </c>
      <c r="F169" s="36">
        <v>9645193.6699999999</v>
      </c>
      <c r="G169" s="37">
        <f t="shared" si="17"/>
        <v>0.23382298761036699</v>
      </c>
      <c r="H169" s="23">
        <f t="shared" si="20"/>
        <v>0</v>
      </c>
      <c r="I169" s="24">
        <f t="shared" si="20"/>
        <v>0</v>
      </c>
      <c r="J169" s="32" t="str" cm="1">
        <f t="array" ref="J169">IFERROR(_xlfn.IFS(B169="044 - BLEND TRADICION","BLEND",B169="113 - CAFÉ GOURMET","GOURMET",B169="114 - CAFÉ CONSUMO","CONSUMO",B169="112 - CAFÉ ORGANICO","GOURMET",B169="172 - CAFÉ COSECHA","ESPECIALES",B169="176 - CAFE DESCAFEINADO","GOURMET",B169="147 - CAPSULAS","CAPSULAS",B169="130 - GALLETAS CAFECITAS","DERIVADOS",B169="140 - MERENGUES","DERIVADOS",B169="100 - CAFÉ ESPECIAL","ESPECIALES",B169="141 - AREQUIPE","DERIVADOS",B169="142 - MERMELADA","DERIVADOS",B169="131 - GALLETAS AVENA","DERIVADOS",B169="160 - SOUVENIR","OTROS",B169="148 - CARAMELOS","DERIVADOS",B169="143 - CHOCOFFES","DERIVADOS",B169="162 - CONVENIOS Y DSC POS ","OTROS"),"OTROS")</f>
        <v>BLEND</v>
      </c>
      <c r="L169" s="27">
        <f t="shared" si="18"/>
        <v>2255268</v>
      </c>
      <c r="M169" s="27">
        <f t="shared" si="19"/>
        <v>2255268</v>
      </c>
    </row>
    <row r="170" spans="1:13" ht="16.5" hidden="1" outlineLevel="1">
      <c r="A170" s="38"/>
      <c r="B170" s="39" t="s">
        <v>19</v>
      </c>
      <c r="C170" s="36">
        <v>528380</v>
      </c>
      <c r="D170" s="36">
        <v>-18940</v>
      </c>
      <c r="E170" s="36"/>
      <c r="F170" s="36">
        <v>2739705.11</v>
      </c>
      <c r="G170" s="37">
        <f t="shared" si="17"/>
        <v>0.19286017245848772</v>
      </c>
      <c r="H170" s="23">
        <f t="shared" si="20"/>
        <v>-3.4604984287071545E-2</v>
      </c>
      <c r="I170" s="24">
        <f t="shared" si="20"/>
        <v>0</v>
      </c>
      <c r="J170" s="32" t="str" cm="1">
        <f t="array" ref="J170">IFERROR(_xlfn.IFS(B170="044 - BLEND TRADICION","BLEND",B170="113 - CAFÉ GOURMET","GOURMET",B170="114 - CAFÉ CONSUMO","CONSUMO",B170="112 - CAFÉ ORGANICO","GOURMET",B170="172 - CAFÉ COSECHA","ESPECIALES",B170="176 - CAFE DESCAFEINADO","GOURMET",B170="147 - CAPSULAS","CAPSULAS",B170="130 - GALLETAS CAFECITAS","DERIVADOS",B170="140 - MERENGUES","DERIVADOS",B170="100 - CAFÉ ESPECIAL","ESPECIALES",B170="141 - AREQUIPE","DERIVADOS",B170="142 - MERMELADA","DERIVADOS",B170="131 - GALLETAS AVENA","DERIVADOS",B170="160 - SOUVENIR","OTROS",B170="148 - CARAMELOS","DERIVADOS",B170="143 - CHOCOFFES","DERIVADOS",B170="162 - CONVENIOS Y DSC POS ","OTROS"),"OTROS")</f>
        <v>ESPECIALES</v>
      </c>
      <c r="L170" s="27">
        <f t="shared" si="18"/>
        <v>547320</v>
      </c>
      <c r="M170" s="27">
        <f t="shared" si="19"/>
        <v>547320</v>
      </c>
    </row>
    <row r="171" spans="1:13" ht="16.5" hidden="1" outlineLevel="1">
      <c r="A171" s="38"/>
      <c r="B171" s="39" t="s">
        <v>20</v>
      </c>
      <c r="C171" s="36">
        <v>61420</v>
      </c>
      <c r="D171" s="36">
        <v>0</v>
      </c>
      <c r="E171" s="36">
        <v>0</v>
      </c>
      <c r="F171" s="36">
        <v>825254.9</v>
      </c>
      <c r="G171" s="37">
        <f t="shared" si="17"/>
        <v>7.4425489627507807E-2</v>
      </c>
      <c r="H171" s="23">
        <f t="shared" si="20"/>
        <v>0</v>
      </c>
      <c r="I171" s="24">
        <f t="shared" si="20"/>
        <v>0</v>
      </c>
      <c r="J171" s="32" t="str" cm="1">
        <f t="array" ref="J171">IFERROR(_xlfn.IFS(B171="044 - BLEND TRADICION","BLEND",B171="113 - CAFÉ GOURMET","GOURMET",B171="114 - CAFÉ CONSUMO","CONSUMO",B171="112 - CAFÉ ORGANICO","GOURMET",B171="172 - CAFÉ COSECHA","ESPECIALES",B171="176 - CAFE DESCAFEINADO","GOURMET",B171="147 - CAPSULAS","CAPSULAS",B171="130 - GALLETAS CAFECITAS","DERIVADOS",B171="140 - MERENGUES","DERIVADOS",B171="100 - CAFÉ ESPECIAL","ESPECIALES",B171="141 - AREQUIPE","DERIVADOS",B171="142 - MERMELADA","DERIVADOS",B171="131 - GALLETAS AVENA","DERIVADOS",B171="160 - SOUVENIR","OTROS",B171="148 - CARAMELOS","DERIVADOS",B171="143 - CHOCOFFES","DERIVADOS",B171="162 - CONVENIOS Y DSC POS ","OTROS"),"OTROS")</f>
        <v>GOURMET</v>
      </c>
      <c r="L171" s="27">
        <f t="shared" si="18"/>
        <v>61420</v>
      </c>
      <c r="M171" s="27">
        <f t="shared" si="19"/>
        <v>61420</v>
      </c>
    </row>
    <row r="172" spans="1:13" ht="16.5" hidden="1" outlineLevel="1">
      <c r="A172" s="38"/>
      <c r="B172" s="39" t="s">
        <v>21</v>
      </c>
      <c r="C172" s="36">
        <v>13657296</v>
      </c>
      <c r="D172" s="36">
        <v>-41645</v>
      </c>
      <c r="E172" s="36">
        <v>0</v>
      </c>
      <c r="F172" s="36">
        <v>43096072.049999997</v>
      </c>
      <c r="G172" s="37">
        <f t="shared" si="17"/>
        <v>0.31690349840131199</v>
      </c>
      <c r="H172" s="23">
        <f t="shared" si="20"/>
        <v>-3.0400160129166187E-3</v>
      </c>
      <c r="I172" s="24">
        <f t="shared" si="20"/>
        <v>0</v>
      </c>
      <c r="J172" s="32" t="str" cm="1">
        <f t="array" ref="J172">IFERROR(_xlfn.IFS(B172="044 - BLEND TRADICION","BLEND",B172="113 - CAFÉ GOURMET","GOURMET",B172="114 - CAFÉ CONSUMO","CONSUMO",B172="112 - CAFÉ ORGANICO","GOURMET",B172="172 - CAFÉ COSECHA","ESPECIALES",B172="176 - CAFE DESCAFEINADO","GOURMET",B172="147 - CAPSULAS","CAPSULAS",B172="130 - GALLETAS CAFECITAS","DERIVADOS",B172="140 - MERENGUES","DERIVADOS",B172="100 - CAFÉ ESPECIAL","ESPECIALES",B172="141 - AREQUIPE","DERIVADOS",B172="142 - MERMELADA","DERIVADOS",B172="131 - GALLETAS AVENA","DERIVADOS",B172="160 - SOUVENIR","OTROS",B172="148 - CARAMELOS","DERIVADOS",B172="143 - CHOCOFFES","DERIVADOS",B172="162 - CONVENIOS Y DSC POS ","OTROS"),"OTROS")</f>
        <v>GOURMET</v>
      </c>
      <c r="L172" s="27">
        <f t="shared" si="18"/>
        <v>13698941</v>
      </c>
      <c r="M172" s="27">
        <f t="shared" si="19"/>
        <v>13698941</v>
      </c>
    </row>
    <row r="173" spans="1:13" ht="16.5" hidden="1" outlineLevel="1">
      <c r="A173" s="38"/>
      <c r="B173" s="39" t="s">
        <v>38</v>
      </c>
      <c r="C173" s="36">
        <v>7153032</v>
      </c>
      <c r="D173" s="36">
        <v>0</v>
      </c>
      <c r="E173" s="36">
        <v>0</v>
      </c>
      <c r="F173" s="36">
        <v>16145456.630000001</v>
      </c>
      <c r="G173" s="37">
        <f t="shared" si="17"/>
        <v>0.44303683469124649</v>
      </c>
      <c r="H173" s="23">
        <f t="shared" si="20"/>
        <v>0</v>
      </c>
      <c r="I173" s="24">
        <f t="shared" si="20"/>
        <v>0</v>
      </c>
      <c r="J173" s="32" t="str" cm="1">
        <f t="array" ref="J173">IFERROR(_xlfn.IFS(B173="044 - BLEND TRADICION","BLEND",B173="113 - CAFÉ GOURMET","GOURMET",B173="114 - CAFÉ CONSUMO","CONSUMO",B173="112 - CAFÉ ORGANICO","GOURMET",B173="172 - CAFÉ COSECHA","ESPECIALES",B173="176 - CAFE DESCAFEINADO","GOURMET",B173="147 - CAPSULAS","CAPSULAS",B173="130 - GALLETAS CAFECITAS","DERIVADOS",B173="140 - MERENGUES","DERIVADOS",B173="100 - CAFÉ ESPECIAL","ESPECIALES",B173="141 - AREQUIPE","DERIVADOS",B173="142 - MERMELADA","DERIVADOS",B173="131 - GALLETAS AVENA","DERIVADOS",B173="160 - SOUVENIR","OTROS",B173="148 - CARAMELOS","DERIVADOS",B173="143 - CHOCOFFES","DERIVADOS",B173="162 - CONVENIOS Y DSC POS ","OTROS"),"OTROS")</f>
        <v>CONSUMO</v>
      </c>
      <c r="L173" s="27">
        <f t="shared" si="18"/>
        <v>7153032</v>
      </c>
      <c r="M173" s="27">
        <f t="shared" si="19"/>
        <v>7153032</v>
      </c>
    </row>
    <row r="174" spans="1:13" ht="16.5" hidden="1" outlineLevel="1">
      <c r="A174" s="38"/>
      <c r="B174" s="39" t="s">
        <v>22</v>
      </c>
      <c r="C174" s="36">
        <v>7674918</v>
      </c>
      <c r="D174" s="36">
        <v>-333659</v>
      </c>
      <c r="E174" s="36"/>
      <c r="F174" s="36">
        <v>33513805.359999999</v>
      </c>
      <c r="G174" s="37">
        <f t="shared" si="17"/>
        <v>0.22900765572746049</v>
      </c>
      <c r="H174" s="23">
        <f t="shared" si="20"/>
        <v>-4.1662707369861086E-2</v>
      </c>
      <c r="I174" s="24">
        <f t="shared" si="20"/>
        <v>0</v>
      </c>
      <c r="J174" s="32" t="str" cm="1">
        <f t="array" ref="J174">IFERROR(_xlfn.IFS(B174="044 - BLEND TRADICION","BLEND",B174="113 - CAFÉ GOURMET","GOURMET",B174="114 - CAFÉ CONSUMO","CONSUMO",B174="112 - CAFÉ ORGANICO","GOURMET",B174="172 - CAFÉ COSECHA","ESPECIALES",B174="176 - CAFE DESCAFEINADO","GOURMET",B174="147 - CAPSULAS","CAPSULAS",B174="130 - GALLETAS CAFECITAS","DERIVADOS",B174="140 - MERENGUES","DERIVADOS",B174="100 - CAFÉ ESPECIAL","ESPECIALES",B174="141 - AREQUIPE","DERIVADOS",B174="142 - MERMELADA","DERIVADOS",B174="131 - GALLETAS AVENA","DERIVADOS",B174="160 - SOUVENIR","OTROS",B174="148 - CARAMELOS","DERIVADOS",B174="143 - CHOCOFFES","DERIVADOS",B174="162 - CONVENIOS Y DSC POS ","OTROS"),"OTROS")</f>
        <v>DERIVADOS</v>
      </c>
      <c r="L174" s="27">
        <f t="shared" si="18"/>
        <v>8008577</v>
      </c>
      <c r="M174" s="27">
        <f t="shared" si="19"/>
        <v>8008577</v>
      </c>
    </row>
    <row r="175" spans="1:13" ht="16.5" hidden="1" outlineLevel="1">
      <c r="A175" s="38"/>
      <c r="B175" s="39" t="s">
        <v>23</v>
      </c>
      <c r="C175" s="36">
        <v>0</v>
      </c>
      <c r="D175" s="36">
        <v>0</v>
      </c>
      <c r="E175" s="36"/>
      <c r="F175" s="36">
        <v>174887.86</v>
      </c>
      <c r="G175" s="37">
        <f t="shared" si="17"/>
        <v>0</v>
      </c>
      <c r="H175" s="23">
        <f t="shared" si="20"/>
        <v>0</v>
      </c>
      <c r="I175" s="24">
        <f t="shared" si="20"/>
        <v>0</v>
      </c>
      <c r="J175" s="32" t="str" cm="1">
        <f t="array" ref="J175">IFERROR(_xlfn.IFS(B175="044 - BLEND TRADICION","BLEND",B175="113 - CAFÉ GOURMET","GOURMET",B175="114 - CAFÉ CONSUMO","CONSUMO",B175="112 - CAFÉ ORGANICO","GOURMET",B175="172 - CAFÉ COSECHA","ESPECIALES",B175="176 - CAFE DESCAFEINADO","GOURMET",B175="147 - CAPSULAS","CAPSULAS",B175="130 - GALLETAS CAFECITAS","DERIVADOS",B175="140 - MERENGUES","DERIVADOS",B175="100 - CAFÉ ESPECIAL","ESPECIALES",B175="141 - AREQUIPE","DERIVADOS",B175="142 - MERMELADA","DERIVADOS",B175="131 - GALLETAS AVENA","DERIVADOS",B175="160 - SOUVENIR","OTROS",B175="148 - CARAMELOS","DERIVADOS",B175="143 - CHOCOFFES","DERIVADOS",B175="162 - CONVENIOS Y DSC POS ","OTROS"),"OTROS")</f>
        <v>DERIVADOS</v>
      </c>
      <c r="L175" s="27">
        <f t="shared" si="18"/>
        <v>0</v>
      </c>
      <c r="M175" s="27">
        <f t="shared" si="19"/>
        <v>0</v>
      </c>
    </row>
    <row r="176" spans="1:13" ht="16.5" hidden="1" outlineLevel="1">
      <c r="A176" s="38"/>
      <c r="B176" s="39" t="s">
        <v>24</v>
      </c>
      <c r="C176" s="36">
        <v>476885</v>
      </c>
      <c r="D176" s="36">
        <v>-29153</v>
      </c>
      <c r="E176" s="36">
        <v>0</v>
      </c>
      <c r="F176" s="36">
        <v>2405932.35</v>
      </c>
      <c r="G176" s="37">
        <f t="shared" si="17"/>
        <v>0.19821214008781252</v>
      </c>
      <c r="H176" s="23">
        <f t="shared" si="20"/>
        <v>-5.7610298040858592E-2</v>
      </c>
      <c r="I176" s="24">
        <f t="shared" si="20"/>
        <v>0</v>
      </c>
      <c r="J176" s="32" t="str" cm="1">
        <f t="array" ref="J176">IFERROR(_xlfn.IFS(B176="044 - BLEND TRADICION","BLEND",B176="113 - CAFÉ GOURMET","GOURMET",B176="114 - CAFÉ CONSUMO","CONSUMO",B176="112 - CAFÉ ORGANICO","GOURMET",B176="172 - CAFÉ COSECHA","ESPECIALES",B176="176 - CAFE DESCAFEINADO","GOURMET",B176="147 - CAPSULAS","CAPSULAS",B176="130 - GALLETAS CAFECITAS","DERIVADOS",B176="140 - MERENGUES","DERIVADOS",B176="100 - CAFÉ ESPECIAL","ESPECIALES",B176="141 - AREQUIPE","DERIVADOS",B176="142 - MERMELADA","DERIVADOS",B176="131 - GALLETAS AVENA","DERIVADOS",B176="160 - SOUVENIR","OTROS",B176="148 - CARAMELOS","DERIVADOS",B176="143 - CHOCOFFES","DERIVADOS",B176="162 - CONVENIOS Y DSC POS ","OTROS"),"OTROS")</f>
        <v>DERIVADOS</v>
      </c>
      <c r="L176" s="27">
        <f t="shared" si="18"/>
        <v>506038</v>
      </c>
      <c r="M176" s="27">
        <f t="shared" si="19"/>
        <v>506038</v>
      </c>
    </row>
    <row r="177" spans="1:13" ht="16.5" hidden="1" outlineLevel="1">
      <c r="A177" s="38"/>
      <c r="B177" s="39" t="s">
        <v>25</v>
      </c>
      <c r="C177" s="36">
        <v>3101886</v>
      </c>
      <c r="D177" s="36">
        <v>-25685</v>
      </c>
      <c r="E177" s="36"/>
      <c r="F177" s="36">
        <v>9395897.5299999993</v>
      </c>
      <c r="G177" s="37">
        <f t="shared" si="17"/>
        <v>0.33013195281196306</v>
      </c>
      <c r="H177" s="23">
        <f t="shared" si="20"/>
        <v>-8.2124434585178086E-3</v>
      </c>
      <c r="I177" s="24">
        <f t="shared" si="20"/>
        <v>0</v>
      </c>
      <c r="J177" s="32" t="str" cm="1">
        <f t="array" ref="J177">IFERROR(_xlfn.IFS(B177="044 - BLEND TRADICION","BLEND",B177="113 - CAFÉ GOURMET","GOURMET",B177="114 - CAFÉ CONSUMO","CONSUMO",B177="112 - CAFÉ ORGANICO","GOURMET",B177="172 - CAFÉ COSECHA","ESPECIALES",B177="176 - CAFE DESCAFEINADO","GOURMET",B177="147 - CAPSULAS","CAPSULAS",B177="130 - GALLETAS CAFECITAS","DERIVADOS",B177="140 - MERENGUES","DERIVADOS",B177="100 - CAFÉ ESPECIAL","ESPECIALES",B177="141 - AREQUIPE","DERIVADOS",B177="142 - MERMELADA","DERIVADOS",B177="131 - GALLETAS AVENA","DERIVADOS",B177="160 - SOUVENIR","OTROS",B177="148 - CARAMELOS","DERIVADOS",B177="143 - CHOCOFFES","DERIVADOS",B177="162 - CONVENIOS Y DSC POS ","OTROS"),"OTROS")</f>
        <v>DERIVADOS</v>
      </c>
      <c r="L177" s="27">
        <f t="shared" si="18"/>
        <v>3127571</v>
      </c>
      <c r="M177" s="27">
        <f t="shared" si="19"/>
        <v>3127571</v>
      </c>
    </row>
    <row r="178" spans="1:13" ht="16.5" hidden="1" outlineLevel="1">
      <c r="A178" s="38"/>
      <c r="B178" s="39" t="s">
        <v>26</v>
      </c>
      <c r="C178" s="36">
        <v>227476</v>
      </c>
      <c r="D178" s="36">
        <v>0</v>
      </c>
      <c r="E178" s="36"/>
      <c r="F178" s="36">
        <v>297105.94</v>
      </c>
      <c r="G178" s="37">
        <f t="shared" si="17"/>
        <v>0.76563935409706041</v>
      </c>
      <c r="H178" s="23">
        <f t="shared" si="20"/>
        <v>0</v>
      </c>
      <c r="I178" s="24">
        <f t="shared" si="20"/>
        <v>0</v>
      </c>
      <c r="J178" s="32" t="str" cm="1">
        <f t="array" ref="J178">IFERROR(_xlfn.IFS(B178="044 - BLEND TRADICION","BLEND",B178="113 - CAFÉ GOURMET","GOURMET",B178="114 - CAFÉ CONSUMO","CONSUMO",B178="112 - CAFÉ ORGANICO","GOURMET",B178="172 - CAFÉ COSECHA","ESPECIALES",B178="176 - CAFE DESCAFEINADO","GOURMET",B178="147 - CAPSULAS","CAPSULAS",B178="130 - GALLETAS CAFECITAS","DERIVADOS",B178="140 - MERENGUES","DERIVADOS",B178="100 - CAFÉ ESPECIAL","ESPECIALES",B178="141 - AREQUIPE","DERIVADOS",B178="142 - MERMELADA","DERIVADOS",B178="131 - GALLETAS AVENA","DERIVADOS",B178="160 - SOUVENIR","OTROS",B178="148 - CARAMELOS","DERIVADOS",B178="143 - CHOCOFFES","DERIVADOS",B178="162 - CONVENIOS Y DSC POS ","OTROS"),"OTROS")</f>
        <v>CAPSULAS</v>
      </c>
      <c r="L178" s="27">
        <f t="shared" si="18"/>
        <v>227476</v>
      </c>
      <c r="M178" s="27">
        <f t="shared" si="19"/>
        <v>227476</v>
      </c>
    </row>
    <row r="179" spans="1:13" ht="16.5" hidden="1" outlineLevel="1">
      <c r="A179" s="38"/>
      <c r="B179" s="39" t="s">
        <v>27</v>
      </c>
      <c r="C179" s="36">
        <v>2815899</v>
      </c>
      <c r="D179" s="36">
        <v>0</v>
      </c>
      <c r="E179" s="36">
        <v>0</v>
      </c>
      <c r="F179" s="36">
        <v>18205206.140000001</v>
      </c>
      <c r="G179" s="37">
        <f t="shared" si="17"/>
        <v>0.15467548009868345</v>
      </c>
      <c r="H179" s="23">
        <f t="shared" si="20"/>
        <v>0</v>
      </c>
      <c r="I179" s="24">
        <f t="shared" si="20"/>
        <v>0</v>
      </c>
      <c r="J179" s="32" t="str" cm="1">
        <f t="array" ref="J179">IFERROR(_xlfn.IFS(B179="044 - BLEND TRADICION","BLEND",B179="113 - CAFÉ GOURMET","GOURMET",B179="114 - CAFÉ CONSUMO","CONSUMO",B179="112 - CAFÉ ORGANICO","GOURMET",B179="172 - CAFÉ COSECHA","ESPECIALES",B179="176 - CAFE DESCAFEINADO","GOURMET",B179="147 - CAPSULAS","CAPSULAS",B179="130 - GALLETAS CAFECITAS","DERIVADOS",B179="140 - MERENGUES","DERIVADOS",B179="100 - CAFÉ ESPECIAL","ESPECIALES",B179="141 - AREQUIPE","DERIVADOS",B179="142 - MERMELADA","DERIVADOS",B179="131 - GALLETAS AVENA","DERIVADOS",B179="160 - SOUVENIR","OTROS",B179="148 - CARAMELOS","DERIVADOS",B179="143 - CHOCOFFES","DERIVADOS",B179="162 - CONVENIOS Y DSC POS ","OTROS"),"OTROS")</f>
        <v>DERIVADOS</v>
      </c>
      <c r="L179" s="27">
        <f t="shared" si="18"/>
        <v>2815899</v>
      </c>
      <c r="M179" s="27">
        <f t="shared" si="19"/>
        <v>2815899</v>
      </c>
    </row>
    <row r="180" spans="1:13" ht="16.5" hidden="1" outlineLevel="1">
      <c r="A180" s="38"/>
      <c r="B180" s="39" t="s">
        <v>28</v>
      </c>
      <c r="C180" s="36">
        <v>764019</v>
      </c>
      <c r="D180" s="36">
        <v>-126785</v>
      </c>
      <c r="E180" s="36"/>
      <c r="F180" s="36">
        <v>6286220.4699999997</v>
      </c>
      <c r="G180" s="37">
        <f t="shared" si="17"/>
        <v>0.12153868984490136</v>
      </c>
      <c r="H180" s="23">
        <f t="shared" si="20"/>
        <v>-0.14232648259325284</v>
      </c>
      <c r="I180" s="24">
        <f t="shared" si="20"/>
        <v>0</v>
      </c>
      <c r="J180" s="32" t="str" cm="1">
        <f t="array" ref="J180">IFERROR(_xlfn.IFS(B180="044 - BLEND TRADICION","BLEND",B180="113 - CAFÉ GOURMET","GOURMET",B180="114 - CAFÉ CONSUMO","CONSUMO",B180="112 - CAFÉ ORGANICO","GOURMET",B180="172 - CAFÉ COSECHA","ESPECIALES",B180="176 - CAFE DESCAFEINADO","GOURMET",B180="147 - CAPSULAS","CAPSULAS",B180="130 - GALLETAS CAFECITAS","DERIVADOS",B180="140 - MERENGUES","DERIVADOS",B180="100 - CAFÉ ESPECIAL","ESPECIALES",B180="141 - AREQUIPE","DERIVADOS",B180="142 - MERMELADA","DERIVADOS",B180="131 - GALLETAS AVENA","DERIVADOS",B180="160 - SOUVENIR","OTROS",B180="148 - CARAMELOS","DERIVADOS",B180="143 - CHOCOFFES","DERIVADOS",B180="162 - CONVENIOS Y DSC POS ","OTROS"),"OTROS")</f>
        <v>OTROS</v>
      </c>
      <c r="L180" s="27">
        <f t="shared" si="18"/>
        <v>890804</v>
      </c>
      <c r="M180" s="27">
        <f t="shared" si="19"/>
        <v>890804</v>
      </c>
    </row>
    <row r="181" spans="1:13" ht="16.5" hidden="1" outlineLevel="1">
      <c r="A181" s="38"/>
      <c r="B181" s="39" t="s">
        <v>29</v>
      </c>
      <c r="C181" s="36">
        <v>391452</v>
      </c>
      <c r="D181" s="36">
        <v>0</v>
      </c>
      <c r="E181" s="36"/>
      <c r="F181" s="36">
        <v>2023867.68</v>
      </c>
      <c r="G181" s="37">
        <f t="shared" si="17"/>
        <v>0.19341778312305477</v>
      </c>
      <c r="H181" s="23">
        <f t="shared" si="20"/>
        <v>0</v>
      </c>
      <c r="I181" s="24">
        <f t="shared" si="20"/>
        <v>0</v>
      </c>
      <c r="J181" s="32" t="str" cm="1">
        <f t="array" ref="J181">IFERROR(_xlfn.IFS(B181="044 - BLEND TRADICION","BLEND",B181="113 - CAFÉ GOURMET","GOURMET",B181="114 - CAFÉ CONSUMO","CONSUMO",B181="112 - CAFÉ ORGANICO","GOURMET",B181="172 - CAFÉ COSECHA","ESPECIALES",B181="176 - CAFE DESCAFEINADO","GOURMET",B181="147 - CAPSULAS","CAPSULAS",B181="130 - GALLETAS CAFECITAS","DERIVADOS",B181="140 - MERENGUES","DERIVADOS",B181="100 - CAFÉ ESPECIAL","ESPECIALES",B181="141 - AREQUIPE","DERIVADOS",B181="142 - MERMELADA","DERIVADOS",B181="131 - GALLETAS AVENA","DERIVADOS",B181="160 - SOUVENIR","OTROS",B181="148 - CARAMELOS","DERIVADOS",B181="143 - CHOCOFFES","DERIVADOS",B181="162 - CONVENIOS Y DSC POS ","OTROS"),"OTROS")</f>
        <v>ESPECIALES</v>
      </c>
      <c r="L181" s="27">
        <f t="shared" si="18"/>
        <v>391452</v>
      </c>
      <c r="M181" s="27">
        <f t="shared" si="19"/>
        <v>391452</v>
      </c>
    </row>
    <row r="182" spans="1:13" ht="16.5" hidden="1" outlineLevel="1">
      <c r="A182" s="38"/>
      <c r="B182" s="39" t="s">
        <v>30</v>
      </c>
      <c r="C182" s="36">
        <v>284679</v>
      </c>
      <c r="D182" s="36">
        <v>0</v>
      </c>
      <c r="E182" s="36"/>
      <c r="F182" s="36">
        <v>160123.85</v>
      </c>
      <c r="G182" s="37">
        <f t="shared" si="17"/>
        <v>1.7778675693845731</v>
      </c>
      <c r="H182" s="23">
        <f t="shared" si="20"/>
        <v>0</v>
      </c>
      <c r="I182" s="24">
        <f t="shared" si="20"/>
        <v>0</v>
      </c>
      <c r="J182" s="32" t="str" cm="1">
        <f t="array" ref="J182">IFERROR(_xlfn.IFS(B182="044 - BLEND TRADICION","BLEND",B182="113 - CAFÉ GOURMET","GOURMET",B182="114 - CAFÉ CONSUMO","CONSUMO",B182="112 - CAFÉ ORGANICO","GOURMET",B182="172 - CAFÉ COSECHA","ESPECIALES",B182="176 - CAFE DESCAFEINADO","GOURMET",B182="147 - CAPSULAS","CAPSULAS",B182="130 - GALLETAS CAFECITAS","DERIVADOS",B182="140 - MERENGUES","DERIVADOS",B182="100 - CAFÉ ESPECIAL","ESPECIALES",B182="141 - AREQUIPE","DERIVADOS",B182="142 - MERMELADA","DERIVADOS",B182="131 - GALLETAS AVENA","DERIVADOS",B182="160 - SOUVENIR","OTROS",B182="148 - CARAMELOS","DERIVADOS",B182="143 - CHOCOFFES","DERIVADOS",B182="162 - CONVENIOS Y DSC POS ","OTROS"),"OTROS")</f>
        <v>GOURMET</v>
      </c>
      <c r="L182" s="27">
        <f t="shared" si="18"/>
        <v>284679</v>
      </c>
      <c r="M182" s="27">
        <f t="shared" si="19"/>
        <v>284679</v>
      </c>
    </row>
    <row r="183" spans="1:13" ht="16.5" hidden="1" outlineLevel="1">
      <c r="A183" s="19" t="s">
        <v>53</v>
      </c>
      <c r="B183" s="56" t="s">
        <v>32</v>
      </c>
      <c r="C183" s="54">
        <f>SUM(C168:C182)</f>
        <v>39416760</v>
      </c>
      <c r="D183" s="54">
        <f>SUM(D168:D182)</f>
        <v>-575867</v>
      </c>
      <c r="E183" s="54">
        <f>SUM(E168:E182)</f>
        <v>0</v>
      </c>
      <c r="F183" s="54">
        <f>SUM(F168:F182)</f>
        <v>144914729.53999999</v>
      </c>
      <c r="G183" s="55">
        <f t="shared" si="17"/>
        <v>0.27199967957101295</v>
      </c>
      <c r="H183" s="23">
        <f t="shared" si="20"/>
        <v>-1.4399329156346743E-2</v>
      </c>
      <c r="I183" s="24">
        <f t="shared" si="20"/>
        <v>0</v>
      </c>
      <c r="J183" s="32" t="str" cm="1">
        <f t="array" ref="J183">IFERROR(_xlfn.IFS(B183="044 - BLEND TRADICION","BLEND",B183="113 - CAFÉ GOURMET","GOURMET",B183="114 - CAFÉ CONSUMO","CONSUMO",B183="112 - CAFÉ ORGANICO","GOURMET",B183="172 - CAFÉ COSECHA","ESPECIALES",B183="176 - CAFE DESCAFEINADO","GOURMET",B183="147 - CAPSULAS","CAPSULAS",B183="130 - GALLETAS CAFECITAS","DERIVADOS",B183="140 - MERENGUES","DERIVADOS",B183="100 - CAFÉ ESPECIAL","ESPECIALES",B183="141 - AREQUIPE","DERIVADOS",B183="142 - MERMELADA","DERIVADOS",B183="131 - GALLETAS AVENA","DERIVADOS",B183="160 - SOUVENIR","OTROS",B183="148 - CARAMELOS","DERIVADOS",B183="143 - CHOCOFFES","DERIVADOS",B183="162 - CONVENIOS Y DSC POS ","OTROS"),"OTROS")</f>
        <v>OTROS</v>
      </c>
      <c r="L183" s="27">
        <f t="shared" si="18"/>
        <v>39992627</v>
      </c>
      <c r="M183" s="27">
        <f t="shared" si="19"/>
        <v>39992627</v>
      </c>
    </row>
    <row r="184" spans="1:13" ht="16.5" hidden="1" outlineLevel="1">
      <c r="A184" s="33"/>
      <c r="B184" s="39" t="s">
        <v>42</v>
      </c>
      <c r="C184" s="36">
        <v>40584</v>
      </c>
      <c r="D184" s="36">
        <v>0</v>
      </c>
      <c r="E184" s="36">
        <v>0</v>
      </c>
      <c r="F184" s="36">
        <v>0</v>
      </c>
      <c r="G184" s="37" t="str">
        <f t="shared" si="17"/>
        <v>-</v>
      </c>
      <c r="H184" s="23">
        <f t="shared" si="20"/>
        <v>0</v>
      </c>
      <c r="I184" s="24">
        <f t="shared" si="20"/>
        <v>0</v>
      </c>
      <c r="J184" s="32" t="str" cm="1">
        <f t="array" ref="J184">IFERROR(_xlfn.IFS(B184="044 - BLEND TRADICION","BLEND",B184="113 - CAFÉ GOURMET","GOURMET",B184="114 - CAFÉ CONSUMO","CONSUMO",B184="112 - CAFÉ ORGANICO","GOURMET",B184="172 - CAFÉ COSECHA","ESPECIALES",B184="176 - CAFE DESCAFEINADO","GOURMET",B184="147 - CAPSULAS","CAPSULAS",B184="130 - GALLETAS CAFECITAS","DERIVADOS",B184="140 - MERENGUES","DERIVADOS",B184="100 - CAFÉ ESPECIAL","ESPECIALES",B184="141 - AREQUIPE","DERIVADOS",B184="142 - MERMELADA","DERIVADOS",B184="131 - GALLETAS AVENA","DERIVADOS",B184="160 - SOUVENIR","OTROS",B184="148 - CARAMELOS","DERIVADOS",B184="143 - CHOCOFFES","DERIVADOS",B184="162 - CONVENIOS Y DSC POS ","OTROS"),"OTROS")</f>
        <v>OTROS</v>
      </c>
      <c r="L184" s="27">
        <f t="shared" si="18"/>
        <v>40584</v>
      </c>
      <c r="M184" s="27">
        <f t="shared" si="19"/>
        <v>40584</v>
      </c>
    </row>
    <row r="185" spans="1:13" ht="16.5" hidden="1" outlineLevel="1">
      <c r="A185" s="33"/>
      <c r="B185" s="39" t="s">
        <v>18</v>
      </c>
      <c r="C185" s="36">
        <v>4904996</v>
      </c>
      <c r="D185" s="36">
        <v>0</v>
      </c>
      <c r="E185" s="36"/>
      <c r="F185" s="36">
        <v>10236889.550000001</v>
      </c>
      <c r="G185" s="37">
        <f t="shared" si="17"/>
        <v>0.47914905949141551</v>
      </c>
      <c r="H185" s="23">
        <f t="shared" si="20"/>
        <v>0</v>
      </c>
      <c r="I185" s="24">
        <f t="shared" si="20"/>
        <v>0</v>
      </c>
      <c r="J185" s="32" t="str" cm="1">
        <f t="array" ref="J185">IFERROR(_xlfn.IFS(B185="044 - BLEND TRADICION","BLEND",B185="113 - CAFÉ GOURMET","GOURMET",B185="114 - CAFÉ CONSUMO","CONSUMO",B185="112 - CAFÉ ORGANICO","GOURMET",B185="172 - CAFÉ COSECHA","ESPECIALES",B185="176 - CAFE DESCAFEINADO","GOURMET",B185="147 - CAPSULAS","CAPSULAS",B185="130 - GALLETAS CAFECITAS","DERIVADOS",B185="140 - MERENGUES","DERIVADOS",B185="100 - CAFÉ ESPECIAL","ESPECIALES",B185="141 - AREQUIPE","DERIVADOS",B185="142 - MERMELADA","DERIVADOS",B185="131 - GALLETAS AVENA","DERIVADOS",B185="160 - SOUVENIR","OTROS",B185="148 - CARAMELOS","DERIVADOS",B185="143 - CHOCOFFES","DERIVADOS",B185="162 - CONVENIOS Y DSC POS ","OTROS"),"OTROS")</f>
        <v>BLEND</v>
      </c>
      <c r="L185" s="27">
        <f t="shared" si="18"/>
        <v>4904996</v>
      </c>
      <c r="M185" s="27">
        <f t="shared" si="19"/>
        <v>4904996</v>
      </c>
    </row>
    <row r="186" spans="1:13" ht="16.5" hidden="1" outlineLevel="1">
      <c r="A186" s="38"/>
      <c r="B186" s="39" t="s">
        <v>19</v>
      </c>
      <c r="C186" s="36">
        <v>3022537</v>
      </c>
      <c r="D186" s="36">
        <v>0</v>
      </c>
      <c r="E186" s="36">
        <v>0</v>
      </c>
      <c r="F186" s="36">
        <v>6016526.7400000002</v>
      </c>
      <c r="G186" s="37">
        <f t="shared" si="17"/>
        <v>0.50237240365028279</v>
      </c>
      <c r="H186" s="23">
        <f t="shared" si="20"/>
        <v>0</v>
      </c>
      <c r="I186" s="24">
        <f t="shared" si="20"/>
        <v>0</v>
      </c>
      <c r="J186" s="32" t="str" cm="1">
        <f t="array" ref="J186">IFERROR(_xlfn.IFS(B186="044 - BLEND TRADICION","BLEND",B186="113 - CAFÉ GOURMET","GOURMET",B186="114 - CAFÉ CONSUMO","CONSUMO",B186="112 - CAFÉ ORGANICO","GOURMET",B186="172 - CAFÉ COSECHA","ESPECIALES",B186="176 - CAFE DESCAFEINADO","GOURMET",B186="147 - CAPSULAS","CAPSULAS",B186="130 - GALLETAS CAFECITAS","DERIVADOS",B186="140 - MERENGUES","DERIVADOS",B186="100 - CAFÉ ESPECIAL","ESPECIALES",B186="141 - AREQUIPE","DERIVADOS",B186="142 - MERMELADA","DERIVADOS",B186="131 - GALLETAS AVENA","DERIVADOS",B186="160 - SOUVENIR","OTROS",B186="148 - CARAMELOS","DERIVADOS",B186="143 - CHOCOFFES","DERIVADOS",B186="162 - CONVENIOS Y DSC POS ","OTROS"),"OTROS")</f>
        <v>ESPECIALES</v>
      </c>
      <c r="L186" s="27">
        <f t="shared" si="18"/>
        <v>3022537</v>
      </c>
      <c r="M186" s="27">
        <f t="shared" si="19"/>
        <v>3022537</v>
      </c>
    </row>
    <row r="187" spans="1:13" ht="16.5" hidden="1" outlineLevel="1">
      <c r="A187" s="38"/>
      <c r="B187" s="39" t="s">
        <v>20</v>
      </c>
      <c r="C187" s="36">
        <v>842618</v>
      </c>
      <c r="D187" s="36">
        <v>0</v>
      </c>
      <c r="E187" s="36">
        <v>0</v>
      </c>
      <c r="F187" s="36">
        <v>1636189.73</v>
      </c>
      <c r="G187" s="37">
        <f t="shared" si="17"/>
        <v>0.51498795313915091</v>
      </c>
      <c r="H187" s="23">
        <f t="shared" si="20"/>
        <v>0</v>
      </c>
      <c r="I187" s="24">
        <f t="shared" si="20"/>
        <v>0</v>
      </c>
      <c r="J187" s="32" t="str" cm="1">
        <f t="array" ref="J187">IFERROR(_xlfn.IFS(B187="044 - BLEND TRADICION","BLEND",B187="113 - CAFÉ GOURMET","GOURMET",B187="114 - CAFÉ CONSUMO","CONSUMO",B187="112 - CAFÉ ORGANICO","GOURMET",B187="172 - CAFÉ COSECHA","ESPECIALES",B187="176 - CAFE DESCAFEINADO","GOURMET",B187="147 - CAPSULAS","CAPSULAS",B187="130 - GALLETAS CAFECITAS","DERIVADOS",B187="140 - MERENGUES","DERIVADOS",B187="100 - CAFÉ ESPECIAL","ESPECIALES",B187="141 - AREQUIPE","DERIVADOS",B187="142 - MERMELADA","DERIVADOS",B187="131 - GALLETAS AVENA","DERIVADOS",B187="160 - SOUVENIR","OTROS",B187="148 - CARAMELOS","DERIVADOS",B187="143 - CHOCOFFES","DERIVADOS",B187="162 - CONVENIOS Y DSC POS ","OTROS"),"OTROS")</f>
        <v>GOURMET</v>
      </c>
      <c r="L187" s="27">
        <f t="shared" si="18"/>
        <v>842618</v>
      </c>
      <c r="M187" s="27">
        <f t="shared" si="19"/>
        <v>842618</v>
      </c>
    </row>
    <row r="188" spans="1:13" ht="16.5" hidden="1" outlineLevel="1">
      <c r="A188" s="38"/>
      <c r="B188" s="39" t="s">
        <v>21</v>
      </c>
      <c r="C188" s="36">
        <v>31369666</v>
      </c>
      <c r="D188" s="36">
        <v>0</v>
      </c>
      <c r="E188" s="36"/>
      <c r="F188" s="36">
        <v>64517931.119999997</v>
      </c>
      <c r="G188" s="37">
        <f t="shared" si="17"/>
        <v>0.4862162418328953</v>
      </c>
      <c r="H188" s="23">
        <f t="shared" si="20"/>
        <v>0</v>
      </c>
      <c r="I188" s="24">
        <f t="shared" si="20"/>
        <v>0</v>
      </c>
      <c r="J188" s="32" t="str" cm="1">
        <f t="array" ref="J188">IFERROR(_xlfn.IFS(B188="044 - BLEND TRADICION","BLEND",B188="113 - CAFÉ GOURMET","GOURMET",B188="114 - CAFÉ CONSUMO","CONSUMO",B188="112 - CAFÉ ORGANICO","GOURMET",B188="172 - CAFÉ COSECHA","ESPECIALES",B188="176 - CAFE DESCAFEINADO","GOURMET",B188="147 - CAPSULAS","CAPSULAS",B188="130 - GALLETAS CAFECITAS","DERIVADOS",B188="140 - MERENGUES","DERIVADOS",B188="100 - CAFÉ ESPECIAL","ESPECIALES",B188="141 - AREQUIPE","DERIVADOS",B188="142 - MERMELADA","DERIVADOS",B188="131 - GALLETAS AVENA","DERIVADOS",B188="160 - SOUVENIR","OTROS",B188="148 - CARAMELOS","DERIVADOS",B188="143 - CHOCOFFES","DERIVADOS",B188="162 - CONVENIOS Y DSC POS ","OTROS"),"OTROS")</f>
        <v>GOURMET</v>
      </c>
      <c r="L188" s="27">
        <f t="shared" si="18"/>
        <v>31369666</v>
      </c>
      <c r="M188" s="27">
        <f t="shared" si="19"/>
        <v>31369666</v>
      </c>
    </row>
    <row r="189" spans="1:13" ht="16.5" hidden="1" outlineLevel="1">
      <c r="A189" s="38"/>
      <c r="B189" s="39" t="s">
        <v>38</v>
      </c>
      <c r="C189" s="36">
        <v>6232226</v>
      </c>
      <c r="D189" s="36">
        <v>0</v>
      </c>
      <c r="E189" s="36"/>
      <c r="F189" s="36">
        <v>9597044.6699999999</v>
      </c>
      <c r="G189" s="37">
        <f t="shared" si="17"/>
        <v>0.64939012105275529</v>
      </c>
      <c r="H189" s="23">
        <f t="shared" si="20"/>
        <v>0</v>
      </c>
      <c r="I189" s="24">
        <f t="shared" si="20"/>
        <v>0</v>
      </c>
      <c r="J189" s="32" t="str" cm="1">
        <f t="array" ref="J189">IFERROR(_xlfn.IFS(B189="044 - BLEND TRADICION","BLEND",B189="113 - CAFÉ GOURMET","GOURMET",B189="114 - CAFÉ CONSUMO","CONSUMO",B189="112 - CAFÉ ORGANICO","GOURMET",B189="172 - CAFÉ COSECHA","ESPECIALES",B189="176 - CAFE DESCAFEINADO","GOURMET",B189="147 - CAPSULAS","CAPSULAS",B189="130 - GALLETAS CAFECITAS","DERIVADOS",B189="140 - MERENGUES","DERIVADOS",B189="100 - CAFÉ ESPECIAL","ESPECIALES",B189="141 - AREQUIPE","DERIVADOS",B189="142 - MERMELADA","DERIVADOS",B189="131 - GALLETAS AVENA","DERIVADOS",B189="160 - SOUVENIR","OTROS",B189="148 - CARAMELOS","DERIVADOS",B189="143 - CHOCOFFES","DERIVADOS",B189="162 - CONVENIOS Y DSC POS ","OTROS"),"OTROS")</f>
        <v>CONSUMO</v>
      </c>
      <c r="L189" s="27">
        <f t="shared" si="18"/>
        <v>6232226</v>
      </c>
      <c r="M189" s="27">
        <f t="shared" si="19"/>
        <v>6232226</v>
      </c>
    </row>
    <row r="190" spans="1:13" ht="16.5" hidden="1" outlineLevel="1">
      <c r="A190" s="38"/>
      <c r="B190" s="39" t="s">
        <v>22</v>
      </c>
      <c r="C190" s="36">
        <v>8895098</v>
      </c>
      <c r="D190" s="36">
        <v>-138315</v>
      </c>
      <c r="E190" s="36"/>
      <c r="F190" s="36">
        <v>25972256.75</v>
      </c>
      <c r="G190" s="37">
        <f t="shared" si="17"/>
        <v>0.34248460138143366</v>
      </c>
      <c r="H190" s="23">
        <f t="shared" si="20"/>
        <v>-1.5311488581336866E-2</v>
      </c>
      <c r="I190" s="24">
        <f t="shared" si="20"/>
        <v>0</v>
      </c>
      <c r="J190" s="32" t="str" cm="1">
        <f t="array" ref="J190">IFERROR(_xlfn.IFS(B190="044 - BLEND TRADICION","BLEND",B190="113 - CAFÉ GOURMET","GOURMET",B190="114 - CAFÉ CONSUMO","CONSUMO",B190="112 - CAFÉ ORGANICO","GOURMET",B190="172 - CAFÉ COSECHA","ESPECIALES",B190="176 - CAFE DESCAFEINADO","GOURMET",B190="147 - CAPSULAS","CAPSULAS",B190="130 - GALLETAS CAFECITAS","DERIVADOS",B190="140 - MERENGUES","DERIVADOS",B190="100 - CAFÉ ESPECIAL","ESPECIALES",B190="141 - AREQUIPE","DERIVADOS",B190="142 - MERMELADA","DERIVADOS",B190="131 - GALLETAS AVENA","DERIVADOS",B190="160 - SOUVENIR","OTROS",B190="148 - CARAMELOS","DERIVADOS",B190="143 - CHOCOFFES","DERIVADOS",B190="162 - CONVENIOS Y DSC POS ","OTROS"),"OTROS")</f>
        <v>DERIVADOS</v>
      </c>
      <c r="L190" s="27">
        <f t="shared" si="18"/>
        <v>9033413</v>
      </c>
      <c r="M190" s="27">
        <f t="shared" si="19"/>
        <v>9033413</v>
      </c>
    </row>
    <row r="191" spans="1:13" ht="16.5" hidden="1" outlineLevel="1">
      <c r="A191" s="38"/>
      <c r="B191" s="39" t="s">
        <v>24</v>
      </c>
      <c r="C191" s="36">
        <v>989878</v>
      </c>
      <c r="D191" s="36">
        <v>0</v>
      </c>
      <c r="E191" s="36"/>
      <c r="F191" s="36">
        <v>2464599.98</v>
      </c>
      <c r="G191" s="37">
        <f t="shared" si="17"/>
        <v>0.40163840299958131</v>
      </c>
      <c r="H191" s="23">
        <f t="shared" si="20"/>
        <v>0</v>
      </c>
      <c r="I191" s="24">
        <f t="shared" si="20"/>
        <v>0</v>
      </c>
      <c r="J191" s="32" t="str" cm="1">
        <f t="array" ref="J191">IFERROR(_xlfn.IFS(B191="044 - BLEND TRADICION","BLEND",B191="113 - CAFÉ GOURMET","GOURMET",B191="114 - CAFÉ CONSUMO","CONSUMO",B191="112 - CAFÉ ORGANICO","GOURMET",B191="172 - CAFÉ COSECHA","ESPECIALES",B191="176 - CAFE DESCAFEINADO","GOURMET",B191="147 - CAPSULAS","CAPSULAS",B191="130 - GALLETAS CAFECITAS","DERIVADOS",B191="140 - MERENGUES","DERIVADOS",B191="100 - CAFÉ ESPECIAL","ESPECIALES",B191="141 - AREQUIPE","DERIVADOS",B191="142 - MERMELADA","DERIVADOS",B191="131 - GALLETAS AVENA","DERIVADOS",B191="160 - SOUVENIR","OTROS",B191="148 - CARAMELOS","DERIVADOS",B191="143 - CHOCOFFES","DERIVADOS",B191="162 - CONVENIOS Y DSC POS ","OTROS"),"OTROS")</f>
        <v>DERIVADOS</v>
      </c>
      <c r="L191" s="27">
        <f t="shared" si="18"/>
        <v>989878</v>
      </c>
      <c r="M191" s="27">
        <f t="shared" si="19"/>
        <v>989878</v>
      </c>
    </row>
    <row r="192" spans="1:13" ht="16.5" hidden="1" outlineLevel="1">
      <c r="A192" s="38"/>
      <c r="B192" s="39" t="s">
        <v>25</v>
      </c>
      <c r="C192" s="36">
        <v>4557214</v>
      </c>
      <c r="D192" s="36">
        <v>-34401</v>
      </c>
      <c r="E192" s="36"/>
      <c r="F192" s="36">
        <v>12421685.26</v>
      </c>
      <c r="G192" s="37">
        <f t="shared" si="17"/>
        <v>0.3668756617650768</v>
      </c>
      <c r="H192" s="23">
        <f t="shared" si="20"/>
        <v>-7.4921351202136936E-3</v>
      </c>
      <c r="I192" s="24">
        <f t="shared" si="20"/>
        <v>0</v>
      </c>
      <c r="J192" s="32" t="str" cm="1">
        <f t="array" ref="J192">IFERROR(_xlfn.IFS(B192="044 - BLEND TRADICION","BLEND",B192="113 - CAFÉ GOURMET","GOURMET",B192="114 - CAFÉ CONSUMO","CONSUMO",B192="112 - CAFÉ ORGANICO","GOURMET",B192="172 - CAFÉ COSECHA","ESPECIALES",B192="176 - CAFE DESCAFEINADO","GOURMET",B192="147 - CAPSULAS","CAPSULAS",B192="130 - GALLETAS CAFECITAS","DERIVADOS",B192="140 - MERENGUES","DERIVADOS",B192="100 - CAFÉ ESPECIAL","ESPECIALES",B192="141 - AREQUIPE","DERIVADOS",B192="142 - MERMELADA","DERIVADOS",B192="131 - GALLETAS AVENA","DERIVADOS",B192="160 - SOUVENIR","OTROS",B192="148 - CARAMELOS","DERIVADOS",B192="143 - CHOCOFFES","DERIVADOS",B192="162 - CONVENIOS Y DSC POS ","OTROS"),"OTROS")</f>
        <v>DERIVADOS</v>
      </c>
      <c r="L192" s="27">
        <f t="shared" si="18"/>
        <v>4591615</v>
      </c>
      <c r="M192" s="27">
        <f t="shared" si="19"/>
        <v>4591615</v>
      </c>
    </row>
    <row r="193" spans="1:13" ht="16.5" hidden="1" outlineLevel="1">
      <c r="A193" s="38"/>
      <c r="B193" s="39" t="s">
        <v>26</v>
      </c>
      <c r="C193" s="36">
        <v>761007</v>
      </c>
      <c r="D193" s="36">
        <v>0</v>
      </c>
      <c r="E193" s="36"/>
      <c r="F193" s="36">
        <v>2257638.58</v>
      </c>
      <c r="G193" s="37">
        <f t="shared" si="17"/>
        <v>0.33708096891221623</v>
      </c>
      <c r="H193" s="23">
        <f t="shared" si="20"/>
        <v>0</v>
      </c>
      <c r="I193" s="24">
        <f t="shared" si="20"/>
        <v>0</v>
      </c>
      <c r="J193" s="32" t="str" cm="1">
        <f t="array" ref="J193">IFERROR(_xlfn.IFS(B193="044 - BLEND TRADICION","BLEND",B193="113 - CAFÉ GOURMET","GOURMET",B193="114 - CAFÉ CONSUMO","CONSUMO",B193="112 - CAFÉ ORGANICO","GOURMET",B193="172 - CAFÉ COSECHA","ESPECIALES",B193="176 - CAFE DESCAFEINADO","GOURMET",B193="147 - CAPSULAS","CAPSULAS",B193="130 - GALLETAS CAFECITAS","DERIVADOS",B193="140 - MERENGUES","DERIVADOS",B193="100 - CAFÉ ESPECIAL","ESPECIALES",B193="141 - AREQUIPE","DERIVADOS",B193="142 - MERMELADA","DERIVADOS",B193="131 - GALLETAS AVENA","DERIVADOS",B193="160 - SOUVENIR","OTROS",B193="148 - CARAMELOS","DERIVADOS",B193="143 - CHOCOFFES","DERIVADOS",B193="162 - CONVENIOS Y DSC POS ","OTROS"),"OTROS")</f>
        <v>CAPSULAS</v>
      </c>
      <c r="L193" s="27">
        <f t="shared" si="18"/>
        <v>761007</v>
      </c>
      <c r="M193" s="27">
        <f t="shared" si="19"/>
        <v>761007</v>
      </c>
    </row>
    <row r="194" spans="1:13" ht="16.5" hidden="1" outlineLevel="1">
      <c r="A194" s="38"/>
      <c r="B194" s="39" t="s">
        <v>27</v>
      </c>
      <c r="C194" s="36">
        <v>7305667</v>
      </c>
      <c r="D194" s="36">
        <v>-72858</v>
      </c>
      <c r="E194" s="36"/>
      <c r="F194" s="36">
        <v>20712565.039999999</v>
      </c>
      <c r="G194" s="37">
        <f t="shared" si="17"/>
        <v>0.35271667154171071</v>
      </c>
      <c r="H194" s="23">
        <f t="shared" ref="H194:I209" si="21">IFERROR(+D194/L194*100%,0)</f>
        <v>-9.8743312518423405E-3</v>
      </c>
      <c r="I194" s="24">
        <f t="shared" si="21"/>
        <v>0</v>
      </c>
      <c r="J194" s="32" t="str" cm="1">
        <f t="array" ref="J194">IFERROR(_xlfn.IFS(B194="044 - BLEND TRADICION","BLEND",B194="113 - CAFÉ GOURMET","GOURMET",B194="114 - CAFÉ CONSUMO","CONSUMO",B194="112 - CAFÉ ORGANICO","GOURMET",B194="172 - CAFÉ COSECHA","ESPECIALES",B194="176 - CAFE DESCAFEINADO","GOURMET",B194="147 - CAPSULAS","CAPSULAS",B194="130 - GALLETAS CAFECITAS","DERIVADOS",B194="140 - MERENGUES","DERIVADOS",B194="100 - CAFÉ ESPECIAL","ESPECIALES",B194="141 - AREQUIPE","DERIVADOS",B194="142 - MERMELADA","DERIVADOS",B194="131 - GALLETAS AVENA","DERIVADOS",B194="160 - SOUVENIR","OTROS",B194="148 - CARAMELOS","DERIVADOS",B194="143 - CHOCOFFES","DERIVADOS",B194="162 - CONVENIOS Y DSC POS ","OTROS"),"OTROS")</f>
        <v>DERIVADOS</v>
      </c>
      <c r="L194" s="27">
        <f t="shared" si="18"/>
        <v>7378525</v>
      </c>
      <c r="M194" s="27">
        <f t="shared" si="19"/>
        <v>7378525</v>
      </c>
    </row>
    <row r="195" spans="1:13" ht="16.5" hidden="1" outlineLevel="1">
      <c r="A195" s="38"/>
      <c r="B195" s="39" t="s">
        <v>28</v>
      </c>
      <c r="C195" s="36">
        <v>3879911</v>
      </c>
      <c r="D195" s="36">
        <v>0</v>
      </c>
      <c r="E195" s="36"/>
      <c r="F195" s="36">
        <v>14886549.630000001</v>
      </c>
      <c r="G195" s="37">
        <f t="shared" si="17"/>
        <v>0.2606319863523674</v>
      </c>
      <c r="H195" s="23">
        <f t="shared" si="21"/>
        <v>0</v>
      </c>
      <c r="I195" s="24">
        <f t="shared" si="21"/>
        <v>0</v>
      </c>
      <c r="J195" s="32" t="str" cm="1">
        <f t="array" ref="J195">IFERROR(_xlfn.IFS(B195="044 - BLEND TRADICION","BLEND",B195="113 - CAFÉ GOURMET","GOURMET",B195="114 - CAFÉ CONSUMO","CONSUMO",B195="112 - CAFÉ ORGANICO","GOURMET",B195="172 - CAFÉ COSECHA","ESPECIALES",B195="176 - CAFE DESCAFEINADO","GOURMET",B195="147 - CAPSULAS","CAPSULAS",B195="130 - GALLETAS CAFECITAS","DERIVADOS",B195="140 - MERENGUES","DERIVADOS",B195="100 - CAFÉ ESPECIAL","ESPECIALES",B195="141 - AREQUIPE","DERIVADOS",B195="142 - MERMELADA","DERIVADOS",B195="131 - GALLETAS AVENA","DERIVADOS",B195="160 - SOUVENIR","OTROS",B195="148 - CARAMELOS","DERIVADOS",B195="143 - CHOCOFFES","DERIVADOS",B195="162 - CONVENIOS Y DSC POS ","OTROS"),"OTROS")</f>
        <v>OTROS</v>
      </c>
      <c r="L195" s="27">
        <f t="shared" si="18"/>
        <v>3879911</v>
      </c>
      <c r="M195" s="27">
        <f t="shared" si="19"/>
        <v>3879911</v>
      </c>
    </row>
    <row r="196" spans="1:13" ht="16.5" hidden="1" outlineLevel="1">
      <c r="A196" s="38"/>
      <c r="B196" s="39" t="s">
        <v>29</v>
      </c>
      <c r="C196" s="36">
        <v>2837325</v>
      </c>
      <c r="D196" s="36">
        <v>0</v>
      </c>
      <c r="E196" s="36"/>
      <c r="F196" s="36">
        <v>8209679.5599999996</v>
      </c>
      <c r="G196" s="37">
        <f t="shared" si="17"/>
        <v>0.34560727727112411</v>
      </c>
      <c r="H196" s="23">
        <f t="shared" si="21"/>
        <v>0</v>
      </c>
      <c r="I196" s="24">
        <f t="shared" si="21"/>
        <v>0</v>
      </c>
      <c r="J196" s="32" t="str" cm="1">
        <f t="array" ref="J196">IFERROR(_xlfn.IFS(B196="044 - BLEND TRADICION","BLEND",B196="113 - CAFÉ GOURMET","GOURMET",B196="114 - CAFÉ CONSUMO","CONSUMO",B196="112 - CAFÉ ORGANICO","GOURMET",B196="172 - CAFÉ COSECHA","ESPECIALES",B196="176 - CAFE DESCAFEINADO","GOURMET",B196="147 - CAPSULAS","CAPSULAS",B196="130 - GALLETAS CAFECITAS","DERIVADOS",B196="140 - MERENGUES","DERIVADOS",B196="100 - CAFÉ ESPECIAL","ESPECIALES",B196="141 - AREQUIPE","DERIVADOS",B196="142 - MERMELADA","DERIVADOS",B196="131 - GALLETAS AVENA","DERIVADOS",B196="160 - SOUVENIR","OTROS",B196="148 - CARAMELOS","DERIVADOS",B196="143 - CHOCOFFES","DERIVADOS",B196="162 - CONVENIOS Y DSC POS ","OTROS"),"OTROS")</f>
        <v>ESPECIALES</v>
      </c>
      <c r="L196" s="27">
        <f t="shared" si="18"/>
        <v>2837325</v>
      </c>
      <c r="M196" s="27">
        <f t="shared" si="19"/>
        <v>2837325</v>
      </c>
    </row>
    <row r="197" spans="1:13" ht="16.5" hidden="1" outlineLevel="1">
      <c r="A197" s="38"/>
      <c r="B197" s="39" t="s">
        <v>30</v>
      </c>
      <c r="C197" s="36">
        <v>363124</v>
      </c>
      <c r="D197" s="36">
        <v>0</v>
      </c>
      <c r="E197" s="36"/>
      <c r="F197" s="36">
        <v>1016149.79</v>
      </c>
      <c r="G197" s="37">
        <f t="shared" si="17"/>
        <v>0.35735282688982301</v>
      </c>
      <c r="H197" s="23">
        <f t="shared" si="21"/>
        <v>0</v>
      </c>
      <c r="I197" s="24">
        <f t="shared" si="21"/>
        <v>0</v>
      </c>
      <c r="J197" s="32" t="str" cm="1">
        <f t="array" ref="J197">IFERROR(_xlfn.IFS(B197="044 - BLEND TRADICION","BLEND",B197="113 - CAFÉ GOURMET","GOURMET",B197="114 - CAFÉ CONSUMO","CONSUMO",B197="112 - CAFÉ ORGANICO","GOURMET",B197="172 - CAFÉ COSECHA","ESPECIALES",B197="176 - CAFE DESCAFEINADO","GOURMET",B197="147 - CAPSULAS","CAPSULAS",B197="130 - GALLETAS CAFECITAS","DERIVADOS",B197="140 - MERENGUES","DERIVADOS",B197="100 - CAFÉ ESPECIAL","ESPECIALES",B197="141 - AREQUIPE","DERIVADOS",B197="142 - MERMELADA","DERIVADOS",B197="131 - GALLETAS AVENA","DERIVADOS",B197="160 - SOUVENIR","OTROS",B197="148 - CARAMELOS","DERIVADOS",B197="143 - CHOCOFFES","DERIVADOS",B197="162 - CONVENIOS Y DSC POS ","OTROS"),"OTROS")</f>
        <v>GOURMET</v>
      </c>
      <c r="L197" s="27">
        <f t="shared" si="18"/>
        <v>363124</v>
      </c>
      <c r="M197" s="27">
        <f t="shared" si="19"/>
        <v>363124</v>
      </c>
    </row>
    <row r="198" spans="1:13" ht="16.5" hidden="1" outlineLevel="1">
      <c r="A198" s="19" t="s">
        <v>54</v>
      </c>
      <c r="B198" s="56" t="s">
        <v>32</v>
      </c>
      <c r="C198" s="54">
        <f>SUM(C184:C197)</f>
        <v>76001851</v>
      </c>
      <c r="D198" s="54">
        <f>SUM(D184:D197)</f>
        <v>-245574</v>
      </c>
      <c r="E198" s="54">
        <f>SUM(E184:E197)</f>
        <v>0</v>
      </c>
      <c r="F198" s="58">
        <f>SUM(F184:F197)</f>
        <v>179945706.40000001</v>
      </c>
      <c r="G198" s="55">
        <f t="shared" si="17"/>
        <v>0.42235990244221799</v>
      </c>
      <c r="H198" s="23">
        <f t="shared" si="21"/>
        <v>-3.2207513893092129E-3</v>
      </c>
      <c r="I198" s="24">
        <f t="shared" si="21"/>
        <v>0</v>
      </c>
      <c r="J198" s="32" t="str" cm="1">
        <f t="array" ref="J198">IFERROR(_xlfn.IFS(B198="044 - BLEND TRADICION","BLEND",B198="113 - CAFÉ GOURMET","GOURMET",B198="114 - CAFÉ CONSUMO","CONSUMO",B198="112 - CAFÉ ORGANICO","GOURMET",B198="172 - CAFÉ COSECHA","ESPECIALES",B198="176 - CAFE DESCAFEINADO","GOURMET",B198="147 - CAPSULAS","CAPSULAS",B198="130 - GALLETAS CAFECITAS","DERIVADOS",B198="140 - MERENGUES","DERIVADOS",B198="100 - CAFÉ ESPECIAL","ESPECIALES",B198="141 - AREQUIPE","DERIVADOS",B198="142 - MERMELADA","DERIVADOS",B198="131 - GALLETAS AVENA","DERIVADOS",B198="160 - SOUVENIR","OTROS",B198="148 - CARAMELOS","DERIVADOS",B198="143 - CHOCOFFES","DERIVADOS",B198="162 - CONVENIOS Y DSC POS ","OTROS"),"OTROS")</f>
        <v>OTROS</v>
      </c>
      <c r="L198" s="27">
        <f t="shared" si="18"/>
        <v>76247425</v>
      </c>
      <c r="M198" s="27">
        <f t="shared" si="19"/>
        <v>76247425</v>
      </c>
    </row>
    <row r="199" spans="1:13" ht="16.5" collapsed="1">
      <c r="A199" s="28" t="s">
        <v>55</v>
      </c>
      <c r="B199" s="29" t="s">
        <v>17</v>
      </c>
      <c r="C199" s="30">
        <f>+C215</f>
        <v>164202526</v>
      </c>
      <c r="D199" s="30">
        <f t="shared" ref="D199:E199" si="22">+D215</f>
        <v>-767946</v>
      </c>
      <c r="E199" s="30">
        <f t="shared" si="22"/>
        <v>-467561</v>
      </c>
      <c r="F199" s="30">
        <f>+F215</f>
        <v>251466278.25</v>
      </c>
      <c r="G199" s="31">
        <f t="shared" si="17"/>
        <v>0.65298030074933122</v>
      </c>
      <c r="H199" s="23">
        <f t="shared" si="21"/>
        <v>-4.6418951318165152E-3</v>
      </c>
      <c r="I199" s="24">
        <f t="shared" si="21"/>
        <v>-2.8262001881997714E-3</v>
      </c>
      <c r="J199" s="32" t="str" cm="1">
        <f t="array" ref="J199">IFERROR(_xlfn.IFS(B199="044 - BLEND TRADICION","BLEND",B199="113 - CAFÉ GOURMET","GOURMET",B199="114 - CAFÉ CONSUMO","CONSUMO",B199="112 - CAFÉ ORGANICO","GOURMET",B199="172 - CAFÉ COSECHA","ESPECIALES",B199="176 - CAFE DESCAFEINADO","GOURMET",B199="147 - CAPSULAS","CAPSULAS",B199="130 - GALLETAS CAFECITAS","DERIVADOS",B199="140 - MERENGUES","DERIVADOS",B199="100 - CAFÉ ESPECIAL","ESPECIALES",B199="141 - AREQUIPE","DERIVADOS",B199="142 - MERMELADA","DERIVADOS",B199="131 - GALLETAS AVENA","DERIVADOS",B199="160 - SOUVENIR","OTROS",B199="148 - CARAMELOS","DERIVADOS",B199="143 - CHOCOFFES","DERIVADOS",B199="162 - CONVENIOS Y DSC POS ","OTROS"),"OTROS")</f>
        <v>OTROS</v>
      </c>
      <c r="L199" s="27">
        <f t="shared" si="18"/>
        <v>165438033</v>
      </c>
      <c r="M199" s="27">
        <f t="shared" si="19"/>
        <v>165438033</v>
      </c>
    </row>
    <row r="200" spans="1:13" ht="16.5" hidden="1" outlineLevel="1">
      <c r="A200" s="38"/>
      <c r="B200" s="39" t="s">
        <v>34</v>
      </c>
      <c r="C200" s="36">
        <v>2772654</v>
      </c>
      <c r="D200" s="36">
        <v>0</v>
      </c>
      <c r="E200" s="36">
        <v>0</v>
      </c>
      <c r="F200" s="36">
        <v>4405498.4400000004</v>
      </c>
      <c r="G200" s="37">
        <f t="shared" si="17"/>
        <v>0.62936215680512186</v>
      </c>
      <c r="H200" s="23">
        <f t="shared" si="21"/>
        <v>0</v>
      </c>
      <c r="I200" s="24">
        <f t="shared" si="21"/>
        <v>0</v>
      </c>
      <c r="J200" s="32" t="str" cm="1">
        <f t="array" ref="J200">IFERROR(_xlfn.IFS(B200="044 - BLEND TRADICION","BLEND",B200="113 - CAFÉ GOURMET","GOURMET",B200="114 - CAFÉ CONSUMO","CONSUMO",B200="112 - CAFÉ ORGANICO","GOURMET",B200="172 - CAFÉ COSECHA","ESPECIALES",B200="176 - CAFE DESCAFEINADO","GOURMET",B200="147 - CAPSULAS","CAPSULAS",B200="130 - GALLETAS CAFECITAS","DERIVADOS",B200="140 - MERENGUES","DERIVADOS",B200="100 - CAFÉ ESPECIAL","ESPECIALES",B200="141 - AREQUIPE","DERIVADOS",B200="142 - MERMELADA","DERIVADOS",B200="131 - GALLETAS AVENA","DERIVADOS",B200="160 - SOUVENIR","OTROS",B200="148 - CARAMELOS","DERIVADOS",B200="143 - CHOCOFFES","DERIVADOS",B200="162 - CONVENIOS Y DSC POS ","OTROS"),"OTROS")</f>
        <v>OTROS</v>
      </c>
      <c r="K200" s="62"/>
      <c r="L200" s="27">
        <f t="shared" si="18"/>
        <v>2772654</v>
      </c>
      <c r="M200" s="27">
        <f t="shared" si="19"/>
        <v>2772654</v>
      </c>
    </row>
    <row r="201" spans="1:13" ht="16.5" hidden="1" outlineLevel="1">
      <c r="A201" s="38"/>
      <c r="B201" s="39" t="s">
        <v>18</v>
      </c>
      <c r="C201" s="36">
        <v>523500</v>
      </c>
      <c r="D201" s="36">
        <v>0</v>
      </c>
      <c r="E201" s="36"/>
      <c r="F201" s="36">
        <v>1752263.11</v>
      </c>
      <c r="G201" s="37">
        <f t="shared" si="17"/>
        <v>0.29875650352531818</v>
      </c>
      <c r="H201" s="23">
        <f t="shared" si="21"/>
        <v>0</v>
      </c>
      <c r="I201" s="24">
        <f t="shared" si="21"/>
        <v>0</v>
      </c>
      <c r="J201" s="32" t="str" cm="1">
        <f t="array" ref="J201">IFERROR(_xlfn.IFS(B201="044 - BLEND TRADICION","BLEND",B201="113 - CAFÉ GOURMET","GOURMET",B201="114 - CAFÉ CONSUMO","CONSUMO",B201="112 - CAFÉ ORGANICO","GOURMET",B201="172 - CAFÉ COSECHA","ESPECIALES",B201="176 - CAFE DESCAFEINADO","GOURMET",B201="147 - CAPSULAS","CAPSULAS",B201="130 - GALLETAS CAFECITAS","DERIVADOS",B201="140 - MERENGUES","DERIVADOS",B201="100 - CAFÉ ESPECIAL","ESPECIALES",B201="141 - AREQUIPE","DERIVADOS",B201="142 - MERMELADA","DERIVADOS",B201="131 - GALLETAS AVENA","DERIVADOS",B201="160 - SOUVENIR","OTROS",B201="148 - CARAMELOS","DERIVADOS",B201="143 - CHOCOFFES","DERIVADOS",B201="162 - CONVENIOS Y DSC POS ","OTROS"),"OTROS")</f>
        <v>BLEND</v>
      </c>
      <c r="K201" s="62"/>
      <c r="L201" s="27">
        <f t="shared" si="18"/>
        <v>523500</v>
      </c>
      <c r="M201" s="27">
        <f t="shared" si="19"/>
        <v>523500</v>
      </c>
    </row>
    <row r="202" spans="1:13" ht="16.5" hidden="1" outlineLevel="1">
      <c r="A202" s="38"/>
      <c r="B202" s="39" t="s">
        <v>19</v>
      </c>
      <c r="C202" s="36">
        <v>4365338</v>
      </c>
      <c r="D202" s="36">
        <v>0</v>
      </c>
      <c r="E202" s="36"/>
      <c r="F202" s="36">
        <v>5187386.37</v>
      </c>
      <c r="G202" s="37">
        <f t="shared" si="17"/>
        <v>0.84152937310509224</v>
      </c>
      <c r="H202" s="23">
        <f t="shared" si="21"/>
        <v>0</v>
      </c>
      <c r="I202" s="24">
        <f t="shared" si="21"/>
        <v>0</v>
      </c>
      <c r="J202" s="32" t="str" cm="1">
        <f t="array" ref="J202">IFERROR(_xlfn.IFS(B202="044 - BLEND TRADICION","BLEND",B202="113 - CAFÉ GOURMET","GOURMET",B202="114 - CAFÉ CONSUMO","CONSUMO",B202="112 - CAFÉ ORGANICO","GOURMET",B202="172 - CAFÉ COSECHA","ESPECIALES",B202="176 - CAFE DESCAFEINADO","GOURMET",B202="147 - CAPSULAS","CAPSULAS",B202="130 - GALLETAS CAFECITAS","DERIVADOS",B202="140 - MERENGUES","DERIVADOS",B202="100 - CAFÉ ESPECIAL","ESPECIALES",B202="141 - AREQUIPE","DERIVADOS",B202="142 - MERMELADA","DERIVADOS",B202="131 - GALLETAS AVENA","DERIVADOS",B202="160 - SOUVENIR","OTROS",B202="148 - CARAMELOS","DERIVADOS",B202="143 - CHOCOFFES","DERIVADOS",B202="162 - CONVENIOS Y DSC POS ","OTROS"),"OTROS")</f>
        <v>ESPECIALES</v>
      </c>
      <c r="K202" s="62"/>
      <c r="L202" s="27">
        <f t="shared" si="18"/>
        <v>4365338</v>
      </c>
      <c r="M202" s="27">
        <f t="shared" si="19"/>
        <v>4365338</v>
      </c>
    </row>
    <row r="203" spans="1:13" ht="16.5" hidden="1" outlineLevel="1">
      <c r="A203" s="38"/>
      <c r="B203" s="39" t="s">
        <v>20</v>
      </c>
      <c r="C203" s="36">
        <v>4757961</v>
      </c>
      <c r="D203" s="36">
        <v>0</v>
      </c>
      <c r="E203" s="36"/>
      <c r="F203" s="36">
        <v>7440163.29</v>
      </c>
      <c r="G203" s="37">
        <f t="shared" si="17"/>
        <v>0.63949685168804948</v>
      </c>
      <c r="H203" s="23">
        <f t="shared" si="21"/>
        <v>0</v>
      </c>
      <c r="I203" s="24">
        <f t="shared" si="21"/>
        <v>0</v>
      </c>
      <c r="J203" s="32" t="str" cm="1">
        <f t="array" ref="J203">IFERROR(_xlfn.IFS(B203="044 - BLEND TRADICION","BLEND",B203="113 - CAFÉ GOURMET","GOURMET",B203="114 - CAFÉ CONSUMO","CONSUMO",B203="112 - CAFÉ ORGANICO","GOURMET",B203="172 - CAFÉ COSECHA","ESPECIALES",B203="176 - CAFE DESCAFEINADO","GOURMET",B203="147 - CAPSULAS","CAPSULAS",B203="130 - GALLETAS CAFECITAS","DERIVADOS",B203="140 - MERENGUES","DERIVADOS",B203="100 - CAFÉ ESPECIAL","ESPECIALES",B203="141 - AREQUIPE","DERIVADOS",B203="142 - MERMELADA","DERIVADOS",B203="131 - GALLETAS AVENA","DERIVADOS",B203="160 - SOUVENIR","OTROS",B203="148 - CARAMELOS","DERIVADOS",B203="143 - CHOCOFFES","DERIVADOS",B203="162 - CONVENIOS Y DSC POS ","OTROS"),"OTROS")</f>
        <v>GOURMET</v>
      </c>
      <c r="K203" s="62"/>
      <c r="L203" s="27">
        <f t="shared" si="18"/>
        <v>4757961</v>
      </c>
      <c r="M203" s="27">
        <f t="shared" si="19"/>
        <v>4757961</v>
      </c>
    </row>
    <row r="204" spans="1:13" ht="16.5" hidden="1" outlineLevel="1">
      <c r="A204" s="38"/>
      <c r="B204" s="39" t="s">
        <v>21</v>
      </c>
      <c r="C204" s="36">
        <v>96623981</v>
      </c>
      <c r="D204" s="36">
        <v>-654102</v>
      </c>
      <c r="E204" s="36"/>
      <c r="F204" s="36">
        <v>142013899.65000001</v>
      </c>
      <c r="G204" s="37">
        <f t="shared" si="17"/>
        <v>0.68038397113334947</v>
      </c>
      <c r="H204" s="23">
        <f t="shared" si="21"/>
        <v>-6.7240428658529383E-3</v>
      </c>
      <c r="I204" s="24">
        <f t="shared" si="21"/>
        <v>0</v>
      </c>
      <c r="J204" s="32" t="str" cm="1">
        <f t="array" ref="J204">IFERROR(_xlfn.IFS(B204="044 - BLEND TRADICION","BLEND",B204="113 - CAFÉ GOURMET","GOURMET",B204="114 - CAFÉ CONSUMO","CONSUMO",B204="112 - CAFÉ ORGANICO","GOURMET",B204="172 - CAFÉ COSECHA","ESPECIALES",B204="176 - CAFE DESCAFEINADO","GOURMET",B204="147 - CAPSULAS","CAPSULAS",B204="130 - GALLETAS CAFECITAS","DERIVADOS",B204="140 - MERENGUES","DERIVADOS",B204="100 - CAFÉ ESPECIAL","ESPECIALES",B204="141 - AREQUIPE","DERIVADOS",B204="142 - MERMELADA","DERIVADOS",B204="131 - GALLETAS AVENA","DERIVADOS",B204="160 - SOUVENIR","OTROS",B204="148 - CARAMELOS","DERIVADOS",B204="143 - CHOCOFFES","DERIVADOS",B204="162 - CONVENIOS Y DSC POS ","OTROS"),"OTROS")</f>
        <v>GOURMET</v>
      </c>
      <c r="K204" s="62"/>
      <c r="L204" s="27">
        <f t="shared" si="18"/>
        <v>97278083</v>
      </c>
      <c r="M204" s="27">
        <f t="shared" si="19"/>
        <v>97278083</v>
      </c>
    </row>
    <row r="205" spans="1:13" ht="16.5" hidden="1" outlineLevel="1">
      <c r="A205" s="38"/>
      <c r="B205" s="39" t="s">
        <v>22</v>
      </c>
      <c r="C205" s="36">
        <v>1055431</v>
      </c>
      <c r="D205" s="36">
        <v>-113844</v>
      </c>
      <c r="E205" s="36"/>
      <c r="F205" s="36">
        <v>2033308.06</v>
      </c>
      <c r="G205" s="37">
        <f t="shared" si="17"/>
        <v>0.51907087802524132</v>
      </c>
      <c r="H205" s="23">
        <f t="shared" si="21"/>
        <v>-9.736289581150713E-2</v>
      </c>
      <c r="I205" s="24">
        <f t="shared" si="21"/>
        <v>0</v>
      </c>
      <c r="J205" s="32" t="str" cm="1">
        <f t="array" ref="J205">IFERROR(_xlfn.IFS(B205="044 - BLEND TRADICION","BLEND",B205="113 - CAFÉ GOURMET","GOURMET",B205="114 - CAFÉ CONSUMO","CONSUMO",B205="112 - CAFÉ ORGANICO","GOURMET",B205="172 - CAFÉ COSECHA","ESPECIALES",B205="176 - CAFE DESCAFEINADO","GOURMET",B205="147 - CAPSULAS","CAPSULAS",B205="130 - GALLETAS CAFECITAS","DERIVADOS",B205="140 - MERENGUES","DERIVADOS",B205="100 - CAFÉ ESPECIAL","ESPECIALES",B205="141 - AREQUIPE","DERIVADOS",B205="142 - MERMELADA","DERIVADOS",B205="131 - GALLETAS AVENA","DERIVADOS",B205="160 - SOUVENIR","OTROS",B205="148 - CARAMELOS","DERIVADOS",B205="143 - CHOCOFFES","DERIVADOS",B205="162 - CONVENIOS Y DSC POS ","OTROS"),"OTROS")</f>
        <v>DERIVADOS</v>
      </c>
      <c r="K205" s="62"/>
      <c r="L205" s="27">
        <f t="shared" si="18"/>
        <v>1169275</v>
      </c>
      <c r="M205" s="27">
        <f t="shared" si="19"/>
        <v>1169275</v>
      </c>
    </row>
    <row r="206" spans="1:13" ht="16.5" hidden="1" outlineLevel="1">
      <c r="A206" s="38"/>
      <c r="B206" s="39" t="s">
        <v>24</v>
      </c>
      <c r="C206" s="36">
        <v>0</v>
      </c>
      <c r="D206" s="36">
        <v>0</v>
      </c>
      <c r="E206" s="36"/>
      <c r="F206" s="36">
        <v>5794.52</v>
      </c>
      <c r="G206" s="37">
        <f t="shared" si="17"/>
        <v>0</v>
      </c>
      <c r="H206" s="23">
        <f t="shared" si="21"/>
        <v>0</v>
      </c>
      <c r="I206" s="24">
        <f t="shared" si="21"/>
        <v>0</v>
      </c>
      <c r="J206" s="32" t="str" cm="1">
        <f t="array" ref="J206">IFERROR(_xlfn.IFS(B206="044 - BLEND TRADICION","BLEND",B206="113 - CAFÉ GOURMET","GOURMET",B206="114 - CAFÉ CONSUMO","CONSUMO",B206="112 - CAFÉ ORGANICO","GOURMET",B206="172 - CAFÉ COSECHA","ESPECIALES",B206="176 - CAFE DESCAFEINADO","GOURMET",B206="147 - CAPSULAS","CAPSULAS",B206="130 - GALLETAS CAFECITAS","DERIVADOS",B206="140 - MERENGUES","DERIVADOS",B206="100 - CAFÉ ESPECIAL","ESPECIALES",B206="141 - AREQUIPE","DERIVADOS",B206="142 - MERMELADA","DERIVADOS",B206="131 - GALLETAS AVENA","DERIVADOS",B206="160 - SOUVENIR","OTROS",B206="148 - CARAMELOS","DERIVADOS",B206="143 - CHOCOFFES","DERIVADOS",B206="162 - CONVENIOS Y DSC POS ","OTROS"),"OTROS")</f>
        <v>DERIVADOS</v>
      </c>
      <c r="K206" s="62"/>
      <c r="L206" s="27">
        <f t="shared" si="18"/>
        <v>0</v>
      </c>
      <c r="M206" s="27">
        <f t="shared" si="19"/>
        <v>0</v>
      </c>
    </row>
    <row r="207" spans="1:13" ht="16.5" hidden="1" outlineLevel="1">
      <c r="A207" s="38"/>
      <c r="B207" s="39" t="s">
        <v>25</v>
      </c>
      <c r="C207" s="36">
        <v>1603604</v>
      </c>
      <c r="D207" s="36">
        <v>0</v>
      </c>
      <c r="E207" s="36"/>
      <c r="F207" s="36">
        <v>3644356.83</v>
      </c>
      <c r="G207" s="37">
        <f t="shared" si="17"/>
        <v>0.44002387109826452</v>
      </c>
      <c r="H207" s="23">
        <f t="shared" si="21"/>
        <v>0</v>
      </c>
      <c r="I207" s="24">
        <f t="shared" si="21"/>
        <v>0</v>
      </c>
      <c r="J207" s="32" t="str" cm="1">
        <f t="array" ref="J207">IFERROR(_xlfn.IFS(B207="044 - BLEND TRADICION","BLEND",B207="113 - CAFÉ GOURMET","GOURMET",B207="114 - CAFÉ CONSUMO","CONSUMO",B207="112 - CAFÉ ORGANICO","GOURMET",B207="172 - CAFÉ COSECHA","ESPECIALES",B207="176 - CAFE DESCAFEINADO","GOURMET",B207="147 - CAPSULAS","CAPSULAS",B207="130 - GALLETAS CAFECITAS","DERIVADOS",B207="140 - MERENGUES","DERIVADOS",B207="100 - CAFÉ ESPECIAL","ESPECIALES",B207="141 - AREQUIPE","DERIVADOS",B207="142 - MERMELADA","DERIVADOS",B207="131 - GALLETAS AVENA","DERIVADOS",B207="160 - SOUVENIR","OTROS",B207="148 - CARAMELOS","DERIVADOS",B207="143 - CHOCOFFES","DERIVADOS",B207="162 - CONVENIOS Y DSC POS ","OTROS"),"OTROS")</f>
        <v>DERIVADOS</v>
      </c>
      <c r="K207" s="62"/>
      <c r="L207" s="27">
        <f t="shared" si="18"/>
        <v>1603604</v>
      </c>
      <c r="M207" s="27">
        <f t="shared" si="19"/>
        <v>1603604</v>
      </c>
    </row>
    <row r="208" spans="1:13" ht="16.5" hidden="1" outlineLevel="1">
      <c r="A208" s="38"/>
      <c r="B208" s="39" t="s">
        <v>26</v>
      </c>
      <c r="C208" s="36">
        <v>42405579</v>
      </c>
      <c r="D208" s="36">
        <v>0</v>
      </c>
      <c r="E208" s="36"/>
      <c r="F208" s="36">
        <v>59490908.259999998</v>
      </c>
      <c r="G208" s="37">
        <f t="shared" si="17"/>
        <v>0.712807725420328</v>
      </c>
      <c r="H208" s="23">
        <f t="shared" si="21"/>
        <v>0</v>
      </c>
      <c r="I208" s="24">
        <f t="shared" si="21"/>
        <v>0</v>
      </c>
      <c r="J208" s="32" t="str" cm="1">
        <f t="array" ref="J208">IFERROR(_xlfn.IFS(B208="044 - BLEND TRADICION","BLEND",B208="113 - CAFÉ GOURMET","GOURMET",B208="114 - CAFÉ CONSUMO","CONSUMO",B208="112 - CAFÉ ORGANICO","GOURMET",B208="172 - CAFÉ COSECHA","ESPECIALES",B208="176 - CAFE DESCAFEINADO","GOURMET",B208="147 - CAPSULAS","CAPSULAS",B208="130 - GALLETAS CAFECITAS","DERIVADOS",B208="140 - MERENGUES","DERIVADOS",B208="100 - CAFÉ ESPECIAL","ESPECIALES",B208="141 - AREQUIPE","DERIVADOS",B208="142 - MERMELADA","DERIVADOS",B208="131 - GALLETAS AVENA","DERIVADOS",B208="160 - SOUVENIR","OTROS",B208="148 - CARAMELOS","DERIVADOS",B208="143 - CHOCOFFES","DERIVADOS",B208="162 - CONVENIOS Y DSC POS ","OTROS"),"OTROS")</f>
        <v>CAPSULAS</v>
      </c>
      <c r="K208" s="62"/>
      <c r="L208" s="27">
        <f t="shared" si="18"/>
        <v>42405579</v>
      </c>
      <c r="M208" s="27">
        <f t="shared" si="19"/>
        <v>42405579</v>
      </c>
    </row>
    <row r="209" spans="1:13" ht="16.5" hidden="1" outlineLevel="1">
      <c r="A209" s="38"/>
      <c r="B209" s="39" t="s">
        <v>27</v>
      </c>
      <c r="C209" s="36">
        <v>1242120</v>
      </c>
      <c r="D209" s="36">
        <v>0</v>
      </c>
      <c r="E209" s="36"/>
      <c r="F209" s="36">
        <v>3108564.42</v>
      </c>
      <c r="G209" s="37">
        <f t="shared" si="17"/>
        <v>0.39957994500882821</v>
      </c>
      <c r="H209" s="23">
        <f t="shared" si="21"/>
        <v>0</v>
      </c>
      <c r="I209" s="24">
        <f t="shared" si="21"/>
        <v>0</v>
      </c>
      <c r="J209" s="32" t="str" cm="1">
        <f t="array" ref="J209">IFERROR(_xlfn.IFS(B209="044 - BLEND TRADICION","BLEND",B209="113 - CAFÉ GOURMET","GOURMET",B209="114 - CAFÉ CONSUMO","CONSUMO",B209="112 - CAFÉ ORGANICO","GOURMET",B209="172 - CAFÉ COSECHA","ESPECIALES",B209="176 - CAFE DESCAFEINADO","GOURMET",B209="147 - CAPSULAS","CAPSULAS",B209="130 - GALLETAS CAFECITAS","DERIVADOS",B209="140 - MERENGUES","DERIVADOS",B209="100 - CAFÉ ESPECIAL","ESPECIALES",B209="141 - AREQUIPE","DERIVADOS",B209="142 - MERMELADA","DERIVADOS",B209="131 - GALLETAS AVENA","DERIVADOS",B209="160 - SOUVENIR","OTROS",B209="148 - CARAMELOS","DERIVADOS",B209="143 - CHOCOFFES","DERIVADOS",B209="162 - CONVENIOS Y DSC POS ","OTROS"),"OTROS")</f>
        <v>DERIVADOS</v>
      </c>
      <c r="K209" s="62"/>
      <c r="L209" s="27">
        <f t="shared" si="18"/>
        <v>1242120</v>
      </c>
      <c r="M209" s="27">
        <f t="shared" si="19"/>
        <v>1242120</v>
      </c>
    </row>
    <row r="210" spans="1:13" ht="16.5" hidden="1" outlineLevel="1">
      <c r="A210" s="38"/>
      <c r="B210" s="39" t="s">
        <v>28</v>
      </c>
      <c r="C210" s="36">
        <v>1506126</v>
      </c>
      <c r="D210" s="36">
        <v>0</v>
      </c>
      <c r="E210" s="36"/>
      <c r="F210" s="36">
        <v>7821246.9800000004</v>
      </c>
      <c r="G210" s="37">
        <f t="shared" si="17"/>
        <v>0.19256852569051591</v>
      </c>
      <c r="H210" s="23">
        <f t="shared" ref="H210:I225" si="23">IFERROR(+D210/L210*100%,0)</f>
        <v>0</v>
      </c>
      <c r="I210" s="24">
        <f t="shared" si="23"/>
        <v>0</v>
      </c>
      <c r="J210" s="32" t="str" cm="1">
        <f t="array" ref="J210">IFERROR(_xlfn.IFS(B210="044 - BLEND TRADICION","BLEND",B210="113 - CAFÉ GOURMET","GOURMET",B210="114 - CAFÉ CONSUMO","CONSUMO",B210="112 - CAFÉ ORGANICO","GOURMET",B210="172 - CAFÉ COSECHA","ESPECIALES",B210="176 - CAFE DESCAFEINADO","GOURMET",B210="147 - CAPSULAS","CAPSULAS",B210="130 - GALLETAS CAFECITAS","DERIVADOS",B210="140 - MERENGUES","DERIVADOS",B210="100 - CAFÉ ESPECIAL","ESPECIALES",B210="141 - AREQUIPE","DERIVADOS",B210="142 - MERMELADA","DERIVADOS",B210="131 - GALLETAS AVENA","DERIVADOS",B210="160 - SOUVENIR","OTROS",B210="148 - CARAMELOS","DERIVADOS",B210="143 - CHOCOFFES","DERIVADOS",B210="162 - CONVENIOS Y DSC POS ","OTROS"),"OTROS")</f>
        <v>OTROS</v>
      </c>
      <c r="K210" s="62"/>
      <c r="L210" s="27">
        <f t="shared" si="18"/>
        <v>1506126</v>
      </c>
      <c r="M210" s="27">
        <f t="shared" si="19"/>
        <v>1506126</v>
      </c>
    </row>
    <row r="211" spans="1:13" ht="16.5" hidden="1" outlineLevel="1">
      <c r="A211" s="38"/>
      <c r="B211" s="39" t="s">
        <v>50</v>
      </c>
      <c r="C211" s="36">
        <v>-467561</v>
      </c>
      <c r="D211" s="36">
        <v>0</v>
      </c>
      <c r="E211" s="36">
        <v>-467561</v>
      </c>
      <c r="F211" s="36">
        <v>0</v>
      </c>
      <c r="G211" s="37" t="str">
        <f t="shared" si="17"/>
        <v>-</v>
      </c>
      <c r="H211" s="23">
        <f t="shared" si="23"/>
        <v>0</v>
      </c>
      <c r="I211" s="24">
        <f t="shared" si="23"/>
        <v>0</v>
      </c>
      <c r="J211" s="32" t="str" cm="1">
        <f t="array" ref="J211">IFERROR(_xlfn.IFS(B211="044 - BLEND TRADICION","BLEND",B211="113 - CAFÉ GOURMET","GOURMET",B211="114 - CAFÉ CONSUMO","CONSUMO",B211="112 - CAFÉ ORGANICO","GOURMET",B211="172 - CAFÉ COSECHA","ESPECIALES",B211="176 - CAFE DESCAFEINADO","GOURMET",B211="147 - CAPSULAS","CAPSULAS",B211="130 - GALLETAS CAFECITAS","DERIVADOS",B211="140 - MERENGUES","DERIVADOS",B211="100 - CAFÉ ESPECIAL","ESPECIALES",B211="141 - AREQUIPE","DERIVADOS",B211="142 - MERMELADA","DERIVADOS",B211="131 - GALLETAS AVENA","DERIVADOS",B211="160 - SOUVENIR","OTROS",B211="148 - CARAMELOS","DERIVADOS",B211="143 - CHOCOFFES","DERIVADOS",B211="162 - CONVENIOS Y DSC POS ","OTROS"),"OTROS")</f>
        <v>OTROS</v>
      </c>
      <c r="K211" s="62"/>
      <c r="L211" s="27">
        <f t="shared" si="18"/>
        <v>0</v>
      </c>
      <c r="M211" s="27">
        <f t="shared" si="19"/>
        <v>0</v>
      </c>
    </row>
    <row r="212" spans="1:13" ht="16.5" hidden="1" outlineLevel="1">
      <c r="A212" s="38"/>
      <c r="B212" s="39" t="s">
        <v>29</v>
      </c>
      <c r="C212" s="36">
        <v>5941191</v>
      </c>
      <c r="D212" s="36">
        <v>0</v>
      </c>
      <c r="E212" s="36"/>
      <c r="F212" s="36">
        <v>12404965.970000001</v>
      </c>
      <c r="G212" s="37">
        <f t="shared" si="17"/>
        <v>0.47893650126635534</v>
      </c>
      <c r="H212" s="23">
        <f t="shared" si="23"/>
        <v>0</v>
      </c>
      <c r="I212" s="24">
        <f t="shared" si="23"/>
        <v>0</v>
      </c>
      <c r="J212" s="32" t="str" cm="1">
        <f t="array" ref="J212">IFERROR(_xlfn.IFS(B212="044 - BLEND TRADICION","BLEND",B212="113 - CAFÉ GOURMET","GOURMET",B212="114 - CAFÉ CONSUMO","CONSUMO",B212="112 - CAFÉ ORGANICO","GOURMET",B212="172 - CAFÉ COSECHA","ESPECIALES",B212="176 - CAFE DESCAFEINADO","GOURMET",B212="147 - CAPSULAS","CAPSULAS",B212="130 - GALLETAS CAFECITAS","DERIVADOS",B212="140 - MERENGUES","DERIVADOS",B212="100 - CAFÉ ESPECIAL","ESPECIALES",B212="141 - AREQUIPE","DERIVADOS",B212="142 - MERMELADA","DERIVADOS",B212="131 - GALLETAS AVENA","DERIVADOS",B212="160 - SOUVENIR","OTROS",B212="148 - CARAMELOS","DERIVADOS",B212="143 - CHOCOFFES","DERIVADOS",B212="162 - CONVENIOS Y DSC POS ","OTROS"),"OTROS")</f>
        <v>ESPECIALES</v>
      </c>
      <c r="K212" s="62"/>
      <c r="L212" s="27">
        <f t="shared" si="18"/>
        <v>5941191</v>
      </c>
      <c r="M212" s="27">
        <f t="shared" si="19"/>
        <v>5941191</v>
      </c>
    </row>
    <row r="213" spans="1:13" ht="16.5" hidden="1" outlineLevel="1">
      <c r="A213" s="38"/>
      <c r="B213" s="39" t="s">
        <v>30</v>
      </c>
      <c r="C213" s="36">
        <v>1834602</v>
      </c>
      <c r="D213" s="36">
        <v>0</v>
      </c>
      <c r="E213" s="36"/>
      <c r="F213" s="36">
        <v>2157922.35</v>
      </c>
      <c r="G213" s="37">
        <f t="shared" si="17"/>
        <v>0.8501705355616711</v>
      </c>
      <c r="H213" s="23">
        <f t="shared" si="23"/>
        <v>0</v>
      </c>
      <c r="I213" s="24">
        <f t="shared" si="23"/>
        <v>0</v>
      </c>
      <c r="J213" s="32" t="str" cm="1">
        <f t="array" ref="J213">IFERROR(_xlfn.IFS(B213="044 - BLEND TRADICION","BLEND",B213="113 - CAFÉ GOURMET","GOURMET",B213="114 - CAFÉ CONSUMO","CONSUMO",B213="112 - CAFÉ ORGANICO","GOURMET",B213="172 - CAFÉ COSECHA","ESPECIALES",B213="176 - CAFE DESCAFEINADO","GOURMET",B213="147 - CAPSULAS","CAPSULAS",B213="130 - GALLETAS CAFECITAS","DERIVADOS",B213="140 - MERENGUES","DERIVADOS",B213="100 - CAFÉ ESPECIAL","ESPECIALES",B213="141 - AREQUIPE","DERIVADOS",B213="142 - MERMELADA","DERIVADOS",B213="131 - GALLETAS AVENA","DERIVADOS",B213="160 - SOUVENIR","OTROS",B213="148 - CARAMELOS","DERIVADOS",B213="143 - CHOCOFFES","DERIVADOS",B213="162 - CONVENIOS Y DSC POS ","OTROS"),"OTROS")</f>
        <v>GOURMET</v>
      </c>
      <c r="K213" s="62"/>
      <c r="L213" s="27">
        <f t="shared" si="18"/>
        <v>1834602</v>
      </c>
      <c r="M213" s="27">
        <f t="shared" si="19"/>
        <v>1834602</v>
      </c>
    </row>
    <row r="214" spans="1:13" ht="16.5" hidden="1" outlineLevel="1">
      <c r="A214" s="38"/>
      <c r="B214" s="39" t="s">
        <v>31</v>
      </c>
      <c r="C214" s="36">
        <v>38000</v>
      </c>
      <c r="D214" s="36">
        <v>0</v>
      </c>
      <c r="E214" s="36"/>
      <c r="F214" s="36">
        <v>0</v>
      </c>
      <c r="G214" s="37" t="str">
        <f t="shared" si="17"/>
        <v>-</v>
      </c>
      <c r="H214" s="23">
        <f t="shared" si="23"/>
        <v>0</v>
      </c>
      <c r="I214" s="24">
        <f t="shared" si="23"/>
        <v>0</v>
      </c>
      <c r="J214" s="32" t="str" cm="1">
        <f t="array" ref="J214">IFERROR(_xlfn.IFS(B214="044 - BLEND TRADICION","BLEND",B214="113 - CAFÉ GOURMET","GOURMET",B214="114 - CAFÉ CONSUMO","CONSUMO",B214="112 - CAFÉ ORGANICO","GOURMET",B214="172 - CAFÉ COSECHA","ESPECIALES",B214="176 - CAFE DESCAFEINADO","GOURMET",B214="147 - CAPSULAS","CAPSULAS",B214="130 - GALLETAS CAFECITAS","DERIVADOS",B214="140 - MERENGUES","DERIVADOS",B214="100 - CAFÉ ESPECIAL","ESPECIALES",B214="141 - AREQUIPE","DERIVADOS",B214="142 - MERMELADA","DERIVADOS",B214="131 - GALLETAS AVENA","DERIVADOS",B214="160 - SOUVENIR","OTROS",B214="148 - CARAMELOS","DERIVADOS",B214="143 - CHOCOFFES","DERIVADOS",B214="162 - CONVENIOS Y DSC POS ","OTROS"),"OTROS")</f>
        <v>OTROS</v>
      </c>
      <c r="K214" s="62"/>
      <c r="L214" s="27">
        <f t="shared" si="18"/>
        <v>38000</v>
      </c>
      <c r="M214" s="27">
        <f t="shared" si="19"/>
        <v>38000</v>
      </c>
    </row>
    <row r="215" spans="1:13" ht="16.5" hidden="1" outlineLevel="1">
      <c r="A215" s="19" t="s">
        <v>56</v>
      </c>
      <c r="B215" s="56" t="s">
        <v>32</v>
      </c>
      <c r="C215" s="54">
        <f>SUM(C200:C214)</f>
        <v>164202526</v>
      </c>
      <c r="D215" s="54">
        <f>SUM(D200:D214)</f>
        <v>-767946</v>
      </c>
      <c r="E215" s="54">
        <f>SUM(E200:E214)</f>
        <v>-467561</v>
      </c>
      <c r="F215" s="58">
        <f>SUM(F200:F214)</f>
        <v>251466278.25</v>
      </c>
      <c r="G215" s="55">
        <f t="shared" si="17"/>
        <v>0.65298030074933122</v>
      </c>
      <c r="H215" s="23">
        <f t="shared" si="23"/>
        <v>-4.6418951318165152E-3</v>
      </c>
      <c r="I215" s="24">
        <f t="shared" si="23"/>
        <v>-2.8262001881997714E-3</v>
      </c>
      <c r="J215" s="32" t="str" cm="1">
        <f t="array" ref="J215">IFERROR(_xlfn.IFS(B215="044 - BLEND TRADICION","BLEND",B215="113 - CAFÉ GOURMET","GOURMET",B215="114 - CAFÉ CONSUMO","CONSUMO",B215="112 - CAFÉ ORGANICO","GOURMET",B215="172 - CAFÉ COSECHA","ESPECIALES",B215="176 - CAFE DESCAFEINADO","GOURMET",B215="147 - CAPSULAS","CAPSULAS",B215="130 - GALLETAS CAFECITAS","DERIVADOS",B215="140 - MERENGUES","DERIVADOS",B215="100 - CAFÉ ESPECIAL","ESPECIALES",B215="141 - AREQUIPE","DERIVADOS",B215="142 - MERMELADA","DERIVADOS",B215="131 - GALLETAS AVENA","DERIVADOS",B215="160 - SOUVENIR","OTROS",B215="148 - CARAMELOS","DERIVADOS",B215="143 - CHOCOFFES","DERIVADOS",B215="162 - CONVENIOS Y DSC POS ","OTROS"),"OTROS")</f>
        <v>OTROS</v>
      </c>
      <c r="K215" s="62">
        <f>C215-E215</f>
        <v>164670087</v>
      </c>
      <c r="L215" s="27">
        <f t="shared" si="18"/>
        <v>165438033</v>
      </c>
      <c r="M215" s="27">
        <f t="shared" si="19"/>
        <v>165438033</v>
      </c>
    </row>
    <row r="216" spans="1:13" ht="16.5" collapsed="1">
      <c r="A216" s="28" t="s">
        <v>57</v>
      </c>
      <c r="B216" s="29" t="s">
        <v>17</v>
      </c>
      <c r="C216" s="30">
        <f>+C232</f>
        <v>105495408</v>
      </c>
      <c r="D216" s="30">
        <f>+D232</f>
        <v>0</v>
      </c>
      <c r="E216" s="30">
        <f>+E232</f>
        <v>0</v>
      </c>
      <c r="F216" s="30">
        <f>+F232</f>
        <v>242185563.47000003</v>
      </c>
      <c r="G216" s="31">
        <f t="shared" si="17"/>
        <v>0.43559742574444538</v>
      </c>
      <c r="H216" s="23">
        <f t="shared" si="23"/>
        <v>0</v>
      </c>
      <c r="I216" s="24">
        <f t="shared" si="23"/>
        <v>0</v>
      </c>
      <c r="J216" s="32" t="str" cm="1">
        <f t="array" ref="J216">IFERROR(_xlfn.IFS(B216="044 - BLEND TRADICION","BLEND",B216="113 - CAFÉ GOURMET","GOURMET",B216="114 - CAFÉ CONSUMO","CONSUMO",B216="112 - CAFÉ ORGANICO","GOURMET",B216="172 - CAFÉ COSECHA","ESPECIALES",B216="176 - CAFE DESCAFEINADO","GOURMET",B216="147 - CAPSULAS","CAPSULAS",B216="130 - GALLETAS CAFECITAS","DERIVADOS",B216="140 - MERENGUES","DERIVADOS",B216="100 - CAFÉ ESPECIAL","ESPECIALES",B216="141 - AREQUIPE","DERIVADOS",B216="142 - MERMELADA","DERIVADOS",B216="131 - GALLETAS AVENA","DERIVADOS",B216="160 - SOUVENIR","OTROS",B216="148 - CARAMELOS","DERIVADOS",B216="143 - CHOCOFFES","DERIVADOS",B216="162 - CONVENIOS Y DSC POS ","OTROS"),"OTROS")</f>
        <v>OTROS</v>
      </c>
      <c r="K216" s="62">
        <f>C216-E216</f>
        <v>105495408</v>
      </c>
      <c r="L216" s="27">
        <f t="shared" si="18"/>
        <v>105495408</v>
      </c>
      <c r="M216" s="27">
        <f t="shared" si="19"/>
        <v>105495408</v>
      </c>
    </row>
    <row r="217" spans="1:13" ht="15.75" hidden="1" customHeight="1" outlineLevel="1">
      <c r="A217" s="44"/>
      <c r="B217" s="45" t="s">
        <v>34</v>
      </c>
      <c r="C217" s="46">
        <v>396502</v>
      </c>
      <c r="D217" s="46">
        <v>0</v>
      </c>
      <c r="E217" s="46"/>
      <c r="F217" s="46">
        <v>183711.31</v>
      </c>
      <c r="G217" s="37">
        <f t="shared" si="17"/>
        <v>2.1582884581248698</v>
      </c>
      <c r="H217" s="23">
        <f t="shared" si="23"/>
        <v>0</v>
      </c>
      <c r="I217" s="24">
        <f t="shared" si="23"/>
        <v>0</v>
      </c>
      <c r="J217" s="32" t="str" cm="1">
        <f t="array" ref="J217">IFERROR(_xlfn.IFS(B217="044 - BLEND TRADICION","BLEND",B217="113 - CAFÉ GOURMET","GOURMET",B217="114 - CAFÉ CONSUMO","CONSUMO",B217="112 - CAFÉ ORGANICO","GOURMET",B217="172 - CAFÉ COSECHA","ESPECIALES",B217="176 - CAFE DESCAFEINADO","GOURMET",B217="147 - CAPSULAS","CAPSULAS",B217="130 - GALLETAS CAFECITAS","DERIVADOS",B217="140 - MERENGUES","DERIVADOS",B217="100 - CAFÉ ESPECIAL","ESPECIALES",B217="141 - AREQUIPE","DERIVADOS",B217="142 - MERMELADA","DERIVADOS",B217="131 - GALLETAS AVENA","DERIVADOS",B217="160 - SOUVENIR","OTROS",B217="148 - CARAMELOS","DERIVADOS",B217="143 - CHOCOFFES","DERIVADOS",B217="162 - CONVENIOS Y DSC POS ","OTROS"),"OTROS")</f>
        <v>OTROS</v>
      </c>
      <c r="K217" s="62">
        <f>C217-E217</f>
        <v>396502</v>
      </c>
      <c r="L217" s="27">
        <f t="shared" si="18"/>
        <v>396502</v>
      </c>
      <c r="M217" s="27">
        <f t="shared" si="19"/>
        <v>396502</v>
      </c>
    </row>
    <row r="218" spans="1:13" ht="15.75" hidden="1" customHeight="1" outlineLevel="1">
      <c r="A218" s="44"/>
      <c r="B218" s="45" t="s">
        <v>18</v>
      </c>
      <c r="C218" s="46">
        <v>15124800</v>
      </c>
      <c r="D218" s="46">
        <v>0</v>
      </c>
      <c r="E218" s="46"/>
      <c r="F218" s="46">
        <v>22057449.760000002</v>
      </c>
      <c r="G218" s="37">
        <f t="shared" si="17"/>
        <v>0.685700303732665</v>
      </c>
      <c r="H218" s="23">
        <f t="shared" si="23"/>
        <v>0</v>
      </c>
      <c r="I218" s="24">
        <f t="shared" si="23"/>
        <v>0</v>
      </c>
      <c r="J218" s="32" t="str" cm="1">
        <f t="array" ref="J218">IFERROR(_xlfn.IFS(B218="044 - BLEND TRADICION","BLEND",B218="113 - CAFÉ GOURMET","GOURMET",B218="114 - CAFÉ CONSUMO","CONSUMO",B218="112 - CAFÉ ORGANICO","GOURMET",B218="172 - CAFÉ COSECHA","ESPECIALES",B218="176 - CAFE DESCAFEINADO","GOURMET",B218="147 - CAPSULAS","CAPSULAS",B218="130 - GALLETAS CAFECITAS","DERIVADOS",B218="140 - MERENGUES","DERIVADOS",B218="100 - CAFÉ ESPECIAL","ESPECIALES",B218="141 - AREQUIPE","DERIVADOS",B218="142 - MERMELADA","DERIVADOS",B218="131 - GALLETAS AVENA","DERIVADOS",B218="160 - SOUVENIR","OTROS",B218="148 - CARAMELOS","DERIVADOS",B218="143 - CHOCOFFES","DERIVADOS",B218="162 - CONVENIOS Y DSC POS ","OTROS"),"OTROS")</f>
        <v>BLEND</v>
      </c>
      <c r="K218" s="62">
        <f>C218-E218</f>
        <v>15124800</v>
      </c>
      <c r="L218" s="27">
        <f t="shared" si="18"/>
        <v>15124800</v>
      </c>
      <c r="M218" s="27">
        <f t="shared" si="19"/>
        <v>15124800</v>
      </c>
    </row>
    <row r="219" spans="1:13" ht="15.75" hidden="1" customHeight="1" outlineLevel="1">
      <c r="A219" s="44"/>
      <c r="B219" s="45" t="s">
        <v>19</v>
      </c>
      <c r="C219" s="46">
        <v>2292547</v>
      </c>
      <c r="D219" s="46">
        <v>0</v>
      </c>
      <c r="E219" s="46"/>
      <c r="F219" s="46">
        <v>4724786.33</v>
      </c>
      <c r="G219" s="37">
        <f t="shared" si="17"/>
        <v>0.48521707435603761</v>
      </c>
      <c r="H219" s="23">
        <f t="shared" si="23"/>
        <v>0</v>
      </c>
      <c r="I219" s="24">
        <f t="shared" si="23"/>
        <v>0</v>
      </c>
      <c r="J219" s="32" t="str" cm="1">
        <f t="array" ref="J219">IFERROR(_xlfn.IFS(B219="044 - BLEND TRADICION","BLEND",B219="113 - CAFÉ GOURMET","GOURMET",B219="114 - CAFÉ CONSUMO","CONSUMO",B219="112 - CAFÉ ORGANICO","GOURMET",B219="172 - CAFÉ COSECHA","ESPECIALES",B219="176 - CAFE DESCAFEINADO","GOURMET",B219="147 - CAPSULAS","CAPSULAS",B219="130 - GALLETAS CAFECITAS","DERIVADOS",B219="140 - MERENGUES","DERIVADOS",B219="100 - CAFÉ ESPECIAL","ESPECIALES",B219="141 - AREQUIPE","DERIVADOS",B219="142 - MERMELADA","DERIVADOS",B219="131 - GALLETAS AVENA","DERIVADOS",B219="160 - SOUVENIR","OTROS",B219="148 - CARAMELOS","DERIVADOS",B219="143 - CHOCOFFES","DERIVADOS",B219="162 - CONVENIOS Y DSC POS ","OTROS"),"OTROS")</f>
        <v>ESPECIALES</v>
      </c>
      <c r="K219" s="62"/>
      <c r="L219" s="27">
        <f t="shared" ref="L219:L245" si="24">C219-(D219+E219)</f>
        <v>2292547</v>
      </c>
      <c r="M219" s="27">
        <f t="shared" ref="M219:M278" si="25">L219</f>
        <v>2292547</v>
      </c>
    </row>
    <row r="220" spans="1:13" ht="15.75" hidden="1" customHeight="1" outlineLevel="1">
      <c r="A220" s="44"/>
      <c r="B220" s="45" t="s">
        <v>20</v>
      </c>
      <c r="C220" s="46">
        <v>2464560</v>
      </c>
      <c r="D220" s="46">
        <v>0</v>
      </c>
      <c r="E220" s="46"/>
      <c r="F220" s="46">
        <v>4267385.9800000004</v>
      </c>
      <c r="G220" s="37">
        <f t="shared" si="17"/>
        <v>0.57753388410391693</v>
      </c>
      <c r="H220" s="23">
        <f t="shared" si="23"/>
        <v>0</v>
      </c>
      <c r="I220" s="24">
        <f t="shared" si="23"/>
        <v>0</v>
      </c>
      <c r="J220" s="32" t="str" cm="1">
        <f t="array" ref="J220">IFERROR(_xlfn.IFS(B220="044 - BLEND TRADICION","BLEND",B220="113 - CAFÉ GOURMET","GOURMET",B220="114 - CAFÉ CONSUMO","CONSUMO",B220="112 - CAFÉ ORGANICO","GOURMET",B220="172 - CAFÉ COSECHA","ESPECIALES",B220="176 - CAFE DESCAFEINADO","GOURMET",B220="147 - CAPSULAS","CAPSULAS",B220="130 - GALLETAS CAFECITAS","DERIVADOS",B220="140 - MERENGUES","DERIVADOS",B220="100 - CAFÉ ESPECIAL","ESPECIALES",B220="141 - AREQUIPE","DERIVADOS",B220="142 - MERMELADA","DERIVADOS",B220="131 - GALLETAS AVENA","DERIVADOS",B220="160 - SOUVENIR","OTROS",B220="148 - CARAMELOS","DERIVADOS",B220="143 - CHOCOFFES","DERIVADOS",B220="162 - CONVENIOS Y DSC POS ","OTROS"),"OTROS")</f>
        <v>GOURMET</v>
      </c>
      <c r="K220" s="62"/>
      <c r="L220" s="27">
        <f t="shared" si="24"/>
        <v>2464560</v>
      </c>
      <c r="M220" s="27">
        <f t="shared" si="25"/>
        <v>2464560</v>
      </c>
    </row>
    <row r="221" spans="1:13" ht="15.75" hidden="1" customHeight="1" outlineLevel="1">
      <c r="A221" s="44"/>
      <c r="B221" s="45" t="s">
        <v>21</v>
      </c>
      <c r="C221" s="46">
        <v>56928277</v>
      </c>
      <c r="D221" s="46">
        <v>0</v>
      </c>
      <c r="E221" s="46"/>
      <c r="F221" s="46">
        <v>156321504.86000001</v>
      </c>
      <c r="G221" s="37">
        <f t="shared" ref="G221:G255" si="26">IFERROR(C221/F221*100%,"-")</f>
        <v>0.364174315306038</v>
      </c>
      <c r="H221" s="23">
        <f t="shared" si="23"/>
        <v>0</v>
      </c>
      <c r="I221" s="24">
        <f t="shared" si="23"/>
        <v>0</v>
      </c>
      <c r="J221" s="32" t="str" cm="1">
        <f t="array" ref="J221">IFERROR(_xlfn.IFS(B221="044 - BLEND TRADICION","BLEND",B221="113 - CAFÉ GOURMET","GOURMET",B221="114 - CAFÉ CONSUMO","CONSUMO",B221="112 - CAFÉ ORGANICO","GOURMET",B221="172 - CAFÉ COSECHA","ESPECIALES",B221="176 - CAFE DESCAFEINADO","GOURMET",B221="147 - CAPSULAS","CAPSULAS",B221="130 - GALLETAS CAFECITAS","DERIVADOS",B221="140 - MERENGUES","DERIVADOS",B221="100 - CAFÉ ESPECIAL","ESPECIALES",B221="141 - AREQUIPE","DERIVADOS",B221="142 - MERMELADA","DERIVADOS",B221="131 - GALLETAS AVENA","DERIVADOS",B221="160 - SOUVENIR","OTROS",B221="148 - CARAMELOS","DERIVADOS",B221="143 - CHOCOFFES","DERIVADOS",B221="162 - CONVENIOS Y DSC POS ","OTROS"),"OTROS")</f>
        <v>GOURMET</v>
      </c>
      <c r="K221" s="62">
        <f t="shared" ref="K221" si="27">C221-E221</f>
        <v>56928277</v>
      </c>
      <c r="L221" s="27">
        <f t="shared" si="24"/>
        <v>56928277</v>
      </c>
      <c r="M221" s="27">
        <f t="shared" si="25"/>
        <v>56928277</v>
      </c>
    </row>
    <row r="222" spans="1:13" ht="15.75" hidden="1" customHeight="1" outlineLevel="1">
      <c r="A222" s="44"/>
      <c r="B222" s="45" t="s">
        <v>22</v>
      </c>
      <c r="C222" s="46">
        <v>2386114</v>
      </c>
      <c r="D222" s="46">
        <v>0</v>
      </c>
      <c r="E222" s="46"/>
      <c r="F222" s="46">
        <v>7161969.0599999996</v>
      </c>
      <c r="G222" s="37">
        <f t="shared" si="26"/>
        <v>0.33316452221590581</v>
      </c>
      <c r="H222" s="23">
        <f t="shared" si="23"/>
        <v>0</v>
      </c>
      <c r="I222" s="24">
        <f t="shared" si="23"/>
        <v>0</v>
      </c>
      <c r="J222" s="32" t="str" cm="1">
        <f t="array" ref="J222">IFERROR(_xlfn.IFS(B222="044 - BLEND TRADICION","BLEND",B222="113 - CAFÉ GOURMET","GOURMET",B222="114 - CAFÉ CONSUMO","CONSUMO",B222="112 - CAFÉ ORGANICO","GOURMET",B222="172 - CAFÉ COSECHA","ESPECIALES",B222="176 - CAFE DESCAFEINADO","GOURMET",B222="147 - CAPSULAS","CAPSULAS",B222="130 - GALLETAS CAFECITAS","DERIVADOS",B222="140 - MERENGUES","DERIVADOS",B222="100 - CAFÉ ESPECIAL","ESPECIALES",B222="141 - AREQUIPE","DERIVADOS",B222="142 - MERMELADA","DERIVADOS",B222="131 - GALLETAS AVENA","DERIVADOS",B222="160 - SOUVENIR","OTROS",B222="148 - CARAMELOS","DERIVADOS",B222="143 - CHOCOFFES","DERIVADOS",B222="162 - CONVENIOS Y DSC POS ","OTROS"),"OTROS")</f>
        <v>DERIVADOS</v>
      </c>
      <c r="K222" s="62"/>
      <c r="L222" s="27">
        <f t="shared" si="24"/>
        <v>2386114</v>
      </c>
      <c r="M222" s="27">
        <f t="shared" si="25"/>
        <v>2386114</v>
      </c>
    </row>
    <row r="223" spans="1:13" ht="15.75" hidden="1" customHeight="1" outlineLevel="1">
      <c r="A223" s="44"/>
      <c r="B223" s="45" t="s">
        <v>23</v>
      </c>
      <c r="C223" s="46">
        <v>0</v>
      </c>
      <c r="D223" s="46">
        <v>0</v>
      </c>
      <c r="E223" s="46"/>
      <c r="F223" s="46">
        <v>19945.96</v>
      </c>
      <c r="G223" s="37">
        <f t="shared" si="26"/>
        <v>0</v>
      </c>
      <c r="H223" s="23">
        <f t="shared" si="23"/>
        <v>0</v>
      </c>
      <c r="I223" s="24">
        <f t="shared" si="23"/>
        <v>0</v>
      </c>
      <c r="J223" s="32" t="str" cm="1">
        <f t="array" ref="J223">IFERROR(_xlfn.IFS(B223="044 - BLEND TRADICION","BLEND",B223="113 - CAFÉ GOURMET","GOURMET",B223="114 - CAFÉ CONSUMO","CONSUMO",B223="112 - CAFÉ ORGANICO","GOURMET",B223="172 - CAFÉ COSECHA","ESPECIALES",B223="176 - CAFE DESCAFEINADO","GOURMET",B223="147 - CAPSULAS","CAPSULAS",B223="130 - GALLETAS CAFECITAS","DERIVADOS",B223="140 - MERENGUES","DERIVADOS",B223="100 - CAFÉ ESPECIAL","ESPECIALES",B223="141 - AREQUIPE","DERIVADOS",B223="142 - MERMELADA","DERIVADOS",B223="131 - GALLETAS AVENA","DERIVADOS",B223="160 - SOUVENIR","OTROS",B223="148 - CARAMELOS","DERIVADOS",B223="143 - CHOCOFFES","DERIVADOS",B223="162 - CONVENIOS Y DSC POS ","OTROS"),"OTROS")</f>
        <v>DERIVADOS</v>
      </c>
      <c r="K223" s="62">
        <f t="shared" ref="K223" si="28">C223-E223</f>
        <v>0</v>
      </c>
      <c r="L223" s="27">
        <f t="shared" si="24"/>
        <v>0</v>
      </c>
      <c r="M223" s="27">
        <f t="shared" si="25"/>
        <v>0</v>
      </c>
    </row>
    <row r="224" spans="1:13" ht="15.75" hidden="1" customHeight="1" outlineLevel="1">
      <c r="A224" s="44"/>
      <c r="B224" s="45" t="s">
        <v>24</v>
      </c>
      <c r="C224" s="46">
        <v>495911</v>
      </c>
      <c r="D224" s="46">
        <v>0</v>
      </c>
      <c r="E224" s="46"/>
      <c r="F224" s="46">
        <v>1393477.12</v>
      </c>
      <c r="G224" s="37">
        <f t="shared" si="26"/>
        <v>0.355880260165305</v>
      </c>
      <c r="H224" s="23">
        <f t="shared" si="23"/>
        <v>0</v>
      </c>
      <c r="I224" s="24">
        <f t="shared" si="23"/>
        <v>0</v>
      </c>
      <c r="J224" s="32" t="str" cm="1">
        <f t="array" ref="J224">IFERROR(_xlfn.IFS(B224="044 - BLEND TRADICION","BLEND",B224="113 - CAFÉ GOURMET","GOURMET",B224="114 - CAFÉ CONSUMO","CONSUMO",B224="112 - CAFÉ ORGANICO","GOURMET",B224="172 - CAFÉ COSECHA","ESPECIALES",B224="176 - CAFE DESCAFEINADO","GOURMET",B224="147 - CAPSULAS","CAPSULAS",B224="130 - GALLETAS CAFECITAS","DERIVADOS",B224="140 - MERENGUES","DERIVADOS",B224="100 - CAFÉ ESPECIAL","ESPECIALES",B224="141 - AREQUIPE","DERIVADOS",B224="142 - MERMELADA","DERIVADOS",B224="131 - GALLETAS AVENA","DERIVADOS",B224="160 - SOUVENIR","OTROS",B224="148 - CARAMELOS","DERIVADOS",B224="143 - CHOCOFFES","DERIVADOS",B224="162 - CONVENIOS Y DSC POS ","OTROS"),"OTROS")</f>
        <v>DERIVADOS</v>
      </c>
      <c r="K224" s="62"/>
      <c r="L224" s="27">
        <f t="shared" si="24"/>
        <v>495911</v>
      </c>
      <c r="M224" s="27">
        <f t="shared" si="25"/>
        <v>495911</v>
      </c>
    </row>
    <row r="225" spans="1:13" ht="15.75" hidden="1" customHeight="1" outlineLevel="1">
      <c r="A225" s="44"/>
      <c r="B225" s="45" t="s">
        <v>25</v>
      </c>
      <c r="C225" s="46">
        <v>1268309</v>
      </c>
      <c r="D225" s="46">
        <v>0</v>
      </c>
      <c r="E225" s="46"/>
      <c r="F225" s="46">
        <v>2683173.4900000002</v>
      </c>
      <c r="G225" s="37">
        <f t="shared" si="26"/>
        <v>0.47268989676847167</v>
      </c>
      <c r="H225" s="23">
        <f t="shared" si="23"/>
        <v>0</v>
      </c>
      <c r="I225" s="24">
        <f t="shared" si="23"/>
        <v>0</v>
      </c>
      <c r="J225" s="32" t="str" cm="1">
        <f t="array" ref="J225">IFERROR(_xlfn.IFS(B225="044 - BLEND TRADICION","BLEND",B225="113 - CAFÉ GOURMET","GOURMET",B225="114 - CAFÉ CONSUMO","CONSUMO",B225="112 - CAFÉ ORGANICO","GOURMET",B225="172 - CAFÉ COSECHA","ESPECIALES",B225="176 - CAFE DESCAFEINADO","GOURMET",B225="147 - CAPSULAS","CAPSULAS",B225="130 - GALLETAS CAFECITAS","DERIVADOS",B225="140 - MERENGUES","DERIVADOS",B225="100 - CAFÉ ESPECIAL","ESPECIALES",B225="141 - AREQUIPE","DERIVADOS",B225="142 - MERMELADA","DERIVADOS",B225="131 - GALLETAS AVENA","DERIVADOS",B225="160 - SOUVENIR","OTROS",B225="148 - CARAMELOS","DERIVADOS",B225="143 - CHOCOFFES","DERIVADOS",B225="162 - CONVENIOS Y DSC POS ","OTROS"),"OTROS")</f>
        <v>DERIVADOS</v>
      </c>
      <c r="K225" s="62">
        <f t="shared" ref="K225" si="29">C225-E225</f>
        <v>1268309</v>
      </c>
      <c r="L225" s="27">
        <f t="shared" si="24"/>
        <v>1268309</v>
      </c>
      <c r="M225" s="27">
        <f t="shared" si="25"/>
        <v>1268309</v>
      </c>
    </row>
    <row r="226" spans="1:13" ht="15.75" hidden="1" customHeight="1" outlineLevel="1">
      <c r="A226" s="44"/>
      <c r="B226" s="45" t="s">
        <v>26</v>
      </c>
      <c r="C226" s="46">
        <v>11047961</v>
      </c>
      <c r="D226" s="46">
        <v>0</v>
      </c>
      <c r="E226" s="46"/>
      <c r="F226" s="46">
        <v>14923818.029999999</v>
      </c>
      <c r="G226" s="37">
        <f t="shared" si="26"/>
        <v>0.74029051934238843</v>
      </c>
      <c r="H226" s="23">
        <f t="shared" ref="H226:I279" si="30">IFERROR(+D226/L226*100%,0)</f>
        <v>0</v>
      </c>
      <c r="I226" s="24">
        <f t="shared" si="30"/>
        <v>0</v>
      </c>
      <c r="J226" s="32" t="str" cm="1">
        <f t="array" ref="J226">IFERROR(_xlfn.IFS(B226="044 - BLEND TRADICION","BLEND",B226="113 - CAFÉ GOURMET","GOURMET",B226="114 - CAFÉ CONSUMO","CONSUMO",B226="112 - CAFÉ ORGANICO","GOURMET",B226="172 - CAFÉ COSECHA","ESPECIALES",B226="176 - CAFE DESCAFEINADO","GOURMET",B226="147 - CAPSULAS","CAPSULAS",B226="130 - GALLETAS CAFECITAS","DERIVADOS",B226="140 - MERENGUES","DERIVADOS",B226="100 - CAFÉ ESPECIAL","ESPECIALES",B226="141 - AREQUIPE","DERIVADOS",B226="142 - MERMELADA","DERIVADOS",B226="131 - GALLETAS AVENA","DERIVADOS",B226="160 - SOUVENIR","OTROS",B226="148 - CARAMELOS","DERIVADOS",B226="143 - CHOCOFFES","DERIVADOS",B226="162 - CONVENIOS Y DSC POS ","OTROS"),"OTROS")</f>
        <v>CAPSULAS</v>
      </c>
      <c r="K226" s="62"/>
      <c r="L226" s="27">
        <f t="shared" si="24"/>
        <v>11047961</v>
      </c>
      <c r="M226" s="27">
        <f t="shared" si="25"/>
        <v>11047961</v>
      </c>
    </row>
    <row r="227" spans="1:13" ht="15.75" hidden="1" customHeight="1" outlineLevel="1">
      <c r="A227" s="44"/>
      <c r="B227" s="45" t="s">
        <v>27</v>
      </c>
      <c r="C227" s="46">
        <v>1348637</v>
      </c>
      <c r="D227" s="46">
        <v>0</v>
      </c>
      <c r="E227" s="46"/>
      <c r="F227" s="46">
        <v>3692134.82</v>
      </c>
      <c r="G227" s="37">
        <f t="shared" si="26"/>
        <v>0.36527295609427396</v>
      </c>
      <c r="H227" s="23">
        <f t="shared" si="30"/>
        <v>0</v>
      </c>
      <c r="I227" s="24">
        <f t="shared" si="30"/>
        <v>0</v>
      </c>
      <c r="J227" s="32" t="str" cm="1">
        <f t="array" ref="J227">IFERROR(_xlfn.IFS(B227="044 - BLEND TRADICION","BLEND",B227="113 - CAFÉ GOURMET","GOURMET",B227="114 - CAFÉ CONSUMO","CONSUMO",B227="112 - CAFÉ ORGANICO","GOURMET",B227="172 - CAFÉ COSECHA","ESPECIALES",B227="176 - CAFE DESCAFEINADO","GOURMET",B227="147 - CAPSULAS","CAPSULAS",B227="130 - GALLETAS CAFECITAS","DERIVADOS",B227="140 - MERENGUES","DERIVADOS",B227="100 - CAFÉ ESPECIAL","ESPECIALES",B227="141 - AREQUIPE","DERIVADOS",B227="142 - MERMELADA","DERIVADOS",B227="131 - GALLETAS AVENA","DERIVADOS",B227="160 - SOUVENIR","OTROS",B227="148 - CARAMELOS","DERIVADOS",B227="143 - CHOCOFFES","DERIVADOS",B227="162 - CONVENIOS Y DSC POS ","OTROS"),"OTROS")</f>
        <v>DERIVADOS</v>
      </c>
      <c r="K227" s="62"/>
      <c r="L227" s="27">
        <f t="shared" si="24"/>
        <v>1348637</v>
      </c>
      <c r="M227" s="27">
        <f t="shared" si="25"/>
        <v>1348637</v>
      </c>
    </row>
    <row r="228" spans="1:13" ht="15.75" hidden="1" customHeight="1" outlineLevel="1">
      <c r="A228" s="44"/>
      <c r="B228" s="45" t="s">
        <v>28</v>
      </c>
      <c r="C228" s="46">
        <v>5327699</v>
      </c>
      <c r="D228" s="46">
        <v>0</v>
      </c>
      <c r="E228" s="46"/>
      <c r="F228" s="46">
        <v>11283255.869999999</v>
      </c>
      <c r="G228" s="37">
        <f t="shared" si="26"/>
        <v>0.4721774513830998</v>
      </c>
      <c r="H228" s="23">
        <f t="shared" si="30"/>
        <v>0</v>
      </c>
      <c r="I228" s="24">
        <f t="shared" si="30"/>
        <v>0</v>
      </c>
      <c r="J228" s="32" t="str" cm="1">
        <f t="array" ref="J228">IFERROR(_xlfn.IFS(B228="044 - BLEND TRADICION","BLEND",B228="113 - CAFÉ GOURMET","GOURMET",B228="114 - CAFÉ CONSUMO","CONSUMO",B228="112 - CAFÉ ORGANICO","GOURMET",B228="172 - CAFÉ COSECHA","ESPECIALES",B228="176 - CAFE DESCAFEINADO","GOURMET",B228="147 - CAPSULAS","CAPSULAS",B228="130 - GALLETAS CAFECITAS","DERIVADOS",B228="140 - MERENGUES","DERIVADOS",B228="100 - CAFÉ ESPECIAL","ESPECIALES",B228="141 - AREQUIPE","DERIVADOS",B228="142 - MERMELADA","DERIVADOS",B228="131 - GALLETAS AVENA","DERIVADOS",B228="160 - SOUVENIR","OTROS",B228="148 - CARAMELOS","DERIVADOS",B228="143 - CHOCOFFES","DERIVADOS",B228="162 - CONVENIOS Y DSC POS ","OTROS"),"OTROS")</f>
        <v>OTROS</v>
      </c>
      <c r="K228" s="62">
        <f t="shared" ref="K228" si="31">C228-E228</f>
        <v>5327699</v>
      </c>
      <c r="L228" s="27">
        <f t="shared" si="24"/>
        <v>5327699</v>
      </c>
      <c r="M228" s="27">
        <f t="shared" si="25"/>
        <v>5327699</v>
      </c>
    </row>
    <row r="229" spans="1:13" ht="15.75" hidden="1" customHeight="1" outlineLevel="1">
      <c r="A229" s="44"/>
      <c r="B229" s="45" t="s">
        <v>29</v>
      </c>
      <c r="C229" s="46">
        <v>6366091</v>
      </c>
      <c r="D229" s="46">
        <v>0</v>
      </c>
      <c r="E229" s="46"/>
      <c r="F229" s="46">
        <v>12790414.619999999</v>
      </c>
      <c r="G229" s="37">
        <f t="shared" si="26"/>
        <v>0.49772358356902119</v>
      </c>
      <c r="H229" s="23">
        <f t="shared" si="30"/>
        <v>0</v>
      </c>
      <c r="I229" s="24">
        <f t="shared" si="30"/>
        <v>0</v>
      </c>
      <c r="J229" s="32" t="str" cm="1">
        <f t="array" ref="J229">IFERROR(_xlfn.IFS(B229="044 - BLEND TRADICION","BLEND",B229="113 - CAFÉ GOURMET","GOURMET",B229="114 - CAFÉ CONSUMO","CONSUMO",B229="112 - CAFÉ ORGANICO","GOURMET",B229="172 - CAFÉ COSECHA","ESPECIALES",B229="176 - CAFE DESCAFEINADO","GOURMET",B229="147 - CAPSULAS","CAPSULAS",B229="130 - GALLETAS CAFECITAS","DERIVADOS",B229="140 - MERENGUES","DERIVADOS",B229="100 - CAFÉ ESPECIAL","ESPECIALES",B229="141 - AREQUIPE","DERIVADOS",B229="142 - MERMELADA","DERIVADOS",B229="131 - GALLETAS AVENA","DERIVADOS",B229="160 - SOUVENIR","OTROS",B229="148 - CARAMELOS","DERIVADOS",B229="143 - CHOCOFFES","DERIVADOS",B229="162 - CONVENIOS Y DSC POS ","OTROS"),"OTROS")</f>
        <v>ESPECIALES</v>
      </c>
      <c r="K229" s="62"/>
      <c r="L229" s="27">
        <f t="shared" si="24"/>
        <v>6366091</v>
      </c>
      <c r="M229" s="27">
        <f t="shared" si="25"/>
        <v>6366091</v>
      </c>
    </row>
    <row r="230" spans="1:13" ht="15.75" hidden="1" customHeight="1" outlineLevel="1">
      <c r="A230" s="44"/>
      <c r="B230" s="45" t="s">
        <v>30</v>
      </c>
      <c r="C230" s="46">
        <v>0</v>
      </c>
      <c r="D230" s="46">
        <v>0</v>
      </c>
      <c r="E230" s="46"/>
      <c r="F230" s="46">
        <v>682536.26</v>
      </c>
      <c r="G230" s="37">
        <f t="shared" si="26"/>
        <v>0</v>
      </c>
      <c r="H230" s="23">
        <f t="shared" si="30"/>
        <v>0</v>
      </c>
      <c r="I230" s="24">
        <f t="shared" si="30"/>
        <v>0</v>
      </c>
      <c r="J230" s="32" t="str" cm="1">
        <f t="array" ref="J230">IFERROR(_xlfn.IFS(B230="044 - BLEND TRADICION","BLEND",B230="113 - CAFÉ GOURMET","GOURMET",B230="114 - CAFÉ CONSUMO","CONSUMO",B230="112 - CAFÉ ORGANICO","GOURMET",B230="172 - CAFÉ COSECHA","ESPECIALES",B230="176 - CAFE DESCAFEINADO","GOURMET",B230="147 - CAPSULAS","CAPSULAS",B230="130 - GALLETAS CAFECITAS","DERIVADOS",B230="140 - MERENGUES","DERIVADOS",B230="100 - CAFÉ ESPECIAL","ESPECIALES",B230="141 - AREQUIPE","DERIVADOS",B230="142 - MERMELADA","DERIVADOS",B230="131 - GALLETAS AVENA","DERIVADOS",B230="160 - SOUVENIR","OTROS",B230="148 - CARAMELOS","DERIVADOS",B230="143 - CHOCOFFES","DERIVADOS",B230="162 - CONVENIOS Y DSC POS ","OTROS"),"OTROS")</f>
        <v>GOURMET</v>
      </c>
      <c r="K230" s="62"/>
      <c r="L230" s="27">
        <f t="shared" si="24"/>
        <v>0</v>
      </c>
      <c r="M230" s="27">
        <f t="shared" si="25"/>
        <v>0</v>
      </c>
    </row>
    <row r="231" spans="1:13" ht="15.75" hidden="1" customHeight="1" outlineLevel="1">
      <c r="A231" s="44"/>
      <c r="B231" s="45" t="s">
        <v>31</v>
      </c>
      <c r="C231" s="46">
        <v>48000</v>
      </c>
      <c r="D231" s="46">
        <v>0</v>
      </c>
      <c r="E231" s="46"/>
      <c r="F231" s="46">
        <v>0</v>
      </c>
      <c r="G231" s="37" t="str">
        <f t="shared" si="26"/>
        <v>-</v>
      </c>
      <c r="H231" s="23">
        <f t="shared" si="30"/>
        <v>0</v>
      </c>
      <c r="I231" s="24">
        <f t="shared" si="30"/>
        <v>0</v>
      </c>
      <c r="J231" s="32" t="str" cm="1">
        <f t="array" ref="J231">IFERROR(_xlfn.IFS(B231="044 - BLEND TRADICION","BLEND",B231="113 - CAFÉ GOURMET","GOURMET",B231="114 - CAFÉ CONSUMO","CONSUMO",B231="112 - CAFÉ ORGANICO","GOURMET",B231="172 - CAFÉ COSECHA","ESPECIALES",B231="176 - CAFE DESCAFEINADO","GOURMET",B231="147 - CAPSULAS","CAPSULAS",B231="130 - GALLETAS CAFECITAS","DERIVADOS",B231="140 - MERENGUES","DERIVADOS",B231="100 - CAFÉ ESPECIAL","ESPECIALES",B231="141 - AREQUIPE","DERIVADOS",B231="142 - MERMELADA","DERIVADOS",B231="131 - GALLETAS AVENA","DERIVADOS",B231="160 - SOUVENIR","OTROS",B231="148 - CARAMELOS","DERIVADOS",B231="143 - CHOCOFFES","DERIVADOS",B231="162 - CONVENIOS Y DSC POS ","OTROS"),"OTROS")</f>
        <v>OTROS</v>
      </c>
      <c r="K231" s="62">
        <f t="shared" ref="K231" si="32">C231-E231</f>
        <v>48000</v>
      </c>
      <c r="L231" s="27">
        <f t="shared" si="24"/>
        <v>48000</v>
      </c>
      <c r="M231" s="27">
        <f t="shared" si="25"/>
        <v>48000</v>
      </c>
    </row>
    <row r="232" spans="1:13" ht="15.75" hidden="1" customHeight="1" outlineLevel="1">
      <c r="A232" s="19" t="s">
        <v>58</v>
      </c>
      <c r="B232" s="40" t="s">
        <v>32</v>
      </c>
      <c r="C232" s="41">
        <f>SUM(C217:C231)</f>
        <v>105495408</v>
      </c>
      <c r="D232" s="41">
        <f>SUM(D217:D231)</f>
        <v>0</v>
      </c>
      <c r="E232" s="41">
        <f>SUM(E217:E231)</f>
        <v>0</v>
      </c>
      <c r="F232" s="41">
        <f>SUM(F217:F231)</f>
        <v>242185563.47000003</v>
      </c>
      <c r="G232" s="42">
        <f t="shared" si="26"/>
        <v>0.43559742574444538</v>
      </c>
      <c r="H232" s="43">
        <f t="shared" si="30"/>
        <v>0</v>
      </c>
      <c r="I232" s="24">
        <f t="shared" si="30"/>
        <v>0</v>
      </c>
      <c r="J232" s="32" t="str" cm="1">
        <f t="array" ref="J232">IFERROR(_xlfn.IFS(B232="044 - BLEND TRADICION","BLEND",B232="113 - CAFÉ GOURMET","GOURMET",B232="114 - CAFÉ CONSUMO","CONSUMO",B232="112 - CAFÉ ORGANICO","GOURMET",B232="172 - CAFÉ COSECHA","ESPECIALES",B232="176 - CAFE DESCAFEINADO","GOURMET",B232="147 - CAPSULAS","CAPSULAS",B232="130 - GALLETAS CAFECITAS","DERIVADOS",B232="140 - MERENGUES","DERIVADOS",B232="100 - CAFÉ ESPECIAL","ESPECIALES",B232="141 - AREQUIPE","DERIVADOS",B232="142 - MERMELADA","DERIVADOS",B232="131 - GALLETAS AVENA","DERIVADOS",B232="160 - SOUVENIR","OTROS",B232="148 - CARAMELOS","DERIVADOS",B232="143 - CHOCOFFES","DERIVADOS",B232="162 - CONVENIOS Y DSC POS ","OTROS"),"OTROS")</f>
        <v>OTROS</v>
      </c>
      <c r="L232" s="27">
        <f t="shared" si="24"/>
        <v>105495408</v>
      </c>
      <c r="M232" s="27">
        <f t="shared" si="25"/>
        <v>105495408</v>
      </c>
    </row>
    <row r="233" spans="1:13" ht="16.5" collapsed="1">
      <c r="A233" s="28" t="s">
        <v>59</v>
      </c>
      <c r="B233" s="29" t="s">
        <v>17</v>
      </c>
      <c r="C233" s="30">
        <f>+C247</f>
        <v>117622800</v>
      </c>
      <c r="D233" s="30">
        <f>+D247</f>
        <v>-793064</v>
      </c>
      <c r="E233" s="30">
        <f>+E247</f>
        <v>0</v>
      </c>
      <c r="F233" s="30">
        <f>+F247</f>
        <v>278548044.25999999</v>
      </c>
      <c r="G233" s="31">
        <f t="shared" si="26"/>
        <v>0.42227113930194932</v>
      </c>
      <c r="H233" s="23">
        <f t="shared" si="30"/>
        <v>-6.6972783308830988E-3</v>
      </c>
      <c r="I233" s="24">
        <f t="shared" si="30"/>
        <v>0</v>
      </c>
      <c r="J233" s="32" t="str" cm="1">
        <f t="array" ref="J233">IFERROR(_xlfn.IFS(B233="044 - BLEND TRADICION","BLEND",B233="113 - CAFÉ GOURMET","GOURMET",B233="114 - CAFÉ CONSUMO","CONSUMO",B233="112 - CAFÉ ORGANICO","GOURMET",B233="172 - CAFÉ COSECHA","ESPECIALES",B233="176 - CAFE DESCAFEINADO","GOURMET",B233="147 - CAPSULAS","CAPSULAS",B233="130 - GALLETAS CAFECITAS","DERIVADOS",B233="140 - MERENGUES","DERIVADOS",B233="100 - CAFÉ ESPECIAL","ESPECIALES",B233="141 - AREQUIPE","DERIVADOS",B233="142 - MERMELADA","DERIVADOS",B233="131 - GALLETAS AVENA","DERIVADOS",B233="160 - SOUVENIR","OTROS",B233="148 - CARAMELOS","DERIVADOS",B233="143 - CHOCOFFES","DERIVADOS",B233="162 - CONVENIOS Y DSC POS ","OTROS"),"OTROS")</f>
        <v>OTROS</v>
      </c>
      <c r="K233" s="6"/>
      <c r="L233" s="27">
        <f t="shared" si="24"/>
        <v>118415864</v>
      </c>
      <c r="M233" s="27">
        <f t="shared" si="25"/>
        <v>118415864</v>
      </c>
    </row>
    <row r="234" spans="1:13" ht="15.75" hidden="1" customHeight="1" outlineLevel="2">
      <c r="A234" s="33"/>
      <c r="B234" s="45" t="s">
        <v>18</v>
      </c>
      <c r="C234" s="46">
        <v>6454800</v>
      </c>
      <c r="D234" s="46">
        <v>0</v>
      </c>
      <c r="E234" s="46">
        <v>0</v>
      </c>
      <c r="F234" s="35">
        <v>12548768.83</v>
      </c>
      <c r="G234" s="37">
        <f t="shared" si="26"/>
        <v>0.51437715424071606</v>
      </c>
      <c r="H234" s="23">
        <f t="shared" si="30"/>
        <v>0</v>
      </c>
      <c r="I234" s="24">
        <f t="shared" si="30"/>
        <v>0</v>
      </c>
      <c r="J234" s="32" t="str" cm="1">
        <f t="array" ref="J234">IFERROR(_xlfn.IFS(B234="044 - BLEND TRADICION","BLEND",B234="113 - CAFÉ GOURMET","GOURMET",B234="114 - CAFÉ CONSUMO","CONSUMO",B234="112 - CAFÉ ORGANICO","GOURMET",B234="172 - CAFÉ COSECHA","ESPECIALES",B234="176 - CAFE DESCAFEINADO","GOURMET",B234="147 - CAPSULAS","CAPSULAS",B234="130 - GALLETAS CAFECITAS","DERIVADOS",B234="140 - MERENGUES","DERIVADOS",B234="100 - CAFÉ ESPECIAL","ESPECIALES",B234="141 - AREQUIPE","DERIVADOS",B234="142 - MERMELADA","DERIVADOS",B234="131 - GALLETAS AVENA","DERIVADOS",B234="160 - SOUVENIR","OTROS",B234="148 - CARAMELOS","DERIVADOS",B234="143 - CHOCOFFES","DERIVADOS",B234="162 - CONVENIOS Y DSC POS ","OTROS"),"OTROS")</f>
        <v>BLEND</v>
      </c>
      <c r="K234" s="6"/>
      <c r="L234" s="27">
        <f t="shared" si="24"/>
        <v>6454800</v>
      </c>
      <c r="M234" s="27">
        <f t="shared" si="25"/>
        <v>6454800</v>
      </c>
    </row>
    <row r="235" spans="1:13" ht="15.75" hidden="1" customHeight="1" outlineLevel="2">
      <c r="A235" s="33"/>
      <c r="B235" s="45" t="s">
        <v>19</v>
      </c>
      <c r="C235" s="46">
        <v>11383568</v>
      </c>
      <c r="D235" s="46">
        <v>-171144</v>
      </c>
      <c r="E235" s="46"/>
      <c r="F235" s="35">
        <v>15024939.119999999</v>
      </c>
      <c r="G235" s="37">
        <f t="shared" si="26"/>
        <v>0.75764486691643917</v>
      </c>
      <c r="H235" s="23">
        <f t="shared" si="30"/>
        <v>-1.4811619709777275E-2</v>
      </c>
      <c r="I235" s="24">
        <f t="shared" si="30"/>
        <v>0</v>
      </c>
      <c r="J235" s="32" t="str" cm="1">
        <f t="array" ref="J235">IFERROR(_xlfn.IFS(B235="044 - BLEND TRADICION","BLEND",B235="113 - CAFÉ GOURMET","GOURMET",B235="114 - CAFÉ CONSUMO","CONSUMO",B235="112 - CAFÉ ORGANICO","GOURMET",B235="172 - CAFÉ COSECHA","ESPECIALES",B235="176 - CAFE DESCAFEINADO","GOURMET",B235="147 - CAPSULAS","CAPSULAS",B235="130 - GALLETAS CAFECITAS","DERIVADOS",B235="140 - MERENGUES","DERIVADOS",B235="100 - CAFÉ ESPECIAL","ESPECIALES",B235="141 - AREQUIPE","DERIVADOS",B235="142 - MERMELADA","DERIVADOS",B235="131 - GALLETAS AVENA","DERIVADOS",B235="160 - SOUVENIR","OTROS",B235="148 - CARAMELOS","DERIVADOS",B235="143 - CHOCOFFES","DERIVADOS",B235="162 - CONVENIOS Y DSC POS ","OTROS"),"OTROS")</f>
        <v>ESPECIALES</v>
      </c>
      <c r="K235" s="6"/>
      <c r="L235" s="27">
        <f t="shared" si="24"/>
        <v>11554712</v>
      </c>
      <c r="M235" s="27">
        <f t="shared" si="25"/>
        <v>11554712</v>
      </c>
    </row>
    <row r="236" spans="1:13" ht="15.75" hidden="1" customHeight="1" outlineLevel="2">
      <c r="A236" s="38"/>
      <c r="B236" s="45" t="s">
        <v>20</v>
      </c>
      <c r="C236" s="46">
        <v>6675677</v>
      </c>
      <c r="D236" s="46">
        <v>0</v>
      </c>
      <c r="E236" s="46">
        <v>0</v>
      </c>
      <c r="F236" s="36">
        <v>16967408.859999999</v>
      </c>
      <c r="G236" s="37">
        <f t="shared" si="26"/>
        <v>0.39344115858124024</v>
      </c>
      <c r="H236" s="23">
        <f t="shared" si="30"/>
        <v>0</v>
      </c>
      <c r="I236" s="24">
        <f t="shared" si="30"/>
        <v>0</v>
      </c>
      <c r="J236" s="32" t="str" cm="1">
        <f t="array" ref="J236">IFERROR(_xlfn.IFS(B236="044 - BLEND TRADICION","BLEND",B236="113 - CAFÉ GOURMET","GOURMET",B236="114 - CAFÉ CONSUMO","CONSUMO",B236="112 - CAFÉ ORGANICO","GOURMET",B236="172 - CAFÉ COSECHA","ESPECIALES",B236="176 - CAFE DESCAFEINADO","GOURMET",B236="147 - CAPSULAS","CAPSULAS",B236="130 - GALLETAS CAFECITAS","DERIVADOS",B236="140 - MERENGUES","DERIVADOS",B236="100 - CAFÉ ESPECIAL","ESPECIALES",B236="141 - AREQUIPE","DERIVADOS",B236="142 - MERMELADA","DERIVADOS",B236="131 - GALLETAS AVENA","DERIVADOS",B236="160 - SOUVENIR","OTROS",B236="148 - CARAMELOS","DERIVADOS",B236="143 - CHOCOFFES","DERIVADOS",B236="162 - CONVENIOS Y DSC POS ","OTROS"),"OTROS")</f>
        <v>GOURMET</v>
      </c>
      <c r="K236" s="6"/>
      <c r="L236" s="27">
        <f t="shared" si="24"/>
        <v>6675677</v>
      </c>
      <c r="M236" s="27">
        <f t="shared" si="25"/>
        <v>6675677</v>
      </c>
    </row>
    <row r="237" spans="1:13" ht="15.75" hidden="1" customHeight="1" outlineLevel="2">
      <c r="A237" s="38"/>
      <c r="B237" s="45" t="s">
        <v>21</v>
      </c>
      <c r="C237" s="46">
        <v>66691301</v>
      </c>
      <c r="D237" s="46">
        <v>0</v>
      </c>
      <c r="E237" s="46">
        <v>0</v>
      </c>
      <c r="F237" s="36">
        <v>189138509.15000001</v>
      </c>
      <c r="G237" s="37">
        <f t="shared" si="26"/>
        <v>0.35260561849469352</v>
      </c>
      <c r="H237" s="23">
        <f t="shared" si="30"/>
        <v>0</v>
      </c>
      <c r="I237" s="24">
        <f t="shared" si="30"/>
        <v>0</v>
      </c>
      <c r="J237" s="32" t="str" cm="1">
        <f t="array" ref="J237">IFERROR(_xlfn.IFS(B237="044 - BLEND TRADICION","BLEND",B237="113 - CAFÉ GOURMET","GOURMET",B237="114 - CAFÉ CONSUMO","CONSUMO",B237="112 - CAFÉ ORGANICO","GOURMET",B237="172 - CAFÉ COSECHA","ESPECIALES",B237="176 - CAFE DESCAFEINADO","GOURMET",B237="147 - CAPSULAS","CAPSULAS",B237="130 - GALLETAS CAFECITAS","DERIVADOS",B237="140 - MERENGUES","DERIVADOS",B237="100 - CAFÉ ESPECIAL","ESPECIALES",B237="141 - AREQUIPE","DERIVADOS",B237="142 - MERMELADA","DERIVADOS",B237="131 - GALLETAS AVENA","DERIVADOS",B237="160 - SOUVENIR","OTROS",B237="148 - CARAMELOS","DERIVADOS",B237="143 - CHOCOFFES","DERIVADOS",B237="162 - CONVENIOS Y DSC POS ","OTROS"),"OTROS")</f>
        <v>GOURMET</v>
      </c>
      <c r="K237" s="6"/>
      <c r="L237" s="27">
        <f t="shared" si="24"/>
        <v>66691301</v>
      </c>
      <c r="M237" s="27">
        <f t="shared" si="25"/>
        <v>66691301</v>
      </c>
    </row>
    <row r="238" spans="1:13" ht="15.75" hidden="1" customHeight="1" outlineLevel="2">
      <c r="A238" s="38"/>
      <c r="B238" s="45" t="s">
        <v>38</v>
      </c>
      <c r="C238" s="46">
        <v>0</v>
      </c>
      <c r="D238" s="46">
        <v>0</v>
      </c>
      <c r="E238" s="46">
        <v>0</v>
      </c>
      <c r="F238" s="36">
        <v>1194829.97</v>
      </c>
      <c r="G238" s="37">
        <f t="shared" si="26"/>
        <v>0</v>
      </c>
      <c r="H238" s="23">
        <f t="shared" si="30"/>
        <v>0</v>
      </c>
      <c r="I238" s="24">
        <f t="shared" si="30"/>
        <v>0</v>
      </c>
      <c r="J238" s="32" t="str" cm="1">
        <f t="array" ref="J238">IFERROR(_xlfn.IFS(B238="044 - BLEND TRADICION","BLEND",B238="113 - CAFÉ GOURMET","GOURMET",B238="114 - CAFÉ CONSUMO","CONSUMO",B238="112 - CAFÉ ORGANICO","GOURMET",B238="172 - CAFÉ COSECHA","ESPECIALES",B238="176 - CAFE DESCAFEINADO","GOURMET",B238="147 - CAPSULAS","CAPSULAS",B238="130 - GALLETAS CAFECITAS","DERIVADOS",B238="140 - MERENGUES","DERIVADOS",B238="100 - CAFÉ ESPECIAL","ESPECIALES",B238="141 - AREQUIPE","DERIVADOS",B238="142 - MERMELADA","DERIVADOS",B238="131 - GALLETAS AVENA","DERIVADOS",B238="160 - SOUVENIR","OTROS",B238="148 - CARAMELOS","DERIVADOS",B238="143 - CHOCOFFES","DERIVADOS",B238="162 - CONVENIOS Y DSC POS ","OTROS"),"OTROS")</f>
        <v>CONSUMO</v>
      </c>
      <c r="K238" s="6"/>
      <c r="L238" s="27">
        <f t="shared" si="24"/>
        <v>0</v>
      </c>
      <c r="M238" s="27">
        <f t="shared" si="25"/>
        <v>0</v>
      </c>
    </row>
    <row r="239" spans="1:13" ht="15.75" hidden="1" customHeight="1" outlineLevel="2">
      <c r="A239" s="38"/>
      <c r="B239" s="45" t="s">
        <v>22</v>
      </c>
      <c r="C239" s="46">
        <v>2966401</v>
      </c>
      <c r="D239" s="46">
        <v>-10640</v>
      </c>
      <c r="E239" s="46"/>
      <c r="F239" s="36">
        <v>4066253.4</v>
      </c>
      <c r="G239" s="37">
        <f t="shared" si="26"/>
        <v>0.72951700452313184</v>
      </c>
      <c r="H239" s="23">
        <f t="shared" si="30"/>
        <v>-3.5740186312516356E-3</v>
      </c>
      <c r="I239" s="24">
        <f t="shared" si="30"/>
        <v>0</v>
      </c>
      <c r="J239" s="32" t="str" cm="1">
        <f t="array" ref="J239">IFERROR(_xlfn.IFS(B239="044 - BLEND TRADICION","BLEND",B239="113 - CAFÉ GOURMET","GOURMET",B239="114 - CAFÉ CONSUMO","CONSUMO",B239="112 - CAFÉ ORGANICO","GOURMET",B239="172 - CAFÉ COSECHA","ESPECIALES",B239="176 - CAFE DESCAFEINADO","GOURMET",B239="147 - CAPSULAS","CAPSULAS",B239="130 - GALLETAS CAFECITAS","DERIVADOS",B239="140 - MERENGUES","DERIVADOS",B239="100 - CAFÉ ESPECIAL","ESPECIALES",B239="141 - AREQUIPE","DERIVADOS",B239="142 - MERMELADA","DERIVADOS",B239="131 - GALLETAS AVENA","DERIVADOS",B239="160 - SOUVENIR","OTROS",B239="148 - CARAMELOS","DERIVADOS",B239="143 - CHOCOFFES","DERIVADOS",B239="162 - CONVENIOS Y DSC POS ","OTROS"),"OTROS")</f>
        <v>DERIVADOS</v>
      </c>
      <c r="K239" s="6"/>
      <c r="L239" s="27">
        <f t="shared" si="24"/>
        <v>2977041</v>
      </c>
      <c r="M239" s="27">
        <f t="shared" si="25"/>
        <v>2977041</v>
      </c>
    </row>
    <row r="240" spans="1:13" ht="15.75" hidden="1" customHeight="1" outlineLevel="2">
      <c r="A240" s="38"/>
      <c r="B240" s="45" t="s">
        <v>24</v>
      </c>
      <c r="C240" s="46">
        <v>263753</v>
      </c>
      <c r="D240" s="46">
        <v>0</v>
      </c>
      <c r="E240" s="46"/>
      <c r="F240" s="36">
        <v>552955.56000000006</v>
      </c>
      <c r="G240" s="37">
        <f t="shared" si="26"/>
        <v>0.47698769861361007</v>
      </c>
      <c r="H240" s="23">
        <f t="shared" si="30"/>
        <v>0</v>
      </c>
      <c r="I240" s="24">
        <f t="shared" si="30"/>
        <v>0</v>
      </c>
      <c r="J240" s="32" t="str" cm="1">
        <f t="array" ref="J240">IFERROR(_xlfn.IFS(B240="044 - BLEND TRADICION","BLEND",B240="113 - CAFÉ GOURMET","GOURMET",B240="114 - CAFÉ CONSUMO","CONSUMO",B240="112 - CAFÉ ORGANICO","GOURMET",B240="172 - CAFÉ COSECHA","ESPECIALES",B240="176 - CAFE DESCAFEINADO","GOURMET",B240="147 - CAPSULAS","CAPSULAS",B240="130 - GALLETAS CAFECITAS","DERIVADOS",B240="140 - MERENGUES","DERIVADOS",B240="100 - CAFÉ ESPECIAL","ESPECIALES",B240="141 - AREQUIPE","DERIVADOS",B240="142 - MERMELADA","DERIVADOS",B240="131 - GALLETAS AVENA","DERIVADOS",B240="160 - SOUVENIR","OTROS",B240="148 - CARAMELOS","DERIVADOS",B240="143 - CHOCOFFES","DERIVADOS",B240="162 - CONVENIOS Y DSC POS ","OTROS"),"OTROS")</f>
        <v>DERIVADOS</v>
      </c>
      <c r="K240" s="6"/>
      <c r="L240" s="27">
        <f t="shared" si="24"/>
        <v>263753</v>
      </c>
      <c r="M240" s="27">
        <f t="shared" si="25"/>
        <v>263753</v>
      </c>
    </row>
    <row r="241" spans="1:13" ht="15.75" hidden="1" customHeight="1" outlineLevel="2">
      <c r="A241" s="38"/>
      <c r="B241" s="45" t="s">
        <v>25</v>
      </c>
      <c r="C241" s="46">
        <v>1473412</v>
      </c>
      <c r="D241" s="46">
        <v>0</v>
      </c>
      <c r="E241" s="46"/>
      <c r="F241" s="36">
        <v>2361213.7599999998</v>
      </c>
      <c r="G241" s="37">
        <f t="shared" si="26"/>
        <v>0.62400618908810701</v>
      </c>
      <c r="H241" s="23">
        <f t="shared" si="30"/>
        <v>0</v>
      </c>
      <c r="I241" s="24">
        <f t="shared" si="30"/>
        <v>0</v>
      </c>
      <c r="J241" s="32" t="str" cm="1">
        <f t="array" ref="J241">IFERROR(_xlfn.IFS(B241="044 - BLEND TRADICION","BLEND",B241="113 - CAFÉ GOURMET","GOURMET",B241="114 - CAFÉ CONSUMO","CONSUMO",B241="112 - CAFÉ ORGANICO","GOURMET",B241="172 - CAFÉ COSECHA","ESPECIALES",B241="176 - CAFE DESCAFEINADO","GOURMET",B241="147 - CAPSULAS","CAPSULAS",B241="130 - GALLETAS CAFECITAS","DERIVADOS",B241="140 - MERENGUES","DERIVADOS",B241="100 - CAFÉ ESPECIAL","ESPECIALES",B241="141 - AREQUIPE","DERIVADOS",B241="142 - MERMELADA","DERIVADOS",B241="131 - GALLETAS AVENA","DERIVADOS",B241="160 - SOUVENIR","OTROS",B241="148 - CARAMELOS","DERIVADOS",B241="143 - CHOCOFFES","DERIVADOS",B241="162 - CONVENIOS Y DSC POS ","OTROS"),"OTROS")</f>
        <v>DERIVADOS</v>
      </c>
      <c r="K241" s="6"/>
      <c r="L241" s="27">
        <f t="shared" si="24"/>
        <v>1473412</v>
      </c>
      <c r="M241" s="27">
        <f t="shared" si="25"/>
        <v>1473412</v>
      </c>
    </row>
    <row r="242" spans="1:13" ht="15.75" hidden="1" customHeight="1" outlineLevel="2">
      <c r="A242" s="38"/>
      <c r="B242" s="45" t="s">
        <v>26</v>
      </c>
      <c r="C242" s="46">
        <v>3766569</v>
      </c>
      <c r="D242" s="46">
        <v>0</v>
      </c>
      <c r="E242" s="46"/>
      <c r="F242" s="36">
        <v>4996182.5999999996</v>
      </c>
      <c r="G242" s="37">
        <f t="shared" si="26"/>
        <v>0.75388937946343282</v>
      </c>
      <c r="H242" s="23">
        <f t="shared" si="30"/>
        <v>0</v>
      </c>
      <c r="I242" s="24">
        <f t="shared" si="30"/>
        <v>0</v>
      </c>
      <c r="J242" s="32" t="str" cm="1">
        <f t="array" ref="J242">IFERROR(_xlfn.IFS(B242="044 - BLEND TRADICION","BLEND",B242="113 - CAFÉ GOURMET","GOURMET",B242="114 - CAFÉ CONSUMO","CONSUMO",B242="112 - CAFÉ ORGANICO","GOURMET",B242="172 - CAFÉ COSECHA","ESPECIALES",B242="176 - CAFE DESCAFEINADO","GOURMET",B242="147 - CAPSULAS","CAPSULAS",B242="130 - GALLETAS CAFECITAS","DERIVADOS",B242="140 - MERENGUES","DERIVADOS",B242="100 - CAFÉ ESPECIAL","ESPECIALES",B242="141 - AREQUIPE","DERIVADOS",B242="142 - MERMELADA","DERIVADOS",B242="131 - GALLETAS AVENA","DERIVADOS",B242="160 - SOUVENIR","OTROS",B242="148 - CARAMELOS","DERIVADOS",B242="143 - CHOCOFFES","DERIVADOS",B242="162 - CONVENIOS Y DSC POS ","OTROS"),"OTROS")</f>
        <v>CAPSULAS</v>
      </c>
      <c r="K242" s="6"/>
      <c r="L242" s="27">
        <f t="shared" si="24"/>
        <v>3766569</v>
      </c>
      <c r="M242" s="27">
        <f t="shared" si="25"/>
        <v>3766569</v>
      </c>
    </row>
    <row r="243" spans="1:13" ht="15.75" hidden="1" customHeight="1" outlineLevel="2">
      <c r="A243" s="38"/>
      <c r="B243" s="45" t="s">
        <v>27</v>
      </c>
      <c r="C243" s="46">
        <v>446486</v>
      </c>
      <c r="D243" s="46">
        <v>0</v>
      </c>
      <c r="E243" s="46">
        <v>0</v>
      </c>
      <c r="F243" s="36">
        <v>1098154.5900000001</v>
      </c>
      <c r="G243" s="37">
        <f t="shared" si="26"/>
        <v>0.4065784581385759</v>
      </c>
      <c r="H243" s="23">
        <f t="shared" si="30"/>
        <v>0</v>
      </c>
      <c r="I243" s="24">
        <f t="shared" si="30"/>
        <v>0</v>
      </c>
      <c r="J243" s="32" t="str" cm="1">
        <f t="array" ref="J243">IFERROR(_xlfn.IFS(B243="044 - BLEND TRADICION","BLEND",B243="113 - CAFÉ GOURMET","GOURMET",B243="114 - CAFÉ CONSUMO","CONSUMO",B243="112 - CAFÉ ORGANICO","GOURMET",B243="172 - CAFÉ COSECHA","ESPECIALES",B243="176 - CAFE DESCAFEINADO","GOURMET",B243="147 - CAPSULAS","CAPSULAS",B243="130 - GALLETAS CAFECITAS","DERIVADOS",B243="140 - MERENGUES","DERIVADOS",B243="100 - CAFÉ ESPECIAL","ESPECIALES",B243="141 - AREQUIPE","DERIVADOS",B243="142 - MERMELADA","DERIVADOS",B243="131 - GALLETAS AVENA","DERIVADOS",B243="160 - SOUVENIR","OTROS",B243="148 - CARAMELOS","DERIVADOS",B243="143 - CHOCOFFES","DERIVADOS",B243="162 - CONVENIOS Y DSC POS ","OTROS"),"OTROS")</f>
        <v>DERIVADOS</v>
      </c>
      <c r="K243" s="6"/>
      <c r="L243" s="27">
        <f t="shared" si="24"/>
        <v>446486</v>
      </c>
      <c r="M243" s="27">
        <f t="shared" si="25"/>
        <v>446486</v>
      </c>
    </row>
    <row r="244" spans="1:13" ht="15.75" hidden="1" customHeight="1" outlineLevel="2">
      <c r="A244" s="38"/>
      <c r="B244" s="45" t="s">
        <v>28</v>
      </c>
      <c r="C244" s="46">
        <v>4742418</v>
      </c>
      <c r="D244" s="46">
        <v>0</v>
      </c>
      <c r="E244" s="46"/>
      <c r="F244" s="36">
        <v>4332933.07</v>
      </c>
      <c r="G244" s="37">
        <f t="shared" si="26"/>
        <v>1.094505251612391</v>
      </c>
      <c r="H244" s="23">
        <f t="shared" si="30"/>
        <v>0</v>
      </c>
      <c r="I244" s="24">
        <f t="shared" si="30"/>
        <v>0</v>
      </c>
      <c r="J244" s="32" t="str" cm="1">
        <f t="array" ref="J244">IFERROR(_xlfn.IFS(B244="044 - BLEND TRADICION","BLEND",B244="113 - CAFÉ GOURMET","GOURMET",B244="114 - CAFÉ CONSUMO","CONSUMO",B244="112 - CAFÉ ORGANICO","GOURMET",B244="172 - CAFÉ COSECHA","ESPECIALES",B244="176 - CAFE DESCAFEINADO","GOURMET",B244="147 - CAPSULAS","CAPSULAS",B244="130 - GALLETAS CAFECITAS","DERIVADOS",B244="140 - MERENGUES","DERIVADOS",B244="100 - CAFÉ ESPECIAL","ESPECIALES",B244="141 - AREQUIPE","DERIVADOS",B244="142 - MERMELADA","DERIVADOS",B244="131 - GALLETAS AVENA","DERIVADOS",B244="160 - SOUVENIR","OTROS",B244="148 - CARAMELOS","DERIVADOS",B244="143 - CHOCOFFES","DERIVADOS",B244="162 - CONVENIOS Y DSC POS ","OTROS"),"OTROS")</f>
        <v>OTROS</v>
      </c>
      <c r="K244" s="6"/>
      <c r="L244" s="27">
        <f t="shared" si="24"/>
        <v>4742418</v>
      </c>
      <c r="M244" s="27">
        <f t="shared" si="25"/>
        <v>4742418</v>
      </c>
    </row>
    <row r="245" spans="1:13" ht="15.75" hidden="1" customHeight="1" outlineLevel="2">
      <c r="A245" s="38"/>
      <c r="B245" s="45" t="s">
        <v>29</v>
      </c>
      <c r="C245" s="46">
        <v>9152481</v>
      </c>
      <c r="D245" s="46">
        <v>-611280</v>
      </c>
      <c r="E245" s="46"/>
      <c r="F245" s="36">
        <v>19696186.350000001</v>
      </c>
      <c r="G245" s="37">
        <f t="shared" si="26"/>
        <v>0.46468290040320415</v>
      </c>
      <c r="H245" s="23">
        <f t="shared" si="30"/>
        <v>-6.2607022027679704E-2</v>
      </c>
      <c r="I245" s="24">
        <f t="shared" si="30"/>
        <v>0</v>
      </c>
      <c r="J245" s="32" t="str" cm="1">
        <f t="array" ref="J245">IFERROR(_xlfn.IFS(B245="044 - BLEND TRADICION","BLEND",B245="113 - CAFÉ GOURMET","GOURMET",B245="114 - CAFÉ CONSUMO","CONSUMO",B245="112 - CAFÉ ORGANICO","GOURMET",B245="172 - CAFÉ COSECHA","ESPECIALES",B245="176 - CAFE DESCAFEINADO","GOURMET",B245="147 - CAPSULAS","CAPSULAS",B245="130 - GALLETAS CAFECITAS","DERIVADOS",B245="140 - MERENGUES","DERIVADOS",B245="100 - CAFÉ ESPECIAL","ESPECIALES",B245="141 - AREQUIPE","DERIVADOS",B245="142 - MERMELADA","DERIVADOS",B245="131 - GALLETAS AVENA","DERIVADOS",B245="160 - SOUVENIR","OTROS",B245="148 - CARAMELOS","DERIVADOS",B245="143 - CHOCOFFES","DERIVADOS",B245="162 - CONVENIOS Y DSC POS ","OTROS"),"OTROS")</f>
        <v>ESPECIALES</v>
      </c>
      <c r="K245" s="6"/>
      <c r="L245" s="27">
        <f t="shared" si="24"/>
        <v>9763761</v>
      </c>
      <c r="M245" s="27">
        <f t="shared" si="25"/>
        <v>9763761</v>
      </c>
    </row>
    <row r="246" spans="1:13" ht="15.75" hidden="1" customHeight="1" outlineLevel="2">
      <c r="A246" s="38"/>
      <c r="B246" s="45" t="s">
        <v>30</v>
      </c>
      <c r="C246" s="46">
        <v>3605934</v>
      </c>
      <c r="D246" s="46">
        <v>0</v>
      </c>
      <c r="E246" s="46"/>
      <c r="F246" s="36">
        <v>6569709</v>
      </c>
      <c r="G246" s="37">
        <f t="shared" si="26"/>
        <v>0.54887271262699766</v>
      </c>
      <c r="H246" s="23">
        <f t="shared" si="30"/>
        <v>0</v>
      </c>
      <c r="I246" s="24">
        <f>IFERROR(+E246/M246*100%,0)</f>
        <v>0</v>
      </c>
      <c r="J246" s="32" t="str" cm="1">
        <f t="array" ref="J246">IFERROR(_xlfn.IFS(B246="044 - BLEND TRADICION","BLEND",B246="113 - CAFÉ GOURMET","GOURMET",B246="114 - CAFÉ CONSUMO","CONSUMO",B246="112 - CAFÉ ORGANICO","GOURMET",B246="172 - CAFÉ COSECHA","ESPECIALES",B246="176 - CAFE DESCAFEINADO","GOURMET",B246="147 - CAPSULAS","CAPSULAS",B246="130 - GALLETAS CAFECITAS","DERIVADOS",B246="140 - MERENGUES","DERIVADOS",B246="100 - CAFÉ ESPECIAL","ESPECIALES",B246="141 - AREQUIPE","DERIVADOS",B246="142 - MERMELADA","DERIVADOS",B246="131 - GALLETAS AVENA","DERIVADOS",B246="160 - SOUVENIR","OTROS",B246="148 - CARAMELOS","DERIVADOS",B246="143 - CHOCOFFES","DERIVADOS",B246="162 - CONVENIOS Y DSC POS ","OTROS"),"OTROS")</f>
        <v>GOURMET</v>
      </c>
      <c r="K246" s="6"/>
      <c r="L246" s="27">
        <f>C246-(D246+E246)</f>
        <v>3605934</v>
      </c>
      <c r="M246" s="27">
        <f t="shared" si="25"/>
        <v>3605934</v>
      </c>
    </row>
    <row r="247" spans="1:13" ht="15.75" hidden="1" customHeight="1" outlineLevel="2">
      <c r="A247" s="19" t="s">
        <v>60</v>
      </c>
      <c r="B247" s="56" t="s">
        <v>32</v>
      </c>
      <c r="C247" s="54">
        <f>SUM(C234:C246)</f>
        <v>117622800</v>
      </c>
      <c r="D247" s="54">
        <f>SUM(D234:D246)</f>
        <v>-793064</v>
      </c>
      <c r="E247" s="54">
        <f>SUM(E234:E246)</f>
        <v>0</v>
      </c>
      <c r="F247" s="58">
        <f>SUM(F234:F246)</f>
        <v>278548044.25999999</v>
      </c>
      <c r="G247" s="55">
        <f t="shared" si="26"/>
        <v>0.42227113930194932</v>
      </c>
      <c r="H247" s="23">
        <f t="shared" si="30"/>
        <v>-6.6972783308830988E-3</v>
      </c>
      <c r="I247" s="24">
        <f>IFERROR(+E247/M247*100%,0)</f>
        <v>0</v>
      </c>
      <c r="J247" s="32" t="str" cm="1">
        <f t="array" ref="J247">IFERROR(_xlfn.IFS(B247="044 - BLEND TRADICION","BLEND",B247="113 - CAFÉ GOURMET","GOURMET",B247="114 - CAFÉ CONSUMO","CONSUMO",B247="112 - CAFÉ ORGANICO","GOURMET",B247="172 - CAFÉ COSECHA","ESPECIALES",B247="176 - CAFE DESCAFEINADO","GOURMET",B247="147 - CAPSULAS","CAPSULAS",B247="130 - GALLETAS CAFECITAS","DERIVADOS",B247="140 - MERENGUES","DERIVADOS",B247="100 - CAFÉ ESPECIAL","ESPECIALES",B247="141 - AREQUIPE","DERIVADOS",B247="142 - MERMELADA","DERIVADOS",B247="131 - GALLETAS AVENA","DERIVADOS",B247="160 - SOUVENIR","OTROS",B247="148 - CARAMELOS","DERIVADOS",B247="143 - CHOCOFFES","DERIVADOS",B247="162 - CONVENIOS Y DSC POS ","OTROS"),"OTROS")</f>
        <v>OTROS</v>
      </c>
      <c r="K247" s="6"/>
      <c r="L247" s="27">
        <f>C247-(D247+E247)</f>
        <v>118415864</v>
      </c>
      <c r="M247" s="27">
        <f t="shared" si="25"/>
        <v>118415864</v>
      </c>
    </row>
    <row r="248" spans="1:13" ht="16.5" collapsed="1">
      <c r="A248" s="28" t="s">
        <v>61</v>
      </c>
      <c r="B248" s="29" t="s">
        <v>17</v>
      </c>
      <c r="C248" s="30">
        <f>+C251+C259+C263</f>
        <v>219018389</v>
      </c>
      <c r="D248" s="30"/>
      <c r="E248" s="30">
        <f>+E251+E259+E263</f>
        <v>-185271</v>
      </c>
      <c r="F248" s="30">
        <f>+F251+F259+F263</f>
        <v>468781637.60000002</v>
      </c>
      <c r="G248" s="31">
        <f t="shared" si="26"/>
        <v>0.46720769636220921</v>
      </c>
      <c r="H248" s="23">
        <f t="shared" si="30"/>
        <v>0</v>
      </c>
      <c r="I248" s="24">
        <f t="shared" si="30"/>
        <v>-8.4520030368106082E-4</v>
      </c>
      <c r="J248" s="32" t="str" cm="1">
        <f t="array" ref="J248">IFERROR(_xlfn.IFS(B248="044 - BLEND TRADICION","BLEND",B248="113 - CAFÉ GOURMET","GOURMET",B248="114 - CAFÉ CONSUMO","CONSUMO",B248="112 - CAFÉ ORGANICO","GOURMET",B248="172 - CAFÉ COSECHA","ESPECIALES",B248="176 - CAFE DESCAFEINADO","GOURMET",B248="147 - CAPSULAS","CAPSULAS",B248="130 - GALLETAS CAFECITAS","DERIVADOS",B248="140 - MERENGUES","DERIVADOS",B248="100 - CAFÉ ESPECIAL","ESPECIALES",B248="141 - AREQUIPE","DERIVADOS",B248="142 - MERMELADA","DERIVADOS",B248="131 - GALLETAS AVENA","DERIVADOS",B248="160 - SOUVENIR","OTROS",B248="148 - CARAMELOS","DERIVADOS",B248="143 - CHOCOFFES","DERIVADOS",B248="162 - CONVENIOS Y DSC POS ","OTROS"),"OTROS")</f>
        <v>OTROS</v>
      </c>
      <c r="K248" s="6"/>
      <c r="L248" s="27">
        <f t="shared" ref="L248:L260" si="33">C248-(D248+E248)</f>
        <v>219203660</v>
      </c>
      <c r="M248" s="27">
        <f t="shared" si="25"/>
        <v>219203660</v>
      </c>
    </row>
    <row r="249" spans="1:13" ht="15.75" hidden="1" customHeight="1" outlineLevel="1">
      <c r="A249" s="33"/>
      <c r="B249" s="45" t="s">
        <v>62</v>
      </c>
      <c r="C249" s="46">
        <v>39351</v>
      </c>
      <c r="D249" s="46">
        <v>0</v>
      </c>
      <c r="E249" s="46">
        <v>0</v>
      </c>
      <c r="F249" s="46">
        <v>0</v>
      </c>
      <c r="G249" s="37" t="str">
        <f t="shared" si="26"/>
        <v>-</v>
      </c>
      <c r="H249" s="23">
        <f t="shared" si="30"/>
        <v>0</v>
      </c>
      <c r="I249" s="24">
        <f t="shared" si="30"/>
        <v>0</v>
      </c>
      <c r="J249" s="32" t="str" cm="1">
        <f t="array" ref="J249">IFERROR(_xlfn.IFS(B249="044 - BLEND TRADICION","BLEND",B249="113 - CAFÉ GOURMET","GOURMET",B249="114 - CAFÉ CONSUMO","CONSUMO",B249="112 - CAFÉ ORGANICO","GOURMET",B249="172 - CAFÉ COSECHA","ESPECIALES",B249="176 - CAFE DESCAFEINADO","GOURMET",B249="147 - CAPSULAS","CAPSULAS",B249="130 - GALLETAS CAFECITAS","DERIVADOS",B249="140 - MERENGUES","DERIVADOS",B249="100 - CAFÉ ESPECIAL","ESPECIALES",B249="141 - AREQUIPE","DERIVADOS",B249="142 - MERMELADA","DERIVADOS",B249="131 - GALLETAS AVENA","DERIVADOS",B249="160 - SOUVENIR","OTROS",B249="148 - CARAMELOS","DERIVADOS",B249="143 - CHOCOFFES","DERIVADOS",B249="162 - CONVENIOS Y DSC POS ","OTROS"),"OTROS")</f>
        <v>OTROS</v>
      </c>
      <c r="K249" s="6"/>
      <c r="L249" s="27">
        <f t="shared" si="33"/>
        <v>39351</v>
      </c>
      <c r="M249" s="27">
        <f t="shared" si="25"/>
        <v>39351</v>
      </c>
    </row>
    <row r="250" spans="1:13" ht="15.75" hidden="1" customHeight="1" outlineLevel="1">
      <c r="A250" s="33"/>
      <c r="B250" s="45" t="s">
        <v>39</v>
      </c>
      <c r="C250" s="46">
        <v>11800000</v>
      </c>
      <c r="D250" s="46">
        <v>0</v>
      </c>
      <c r="E250" s="46"/>
      <c r="F250" s="46">
        <v>0</v>
      </c>
      <c r="G250" s="37" t="str">
        <f t="shared" si="26"/>
        <v>-</v>
      </c>
      <c r="H250" s="23">
        <f t="shared" si="30"/>
        <v>0</v>
      </c>
      <c r="I250" s="24">
        <f t="shared" si="30"/>
        <v>0</v>
      </c>
      <c r="J250" s="32" t="str" cm="1">
        <f t="array" ref="J250">IFERROR(_xlfn.IFS(B250="044 - BLEND TRADICION","BLEND",B250="113 - CAFÉ GOURMET","GOURMET",B250="114 - CAFÉ CONSUMO","CONSUMO",B250="112 - CAFÉ ORGANICO","GOURMET",B250="172 - CAFÉ COSECHA","ESPECIALES",B250="176 - CAFE DESCAFEINADO","GOURMET",B250="147 - CAPSULAS","CAPSULAS",B250="130 - GALLETAS CAFECITAS","DERIVADOS",B250="140 - MERENGUES","DERIVADOS",B250="100 - CAFÉ ESPECIAL","ESPECIALES",B250="141 - AREQUIPE","DERIVADOS",B250="142 - MERMELADA","DERIVADOS",B250="131 - GALLETAS AVENA","DERIVADOS",B250="160 - SOUVENIR","OTROS",B250="148 - CARAMELOS","DERIVADOS",B250="143 - CHOCOFFES","DERIVADOS",B250="162 - CONVENIOS Y DSC POS ","OTROS"),"OTROS")</f>
        <v>OTROS</v>
      </c>
      <c r="K250" s="6"/>
      <c r="L250" s="27">
        <f t="shared" si="33"/>
        <v>11800000</v>
      </c>
      <c r="M250" s="27">
        <f t="shared" si="25"/>
        <v>11800000</v>
      </c>
    </row>
    <row r="251" spans="1:13" ht="15.75" hidden="1" customHeight="1" outlineLevel="1">
      <c r="A251" s="52" t="s">
        <v>63</v>
      </c>
      <c r="B251" s="20" t="s">
        <v>32</v>
      </c>
      <c r="C251" s="21">
        <f>SUM(C249:C250)</f>
        <v>11839351</v>
      </c>
      <c r="D251" s="21"/>
      <c r="E251" s="21">
        <v>0</v>
      </c>
      <c r="F251" s="21">
        <v>0</v>
      </c>
      <c r="G251" s="55" t="str">
        <f t="shared" si="26"/>
        <v>-</v>
      </c>
      <c r="H251" s="23">
        <f t="shared" si="30"/>
        <v>0</v>
      </c>
      <c r="I251" s="24">
        <f t="shared" si="30"/>
        <v>0</v>
      </c>
      <c r="J251" s="32" t="str" cm="1">
        <f t="array" ref="J251">IFERROR(_xlfn.IFS(B251="044 - BLEND TRADICION","BLEND",B251="113 - CAFÉ GOURMET","GOURMET",B251="114 - CAFÉ CONSUMO","CONSUMO",B251="112 - CAFÉ ORGANICO","GOURMET",B251="172 - CAFÉ COSECHA","ESPECIALES",B251="176 - CAFE DESCAFEINADO","GOURMET",B251="147 - CAPSULAS","CAPSULAS",B251="130 - GALLETAS CAFECITAS","DERIVADOS",B251="140 - MERENGUES","DERIVADOS",B251="100 - CAFÉ ESPECIAL","ESPECIALES",B251="141 - AREQUIPE","DERIVADOS",B251="142 - MERMELADA","DERIVADOS",B251="131 - GALLETAS AVENA","DERIVADOS",B251="160 - SOUVENIR","OTROS",B251="148 - CARAMELOS","DERIVADOS",B251="143 - CHOCOFFES","DERIVADOS",B251="162 - CONVENIOS Y DSC POS ","OTROS"),"OTROS")</f>
        <v>OTROS</v>
      </c>
      <c r="K251" s="6"/>
      <c r="L251" s="27">
        <f t="shared" si="33"/>
        <v>11839351</v>
      </c>
      <c r="M251" s="27">
        <f t="shared" si="25"/>
        <v>11839351</v>
      </c>
    </row>
    <row r="252" spans="1:13" ht="15.75" hidden="1" customHeight="1" outlineLevel="1">
      <c r="A252" s="33"/>
      <c r="B252" s="45" t="s">
        <v>18</v>
      </c>
      <c r="C252" s="151">
        <v>183551200</v>
      </c>
      <c r="D252" s="152">
        <v>0</v>
      </c>
      <c r="E252" s="36"/>
      <c r="F252" s="36">
        <v>413971911.05000001</v>
      </c>
      <c r="G252" s="37">
        <f t="shared" si="26"/>
        <v>0.44339046949934358</v>
      </c>
      <c r="H252" s="23">
        <f t="shared" si="30"/>
        <v>0</v>
      </c>
      <c r="I252" s="24">
        <f t="shared" si="30"/>
        <v>0</v>
      </c>
      <c r="J252" s="32" t="str" cm="1">
        <f t="array" ref="J252">IFERROR(_xlfn.IFS(B252="044 - BLEND TRADICION","BLEND",B252="113 - CAFÉ GOURMET","GOURMET",B252="114 - CAFÉ CONSUMO","CONSUMO",B252="112 - CAFÉ ORGANICO","GOURMET",B252="172 - CAFÉ COSECHA","ESPECIALES",B252="176 - CAFE DESCAFEINADO","GOURMET",B252="147 - CAPSULAS","CAPSULAS",B252="130 - GALLETAS CAFECITAS","DERIVADOS",B252="140 - MERENGUES","DERIVADOS",B252="100 - CAFÉ ESPECIAL","ESPECIALES",B252="141 - AREQUIPE","DERIVADOS",B252="142 - MERMELADA","DERIVADOS",B252="131 - GALLETAS AVENA","DERIVADOS",B252="160 - SOUVENIR","OTROS",B252="148 - CARAMELOS","DERIVADOS",B252="143 - CHOCOFFES","DERIVADOS",B252="162 - CONVENIOS Y DSC POS ","OTROS"),"OTROS")</f>
        <v>BLEND</v>
      </c>
      <c r="K252" s="6"/>
      <c r="L252" s="27">
        <f t="shared" si="33"/>
        <v>183551200</v>
      </c>
      <c r="M252" s="27">
        <f t="shared" si="25"/>
        <v>183551200</v>
      </c>
    </row>
    <row r="253" spans="1:13" ht="15.75" hidden="1" customHeight="1" outlineLevel="1">
      <c r="A253" s="33"/>
      <c r="B253" s="45" t="s">
        <v>20</v>
      </c>
      <c r="C253" s="151">
        <v>2053771</v>
      </c>
      <c r="D253" s="152">
        <v>0</v>
      </c>
      <c r="E253" s="36"/>
      <c r="F253" s="36">
        <v>4542701.25</v>
      </c>
      <c r="G253" s="37">
        <f t="shared" si="26"/>
        <v>0.45210347037459264</v>
      </c>
      <c r="H253" s="23">
        <f t="shared" si="30"/>
        <v>0</v>
      </c>
      <c r="I253" s="24">
        <f t="shared" si="30"/>
        <v>0</v>
      </c>
      <c r="J253" s="32" t="str" cm="1">
        <f t="array" ref="J253">IFERROR(_xlfn.IFS(B253="044 - BLEND TRADICION","BLEND",B253="113 - CAFÉ GOURMET","GOURMET",B253="114 - CAFÉ CONSUMO","CONSUMO",B253="112 - CAFÉ ORGANICO","GOURMET",B253="172 - CAFÉ COSECHA","ESPECIALES",B253="176 - CAFE DESCAFEINADO","GOURMET",B253="147 - CAPSULAS","CAPSULAS",B253="130 - GALLETAS CAFECITAS","DERIVADOS",B253="140 - MERENGUES","DERIVADOS",B253="100 - CAFÉ ESPECIAL","ESPECIALES",B253="141 - AREQUIPE","DERIVADOS",B253="142 - MERMELADA","DERIVADOS",B253="131 - GALLETAS AVENA","DERIVADOS",B253="160 - SOUVENIR","OTROS",B253="148 - CARAMELOS","DERIVADOS",B253="143 - CHOCOFFES","DERIVADOS",B253="162 - CONVENIOS Y DSC POS ","OTROS"),"OTROS")</f>
        <v>GOURMET</v>
      </c>
      <c r="K253" s="6"/>
      <c r="L253" s="27">
        <f t="shared" si="33"/>
        <v>2053771</v>
      </c>
      <c r="M253" s="27">
        <f t="shared" si="25"/>
        <v>2053771</v>
      </c>
    </row>
    <row r="254" spans="1:13" ht="15.75" hidden="1" customHeight="1" outlineLevel="1">
      <c r="A254" s="33"/>
      <c r="B254" s="45" t="s">
        <v>21</v>
      </c>
      <c r="C254" s="151">
        <v>11134326</v>
      </c>
      <c r="D254" s="152">
        <v>0</v>
      </c>
      <c r="E254" s="36"/>
      <c r="F254" s="36">
        <v>25938878.649999999</v>
      </c>
      <c r="G254" s="37">
        <f t="shared" si="26"/>
        <v>0.42925240332237724</v>
      </c>
      <c r="H254" s="23">
        <f t="shared" si="30"/>
        <v>0</v>
      </c>
      <c r="I254" s="24">
        <f t="shared" si="30"/>
        <v>0</v>
      </c>
      <c r="J254" s="32" t="str" cm="1">
        <f t="array" ref="J254">IFERROR(_xlfn.IFS(B254="044 - BLEND TRADICION","BLEND",B254="113 - CAFÉ GOURMET","GOURMET",B254="114 - CAFÉ CONSUMO","CONSUMO",B254="112 - CAFÉ ORGANICO","GOURMET",B254="172 - CAFÉ COSECHA","ESPECIALES",B254="176 - CAFE DESCAFEINADO","GOURMET",B254="147 - CAPSULAS","CAPSULAS",B254="130 - GALLETAS CAFECITAS","DERIVADOS",B254="140 - MERENGUES","DERIVADOS",B254="100 - CAFÉ ESPECIAL","ESPECIALES",B254="141 - AREQUIPE","DERIVADOS",B254="142 - MERMELADA","DERIVADOS",B254="131 - GALLETAS AVENA","DERIVADOS",B254="160 - SOUVENIR","OTROS",B254="148 - CARAMELOS","DERIVADOS",B254="143 - CHOCOFFES","DERIVADOS",B254="162 - CONVENIOS Y DSC POS ","OTROS"),"OTROS")</f>
        <v>GOURMET</v>
      </c>
      <c r="K254" s="6"/>
      <c r="L254" s="27">
        <f t="shared" si="33"/>
        <v>11134326</v>
      </c>
      <c r="M254" s="27">
        <f t="shared" si="25"/>
        <v>11134326</v>
      </c>
    </row>
    <row r="255" spans="1:13" ht="15.75" hidden="1" customHeight="1" outlineLevel="1">
      <c r="A255" s="33"/>
      <c r="B255" s="45" t="s">
        <v>22</v>
      </c>
      <c r="C255" s="151">
        <v>3510432</v>
      </c>
      <c r="D255" s="152">
        <v>0</v>
      </c>
      <c r="E255" s="36"/>
      <c r="F255" s="36">
        <v>21964513.23</v>
      </c>
      <c r="G255" s="37">
        <f t="shared" si="26"/>
        <v>0.1598228908257941</v>
      </c>
      <c r="H255" s="23">
        <f t="shared" si="30"/>
        <v>0</v>
      </c>
      <c r="I255" s="24">
        <f t="shared" si="30"/>
        <v>0</v>
      </c>
      <c r="J255" s="32" t="str" cm="1">
        <f t="array" ref="J255">IFERROR(_xlfn.IFS(B255="044 - BLEND TRADICION","BLEND",B255="113 - CAFÉ GOURMET","GOURMET",B255="114 - CAFÉ CONSUMO","CONSUMO",B255="112 - CAFÉ ORGANICO","GOURMET",B255="172 - CAFÉ COSECHA","ESPECIALES",B255="176 - CAFE DESCAFEINADO","GOURMET",B255="147 - CAPSULAS","CAPSULAS",B255="130 - GALLETAS CAFECITAS","DERIVADOS",B255="140 - MERENGUES","DERIVADOS",B255="100 - CAFÉ ESPECIAL","ESPECIALES",B255="141 - AREQUIPE","DERIVADOS",B255="142 - MERMELADA","DERIVADOS",B255="131 - GALLETAS AVENA","DERIVADOS",B255="160 - SOUVENIR","OTROS",B255="148 - CARAMELOS","DERIVADOS",B255="143 - CHOCOFFES","DERIVADOS",B255="162 - CONVENIOS Y DSC POS ","OTROS"),"OTROS")</f>
        <v>DERIVADOS</v>
      </c>
      <c r="K255" s="6"/>
      <c r="L255" s="27">
        <f t="shared" si="33"/>
        <v>3510432</v>
      </c>
      <c r="M255" s="27">
        <f t="shared" si="25"/>
        <v>3510432</v>
      </c>
    </row>
    <row r="256" spans="1:13" ht="15.75" hidden="1" customHeight="1" outlineLevel="1">
      <c r="A256" s="33"/>
      <c r="B256" s="45" t="s">
        <v>50</v>
      </c>
      <c r="C256" s="151">
        <v>-185271</v>
      </c>
      <c r="D256" s="152">
        <v>0</v>
      </c>
      <c r="E256" s="152">
        <v>-185271</v>
      </c>
      <c r="F256" s="36"/>
      <c r="G256" s="37"/>
      <c r="H256" s="23">
        <f t="shared" si="30"/>
        <v>0</v>
      </c>
      <c r="I256" s="24">
        <f t="shared" si="30"/>
        <v>0</v>
      </c>
      <c r="J256" s="32" t="str" cm="1">
        <f t="array" ref="J256">IFERROR(_xlfn.IFS(B256="044 - BLEND TRADICION","BLEND",B256="113 - CAFÉ GOURMET","GOURMET",B256="114 - CAFÉ CONSUMO","CONSUMO",B256="112 - CAFÉ ORGANICO","GOURMET",B256="172 - CAFÉ COSECHA","ESPECIALES",B256="176 - CAFE DESCAFEINADO","GOURMET",B256="147 - CAPSULAS","CAPSULAS",B256="130 - GALLETAS CAFECITAS","DERIVADOS",B256="140 - MERENGUES","DERIVADOS",B256="100 - CAFÉ ESPECIAL","ESPECIALES",B256="141 - AREQUIPE","DERIVADOS",B256="142 - MERMELADA","DERIVADOS",B256="131 - GALLETAS AVENA","DERIVADOS",B256="160 - SOUVENIR","OTROS",B256="148 - CARAMELOS","DERIVADOS",B256="143 - CHOCOFFES","DERIVADOS",B256="162 - CONVENIOS Y DSC POS ","OTROS"),"OTROS")</f>
        <v>OTROS</v>
      </c>
      <c r="K256" s="6"/>
      <c r="L256" s="27">
        <f t="shared" si="33"/>
        <v>0</v>
      </c>
      <c r="M256" s="27">
        <f t="shared" si="25"/>
        <v>0</v>
      </c>
    </row>
    <row r="257" spans="1:13" ht="15.75" hidden="1" customHeight="1" outlineLevel="1">
      <c r="A257" s="33"/>
      <c r="B257" s="45" t="s">
        <v>29</v>
      </c>
      <c r="C257" s="151">
        <v>0</v>
      </c>
      <c r="D257" s="152">
        <v>0</v>
      </c>
      <c r="E257" s="36">
        <v>0</v>
      </c>
      <c r="F257" s="36">
        <v>2363633.42</v>
      </c>
      <c r="G257" s="37">
        <f t="shared" ref="G257:G275" si="34">IFERROR(C257/F257*100%,"-")</f>
        <v>0</v>
      </c>
      <c r="H257" s="23">
        <f t="shared" si="30"/>
        <v>0</v>
      </c>
      <c r="I257" s="24">
        <f t="shared" si="30"/>
        <v>0</v>
      </c>
      <c r="J257" s="32" t="str" cm="1">
        <f t="array" ref="J257">IFERROR(_xlfn.IFS(B257="044 - BLEND TRADICION","BLEND",B257="113 - CAFÉ GOURMET","GOURMET",B257="114 - CAFÉ CONSUMO","CONSUMO",B257="112 - CAFÉ ORGANICO","GOURMET",B257="172 - CAFÉ COSECHA","ESPECIALES",B257="176 - CAFE DESCAFEINADO","GOURMET",B257="147 - CAPSULAS","CAPSULAS",B257="130 - GALLETAS CAFECITAS","DERIVADOS",B257="140 - MERENGUES","DERIVADOS",B257="100 - CAFÉ ESPECIAL","ESPECIALES",B257="141 - AREQUIPE","DERIVADOS",B257="142 - MERMELADA","DERIVADOS",B257="131 - GALLETAS AVENA","DERIVADOS",B257="160 - SOUVENIR","OTROS",B257="148 - CARAMELOS","DERIVADOS",B257="143 - CHOCOFFES","DERIVADOS",B257="162 - CONVENIOS Y DSC POS ","OTROS"),"OTROS")</f>
        <v>ESPECIALES</v>
      </c>
      <c r="K257" s="6"/>
      <c r="L257" s="27">
        <f t="shared" si="33"/>
        <v>0</v>
      </c>
      <c r="M257" s="27">
        <f t="shared" si="25"/>
        <v>0</v>
      </c>
    </row>
    <row r="258" spans="1:13" ht="15.75" hidden="1" customHeight="1" outlineLevel="1">
      <c r="A258" s="44"/>
      <c r="B258" s="45" t="s">
        <v>92</v>
      </c>
      <c r="C258" s="151">
        <v>7050120</v>
      </c>
      <c r="D258" s="152">
        <v>0</v>
      </c>
      <c r="E258" s="36">
        <v>0</v>
      </c>
      <c r="F258" s="36">
        <v>0</v>
      </c>
      <c r="G258" s="37" t="str">
        <f t="shared" si="34"/>
        <v>-</v>
      </c>
      <c r="H258" s="23">
        <f t="shared" si="30"/>
        <v>0</v>
      </c>
      <c r="I258" s="24">
        <f t="shared" si="30"/>
        <v>0</v>
      </c>
      <c r="J258" s="32" t="str" cm="1">
        <f t="array" ref="J258">IFERROR(_xlfn.IFS(B258="044 - BLEND TRADICION","BLEND",B258="113 - CAFÉ GOURMET","GOURMET",B258="114 - CAFÉ CONSUMO","CONSUMO",B258="112 - CAFÉ ORGANICO","GOURMET",B258="172 - CAFÉ COSECHA","ESPECIALES",B258="176 - CAFE DESCAFEINADO","GOURMET",B258="147 - CAPSULAS","CAPSULAS",B258="130 - GALLETAS CAFECITAS","DERIVADOS",B258="140 - MERENGUES","DERIVADOS",B258="100 - CAFÉ ESPECIAL","ESPECIALES",B258="141 - AREQUIPE","DERIVADOS",B258="142 - MERMELADA","DERIVADOS",B258="131 - GALLETAS AVENA","DERIVADOS",B258="160 - SOUVENIR","OTROS",B258="148 - CARAMELOS","DERIVADOS",B258="143 - CHOCOFFES","DERIVADOS",B258="162 - CONVENIOS Y DSC POS ","OTROS"),"OTROS")</f>
        <v>OTROS</v>
      </c>
      <c r="K258" s="6"/>
      <c r="L258" s="27">
        <f t="shared" si="33"/>
        <v>7050120</v>
      </c>
      <c r="M258" s="27">
        <f t="shared" si="25"/>
        <v>7050120</v>
      </c>
    </row>
    <row r="259" spans="1:13" ht="15.75" hidden="1" customHeight="1" outlineLevel="1">
      <c r="A259" s="19" t="s">
        <v>64</v>
      </c>
      <c r="B259" s="40" t="s">
        <v>32</v>
      </c>
      <c r="C259" s="54">
        <f>SUM(C252:C258)</f>
        <v>207114578</v>
      </c>
      <c r="D259" s="54">
        <f>SUM(D252:D258)</f>
        <v>0</v>
      </c>
      <c r="E259" s="54">
        <f>SUM(E252:E258)</f>
        <v>-185271</v>
      </c>
      <c r="F259" s="54">
        <f>SUM(F252:F258)</f>
        <v>468781637.60000002</v>
      </c>
      <c r="G259" s="55">
        <f t="shared" si="34"/>
        <v>0.44181461343143702</v>
      </c>
      <c r="H259" s="23">
        <f t="shared" si="30"/>
        <v>0</v>
      </c>
      <c r="I259" s="24">
        <f t="shared" si="30"/>
        <v>-8.9373437025513707E-4</v>
      </c>
      <c r="J259" s="32" t="str" cm="1">
        <f t="array" ref="J259">IFERROR(_xlfn.IFS(B259="044 - BLEND TRADICION","BLEND",B259="113 - CAFÉ GOURMET","GOURMET",B259="114 - CAFÉ CONSUMO","CONSUMO",B259="112 - CAFÉ ORGANICO","GOURMET",B259="172 - CAFÉ COSECHA","ESPECIALES",B259="176 - CAFE DESCAFEINADO","GOURMET",B259="147 - CAPSULAS","CAPSULAS",B259="130 - GALLETAS CAFECITAS","DERIVADOS",B259="140 - MERENGUES","DERIVADOS",B259="100 - CAFÉ ESPECIAL","ESPECIALES",B259="141 - AREQUIPE","DERIVADOS",B259="142 - MERMELADA","DERIVADOS",B259="131 - GALLETAS AVENA","DERIVADOS",B259="160 - SOUVENIR","OTROS",B259="148 - CARAMELOS","DERIVADOS",B259="143 - CHOCOFFES","DERIVADOS",B259="162 - CONVENIOS Y DSC POS ","OTROS"),"OTROS")</f>
        <v>OTROS</v>
      </c>
      <c r="K259" s="6"/>
      <c r="L259" s="27">
        <f t="shared" si="33"/>
        <v>207299849</v>
      </c>
      <c r="M259" s="27">
        <f t="shared" si="25"/>
        <v>207299849</v>
      </c>
    </row>
    <row r="260" spans="1:13" ht="15.75" hidden="1" customHeight="1" outlineLevel="1">
      <c r="A260" s="33"/>
      <c r="B260" s="39" t="s">
        <v>24</v>
      </c>
      <c r="C260" s="36">
        <v>0</v>
      </c>
      <c r="D260" s="36"/>
      <c r="E260" s="36">
        <v>0</v>
      </c>
      <c r="F260" s="36">
        <v>0</v>
      </c>
      <c r="G260" s="37" t="str">
        <f t="shared" si="34"/>
        <v>-</v>
      </c>
      <c r="H260" s="23">
        <f t="shared" si="30"/>
        <v>0</v>
      </c>
      <c r="I260" s="24">
        <f t="shared" si="30"/>
        <v>0</v>
      </c>
      <c r="J260" s="32" t="str" cm="1">
        <f t="array" ref="J260">IFERROR(_xlfn.IFS(B260="044 - BLEND TRADICION","BLEND",B260="113 - CAFÉ GOURMET","GOURMET",B260="114 - CAFÉ CONSUMO","CONSUMO",B260="112 - CAFÉ ORGANICO","GOURMET",B260="172 - CAFÉ COSECHA","ESPECIALES",B260="176 - CAFE DESCAFEINADO","GOURMET",B260="147 - CAPSULAS","CAPSULAS",B260="130 - GALLETAS CAFECITAS","DERIVADOS",B260="140 - MERENGUES","DERIVADOS",B260="100 - CAFÉ ESPECIAL","ESPECIALES",B260="141 - AREQUIPE","DERIVADOS",B260="142 - MERMELADA","DERIVADOS",B260="131 - GALLETAS AVENA","DERIVADOS",B260="160 - SOUVENIR","OTROS",B260="148 - CARAMELOS","DERIVADOS",B260="143 - CHOCOFFES","DERIVADOS",B260="162 - CONVENIOS Y DSC POS ","OTROS"),"OTROS")</f>
        <v>DERIVADOS</v>
      </c>
      <c r="L260" s="27">
        <f t="shared" si="33"/>
        <v>0</v>
      </c>
      <c r="M260" s="27">
        <f t="shared" si="25"/>
        <v>0</v>
      </c>
    </row>
    <row r="261" spans="1:13" ht="15.75" hidden="1" customHeight="1" outlineLevel="1">
      <c r="A261" s="33"/>
      <c r="B261" s="39" t="s">
        <v>25</v>
      </c>
      <c r="C261" s="36">
        <v>64460</v>
      </c>
      <c r="D261" s="36">
        <v>0</v>
      </c>
      <c r="E261" s="36"/>
      <c r="F261" s="36">
        <v>0</v>
      </c>
      <c r="G261" s="37" t="str">
        <f t="shared" si="34"/>
        <v>-</v>
      </c>
      <c r="H261" s="23">
        <f t="shared" si="30"/>
        <v>0</v>
      </c>
      <c r="I261" s="24">
        <f t="shared" si="30"/>
        <v>0</v>
      </c>
      <c r="J261" s="32" t="str" cm="1">
        <f t="array" ref="J261">IFERROR(_xlfn.IFS(B261="044 - BLEND TRADICION","BLEND",B261="113 - CAFÉ GOURMET","GOURMET",B261="114 - CAFÉ CONSUMO","CONSUMO",B261="112 - CAFÉ ORGANICO","GOURMET",B261="172 - CAFÉ COSECHA","ESPECIALES",B261="176 - CAFE DESCAFEINADO","GOURMET",B261="147 - CAPSULAS","CAPSULAS",B261="130 - GALLETAS CAFECITAS","DERIVADOS",B261="140 - MERENGUES","DERIVADOS",B261="100 - CAFÉ ESPECIAL","ESPECIALES",B261="141 - AREQUIPE","DERIVADOS",B261="142 - MERMELADA","DERIVADOS",B261="131 - GALLETAS AVENA","DERIVADOS",B261="160 - SOUVENIR","OTROS",B261="148 - CARAMELOS","DERIVADOS",B261="143 - CHOCOFFES","DERIVADOS",B261="162 - CONVENIOS Y DSC POS ","OTROS"),"OTROS")</f>
        <v>DERIVADOS</v>
      </c>
      <c r="K261" s="6"/>
      <c r="L261" s="27">
        <f>C261-(D261+E261)</f>
        <v>64460</v>
      </c>
      <c r="M261" s="27">
        <f t="shared" si="25"/>
        <v>64460</v>
      </c>
    </row>
    <row r="262" spans="1:13" ht="15.75" hidden="1" customHeight="1" outlineLevel="1">
      <c r="A262" s="38"/>
      <c r="B262" s="39" t="s">
        <v>29</v>
      </c>
      <c r="C262" s="36">
        <v>0</v>
      </c>
      <c r="D262" s="36">
        <v>0</v>
      </c>
      <c r="E262" s="36">
        <v>0</v>
      </c>
      <c r="F262" s="36">
        <v>0</v>
      </c>
      <c r="G262" s="37" t="str">
        <f t="shared" si="34"/>
        <v>-</v>
      </c>
      <c r="H262" s="23">
        <f t="shared" si="30"/>
        <v>0</v>
      </c>
      <c r="I262" s="24">
        <f t="shared" si="30"/>
        <v>0</v>
      </c>
      <c r="J262" s="32" t="str" cm="1">
        <f t="array" ref="J262">IFERROR(_xlfn.IFS(B262="044 - BLEND TRADICION","BLEND",B262="113 - CAFÉ GOURMET","GOURMET",B262="114 - CAFÉ CONSUMO","CONSUMO",B262="112 - CAFÉ ORGANICO","GOURMET",B262="172 - CAFÉ COSECHA","ESPECIALES",B262="176 - CAFE DESCAFEINADO","GOURMET",B262="147 - CAPSULAS","CAPSULAS",B262="130 - GALLETAS CAFECITAS","DERIVADOS",B262="140 - MERENGUES","DERIVADOS",B262="100 - CAFÉ ESPECIAL","ESPECIALES",B262="141 - AREQUIPE","DERIVADOS",B262="142 - MERMELADA","DERIVADOS",B262="131 - GALLETAS AVENA","DERIVADOS",B262="160 - SOUVENIR","OTROS",B262="148 - CARAMELOS","DERIVADOS",B262="143 - CHOCOFFES","DERIVADOS",B262="162 - CONVENIOS Y DSC POS ","OTROS"),"OTROS")</f>
        <v>ESPECIALES</v>
      </c>
      <c r="K262" s="6"/>
      <c r="L262" s="27">
        <f t="shared" ref="L262:L279" si="35">C262-(D262+E262)</f>
        <v>0</v>
      </c>
      <c r="M262" s="27">
        <f t="shared" si="25"/>
        <v>0</v>
      </c>
    </row>
    <row r="263" spans="1:13" ht="15.75" hidden="1" customHeight="1" outlineLevel="1">
      <c r="A263" s="19" t="s">
        <v>65</v>
      </c>
      <c r="B263" s="56" t="s">
        <v>32</v>
      </c>
      <c r="C263" s="54">
        <f>SUM(C260:C262)</f>
        <v>64460</v>
      </c>
      <c r="D263" s="54">
        <f>SUM(D260:D262)</f>
        <v>0</v>
      </c>
      <c r="E263" s="57">
        <v>0</v>
      </c>
      <c r="F263" s="58">
        <v>0</v>
      </c>
      <c r="G263" s="55" t="str">
        <f t="shared" si="34"/>
        <v>-</v>
      </c>
      <c r="H263" s="23">
        <f t="shared" si="30"/>
        <v>0</v>
      </c>
      <c r="I263" s="24">
        <f t="shared" si="30"/>
        <v>0</v>
      </c>
      <c r="J263" s="32" t="str" cm="1">
        <f t="array" ref="J263">IFERROR(_xlfn.IFS(B263="044 - BLEND TRADICION","BLEND",B263="113 - CAFÉ GOURMET","GOURMET",B263="114 - CAFÉ CONSUMO","CONSUMO",B263="112 - CAFÉ ORGANICO","GOURMET",B263="172 - CAFÉ COSECHA","ESPECIALES",B263="176 - CAFE DESCAFEINADO","GOURMET",B263="147 - CAPSULAS","CAPSULAS",B263="130 - GALLETAS CAFECITAS","DERIVADOS",B263="140 - MERENGUES","DERIVADOS",B263="100 - CAFÉ ESPECIAL","ESPECIALES",B263="141 - AREQUIPE","DERIVADOS",B263="142 - MERMELADA","DERIVADOS",B263="131 - GALLETAS AVENA","DERIVADOS",B263="160 - SOUVENIR","OTROS",B263="148 - CARAMELOS","DERIVADOS",B263="143 - CHOCOFFES","DERIVADOS",B263="162 - CONVENIOS Y DSC POS ","OTROS"),"OTROS")</f>
        <v>OTROS</v>
      </c>
      <c r="K263" s="6"/>
      <c r="L263" s="27">
        <f t="shared" si="35"/>
        <v>64460</v>
      </c>
      <c r="M263" s="27">
        <f t="shared" si="25"/>
        <v>64460</v>
      </c>
    </row>
    <row r="264" spans="1:13" ht="17" collapsed="1" thickBot="1">
      <c r="A264" s="63" t="s">
        <v>66</v>
      </c>
      <c r="B264" s="64" t="s">
        <v>17</v>
      </c>
      <c r="C264" s="65">
        <f>+C278</f>
        <v>1104671008</v>
      </c>
      <c r="D264" s="65">
        <f>+D278</f>
        <v>-61908290</v>
      </c>
      <c r="E264" s="65">
        <f>+E278</f>
        <v>0</v>
      </c>
      <c r="F264" s="65">
        <f>+F278</f>
        <v>3060120402.4200006</v>
      </c>
      <c r="G264" s="66">
        <f t="shared" si="34"/>
        <v>0.36098939346517395</v>
      </c>
      <c r="H264" s="23">
        <f t="shared" si="30"/>
        <v>-5.3068222714166488E-2</v>
      </c>
      <c r="I264" s="24">
        <f t="shared" si="30"/>
        <v>0</v>
      </c>
      <c r="J264" s="32" t="str" cm="1">
        <f t="array" ref="J264">IFERROR(_xlfn.IFS(B264="044 - BLEND TRADICION","BLEND",B264="113 - CAFÉ GOURMET","GOURMET",B264="114 - CAFÉ CONSUMO","CONSUMO",B264="112 - CAFÉ ORGANICO","GOURMET",B264="172 - CAFÉ COSECHA","ESPECIALES",B264="176 - CAFE DESCAFEINADO","GOURMET",B264="147 - CAPSULAS","CAPSULAS",B264="130 - GALLETAS CAFECITAS","DERIVADOS",B264="140 - MERENGUES","DERIVADOS",B264="100 - CAFÉ ESPECIAL","ESPECIALES",B264="141 - AREQUIPE","DERIVADOS",B264="142 - MERMELADA","DERIVADOS",B264="131 - GALLETAS AVENA","DERIVADOS",B264="160 - SOUVENIR","OTROS",B264="148 - CARAMELOS","DERIVADOS",B264="143 - CHOCOFFES","DERIVADOS",B264="162 - CONVENIOS Y DSC POS ","OTROS"),"OTROS")</f>
        <v>OTROS</v>
      </c>
      <c r="K264" s="6"/>
      <c r="L264" s="27">
        <f t="shared" si="35"/>
        <v>1166579298</v>
      </c>
      <c r="M264" s="27">
        <f t="shared" si="25"/>
        <v>1166579298</v>
      </c>
    </row>
    <row r="265" spans="1:13" s="26" customFormat="1" ht="15.75" hidden="1" customHeight="1" outlineLevel="1">
      <c r="A265" s="67"/>
      <c r="B265" s="34" t="s">
        <v>18</v>
      </c>
      <c r="C265" s="68">
        <v>521600</v>
      </c>
      <c r="D265" s="68">
        <v>0</v>
      </c>
      <c r="E265" s="35">
        <v>0</v>
      </c>
      <c r="F265" s="35">
        <v>4301469.12</v>
      </c>
      <c r="G265" s="49">
        <f t="shared" si="34"/>
        <v>0.12126089609124056</v>
      </c>
      <c r="H265" s="23">
        <f t="shared" si="30"/>
        <v>0</v>
      </c>
      <c r="I265" s="24">
        <f t="shared" si="30"/>
        <v>0</v>
      </c>
      <c r="J265" s="32" t="str" cm="1">
        <f t="array" ref="J265">IFERROR(_xlfn.IFS(B265="044 - BLEND TRADICION","BLEND",B265="113 - CAFÉ GOURMET","GOURMET",B265="114 - CAFÉ CONSUMO","CONSUMO",B265="112 - CAFÉ ORGANICO","GOURMET",B265="172 - CAFÉ COSECHA","ESPECIALES",B265="176 - CAFE DESCAFEINADO","GOURMET",B265="147 - CAPSULAS","CAPSULAS",B265="130 - GALLETAS CAFECITAS","DERIVADOS",B265="140 - MERENGUES","DERIVADOS",B265="100 - CAFÉ ESPECIAL","ESPECIALES",B265="141 - AREQUIPE","DERIVADOS",B265="142 - MERMELADA","DERIVADOS",B265="131 - GALLETAS AVENA","DERIVADOS",B265="160 - SOUVENIR","OTROS",B265="148 - CARAMELOS","DERIVADOS",B265="143 - CHOCOFFES","DERIVADOS",B265="162 - CONVENIOS Y DSC POS ","OTROS"),"OTROS")</f>
        <v>BLEND</v>
      </c>
      <c r="L265" s="27">
        <f t="shared" si="35"/>
        <v>521600</v>
      </c>
      <c r="M265" s="27">
        <f t="shared" si="25"/>
        <v>521600</v>
      </c>
    </row>
    <row r="266" spans="1:13" s="26" customFormat="1" ht="15.75" hidden="1" customHeight="1" outlineLevel="1">
      <c r="A266" s="67"/>
      <c r="B266" s="39" t="s">
        <v>19</v>
      </c>
      <c r="C266" s="60">
        <v>57246426</v>
      </c>
      <c r="D266" s="60">
        <v>-7848862</v>
      </c>
      <c r="E266" s="36"/>
      <c r="F266" s="35">
        <v>133747007.69</v>
      </c>
      <c r="G266" s="37">
        <f t="shared" si="34"/>
        <v>0.4280202375270053</v>
      </c>
      <c r="H266" s="23">
        <f t="shared" si="30"/>
        <v>-0.12057496388985943</v>
      </c>
      <c r="I266" s="24">
        <f t="shared" si="30"/>
        <v>0</v>
      </c>
      <c r="J266" s="32" t="str" cm="1">
        <f t="array" ref="J266">IFERROR(_xlfn.IFS(B266="044 - BLEND TRADICION","BLEND",B266="113 - CAFÉ GOURMET","GOURMET",B266="114 - CAFÉ CONSUMO","CONSUMO",B266="112 - CAFÉ ORGANICO","GOURMET",B266="172 - CAFÉ COSECHA","ESPECIALES",B266="176 - CAFE DESCAFEINADO","GOURMET",B266="147 - CAPSULAS","CAPSULAS",B266="130 - GALLETAS CAFECITAS","DERIVADOS",B266="140 - MERENGUES","DERIVADOS",B266="100 - CAFÉ ESPECIAL","ESPECIALES",B266="141 - AREQUIPE","DERIVADOS",B266="142 - MERMELADA","DERIVADOS",B266="131 - GALLETAS AVENA","DERIVADOS",B266="160 - SOUVENIR","OTROS",B266="148 - CARAMELOS","DERIVADOS",B266="143 - CHOCOFFES","DERIVADOS",B266="162 - CONVENIOS Y DSC POS ","OTROS"),"OTROS")</f>
        <v>ESPECIALES</v>
      </c>
      <c r="L266" s="27">
        <f t="shared" si="35"/>
        <v>65095288</v>
      </c>
      <c r="M266" s="27">
        <f t="shared" si="25"/>
        <v>65095288</v>
      </c>
    </row>
    <row r="267" spans="1:13" s="26" customFormat="1" ht="15.75" hidden="1" customHeight="1" outlineLevel="1">
      <c r="A267" s="69"/>
      <c r="B267" s="39" t="s">
        <v>20</v>
      </c>
      <c r="C267" s="60">
        <v>46394920</v>
      </c>
      <c r="D267" s="60">
        <v>-927728</v>
      </c>
      <c r="E267" s="36">
        <v>0</v>
      </c>
      <c r="F267" s="36">
        <v>166140099.77000001</v>
      </c>
      <c r="G267" s="37">
        <f t="shared" si="34"/>
        <v>0.27925178848590981</v>
      </c>
      <c r="H267" s="23">
        <f t="shared" si="30"/>
        <v>-1.9604312928558014E-2</v>
      </c>
      <c r="I267" s="24">
        <f t="shared" si="30"/>
        <v>0</v>
      </c>
      <c r="J267" s="32" t="str" cm="1">
        <f t="array" ref="J267">IFERROR(_xlfn.IFS(B267="044 - BLEND TRADICION","BLEND",B267="113 - CAFÉ GOURMET","GOURMET",B267="114 - CAFÉ CONSUMO","CONSUMO",B267="112 - CAFÉ ORGANICO","GOURMET",B267="172 - CAFÉ COSECHA","ESPECIALES",B267="176 - CAFE DESCAFEINADO","GOURMET",B267="147 - CAPSULAS","CAPSULAS",B267="130 - GALLETAS CAFECITAS","DERIVADOS",B267="140 - MERENGUES","DERIVADOS",B267="100 - CAFÉ ESPECIAL","ESPECIALES",B267="141 - AREQUIPE","DERIVADOS",B267="142 - MERMELADA","DERIVADOS",B267="131 - GALLETAS AVENA","DERIVADOS",B267="160 - SOUVENIR","OTROS",B267="148 - CARAMELOS","DERIVADOS",B267="143 - CHOCOFFES","DERIVADOS",B267="162 - CONVENIOS Y DSC POS ","OTROS"),"OTROS")</f>
        <v>GOURMET</v>
      </c>
      <c r="L267" s="27">
        <f t="shared" si="35"/>
        <v>47322648</v>
      </c>
      <c r="M267" s="27">
        <f t="shared" si="25"/>
        <v>47322648</v>
      </c>
    </row>
    <row r="268" spans="1:13" s="26" customFormat="1" ht="15.75" hidden="1" customHeight="1" outlineLevel="1">
      <c r="A268" s="69"/>
      <c r="B268" s="39" t="s">
        <v>21</v>
      </c>
      <c r="C268" s="60">
        <v>864768592</v>
      </c>
      <c r="D268" s="60">
        <v>-15339248</v>
      </c>
      <c r="E268" s="36">
        <v>0</v>
      </c>
      <c r="F268" s="35">
        <v>2016617010.9000001</v>
      </c>
      <c r="G268" s="37">
        <f t="shared" si="34"/>
        <v>0.42882143080507917</v>
      </c>
      <c r="H268" s="23">
        <f t="shared" si="30"/>
        <v>-1.7428827812737128E-2</v>
      </c>
      <c r="I268" s="24">
        <f t="shared" si="30"/>
        <v>0</v>
      </c>
      <c r="J268" s="32" t="str" cm="1">
        <f t="array" ref="J268">IFERROR(_xlfn.IFS(B268="044 - BLEND TRADICION","BLEND",B268="113 - CAFÉ GOURMET","GOURMET",B268="114 - CAFÉ CONSUMO","CONSUMO",B268="112 - CAFÉ ORGANICO","GOURMET",B268="172 - CAFÉ COSECHA","ESPECIALES",B268="176 - CAFE DESCAFEINADO","GOURMET",B268="147 - CAPSULAS","CAPSULAS",B268="130 - GALLETAS CAFECITAS","DERIVADOS",B268="140 - MERENGUES","DERIVADOS",B268="100 - CAFÉ ESPECIAL","ESPECIALES",B268="141 - AREQUIPE","DERIVADOS",B268="142 - MERMELADA","DERIVADOS",B268="131 - GALLETAS AVENA","DERIVADOS",B268="160 - SOUVENIR","OTROS",B268="148 - CARAMELOS","DERIVADOS",B268="143 - CHOCOFFES","DERIVADOS",B268="162 - CONVENIOS Y DSC POS ","OTROS"),"OTROS")</f>
        <v>GOURMET</v>
      </c>
      <c r="L268" s="27">
        <f t="shared" si="35"/>
        <v>880107840</v>
      </c>
      <c r="M268" s="27">
        <f t="shared" si="25"/>
        <v>880107840</v>
      </c>
    </row>
    <row r="269" spans="1:13" s="26" customFormat="1" ht="15.75" hidden="1" customHeight="1" outlineLevel="1">
      <c r="A269" s="69"/>
      <c r="B269" s="39" t="s">
        <v>38</v>
      </c>
      <c r="C269" s="60">
        <v>-85592</v>
      </c>
      <c r="D269" s="60">
        <v>-85592</v>
      </c>
      <c r="E269" s="36">
        <v>0</v>
      </c>
      <c r="F269" s="36">
        <v>0</v>
      </c>
      <c r="G269" s="37" t="str">
        <f t="shared" si="34"/>
        <v>-</v>
      </c>
      <c r="H269" s="23">
        <f t="shared" si="30"/>
        <v>0</v>
      </c>
      <c r="I269" s="24">
        <f t="shared" si="30"/>
        <v>0</v>
      </c>
      <c r="J269" s="32" t="str" cm="1">
        <f t="array" ref="J269">IFERROR(_xlfn.IFS(B269="044 - BLEND TRADICION","BLEND",B269="113 - CAFÉ GOURMET","GOURMET",B269="114 - CAFÉ CONSUMO","CONSUMO",B269="112 - CAFÉ ORGANICO","GOURMET",B269="172 - CAFÉ COSECHA","ESPECIALES",B269="176 - CAFE DESCAFEINADO","GOURMET",B269="147 - CAPSULAS","CAPSULAS",B269="130 - GALLETAS CAFECITAS","DERIVADOS",B269="140 - MERENGUES","DERIVADOS",B269="100 - CAFÉ ESPECIAL","ESPECIALES",B269="141 - AREQUIPE","DERIVADOS",B269="142 - MERMELADA","DERIVADOS",B269="131 - GALLETAS AVENA","DERIVADOS",B269="160 - SOUVENIR","OTROS",B269="148 - CARAMELOS","DERIVADOS",B269="143 - CHOCOFFES","DERIVADOS",B269="162 - CONVENIOS Y DSC POS ","OTROS"),"OTROS")</f>
        <v>CONSUMO</v>
      </c>
      <c r="L269" s="27">
        <f t="shared" si="35"/>
        <v>0</v>
      </c>
      <c r="M269" s="27">
        <f t="shared" si="25"/>
        <v>0</v>
      </c>
    </row>
    <row r="270" spans="1:13" s="26" customFormat="1" ht="15.75" hidden="1" customHeight="1" outlineLevel="1">
      <c r="A270" s="69"/>
      <c r="B270" s="39" t="s">
        <v>22</v>
      </c>
      <c r="C270" s="60">
        <v>29203816</v>
      </c>
      <c r="D270" s="60">
        <v>-2367734</v>
      </c>
      <c r="E270" s="36"/>
      <c r="F270" s="35">
        <v>61087901.090000004</v>
      </c>
      <c r="G270" s="37">
        <f t="shared" si="34"/>
        <v>0.47806219364083896</v>
      </c>
      <c r="H270" s="23">
        <f t="shared" si="30"/>
        <v>-7.499581110208399E-2</v>
      </c>
      <c r="I270" s="24">
        <f t="shared" si="30"/>
        <v>0</v>
      </c>
      <c r="J270" s="32" t="str" cm="1">
        <f t="array" ref="J270">IFERROR(_xlfn.IFS(B270="044 - BLEND TRADICION","BLEND",B270="113 - CAFÉ GOURMET","GOURMET",B270="114 - CAFÉ CONSUMO","CONSUMO",B270="112 - CAFÉ ORGANICO","GOURMET",B270="172 - CAFÉ COSECHA","ESPECIALES",B270="176 - CAFE DESCAFEINADO","GOURMET",B270="147 - CAPSULAS","CAPSULAS",B270="130 - GALLETAS CAFECITAS","DERIVADOS",B270="140 - MERENGUES","DERIVADOS",B270="100 - CAFÉ ESPECIAL","ESPECIALES",B270="141 - AREQUIPE","DERIVADOS",B270="142 - MERMELADA","DERIVADOS",B270="131 - GALLETAS AVENA","DERIVADOS",B270="160 - SOUVENIR","OTROS",B270="148 - CARAMELOS","DERIVADOS",B270="143 - CHOCOFFES","DERIVADOS",B270="162 - CONVENIOS Y DSC POS ","OTROS"),"OTROS")</f>
        <v>DERIVADOS</v>
      </c>
      <c r="L270" s="27">
        <f t="shared" si="35"/>
        <v>31571550</v>
      </c>
      <c r="M270" s="27">
        <f t="shared" si="25"/>
        <v>31571550</v>
      </c>
    </row>
    <row r="271" spans="1:13" s="26" customFormat="1" ht="15.75" hidden="1" customHeight="1" outlineLevel="1">
      <c r="A271" s="69"/>
      <c r="B271" s="39" t="s">
        <v>24</v>
      </c>
      <c r="C271" s="60">
        <v>5623745</v>
      </c>
      <c r="D271" s="60">
        <v>-557241</v>
      </c>
      <c r="E271" s="36"/>
      <c r="F271" s="35">
        <v>7233101.0300000003</v>
      </c>
      <c r="G271" s="37">
        <f t="shared" si="34"/>
        <v>0.77750123725286879</v>
      </c>
      <c r="H271" s="23">
        <f t="shared" si="30"/>
        <v>-9.0154062798394954E-2</v>
      </c>
      <c r="I271" s="24">
        <f t="shared" si="30"/>
        <v>0</v>
      </c>
      <c r="J271" s="32" t="str" cm="1">
        <f t="array" ref="J271">IFERROR(_xlfn.IFS(B271="044 - BLEND TRADICION","BLEND",B271="113 - CAFÉ GOURMET","GOURMET",B271="114 - CAFÉ CONSUMO","CONSUMO",B271="112 - CAFÉ ORGANICO","GOURMET",B271="172 - CAFÉ COSECHA","ESPECIALES",B271="176 - CAFE DESCAFEINADO","GOURMET",B271="147 - CAPSULAS","CAPSULAS",B271="130 - GALLETAS CAFECITAS","DERIVADOS",B271="140 - MERENGUES","DERIVADOS",B271="100 - CAFÉ ESPECIAL","ESPECIALES",B271="141 - AREQUIPE","DERIVADOS",B271="142 - MERMELADA","DERIVADOS",B271="131 - GALLETAS AVENA","DERIVADOS",B271="160 - SOUVENIR","OTROS",B271="148 - CARAMELOS","DERIVADOS",B271="143 - CHOCOFFES","DERIVADOS",B271="162 - CONVENIOS Y DSC POS ","OTROS"),"OTROS")</f>
        <v>DERIVADOS</v>
      </c>
      <c r="L271" s="27">
        <f t="shared" si="35"/>
        <v>6180986</v>
      </c>
      <c r="M271" s="27">
        <f t="shared" si="25"/>
        <v>6180986</v>
      </c>
    </row>
    <row r="272" spans="1:13" s="26" customFormat="1" ht="15.75" hidden="1" customHeight="1" outlineLevel="1">
      <c r="A272" s="69"/>
      <c r="B272" s="39" t="s">
        <v>25</v>
      </c>
      <c r="C272" s="60">
        <v>2194139</v>
      </c>
      <c r="D272" s="60">
        <v>-149012</v>
      </c>
      <c r="E272" s="36"/>
      <c r="F272" s="35">
        <v>8769038.3300000001</v>
      </c>
      <c r="G272" s="37">
        <f t="shared" si="34"/>
        <v>0.25021432424278162</v>
      </c>
      <c r="H272" s="23">
        <f t="shared" si="30"/>
        <v>-6.3594706444441693E-2</v>
      </c>
      <c r="I272" s="24">
        <f t="shared" si="30"/>
        <v>0</v>
      </c>
      <c r="J272" s="32" t="str" cm="1">
        <f t="array" ref="J272">IFERROR(_xlfn.IFS(B272="044 - BLEND TRADICION","BLEND",B272="113 - CAFÉ GOURMET","GOURMET",B272="114 - CAFÉ CONSUMO","CONSUMO",B272="112 - CAFÉ ORGANICO","GOURMET",B272="172 - CAFÉ COSECHA","ESPECIALES",B272="176 - CAFE DESCAFEINADO","GOURMET",B272="147 - CAPSULAS","CAPSULAS",B272="130 - GALLETAS CAFECITAS","DERIVADOS",B272="140 - MERENGUES","DERIVADOS",B272="100 - CAFÉ ESPECIAL","ESPECIALES",B272="141 - AREQUIPE","DERIVADOS",B272="142 - MERMELADA","DERIVADOS",B272="131 - GALLETAS AVENA","DERIVADOS",B272="160 - SOUVENIR","OTROS",B272="148 - CARAMELOS","DERIVADOS",B272="143 - CHOCOFFES","DERIVADOS",B272="162 - CONVENIOS Y DSC POS ","OTROS"),"OTROS")</f>
        <v>DERIVADOS</v>
      </c>
      <c r="L272" s="27">
        <f t="shared" si="35"/>
        <v>2343151</v>
      </c>
      <c r="M272" s="27">
        <f t="shared" si="25"/>
        <v>2343151</v>
      </c>
    </row>
    <row r="273" spans="1:13" s="26" customFormat="1" ht="15.75" hidden="1" customHeight="1" outlineLevel="1">
      <c r="A273" s="69"/>
      <c r="B273" s="39" t="s">
        <v>26</v>
      </c>
      <c r="C273" s="60">
        <v>7257505</v>
      </c>
      <c r="D273" s="60">
        <v>-27042597</v>
      </c>
      <c r="E273" s="36">
        <v>0</v>
      </c>
      <c r="F273" s="36">
        <v>155253232.08000001</v>
      </c>
      <c r="G273" s="37">
        <f t="shared" si="34"/>
        <v>4.6746240981703366E-2</v>
      </c>
      <c r="H273" s="23">
        <f t="shared" si="30"/>
        <v>-0.78841156215803676</v>
      </c>
      <c r="I273" s="24">
        <f t="shared" si="30"/>
        <v>0</v>
      </c>
      <c r="J273" s="32" t="str" cm="1">
        <f t="array" ref="J273">IFERROR(_xlfn.IFS(B273="044 - BLEND TRADICION","BLEND",B273="113 - CAFÉ GOURMET","GOURMET",B273="114 - CAFÉ CONSUMO","CONSUMO",B273="112 - CAFÉ ORGANICO","GOURMET",B273="172 - CAFÉ COSECHA","ESPECIALES",B273="176 - CAFE DESCAFEINADO","GOURMET",B273="147 - CAPSULAS","CAPSULAS",B273="130 - GALLETAS CAFECITAS","DERIVADOS",B273="140 - MERENGUES","DERIVADOS",B273="100 - CAFÉ ESPECIAL","ESPECIALES",B273="141 - AREQUIPE","DERIVADOS",B273="142 - MERMELADA","DERIVADOS",B273="131 - GALLETAS AVENA","DERIVADOS",B273="160 - SOUVENIR","OTROS",B273="148 - CARAMELOS","DERIVADOS",B273="143 - CHOCOFFES","DERIVADOS",B273="162 - CONVENIOS Y DSC POS ","OTROS"),"OTROS")</f>
        <v>CAPSULAS</v>
      </c>
      <c r="L273" s="27">
        <f t="shared" si="35"/>
        <v>34300102</v>
      </c>
      <c r="M273" s="27">
        <f t="shared" si="25"/>
        <v>34300102</v>
      </c>
    </row>
    <row r="274" spans="1:13" s="26" customFormat="1" ht="15.75" hidden="1" customHeight="1" outlineLevel="1">
      <c r="A274" s="69"/>
      <c r="B274" s="39" t="s">
        <v>27</v>
      </c>
      <c r="C274" s="60">
        <v>2137498</v>
      </c>
      <c r="D274" s="60">
        <v>0</v>
      </c>
      <c r="E274" s="36">
        <v>0</v>
      </c>
      <c r="F274" s="35">
        <v>5439026.3600000003</v>
      </c>
      <c r="G274" s="37">
        <f t="shared" si="34"/>
        <v>0.3929927635062978</v>
      </c>
      <c r="H274" s="23">
        <f t="shared" si="30"/>
        <v>0</v>
      </c>
      <c r="I274" s="24">
        <f t="shared" si="30"/>
        <v>0</v>
      </c>
      <c r="J274" s="32" t="str" cm="1">
        <f t="array" ref="J274">IFERROR(_xlfn.IFS(B274="044 - BLEND TRADICION","BLEND",B274="113 - CAFÉ GOURMET","GOURMET",B274="114 - CAFÉ CONSUMO","CONSUMO",B274="112 - CAFÉ ORGANICO","GOURMET",B274="172 - CAFÉ COSECHA","ESPECIALES",B274="176 - CAFE DESCAFEINADO","GOURMET",B274="147 - CAPSULAS","CAPSULAS",B274="130 - GALLETAS CAFECITAS","DERIVADOS",B274="140 - MERENGUES","DERIVADOS",B274="100 - CAFÉ ESPECIAL","ESPECIALES",B274="141 - AREQUIPE","DERIVADOS",B274="142 - MERMELADA","DERIVADOS",B274="131 - GALLETAS AVENA","DERIVADOS",B274="160 - SOUVENIR","OTROS",B274="148 - CARAMELOS","DERIVADOS",B274="143 - CHOCOFFES","DERIVADOS",B274="162 - CONVENIOS Y DSC POS ","OTROS"),"OTROS")</f>
        <v>DERIVADOS</v>
      </c>
      <c r="L274" s="27">
        <f t="shared" si="35"/>
        <v>2137498</v>
      </c>
      <c r="M274" s="27">
        <f t="shared" si="25"/>
        <v>2137498</v>
      </c>
    </row>
    <row r="275" spans="1:13" s="26" customFormat="1" ht="15.75" hidden="1" customHeight="1" outlineLevel="1">
      <c r="A275" s="69"/>
      <c r="B275" s="39" t="s">
        <v>28</v>
      </c>
      <c r="C275" s="60">
        <v>43601391</v>
      </c>
      <c r="D275" s="60">
        <v>-1217631</v>
      </c>
      <c r="E275" s="36">
        <v>0</v>
      </c>
      <c r="F275" s="36">
        <v>137373469.31999999</v>
      </c>
      <c r="G275" s="37">
        <f t="shared" si="34"/>
        <v>0.31739309792369158</v>
      </c>
      <c r="H275" s="23">
        <f t="shared" si="30"/>
        <v>-2.7167728024051929E-2</v>
      </c>
      <c r="I275" s="24">
        <f t="shared" si="30"/>
        <v>0</v>
      </c>
      <c r="J275" s="32" t="str" cm="1">
        <f t="array" ref="J275">IFERROR(_xlfn.IFS(B275="044 - BLEND TRADICION","BLEND",B275="113 - CAFÉ GOURMET","GOURMET",B275="114 - CAFÉ CONSUMO","CONSUMO",B275="112 - CAFÉ ORGANICO","GOURMET",B275="172 - CAFÉ COSECHA","ESPECIALES",B275="176 - CAFE DESCAFEINADO","GOURMET",B275="147 - CAPSULAS","CAPSULAS",B275="130 - GALLETAS CAFECITAS","DERIVADOS",B275="140 - MERENGUES","DERIVADOS",B275="100 - CAFÉ ESPECIAL","ESPECIALES",B275="141 - AREQUIPE","DERIVADOS",B275="142 - MERMELADA","DERIVADOS",B275="131 - GALLETAS AVENA","DERIVADOS",B275="160 - SOUVENIR","OTROS",B275="148 - CARAMELOS","DERIVADOS",B275="143 - CHOCOFFES","DERIVADOS",B275="162 - CONVENIOS Y DSC POS ","OTROS"),"OTROS")</f>
        <v>OTROS</v>
      </c>
      <c r="L275" s="27">
        <f t="shared" si="35"/>
        <v>44819022</v>
      </c>
      <c r="M275" s="27">
        <f t="shared" si="25"/>
        <v>44819022</v>
      </c>
    </row>
    <row r="276" spans="1:13" ht="15.75" hidden="1" customHeight="1" outlineLevel="1">
      <c r="A276" s="33"/>
      <c r="B276" s="45" t="s">
        <v>29</v>
      </c>
      <c r="C276" s="151">
        <v>36664581</v>
      </c>
      <c r="D276" s="152">
        <v>-6274188</v>
      </c>
      <c r="E276" s="152">
        <v>0</v>
      </c>
      <c r="F276" s="36">
        <v>320749097.20999998</v>
      </c>
      <c r="G276" s="37"/>
      <c r="H276" s="23">
        <f t="shared" si="30"/>
        <v>-0.14611941949244051</v>
      </c>
      <c r="I276" s="24">
        <f t="shared" si="30"/>
        <v>0</v>
      </c>
      <c r="J276" s="32" t="str" cm="1">
        <f t="array" ref="J276">IFERROR(_xlfn.IFS(B276="044 - BLEND TRADICION","BLEND",B276="113 - CAFÉ GOURMET","GOURMET",B276="114 - CAFÉ CONSUMO","CONSUMO",B276="112 - CAFÉ ORGANICO","GOURMET",B276="172 - CAFÉ COSECHA","ESPECIALES",B276="176 - CAFE DESCAFEINADO","GOURMET",B276="147 - CAPSULAS","CAPSULAS",B276="130 - GALLETAS CAFECITAS","DERIVADOS",B276="140 - MERENGUES","DERIVADOS",B276="100 - CAFÉ ESPECIAL","ESPECIALES",B276="141 - AREQUIPE","DERIVADOS",B276="142 - MERMELADA","DERIVADOS",B276="131 - GALLETAS AVENA","DERIVADOS",B276="160 - SOUVENIR","OTROS",B276="148 - CARAMELOS","DERIVADOS",B276="143 - CHOCOFFES","DERIVADOS",B276="162 - CONVENIOS Y DSC POS ","OTROS"),"OTROS")</f>
        <v>ESPECIALES</v>
      </c>
      <c r="K276" s="6"/>
      <c r="L276" s="27">
        <f t="shared" si="35"/>
        <v>42938769</v>
      </c>
      <c r="M276" s="27">
        <f t="shared" si="25"/>
        <v>42938769</v>
      </c>
    </row>
    <row r="277" spans="1:13" s="26" customFormat="1" ht="15.75" hidden="1" customHeight="1" outlineLevel="1">
      <c r="A277" s="69"/>
      <c r="B277" s="39" t="s">
        <v>30</v>
      </c>
      <c r="C277" s="60">
        <v>9142387</v>
      </c>
      <c r="D277" s="60">
        <v>-98457</v>
      </c>
      <c r="E277" s="36">
        <v>0</v>
      </c>
      <c r="F277" s="36">
        <v>43409949.520000003</v>
      </c>
      <c r="G277" s="37">
        <f t="shared" ref="G277:G278" si="36">IFERROR(C277/F277*100%,"-")</f>
        <v>0.21060579662245135</v>
      </c>
      <c r="H277" s="23">
        <f t="shared" si="30"/>
        <v>-1.0654546273046055E-2</v>
      </c>
      <c r="I277" s="24">
        <f t="shared" si="30"/>
        <v>0</v>
      </c>
      <c r="J277" s="32" t="str" cm="1">
        <f t="array" ref="J277">IFERROR(_xlfn.IFS(B277="044 - BLEND TRADICION","BLEND",B277="113 - CAFÉ GOURMET","GOURMET",B277="114 - CAFÉ CONSUMO","CONSUMO",B277="112 - CAFÉ ORGANICO","GOURMET",B277="172 - CAFÉ COSECHA","ESPECIALES",B277="176 - CAFE DESCAFEINADO","GOURMET",B277="147 - CAPSULAS","CAPSULAS",B277="130 - GALLETAS CAFECITAS","DERIVADOS",B277="140 - MERENGUES","DERIVADOS",B277="100 - CAFÉ ESPECIAL","ESPECIALES",B277="141 - AREQUIPE","DERIVADOS",B277="142 - MERMELADA","DERIVADOS",B277="131 - GALLETAS AVENA","DERIVADOS",B277="160 - SOUVENIR","OTROS",B277="148 - CARAMELOS","DERIVADOS",B277="143 - CHOCOFFES","DERIVADOS",B277="162 - CONVENIOS Y DSC POS ","OTROS"),"OTROS")</f>
        <v>GOURMET</v>
      </c>
      <c r="L277" s="27">
        <f t="shared" si="35"/>
        <v>9240844</v>
      </c>
      <c r="M277" s="27">
        <f t="shared" si="25"/>
        <v>9240844</v>
      </c>
    </row>
    <row r="278" spans="1:13" s="26" customFormat="1" ht="15.75" hidden="1" customHeight="1" outlineLevel="1" thickBot="1">
      <c r="A278" s="70" t="s">
        <v>66</v>
      </c>
      <c r="B278" s="56" t="s">
        <v>32</v>
      </c>
      <c r="C278" s="54">
        <f>SUM(C265:C277)</f>
        <v>1104671008</v>
      </c>
      <c r="D278" s="54">
        <f>SUM(D265:D277)</f>
        <v>-61908290</v>
      </c>
      <c r="E278" s="54">
        <f>SUM(E265:E277)</f>
        <v>0</v>
      </c>
      <c r="F278" s="71">
        <f>SUM(F265:F277)</f>
        <v>3060120402.4200006</v>
      </c>
      <c r="G278" s="72">
        <f t="shared" si="36"/>
        <v>0.36098939346517395</v>
      </c>
      <c r="H278" s="73">
        <f t="shared" si="30"/>
        <v>-5.3068222714166488E-2</v>
      </c>
      <c r="I278" s="74">
        <f t="shared" si="30"/>
        <v>0</v>
      </c>
      <c r="J278" s="32"/>
      <c r="L278" s="27">
        <f t="shared" si="35"/>
        <v>1166579298</v>
      </c>
      <c r="M278" s="27">
        <f t="shared" si="25"/>
        <v>1166579298</v>
      </c>
    </row>
    <row r="279" spans="1:13" s="26" customFormat="1" ht="17" collapsed="1" thickBot="1">
      <c r="A279" s="181" t="s">
        <v>67</v>
      </c>
      <c r="B279" s="182"/>
      <c r="C279" s="75">
        <f>+C63+C113+C199+C216+C248+C5+C233+C264+C21</f>
        <v>2510814494</v>
      </c>
      <c r="D279" s="75">
        <f>+D63+D113+D199+D216+D248+D5+D233+D264+D21</f>
        <v>-83926324</v>
      </c>
      <c r="E279" s="75">
        <f>+E63+E113+E199+E216+E248+E5+E233+E264+E21</f>
        <v>-3072608</v>
      </c>
      <c r="F279" s="75">
        <f>+F63+F113+F199+F216+F248+F5+F233+F264+F21</f>
        <v>6068096467.1400003</v>
      </c>
      <c r="G279" s="76">
        <f>IFERROR(C279/F279*100%,"-")</f>
        <v>0.41377300238988962</v>
      </c>
      <c r="H279" s="76">
        <f t="shared" si="30"/>
        <v>-3.2306524848948102E-2</v>
      </c>
      <c r="I279" s="77">
        <f t="shared" si="30"/>
        <v>-1.1827670029140884E-3</v>
      </c>
      <c r="J279" s="32"/>
      <c r="L279" s="27">
        <f t="shared" si="35"/>
        <v>2597813426</v>
      </c>
      <c r="M279" s="27">
        <f>L279</f>
        <v>2597813426</v>
      </c>
    </row>
    <row r="280" spans="1:13" s="26" customFormat="1" ht="16.5">
      <c r="A280" s="6" t="s">
        <v>68</v>
      </c>
      <c r="B280" s="6" t="s">
        <v>68</v>
      </c>
      <c r="C280" s="78"/>
      <c r="D280" s="78"/>
      <c r="E280" s="78"/>
      <c r="F280" s="79"/>
      <c r="G280" s="79"/>
      <c r="H280" s="6"/>
      <c r="I280" s="6"/>
      <c r="J280" s="32"/>
    </row>
    <row r="281" spans="1:13" s="26" customFormat="1" ht="16.5">
      <c r="A281" s="183" t="s">
        <v>69</v>
      </c>
      <c r="B281" s="184"/>
      <c r="C281" s="187"/>
      <c r="D281" s="187"/>
      <c r="E281" s="187"/>
      <c r="F281" s="188"/>
      <c r="G281" s="79"/>
      <c r="H281" s="6"/>
      <c r="I281" s="6"/>
      <c r="J281" s="32"/>
    </row>
    <row r="282" spans="1:13" s="26" customFormat="1" ht="16.5">
      <c r="A282" s="185"/>
      <c r="B282" s="186"/>
      <c r="C282" s="171"/>
      <c r="D282" s="171"/>
      <c r="E282" s="171"/>
      <c r="F282" s="172"/>
      <c r="G282" s="79"/>
      <c r="H282" s="6"/>
      <c r="I282" s="6"/>
      <c r="J282" s="32"/>
    </row>
    <row r="283" spans="1:13" s="26" customFormat="1" ht="16.5">
      <c r="A283" s="80"/>
      <c r="B283" s="12" t="s">
        <v>2</v>
      </c>
      <c r="C283" s="13" t="s">
        <v>3</v>
      </c>
      <c r="D283" s="13" t="s">
        <v>4</v>
      </c>
      <c r="E283" s="13" t="s">
        <v>6</v>
      </c>
      <c r="F283" s="15" t="s">
        <v>7</v>
      </c>
      <c r="G283" s="81" t="s">
        <v>8</v>
      </c>
      <c r="H283" s="6"/>
      <c r="I283" s="6"/>
      <c r="J283" s="32"/>
    </row>
    <row r="284" spans="1:13" s="26" customFormat="1" ht="16.5">
      <c r="A284" s="82"/>
      <c r="B284" s="83" t="s">
        <v>62</v>
      </c>
      <c r="C284" s="164">
        <v>18333</v>
      </c>
      <c r="D284" s="164">
        <v>0</v>
      </c>
      <c r="E284" s="164">
        <v>0</v>
      </c>
      <c r="F284" s="85" t="str">
        <f>IFERROR(C284/E284*100%,"-")</f>
        <v>-</v>
      </c>
      <c r="G284" s="85">
        <f t="shared" ref="G284:G306" si="37">IFERROR((D284/C284)*100%,"-")</f>
        <v>0</v>
      </c>
      <c r="H284" s="6"/>
      <c r="I284" s="6"/>
      <c r="J284" s="32"/>
    </row>
    <row r="285" spans="1:13" s="26" customFormat="1" ht="16.5">
      <c r="A285" s="82"/>
      <c r="B285" s="83" t="s">
        <v>34</v>
      </c>
      <c r="C285" s="164">
        <v>32917606</v>
      </c>
      <c r="D285" s="164">
        <v>-3928366</v>
      </c>
      <c r="E285" s="164">
        <v>54501464.539999999</v>
      </c>
      <c r="F285" s="85">
        <f t="shared" ref="F285:F306" si="38">IFERROR(C285/E285*100%,"-")</f>
        <v>0.60397654040729376</v>
      </c>
      <c r="G285" s="85">
        <f t="shared" si="37"/>
        <v>-0.11933935900441849</v>
      </c>
      <c r="H285" s="6"/>
      <c r="I285" s="6"/>
      <c r="J285" s="32"/>
    </row>
    <row r="286" spans="1:13" s="26" customFormat="1" ht="16.5">
      <c r="A286" s="82"/>
      <c r="B286" s="83" t="s">
        <v>95</v>
      </c>
      <c r="C286" s="164">
        <v>522421</v>
      </c>
      <c r="D286" s="164">
        <v>-82846</v>
      </c>
      <c r="E286" s="164">
        <v>0</v>
      </c>
      <c r="F286" s="85" t="str">
        <f t="shared" si="38"/>
        <v>-</v>
      </c>
      <c r="G286" s="85">
        <f t="shared" si="37"/>
        <v>-0.15858091462632629</v>
      </c>
      <c r="H286" s="6"/>
      <c r="I286" s="6"/>
      <c r="J286" s="32"/>
    </row>
    <row r="287" spans="1:13" s="26" customFormat="1" ht="16.5">
      <c r="A287" s="82"/>
      <c r="B287" s="83" t="s">
        <v>42</v>
      </c>
      <c r="C287" s="164">
        <v>453449</v>
      </c>
      <c r="D287" s="164">
        <v>0</v>
      </c>
      <c r="E287" s="164">
        <v>0</v>
      </c>
      <c r="F287" s="85" t="str">
        <f t="shared" si="38"/>
        <v>-</v>
      </c>
      <c r="G287" s="85">
        <f t="shared" si="37"/>
        <v>0</v>
      </c>
      <c r="H287" s="6"/>
      <c r="I287" s="6"/>
      <c r="J287" s="32"/>
    </row>
    <row r="288" spans="1:13" s="26" customFormat="1" ht="16.5">
      <c r="A288" s="82"/>
      <c r="B288" s="83" t="s">
        <v>18</v>
      </c>
      <c r="C288" s="164">
        <v>227553676</v>
      </c>
      <c r="D288" s="164">
        <v>0</v>
      </c>
      <c r="E288" s="164">
        <v>507299188.97000003</v>
      </c>
      <c r="F288" s="85">
        <f t="shared" si="38"/>
        <v>0.44855911648906016</v>
      </c>
      <c r="G288" s="85">
        <f t="shared" si="37"/>
        <v>0</v>
      </c>
      <c r="H288" s="6"/>
      <c r="I288" s="6"/>
      <c r="J288" s="32"/>
    </row>
    <row r="289" spans="1:10" s="26" customFormat="1" ht="16.5">
      <c r="A289" s="82"/>
      <c r="B289" s="83" t="s">
        <v>36</v>
      </c>
      <c r="C289" s="164">
        <v>138455</v>
      </c>
      <c r="D289" s="164">
        <v>0</v>
      </c>
      <c r="E289" s="164">
        <v>0</v>
      </c>
      <c r="F289" s="85" t="str">
        <f t="shared" si="38"/>
        <v>-</v>
      </c>
      <c r="G289" s="85">
        <f t="shared" si="37"/>
        <v>0</v>
      </c>
      <c r="H289" s="6"/>
      <c r="I289" s="6"/>
      <c r="J289" s="32"/>
    </row>
    <row r="290" spans="1:10" s="26" customFormat="1" ht="16.5">
      <c r="A290" s="82"/>
      <c r="B290" s="83" t="s">
        <v>19</v>
      </c>
      <c r="C290" s="164">
        <v>90137345</v>
      </c>
      <c r="D290" s="164">
        <v>-8038946</v>
      </c>
      <c r="E290" s="164">
        <v>191019804.03</v>
      </c>
      <c r="F290" s="85">
        <f t="shared" si="38"/>
        <v>0.47187434547804147</v>
      </c>
      <c r="G290" s="85">
        <f t="shared" si="37"/>
        <v>-8.9185520163701293E-2</v>
      </c>
      <c r="H290" s="6"/>
      <c r="I290" s="6"/>
      <c r="J290" s="32"/>
    </row>
    <row r="291" spans="1:10" s="26" customFormat="1" ht="16.5">
      <c r="A291" s="82"/>
      <c r="B291" s="83" t="s">
        <v>20</v>
      </c>
      <c r="C291" s="164">
        <v>73714970</v>
      </c>
      <c r="D291" s="164">
        <v>-927728</v>
      </c>
      <c r="E291" s="164">
        <v>223501100.75</v>
      </c>
      <c r="F291" s="85">
        <f t="shared" si="38"/>
        <v>0.32981927047623277</v>
      </c>
      <c r="G291" s="85">
        <f t="shared" si="37"/>
        <v>-1.2585340535307821E-2</v>
      </c>
      <c r="H291" s="6"/>
      <c r="I291" s="6"/>
      <c r="J291" s="32"/>
    </row>
    <row r="292" spans="1:10" s="26" customFormat="1" ht="16.5">
      <c r="A292" s="82"/>
      <c r="B292" s="83" t="s">
        <v>21</v>
      </c>
      <c r="C292" s="164">
        <v>1576164423</v>
      </c>
      <c r="D292" s="164">
        <v>-27859221</v>
      </c>
      <c r="E292" s="164">
        <v>3601471598.6100001</v>
      </c>
      <c r="F292" s="85">
        <f t="shared" si="38"/>
        <v>0.43764455163503879</v>
      </c>
      <c r="G292" s="85">
        <f t="shared" si="37"/>
        <v>-1.7675326630564356E-2</v>
      </c>
      <c r="H292" s="6"/>
      <c r="I292" s="6"/>
      <c r="J292" s="32"/>
    </row>
    <row r="293" spans="1:10" s="26" customFormat="1" ht="16.5">
      <c r="A293" s="82"/>
      <c r="B293" s="83" t="s">
        <v>38</v>
      </c>
      <c r="C293" s="164">
        <v>31245265</v>
      </c>
      <c r="D293" s="164">
        <v>-85592</v>
      </c>
      <c r="E293" s="164">
        <v>53476353.159999996</v>
      </c>
      <c r="F293" s="85">
        <f t="shared" si="38"/>
        <v>0.58428189571033196</v>
      </c>
      <c r="G293" s="85">
        <f t="shared" si="37"/>
        <v>-2.7393590676859357E-3</v>
      </c>
      <c r="H293" s="6"/>
      <c r="I293" s="6"/>
      <c r="J293" s="32"/>
    </row>
    <row r="294" spans="1:10" s="26" customFormat="1" ht="16.5">
      <c r="A294" s="82"/>
      <c r="B294" s="83" t="s">
        <v>22</v>
      </c>
      <c r="C294" s="164">
        <v>79241229</v>
      </c>
      <c r="D294" s="164">
        <v>-2964192</v>
      </c>
      <c r="E294" s="164">
        <v>217515060.65000001</v>
      </c>
      <c r="F294" s="85">
        <f t="shared" si="38"/>
        <v>0.36430226377522335</v>
      </c>
      <c r="G294" s="85">
        <f t="shared" si="37"/>
        <v>-3.7407193671869982E-2</v>
      </c>
      <c r="H294" s="6"/>
      <c r="I294" s="6"/>
      <c r="J294" s="32"/>
    </row>
    <row r="295" spans="1:10" s="26" customFormat="1" ht="16.5">
      <c r="A295" s="82"/>
      <c r="B295" s="83" t="s">
        <v>23</v>
      </c>
      <c r="C295" s="164">
        <v>309429</v>
      </c>
      <c r="D295" s="164">
        <v>-343068</v>
      </c>
      <c r="E295" s="164">
        <v>2178053.21</v>
      </c>
      <c r="F295" s="85">
        <f t="shared" si="38"/>
        <v>0.14206677714728558</v>
      </c>
      <c r="G295" s="85">
        <f t="shared" si="37"/>
        <v>-1.1087131458266679</v>
      </c>
      <c r="H295" s="6"/>
      <c r="I295" s="6"/>
      <c r="J295" s="32"/>
    </row>
    <row r="296" spans="1:10" s="26" customFormat="1" ht="16.5">
      <c r="A296" s="82"/>
      <c r="B296" s="83" t="s">
        <v>24</v>
      </c>
      <c r="C296" s="164">
        <v>12247938</v>
      </c>
      <c r="D296" s="164">
        <v>-586394</v>
      </c>
      <c r="E296" s="164">
        <v>22254856.469999999</v>
      </c>
      <c r="F296" s="85">
        <f t="shared" si="38"/>
        <v>0.55034899984686358</v>
      </c>
      <c r="G296" s="85">
        <f t="shared" si="37"/>
        <v>-4.78769569212385E-2</v>
      </c>
      <c r="H296" s="6"/>
      <c r="I296" s="6"/>
      <c r="J296" s="32"/>
    </row>
    <row r="297" spans="1:10" s="26" customFormat="1" ht="16.5">
      <c r="A297" s="82"/>
      <c r="B297" s="83" t="s">
        <v>25</v>
      </c>
      <c r="C297" s="164">
        <v>36557796</v>
      </c>
      <c r="D297" s="164">
        <v>-209098</v>
      </c>
      <c r="E297" s="164">
        <v>73446237.840000004</v>
      </c>
      <c r="F297" s="85">
        <f t="shared" si="38"/>
        <v>0.49774906210498959</v>
      </c>
      <c r="G297" s="85">
        <f t="shared" si="37"/>
        <v>-5.7196555284678543E-3</v>
      </c>
      <c r="H297" s="6"/>
      <c r="I297" s="6"/>
      <c r="J297" s="32"/>
    </row>
    <row r="298" spans="1:10" s="26" customFormat="1" ht="16.5">
      <c r="A298" s="82"/>
      <c r="B298" s="83" t="s">
        <v>26</v>
      </c>
      <c r="C298" s="164">
        <v>97026935</v>
      </c>
      <c r="D298" s="164">
        <v>-28885122</v>
      </c>
      <c r="E298" s="164">
        <v>283274900.44</v>
      </c>
      <c r="F298" s="85">
        <f t="shared" si="38"/>
        <v>0.34251864478388944</v>
      </c>
      <c r="G298" s="85">
        <f t="shared" si="37"/>
        <v>-0.29770209684558213</v>
      </c>
      <c r="H298" s="6"/>
      <c r="I298" s="6"/>
      <c r="J298" s="32"/>
    </row>
    <row r="299" spans="1:10" s="26" customFormat="1" ht="16.5">
      <c r="A299" s="82"/>
      <c r="B299" s="83" t="s">
        <v>27</v>
      </c>
      <c r="C299" s="164">
        <v>40230921</v>
      </c>
      <c r="D299" s="164">
        <v>-72858</v>
      </c>
      <c r="E299" s="164">
        <v>86150297.260000005</v>
      </c>
      <c r="F299" s="85">
        <f t="shared" si="38"/>
        <v>0.46698528362106312</v>
      </c>
      <c r="G299" s="85">
        <f t="shared" si="37"/>
        <v>-1.8109950801275467E-3</v>
      </c>
      <c r="H299" s="6"/>
      <c r="I299" s="6"/>
      <c r="J299" s="32"/>
    </row>
    <row r="300" spans="1:10" s="26" customFormat="1" ht="16.5">
      <c r="A300" s="82"/>
      <c r="B300" s="83" t="s">
        <v>28</v>
      </c>
      <c r="C300" s="164">
        <v>97048078</v>
      </c>
      <c r="D300" s="164">
        <v>-1344416</v>
      </c>
      <c r="E300" s="164">
        <v>247793209.88999999</v>
      </c>
      <c r="F300" s="85">
        <f t="shared" si="38"/>
        <v>0.39164946466080103</v>
      </c>
      <c r="G300" s="85">
        <f t="shared" si="37"/>
        <v>-1.3853092484737307E-2</v>
      </c>
      <c r="H300" s="6"/>
      <c r="I300" s="6"/>
      <c r="J300" s="32"/>
    </row>
    <row r="301" spans="1:10" s="26" customFormat="1" ht="16.5">
      <c r="A301" s="82"/>
      <c r="B301" s="83" t="s">
        <v>39</v>
      </c>
      <c r="C301" s="164">
        <v>141798</v>
      </c>
      <c r="D301" s="164">
        <v>0</v>
      </c>
      <c r="E301" s="164">
        <v>0</v>
      </c>
      <c r="F301" s="85" t="str">
        <f t="shared" si="38"/>
        <v>-</v>
      </c>
      <c r="G301" s="85">
        <f t="shared" si="37"/>
        <v>0</v>
      </c>
      <c r="H301" s="6"/>
      <c r="I301" s="6"/>
      <c r="J301" s="32"/>
    </row>
    <row r="302" spans="1:10" s="26" customFormat="1" ht="16.5">
      <c r="A302" s="82"/>
      <c r="B302" s="83" t="s">
        <v>50</v>
      </c>
      <c r="C302" s="164">
        <v>8273076</v>
      </c>
      <c r="D302" s="164">
        <v>-3526924</v>
      </c>
      <c r="E302" s="164">
        <v>0</v>
      </c>
      <c r="F302" s="85" t="str">
        <f t="shared" si="38"/>
        <v>-</v>
      </c>
      <c r="G302" s="85">
        <f t="shared" si="37"/>
        <v>-0.42631350177370547</v>
      </c>
      <c r="H302" s="6"/>
      <c r="I302" s="6"/>
      <c r="J302" s="32"/>
    </row>
    <row r="303" spans="1:10" s="26" customFormat="1" ht="16.5">
      <c r="A303" s="82"/>
      <c r="B303" s="83" t="s">
        <v>29</v>
      </c>
      <c r="C303" s="164">
        <v>81673505</v>
      </c>
      <c r="D303" s="164">
        <v>-6885468</v>
      </c>
      <c r="E303" s="164">
        <v>442463603.77999997</v>
      </c>
      <c r="F303" s="85">
        <f t="shared" si="38"/>
        <v>0.18458807527276161</v>
      </c>
      <c r="G303" s="85">
        <f t="shared" si="37"/>
        <v>-8.4304793825121127E-2</v>
      </c>
      <c r="H303" s="6"/>
      <c r="I303" s="6"/>
      <c r="J303" s="32"/>
    </row>
    <row r="304" spans="1:10" s="26" customFormat="1" ht="16.5">
      <c r="A304" s="82"/>
      <c r="B304" s="83" t="s">
        <v>30</v>
      </c>
      <c r="C304" s="164">
        <v>18247688</v>
      </c>
      <c r="D304" s="164">
        <v>-98457</v>
      </c>
      <c r="E304" s="164">
        <v>61750737.539999999</v>
      </c>
      <c r="F304" s="85">
        <f t="shared" si="38"/>
        <v>0.29550558789973602</v>
      </c>
      <c r="G304" s="85">
        <f t="shared" si="37"/>
        <v>-5.3955876492408246E-3</v>
      </c>
      <c r="H304" s="6"/>
      <c r="I304" s="6"/>
      <c r="J304" s="32"/>
    </row>
    <row r="305" spans="1:31" s="26" customFormat="1" ht="16.5">
      <c r="A305" s="82"/>
      <c r="B305" s="83" t="s">
        <v>92</v>
      </c>
      <c r="C305" s="164">
        <v>7050120</v>
      </c>
      <c r="D305" s="164">
        <v>0</v>
      </c>
      <c r="E305" s="164">
        <v>0</v>
      </c>
      <c r="F305" s="85" t="str">
        <f t="shared" si="38"/>
        <v>-</v>
      </c>
      <c r="G305" s="85">
        <f t="shared" si="37"/>
        <v>0</v>
      </c>
      <c r="H305" s="6"/>
      <c r="I305" s="6"/>
      <c r="J305" s="32"/>
    </row>
    <row r="306" spans="1:31" s="26" customFormat="1">
      <c r="A306" s="82"/>
      <c r="B306" s="83" t="s">
        <v>31</v>
      </c>
      <c r="C306" s="164">
        <v>-289736</v>
      </c>
      <c r="D306" s="164">
        <v>-1160236</v>
      </c>
      <c r="E306" s="164">
        <v>0</v>
      </c>
      <c r="F306" s="85" t="str">
        <f t="shared" si="38"/>
        <v>-</v>
      </c>
      <c r="G306" s="85">
        <f t="shared" si="37"/>
        <v>4.0044592318524446</v>
      </c>
      <c r="H306" s="6"/>
      <c r="I306" s="6"/>
    </row>
    <row r="307" spans="1:31" s="79" customFormat="1" ht="16.5">
      <c r="A307" s="82"/>
      <c r="B307" s="86" t="s">
        <v>32</v>
      </c>
      <c r="C307" s="87">
        <f>SUM(C284:C306)</f>
        <v>2510624720</v>
      </c>
      <c r="D307" s="87">
        <f>SUM(D284:D306)</f>
        <v>-86998932</v>
      </c>
      <c r="E307" s="87">
        <f>SUM(E284:E306)</f>
        <v>6068096467.1399994</v>
      </c>
      <c r="F307" s="88">
        <f>C307/E307*100%</f>
        <v>0.41374172833203188</v>
      </c>
      <c r="G307" s="88">
        <v>2.1700000000000001E-2</v>
      </c>
      <c r="H307" s="6"/>
      <c r="I307" s="27"/>
      <c r="J307" s="32"/>
      <c r="K307" s="26"/>
      <c r="L307" s="26"/>
      <c r="M307" s="26"/>
      <c r="O307" s="26"/>
      <c r="P307" s="26"/>
      <c r="R307" s="26"/>
      <c r="S307" s="26"/>
      <c r="U307" s="26"/>
      <c r="V307" s="26"/>
      <c r="X307" s="26"/>
      <c r="Y307" s="26"/>
      <c r="Z307" s="26"/>
      <c r="AA307" s="26"/>
      <c r="AB307" s="26"/>
      <c r="AC307" s="26"/>
      <c r="AD307" s="26"/>
      <c r="AE307" s="26"/>
    </row>
    <row r="308" spans="1:31" s="79" customFormat="1">
      <c r="A308" s="89"/>
      <c r="B308" s="90"/>
      <c r="C308" s="91"/>
      <c r="D308" s="91"/>
      <c r="E308" s="91"/>
      <c r="F308" s="92"/>
      <c r="H308" s="6"/>
      <c r="I308" s="6"/>
      <c r="J308" s="83" t="s">
        <v>50</v>
      </c>
      <c r="K308" s="26"/>
      <c r="L308" s="93"/>
      <c r="M308" s="26"/>
      <c r="O308" s="26"/>
      <c r="P308" s="26"/>
      <c r="R308" s="26"/>
      <c r="S308" s="26"/>
      <c r="X308" s="26"/>
      <c r="Y308" s="26"/>
      <c r="Z308" s="26"/>
      <c r="AA308" s="26"/>
      <c r="AB308" s="26"/>
      <c r="AD308" s="26"/>
      <c r="AE308" s="26"/>
    </row>
    <row r="309" spans="1:31" s="79" customFormat="1" ht="16.5">
      <c r="A309" s="165">
        <f>+A1</f>
        <v>46251</v>
      </c>
      <c r="B309" s="166"/>
      <c r="C309" s="169"/>
      <c r="D309" s="169"/>
      <c r="E309" s="169"/>
      <c r="F309" s="170"/>
      <c r="H309" s="6"/>
      <c r="I309" s="6"/>
      <c r="J309" s="32"/>
      <c r="K309" s="26"/>
      <c r="L309" s="27"/>
      <c r="M309" s="26"/>
      <c r="O309" s="26"/>
      <c r="P309" s="26"/>
      <c r="R309" s="26"/>
      <c r="S309" s="26"/>
      <c r="X309" s="26"/>
      <c r="Y309" s="26"/>
      <c r="Z309" s="26"/>
      <c r="AA309" s="26"/>
      <c r="AB309" s="26"/>
      <c r="AD309" s="26"/>
      <c r="AE309" s="26"/>
    </row>
    <row r="310" spans="1:31" s="78" customFormat="1">
      <c r="A310" s="167"/>
      <c r="B310" s="168"/>
      <c r="C310" s="171"/>
      <c r="D310" s="171"/>
      <c r="E310" s="171"/>
      <c r="F310" s="172"/>
      <c r="G310" s="94">
        <f>+H2</f>
        <v>0.42857142857142855</v>
      </c>
      <c r="H310" s="6"/>
      <c r="I310" s="6"/>
      <c r="J310" s="27"/>
      <c r="K310" s="26"/>
      <c r="L310" s="26"/>
      <c r="M310" s="26"/>
      <c r="O310" s="26"/>
      <c r="P310" s="26"/>
      <c r="R310" s="26"/>
      <c r="S310" s="26"/>
      <c r="U310" s="79"/>
      <c r="V310" s="79"/>
      <c r="X310" s="26"/>
      <c r="Y310" s="26"/>
      <c r="Z310" s="26"/>
      <c r="AA310" s="26"/>
      <c r="AB310" s="26"/>
      <c r="AC310" s="79"/>
      <c r="AD310" s="26"/>
      <c r="AE310" s="26"/>
    </row>
    <row r="311" spans="1:31">
      <c r="A311" s="95" t="s">
        <v>1</v>
      </c>
      <c r="B311" s="12" t="s">
        <v>2</v>
      </c>
      <c r="C311" s="13" t="s">
        <v>3</v>
      </c>
      <c r="D311" s="13" t="s">
        <v>4</v>
      </c>
      <c r="E311" s="13" t="s">
        <v>6</v>
      </c>
      <c r="F311" s="15" t="s">
        <v>7</v>
      </c>
      <c r="G311" s="81" t="s">
        <v>8</v>
      </c>
      <c r="O311" s="26"/>
      <c r="P311" s="26"/>
      <c r="R311" s="26"/>
      <c r="S311" s="26"/>
      <c r="U311" s="78"/>
      <c r="V311" s="78"/>
      <c r="X311" s="26"/>
      <c r="Y311" s="26"/>
      <c r="Z311" s="79"/>
      <c r="AA311" s="26"/>
      <c r="AB311" s="26"/>
      <c r="AC311" s="78"/>
      <c r="AD311" s="79"/>
      <c r="AE311" s="79"/>
    </row>
    <row r="312" spans="1:31">
      <c r="A312" s="173" t="s">
        <v>69</v>
      </c>
      <c r="B312" s="174"/>
      <c r="C312" s="96">
        <f>+C5+C63+C113+C199+C216+C233+C248+C264+C21</f>
        <v>2510814494</v>
      </c>
      <c r="D312" s="96">
        <f>+D5+D63+D113+D199+D216+D233+D248+D264+D21</f>
        <v>-83926324</v>
      </c>
      <c r="E312" s="97">
        <f>+F63+F113+F199+F216+F5+F248+F233+F264+F21</f>
        <v>6068096467.1400003</v>
      </c>
      <c r="F312" s="31">
        <f>C312/E312*100%</f>
        <v>0.41377300238988962</v>
      </c>
      <c r="G312" s="31">
        <f>D312/C312*100%</f>
        <v>-3.3425935767280146E-2</v>
      </c>
      <c r="L312" s="98"/>
      <c r="M312" s="98"/>
      <c r="O312" s="26"/>
      <c r="P312" s="26"/>
      <c r="R312" s="26"/>
      <c r="S312" s="26"/>
      <c r="X312" s="79"/>
      <c r="Y312" s="79"/>
      <c r="Z312" s="79"/>
      <c r="AA312" s="26"/>
      <c r="AB312" s="26"/>
      <c r="AD312" s="79"/>
      <c r="AE312" s="79"/>
    </row>
    <row r="313" spans="1:31" s="26" customFormat="1">
      <c r="A313" s="99"/>
      <c r="B313" s="6"/>
      <c r="C313" s="78"/>
      <c r="D313" s="6"/>
      <c r="E313" s="6"/>
      <c r="F313" s="6"/>
      <c r="G313" s="6"/>
      <c r="H313" s="6"/>
      <c r="I313" s="6"/>
      <c r="J313" s="6"/>
      <c r="L313" s="98"/>
      <c r="M313" s="98"/>
      <c r="U313" s="6"/>
      <c r="V313" s="6"/>
      <c r="X313" s="79"/>
      <c r="Y313" s="79"/>
      <c r="Z313" s="79"/>
      <c r="AC313" s="6"/>
      <c r="AD313" s="79"/>
      <c r="AE313" s="79"/>
    </row>
    <row r="314" spans="1:31">
      <c r="J314" s="78"/>
      <c r="O314" s="26"/>
      <c r="P314" s="26"/>
      <c r="R314" s="26"/>
      <c r="S314" s="26"/>
      <c r="X314" s="26"/>
      <c r="Y314" s="26"/>
      <c r="Z314" s="26"/>
      <c r="AA314" s="26"/>
      <c r="AB314" s="26"/>
      <c r="AD314" s="26"/>
      <c r="AE314" s="26"/>
    </row>
    <row r="315" spans="1:31">
      <c r="O315" s="26"/>
      <c r="P315" s="26"/>
      <c r="R315" s="26"/>
      <c r="S315" s="26"/>
      <c r="X315" s="26"/>
      <c r="Y315" s="26"/>
      <c r="Z315" s="26"/>
      <c r="AA315" s="26"/>
      <c r="AB315" s="26"/>
      <c r="AD315" s="26"/>
      <c r="AE315" s="26"/>
    </row>
    <row r="316" spans="1:31">
      <c r="O316" s="26"/>
      <c r="P316" s="26"/>
      <c r="R316" s="26"/>
      <c r="S316" s="26"/>
      <c r="X316" s="26"/>
      <c r="Y316" s="26"/>
      <c r="Z316" s="26"/>
      <c r="AA316" s="26"/>
      <c r="AB316" s="26"/>
      <c r="AD316" s="26"/>
      <c r="AE316" s="26"/>
    </row>
    <row r="317" spans="1:31">
      <c r="O317" s="26"/>
      <c r="P317" s="26"/>
      <c r="R317" s="26"/>
      <c r="S317" s="26"/>
      <c r="X317" s="26"/>
      <c r="Y317" s="26"/>
      <c r="AA317" s="26"/>
      <c r="AB317" s="26"/>
    </row>
    <row r="318" spans="1:31">
      <c r="O318" s="26"/>
      <c r="P318" s="26"/>
      <c r="R318" s="26"/>
      <c r="S318" s="26"/>
      <c r="AA318" s="26"/>
      <c r="AB318" s="26"/>
    </row>
    <row r="319" spans="1:31">
      <c r="O319" s="26"/>
      <c r="P319" s="26"/>
      <c r="R319" s="26"/>
      <c r="S319" s="26"/>
      <c r="AA319" s="26"/>
      <c r="AB319" s="26"/>
    </row>
  </sheetData>
  <mergeCells count="10">
    <mergeCell ref="A309:B310"/>
    <mergeCell ref="C309:F309"/>
    <mergeCell ref="C310:F310"/>
    <mergeCell ref="A312:B312"/>
    <mergeCell ref="A1:B2"/>
    <mergeCell ref="C2:G2"/>
    <mergeCell ref="A279:B279"/>
    <mergeCell ref="A281:B282"/>
    <mergeCell ref="C281:F281"/>
    <mergeCell ref="C282:F282"/>
  </mergeCells>
  <conditionalFormatting sqref="F284:F306">
    <cfRule type="top10" dxfId="1" priority="1" bottom="1" rank="3"/>
    <cfRule type="top10" dxfId="0" priority="2" rank="3"/>
  </conditionalFormatting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164EE-0AFA-484E-9A7D-61EC1928B937}">
  <sheetPr codeName="Hoja16">
    <outlinePr summaryBelow="0"/>
  </sheetPr>
  <dimension ref="A1:I37"/>
  <sheetViews>
    <sheetView showGridLines="0" workbookViewId="0">
      <selection activeCell="N30" sqref="N30"/>
    </sheetView>
  </sheetViews>
  <sheetFormatPr baseColWidth="10" defaultColWidth="18.54296875" defaultRowHeight="13"/>
  <cols>
    <col min="1" max="1" width="18.7265625" style="105" bestFit="1" customWidth="1"/>
    <col min="2" max="2" width="28.26953125" style="105" bestFit="1" customWidth="1"/>
    <col min="3" max="3" width="16.7265625" style="127" customWidth="1"/>
    <col min="4" max="4" width="18" style="127" bestFit="1" customWidth="1"/>
    <col min="5" max="5" width="17" style="128" customWidth="1"/>
    <col min="6" max="6" width="9.1796875" style="104" customWidth="1"/>
    <col min="7" max="8" width="4.26953125" style="105" bestFit="1" customWidth="1"/>
    <col min="9" max="16384" width="18.54296875" style="105"/>
  </cols>
  <sheetData>
    <row r="1" spans="1:8" ht="12.75" customHeight="1">
      <c r="A1" s="101" t="s">
        <v>70</v>
      </c>
      <c r="B1" s="101" t="s">
        <v>2</v>
      </c>
      <c r="C1" s="102" t="s">
        <v>71</v>
      </c>
      <c r="D1" s="102" t="s">
        <v>72</v>
      </c>
      <c r="E1" s="103" t="s">
        <v>73</v>
      </c>
    </row>
    <row r="2" spans="1:8" ht="12.75" customHeight="1">
      <c r="A2" s="106" t="s">
        <v>74</v>
      </c>
      <c r="B2" s="107" t="s">
        <v>34</v>
      </c>
      <c r="C2" s="108">
        <v>3859323</v>
      </c>
      <c r="D2" s="108">
        <v>5683299.970880392</v>
      </c>
      <c r="E2" s="109" t="str" cm="1">
        <f t="array" ref="E2">IFERROR(_xlfn.IFS(B2="044 - BLEND TRADICION","BLEND",B2="113 - CAFÉ GOURMET","GOURMET",B2="114 - CAFÉ CONSUMO","GOURMET",B2="112 - CAFÉ ORGANICO","GOURMET",B2="172 - CAFÉ COSECHA","ESPECIALES",B2="176 - CAFE DESCAFEINADO","GOURMET",B2="147 - CAPSULAS","CAPSULAS",B2="130 - GALLETAS CAFECITAS","DERIVADOS",B2="140 - MERENGUES","DERIVADOS",B2="100 - CAFÉ ESPECIAL","ESPECIALES",B2="141 - AREQUIPE","DERIVADOS",B2="142 - MERMELADA","DERIVADOS",B2="131 - GALLETAS AVENA","DERIVADOS",B2="160 - SOUVENIR","OTROS",B2="148 - CARAMELOS","OTROS",B2="143 - CHOCOFFES","OTROS",B2="162 - CONVENIOS Y DSC POS ","OTROS"),"OTROS")</f>
        <v>OTROS</v>
      </c>
    </row>
    <row r="3" spans="1:8" ht="12.5" customHeight="1">
      <c r="A3" s="106" t="s">
        <v>74</v>
      </c>
      <c r="B3" s="107" t="s">
        <v>42</v>
      </c>
      <c r="C3" s="108">
        <v>290110</v>
      </c>
      <c r="D3" s="108">
        <v>661343.27503301844</v>
      </c>
      <c r="E3" s="109" t="str" cm="1">
        <f t="array" ref="E3">IFERROR(_xlfn.IFS(B3="044 - BLEND TRADICION","BLEND",B3="113 - CAFÉ GOURMET","GOURMET",B3="114 - CAFÉ CONSUMO","GOURMET",B3="112 - CAFÉ ORGANICO","GOURMET",B3="172 - CAFÉ COSECHA","ESPECIALES",B3="176 - CAFE DESCAFEINADO","GOURMET",B3="147 - CAPSULAS","CAPSULAS",B3="130 - GALLETAS CAFECITAS","DERIVADOS",B3="140 - MERENGUES","DERIVADOS",B3="100 - CAFÉ ESPECIAL","ESPECIALES",B3="141 - AREQUIPE","DERIVADOS",B3="142 - MERMELADA","DERIVADOS",B3="131 - GALLETAS AVENA","DERIVADOS",B3="160 - SOUVENIR","OTROS",B3="148 - CARAMELOS","OTROS",B3="143 - CHOCOFFES","OTROS",B3="162 - CONVENIOS Y DSC POS ","OTROS"),"OTROS")</f>
        <v>OTROS</v>
      </c>
    </row>
    <row r="4" spans="1:8" ht="12.75" customHeight="1">
      <c r="A4" s="106" t="s">
        <v>74</v>
      </c>
      <c r="B4" s="107" t="s">
        <v>18</v>
      </c>
      <c r="C4" s="108"/>
      <c r="D4" s="108"/>
      <c r="E4" s="109" t="str" cm="1">
        <f t="array" ref="E4">IFERROR(_xlfn.IFS(B4="044 - BLEND TRADICION","BLEND",B4="113 - CAFÉ GOURMET","GOURMET",B4="114 - CAFÉ CONSUMO","GOURMET",B4="112 - CAFÉ ORGANICO","GOURMET",B4="172 - CAFÉ COSECHA","ESPECIALES",B4="176 - CAFE DESCAFEINADO","GOURMET",B4="147 - CAPSULAS","CAPSULAS",B4="130 - GALLETAS CAFECITAS","DERIVADOS",B4="140 - MERENGUES","DERIVADOS",B4="100 - CAFÉ ESPECIAL","ESPECIALES",B4="141 - AREQUIPE","DERIVADOS",B4="142 - MERMELADA","DERIVADOS",B4="131 - GALLETAS AVENA","DERIVADOS",B4="160 - SOUVENIR","OTROS",B4="148 - CARAMELOS","OTROS",B4="143 - CHOCOFFES","OTROS",B4="162 - CONVENIOS Y DSC POS ","OTROS"),"OTROS")</f>
        <v>BLEND</v>
      </c>
    </row>
    <row r="5" spans="1:8" ht="12.75" customHeight="1">
      <c r="A5" s="106" t="s">
        <v>74</v>
      </c>
      <c r="B5" s="107" t="s">
        <v>36</v>
      </c>
      <c r="C5" s="108">
        <v>221600</v>
      </c>
      <c r="D5" s="108">
        <v>2294100.8059860752</v>
      </c>
      <c r="E5" s="109" t="str" cm="1">
        <f t="array" ref="E5">IFERROR(_xlfn.IFS(B5="044 - BLEND TRADICION","BLEND",B5="113 - CAFÉ GOURMET","GOURMET",B5="114 - CAFÉ CONSUMO","GOURMET",B5="112 - CAFÉ ORGANICO","GOURMET",B5="172 - CAFÉ COSECHA","ESPECIALES",B5="176 - CAFE DESCAFEINADO","GOURMET",B5="147 - CAPSULAS","CAPSULAS",B5="130 - GALLETAS CAFECITAS","DERIVADOS",B5="140 - MERENGUES","DERIVADOS",B5="100 - CAFÉ ESPECIAL","ESPECIALES",B5="141 - AREQUIPE","DERIVADOS",B5="142 - MERMELADA","DERIVADOS",B5="131 - GALLETAS AVENA","DERIVADOS",B5="160 - SOUVENIR","OTROS",B5="148 - CARAMELOS","OTROS",B5="143 - CHOCOFFES","OTROS",B5="162 - CONVENIOS Y DSC POS ","OTROS"),"OTROS")</f>
        <v>OTROS</v>
      </c>
    </row>
    <row r="6" spans="1:8" ht="12.75" customHeight="1">
      <c r="A6" s="106" t="s">
        <v>74</v>
      </c>
      <c r="B6" s="107" t="s">
        <v>19</v>
      </c>
      <c r="C6" s="108">
        <v>67552</v>
      </c>
      <c r="D6" s="108">
        <v>49511.179418282118</v>
      </c>
      <c r="E6" s="109" t="str" cm="1">
        <f t="array" ref="E6">IFERROR(_xlfn.IFS(B6="044 - BLEND TRADICION","BLEND",B6="113 - CAFÉ GOURMET","GOURMET",B6="114 - CAFÉ CONSUMO","GOURMET",B6="112 - CAFÉ ORGANICO","GOURMET",B6="172 - CAFÉ COSECHA","ESPECIALES",B6="176 - CAFE DESCAFEINADO","GOURMET",B6="147 - CAPSULAS","CAPSULAS",B6="130 - GALLETAS CAFECITAS","DERIVADOS",B6="140 - MERENGUES","DERIVADOS",B6="100 - CAFÉ ESPECIAL","ESPECIALES",B6="141 - AREQUIPE","DERIVADOS",B6="142 - MERMELADA","DERIVADOS",B6="131 - GALLETAS AVENA","DERIVADOS",B6="160 - SOUVENIR","OTROS",B6="148 - CARAMELOS","OTROS",B6="143 - CHOCOFFES","OTROS",B6="162 - CONVENIOS Y DSC POS ","OTROS"),"OTROS")</f>
        <v>ESPECIALES</v>
      </c>
    </row>
    <row r="7" spans="1:8" ht="12.75" customHeight="1">
      <c r="A7" s="106" t="s">
        <v>74</v>
      </c>
      <c r="B7" s="107" t="s">
        <v>20</v>
      </c>
      <c r="C7" s="108">
        <v>294630</v>
      </c>
      <c r="D7" s="108">
        <v>134965.254673769</v>
      </c>
      <c r="E7" s="109" t="str" cm="1">
        <f t="array" ref="E7">IFERROR(_xlfn.IFS(B7="044 - BLEND TRADICION","BLEND",B7="113 - CAFÉ GOURMET","GOURMET",B7="114 - CAFÉ CONSUMO","GOURMET",B7="112 - CAFÉ ORGANICO","GOURMET",B7="172 - CAFÉ COSECHA","ESPECIALES",B7="176 - CAFE DESCAFEINADO","GOURMET",B7="147 - CAPSULAS","CAPSULAS",B7="130 - GALLETAS CAFECITAS","DERIVADOS",B7="140 - MERENGUES","DERIVADOS",B7="100 - CAFÉ ESPECIAL","ESPECIALES",B7="141 - AREQUIPE","DERIVADOS",B7="142 - MERMELADA","DERIVADOS",B7="131 - GALLETAS AVENA","DERIVADOS",B7="160 - SOUVENIR","OTROS",B7="148 - CARAMELOS","OTROS",B7="143 - CHOCOFFES","OTROS",B7="162 - CONVENIOS Y DSC POS ","OTROS"),"OTROS")</f>
        <v>GOURMET</v>
      </c>
      <c r="G7" s="110"/>
      <c r="H7" s="110"/>
    </row>
    <row r="8" spans="1:8" ht="12.75" customHeight="1">
      <c r="A8" s="106" t="s">
        <v>74</v>
      </c>
      <c r="B8" s="107" t="s">
        <v>21</v>
      </c>
      <c r="C8" s="108">
        <v>64675409</v>
      </c>
      <c r="D8" s="108">
        <v>50945040.566212997</v>
      </c>
      <c r="E8" s="109" t="str" cm="1">
        <f t="array" ref="E8">IFERROR(_xlfn.IFS(B8="044 - BLEND TRADICION","BLEND",B8="113 - CAFÉ GOURMET","GOURMET",B8="114 - CAFÉ CONSUMO","GOURMET",B8="112 - CAFÉ ORGANICO","GOURMET",B8="172 - CAFÉ COSECHA","ESPECIALES",B8="176 - CAFE DESCAFEINADO","GOURMET",B8="147 - CAPSULAS","CAPSULAS",B8="130 - GALLETAS CAFECITAS","DERIVADOS",B8="140 - MERENGUES","DERIVADOS",B8="100 - CAFÉ ESPECIAL","ESPECIALES",B8="141 - AREQUIPE","DERIVADOS",B8="142 - MERMELADA","DERIVADOS",B8="131 - GALLETAS AVENA","DERIVADOS",B8="160 - SOUVENIR","OTROS",B8="148 - CARAMELOS","OTROS",B8="143 - CHOCOFFES","OTROS",B8="162 - CONVENIOS Y DSC POS ","OTROS"),"OTROS")</f>
        <v>GOURMET</v>
      </c>
      <c r="G8" s="110"/>
      <c r="H8" s="110"/>
    </row>
    <row r="9" spans="1:8" ht="12.75" customHeight="1">
      <c r="A9" s="106" t="s">
        <v>74</v>
      </c>
      <c r="B9" s="107" t="s">
        <v>22</v>
      </c>
      <c r="C9" s="108">
        <v>22769</v>
      </c>
      <c r="D9" s="108">
        <v>1743270.395271183</v>
      </c>
      <c r="E9" s="109" t="str" cm="1">
        <f t="array" ref="E9">IFERROR(_xlfn.IFS(B9="044 - BLEND TRADICION","BLEND",B9="113 - CAFÉ GOURMET","GOURMET",B9="114 - CAFÉ CONSUMO","GOURMET",B9="112 - CAFÉ ORGANICO","GOURMET",B9="172 - CAFÉ COSECHA","ESPECIALES",B9="176 - CAFE DESCAFEINADO","GOURMET",B9="147 - CAPSULAS","CAPSULAS",B9="130 - GALLETAS CAFECITAS","DERIVADOS",B9="140 - MERENGUES","DERIVADOS",B9="100 - CAFÉ ESPECIAL","ESPECIALES",B9="141 - AREQUIPE","DERIVADOS",B9="142 - MERMELADA","DERIVADOS",B9="131 - GALLETAS AVENA","DERIVADOS",B9="160 - SOUVENIR","OTROS",B9="148 - CARAMELOS","OTROS",B9="143 - CHOCOFFES","OTROS",B9="162 - CONVENIOS Y DSC POS ","OTROS"),"OTROS")</f>
        <v>DERIVADOS</v>
      </c>
    </row>
    <row r="10" spans="1:8" ht="13.5">
      <c r="A10" s="106" t="s">
        <v>74</v>
      </c>
      <c r="B10" s="107" t="s">
        <v>24</v>
      </c>
      <c r="C10" s="108">
        <v>0</v>
      </c>
      <c r="D10" s="108">
        <v>4056.0068015730003</v>
      </c>
      <c r="E10" s="109" t="str" cm="1">
        <f t="array" ref="E10">IFERROR(_xlfn.IFS(B10="044 - BLEND TRADICION","BLEND",B10="113 - CAFÉ GOURMET","GOURMET",B10="114 - CAFÉ CONSUMO","GOURMET",B10="112 - CAFÉ ORGANICO","GOURMET",B10="172 - CAFÉ COSECHA","ESPECIALES",B10="176 - CAFE DESCAFEINADO","GOURMET",B10="147 - CAPSULAS","CAPSULAS",B10="130 - GALLETAS CAFECITAS","DERIVADOS",B10="140 - MERENGUES","DERIVADOS",B10="100 - CAFÉ ESPECIAL","ESPECIALES",B10="141 - AREQUIPE","DERIVADOS",B10="142 - MERMELADA","DERIVADOS",B10="131 - GALLETAS AVENA","DERIVADOS",B10="160 - SOUVENIR","OTROS",B10="148 - CARAMELOS","OTROS",B10="143 - CHOCOFFES","OTROS",B10="162 - CONVENIOS Y DSC POS ","OTROS"),"OTROS")</f>
        <v>DERIVADOS</v>
      </c>
    </row>
    <row r="11" spans="1:8" ht="12.75" customHeight="1">
      <c r="A11" s="106" t="s">
        <v>74</v>
      </c>
      <c r="B11" s="107" t="s">
        <v>25</v>
      </c>
      <c r="C11" s="108">
        <v>0</v>
      </c>
      <c r="D11" s="108">
        <v>9248.1890940337362</v>
      </c>
      <c r="E11" s="109" t="str" cm="1">
        <f t="array" ref="E11">IFERROR(_xlfn.IFS(B11="044 - BLEND TRADICION","BLEND",B11="113 - CAFÉ GOURMET","GOURMET",B11="114 - CAFÉ CONSUMO","GOURMET",B11="112 - CAFÉ ORGANICO","GOURMET",B11="172 - CAFÉ COSECHA","ESPECIALES",B11="176 - CAFE DESCAFEINADO","GOURMET",B11="147 - CAPSULAS","CAPSULAS",B11="130 - GALLETAS CAFECITAS","DERIVADOS",B11="140 - MERENGUES","DERIVADOS",B11="100 - CAFÉ ESPECIAL","ESPECIALES",B11="141 - AREQUIPE","DERIVADOS",B11="142 - MERMELADA","DERIVADOS",B11="131 - GALLETAS AVENA","DERIVADOS",B11="160 - SOUVENIR","OTROS",B11="148 - CARAMELOS","OTROS",B11="143 - CHOCOFFES","OTROS",B11="162 - CONVENIOS Y DSC POS ","OTROS"),"OTROS")</f>
        <v>DERIVADOS</v>
      </c>
    </row>
    <row r="12" spans="1:8" ht="12.75" customHeight="1">
      <c r="A12" s="106" t="s">
        <v>74</v>
      </c>
      <c r="B12" s="107" t="s">
        <v>26</v>
      </c>
      <c r="C12" s="108">
        <v>51173160</v>
      </c>
      <c r="D12" s="108">
        <v>55028273.178550452</v>
      </c>
      <c r="E12" s="109" t="str" cm="1">
        <f t="array" ref="E12">IFERROR(_xlfn.IFS(B12="044 - BLEND TRADICION","BLEND",B12="113 - CAFÉ GOURMET","GOURMET",B12="114 - CAFÉ CONSUMO","GOURMET",B12="112 - CAFÉ ORGANICO","GOURMET",B12="172 - CAFÉ COSECHA","ESPECIALES",B12="176 - CAFE DESCAFEINADO","GOURMET",B12="147 - CAPSULAS","CAPSULAS",B12="130 - GALLETAS CAFECITAS","DERIVADOS",B12="140 - MERENGUES","DERIVADOS",B12="100 - CAFÉ ESPECIAL","ESPECIALES",B12="141 - AREQUIPE","DERIVADOS",B12="142 - MERMELADA","DERIVADOS",B12="131 - GALLETAS AVENA","DERIVADOS",B12="160 - SOUVENIR","OTROS",B12="148 - CARAMELOS","OTROS",B12="143 - CHOCOFFES","OTROS",B12="162 - CONVENIOS Y DSC POS ","OTROS"),"OTROS")</f>
        <v>CAPSULAS</v>
      </c>
    </row>
    <row r="13" spans="1:8" ht="12.75" customHeight="1">
      <c r="A13" s="106" t="s">
        <v>74</v>
      </c>
      <c r="B13" s="107" t="s">
        <v>27</v>
      </c>
      <c r="C13" s="108">
        <v>31849</v>
      </c>
      <c r="D13" s="108">
        <v>64587.147565651794</v>
      </c>
      <c r="E13" s="109" t="str" cm="1">
        <f t="array" ref="E13">IFERROR(_xlfn.IFS(B13="044 - BLEND TRADICION","BLEND",B13="113 - CAFÉ GOURMET","GOURMET",B13="114 - CAFÉ CONSUMO","GOURMET",B13="112 - CAFÉ ORGANICO","GOURMET",B13="172 - CAFÉ COSECHA","ESPECIALES",B13="176 - CAFE DESCAFEINADO","GOURMET",B13="147 - CAPSULAS","CAPSULAS",B13="130 - GALLETAS CAFECITAS","DERIVADOS",B13="140 - MERENGUES","DERIVADOS",B13="100 - CAFÉ ESPECIAL","ESPECIALES",B13="141 - AREQUIPE","DERIVADOS",B13="142 - MERMELADA","DERIVADOS",B13="131 - GALLETAS AVENA","DERIVADOS",B13="160 - SOUVENIR","OTROS",B13="148 - CARAMELOS","OTROS",B13="143 - CHOCOFFES","OTROS",B13="162 - CONVENIOS Y DSC POS ","OTROS"),"OTROS")</f>
        <v>OTROS</v>
      </c>
    </row>
    <row r="14" spans="1:8" ht="12.75" customHeight="1">
      <c r="A14" s="106" t="s">
        <v>74</v>
      </c>
      <c r="B14" s="107" t="s">
        <v>29</v>
      </c>
      <c r="C14" s="108">
        <v>0</v>
      </c>
      <c r="D14" s="108">
        <v>282212.00586693431</v>
      </c>
      <c r="E14" s="109" t="str" cm="1">
        <f t="array" ref="E14">IFERROR(_xlfn.IFS(B14="044 - BLEND TRADICION","BLEND",B14="113 - CAFÉ GOURMET","GOURMET",B14="114 - CAFÉ CONSUMO","GOURMET",B14="112 - CAFÉ ORGANICO","GOURMET",B14="172 - CAFÉ COSECHA","ESPECIALES",B14="176 - CAFE DESCAFEINADO","GOURMET",B14="147 - CAPSULAS","CAPSULAS",B14="130 - GALLETAS CAFECITAS","DERIVADOS",B14="140 - MERENGUES","DERIVADOS",B14="100 - CAFÉ ESPECIAL","ESPECIALES",B14="141 - AREQUIPE","DERIVADOS",B14="142 - MERMELADA","DERIVADOS",B14="131 - GALLETAS AVENA","DERIVADOS",B14="160 - SOUVENIR","OTROS",B14="148 - CARAMELOS","OTROS",B14="143 - CHOCOFFES","OTROS",B14="162 - CONVENIOS Y DSC POS ","OTROS"),"OTROS")</f>
        <v>ESPECIALES</v>
      </c>
    </row>
    <row r="15" spans="1:8" ht="12.75" customHeight="1">
      <c r="A15" s="106" t="s">
        <v>74</v>
      </c>
      <c r="B15" s="107" t="s">
        <v>30</v>
      </c>
      <c r="C15" s="108">
        <v>506774</v>
      </c>
      <c r="D15" s="108">
        <v>1065167.6790382706</v>
      </c>
      <c r="E15" s="109" t="str" cm="1">
        <f t="array" ref="E15">IFERROR(_xlfn.IFS(B15="044 - BLEND TRADICION","BLEND",B15="113 - CAFÉ GOURMET","GOURMET",B15="114 - CAFÉ CONSUMO","GOURMET",B15="112 - CAFÉ ORGANICO","GOURMET",B15="172 - CAFÉ COSECHA","ESPECIALES",B15="176 - CAFE DESCAFEINADO","GOURMET",B15="147 - CAPSULAS","CAPSULAS",B15="130 - GALLETAS CAFECITAS","DERIVADOS",B15="140 - MERENGUES","DERIVADOS",B15="100 - CAFÉ ESPECIAL","ESPECIALES",B15="141 - AREQUIPE","DERIVADOS",B15="142 - MERMELADA","DERIVADOS",B15="131 - GALLETAS AVENA","DERIVADOS",B15="160 - SOUVENIR","OTROS",B15="148 - CARAMELOS","OTROS",B15="143 - CHOCOFFES","OTROS",B15="162 - CONVENIOS Y DSC POS ","OTROS"),"OTROS")</f>
        <v>GOURMET</v>
      </c>
    </row>
    <row r="16" spans="1:8" ht="12.75" customHeight="1">
      <c r="A16" s="106" t="s">
        <v>74</v>
      </c>
      <c r="B16" s="107" t="s">
        <v>31</v>
      </c>
      <c r="C16" s="108">
        <v>37000</v>
      </c>
      <c r="D16" s="108">
        <v>25644.941674459049</v>
      </c>
      <c r="E16" s="109" t="str" cm="1">
        <f t="array" ref="E16">IFERROR(_xlfn.IFS(B16="044 - BLEND TRADICION","BLEND",B16="113 - CAFÉ GOURMET","GOURMET",B16="114 - CAFÉ CONSUMO","GOURMET",B16="112 - CAFÉ ORGANICO","GOURMET",B16="172 - CAFÉ COSECHA","ESPECIALES",B16="176 - CAFE DESCAFEINADO","GOURMET",B16="147 - CAPSULAS","CAPSULAS",B16="130 - GALLETAS CAFECITAS","DERIVADOS",B16="140 - MERENGUES","DERIVADOS",B16="100 - CAFÉ ESPECIAL","ESPECIALES",B16="141 - AREQUIPE","DERIVADOS",B16="142 - MERMELADA","DERIVADOS",B16="131 - GALLETAS AVENA","DERIVADOS",B16="160 - SOUVENIR","OTROS",B16="148 - CARAMELOS","OTROS",B16="143 - CHOCOFFES","OTROS",B16="162 - CONVENIOS Y DSC POS ","OTROS"),"OTROS")</f>
        <v>OTROS</v>
      </c>
    </row>
    <row r="17" spans="1:9" ht="12.75" customHeight="1">
      <c r="A17" s="111" t="s">
        <v>75</v>
      </c>
      <c r="B17" s="111"/>
      <c r="C17" s="112">
        <f>SUM(C2:C16)</f>
        <v>121180176</v>
      </c>
      <c r="D17" s="112">
        <f>SUM(D2:D16)</f>
        <v>117990720.59606709</v>
      </c>
      <c r="E17" s="113"/>
      <c r="F17" s="114">
        <f>C17/D17</f>
        <v>1.0270314088075772</v>
      </c>
      <c r="G17" s="110">
        <v>0.12</v>
      </c>
      <c r="H17" s="110">
        <f>F17*G17</f>
        <v>0.12324376905690926</v>
      </c>
      <c r="I17" s="115">
        <f>G17*35%</f>
        <v>4.1999999999999996E-2</v>
      </c>
    </row>
    <row r="18" spans="1:9" ht="12.75" customHeight="1">
      <c r="A18" s="106" t="s">
        <v>58</v>
      </c>
      <c r="B18" s="107" t="s">
        <v>34</v>
      </c>
      <c r="C18" s="108">
        <f>VLOOKUP(B18,[1]Sheet!B$15:C$24,2,0)</f>
        <v>162464</v>
      </c>
      <c r="D18" s="108">
        <v>174119.08081933766</v>
      </c>
      <c r="E18" s="109" t="str" cm="1">
        <f t="array" ref="E18">IFERROR(_xlfn.IFS(B18="044 - BLEND TRADICION","BLEND",B18="113 - CAFÉ GOURMET","GOURMET",B18="114 - CAFÉ CONSUMO","GOURMET",B18="112 - CAFÉ ORGANICO","GOURMET",B18="172 - CAFÉ COSECHA","ESPECIALES",B18="176 - CAFE DESCAFEINADO","GOURMET",B18="147 - CAPSULAS","CAPSULAS",B18="130 - GALLETAS CAFECITAS","DERIVADOS",B18="140 - MERENGUES","DERIVADOS",B18="100 - CAFÉ ESPECIAL","ESPECIALES",B18="141 - AREQUIPE","DERIVADOS",B18="142 - MERMELADA","DERIVADOS",B18="131 - GALLETAS AVENA","DERIVADOS",B18="160 - SOUVENIR","OTROS",B18="148 - CARAMELOS","OTROS",B18="143 - CHOCOFFES","OTROS",B18="162 - CONVENIOS Y DSC POS ","OTROS"),"OTROS")</f>
        <v>OTROS</v>
      </c>
    </row>
    <row r="19" spans="1:9" ht="12.75" customHeight="1">
      <c r="A19" s="106" t="s">
        <v>58</v>
      </c>
      <c r="B19" s="107" t="s">
        <v>42</v>
      </c>
      <c r="C19" s="108">
        <v>0</v>
      </c>
      <c r="D19" s="108">
        <v>368532.02912625961</v>
      </c>
      <c r="E19" s="109" t="str" cm="1">
        <f t="array" ref="E19">IFERROR(_xlfn.IFS(B19="044 - BLEND TRADICION","BLEND",B19="113 - CAFÉ GOURMET","GOURMET",B19="114 - CAFÉ CONSUMO","GOURMET",B19="112 - CAFÉ ORGANICO","GOURMET",B19="172 - CAFÉ COSECHA","ESPECIALES",B19="176 - CAFE DESCAFEINADO","GOURMET",B19="147 - CAPSULAS","CAPSULAS",B19="130 - GALLETAS CAFECITAS","DERIVADOS",B19="140 - MERENGUES","DERIVADOS",B19="100 - CAFÉ ESPECIAL","ESPECIALES",B19="141 - AREQUIPE","DERIVADOS",B19="142 - MERMELADA","DERIVADOS",B19="131 - GALLETAS AVENA","DERIVADOS",B19="160 - SOUVENIR","OTROS",B19="148 - CARAMELOS","OTROS",B19="143 - CHOCOFFES","OTROS",B19="162 - CONVENIOS Y DSC POS ","OTROS"),"OTROS")</f>
        <v>OTROS</v>
      </c>
    </row>
    <row r="20" spans="1:9" ht="12.75" customHeight="1">
      <c r="A20" s="106" t="s">
        <v>58</v>
      </c>
      <c r="B20" s="107" t="s">
        <v>18</v>
      </c>
      <c r="C20" s="108"/>
      <c r="D20" s="108"/>
      <c r="E20" s="109" t="str" cm="1">
        <f t="array" ref="E20">IFERROR(_xlfn.IFS(B20="044 - BLEND TRADICION","BLEND",B20="113 - CAFÉ GOURMET","GOURMET",B20="114 - CAFÉ CONSUMO","GOURMET",B20="112 - CAFÉ ORGANICO","GOURMET",B20="172 - CAFÉ COSECHA","ESPECIALES",B20="176 - CAFE DESCAFEINADO","GOURMET",B20="147 - CAPSULAS","CAPSULAS",B20="130 - GALLETAS CAFECITAS","DERIVADOS",B20="140 - MERENGUES","DERIVADOS",B20="100 - CAFÉ ESPECIAL","ESPECIALES",B20="141 - AREQUIPE","DERIVADOS",B20="142 - MERMELADA","DERIVADOS",B20="131 - GALLETAS AVENA","DERIVADOS",B20="160 - SOUVENIR","OTROS",B20="148 - CARAMELOS","OTROS",B20="143 - CHOCOFFES","OTROS",B20="162 - CONVENIOS Y DSC POS ","OTROS"),"OTROS")</f>
        <v>BLEND</v>
      </c>
    </row>
    <row r="21" spans="1:9" ht="12.75" customHeight="1">
      <c r="A21" s="106" t="s">
        <v>58</v>
      </c>
      <c r="B21" s="107" t="s">
        <v>36</v>
      </c>
      <c r="C21" s="108">
        <v>0</v>
      </c>
      <c r="D21" s="108">
        <v>26596.165351136613</v>
      </c>
      <c r="E21" s="109" t="str" cm="1">
        <f t="array" ref="E21">IFERROR(_xlfn.IFS(B21="044 - BLEND TRADICION","BLEND",B21="113 - CAFÉ GOURMET","GOURMET",B21="114 - CAFÉ CONSUMO","GOURMET",B21="112 - CAFÉ ORGANICO","GOURMET",B21="172 - CAFÉ COSECHA","ESPECIALES",B21="176 - CAFE DESCAFEINADO","GOURMET",B21="147 - CAPSULAS","CAPSULAS",B21="130 - GALLETAS CAFECITAS","DERIVADOS",B21="140 - MERENGUES","DERIVADOS",B21="100 - CAFÉ ESPECIAL","ESPECIALES",B21="141 - AREQUIPE","DERIVADOS",B21="142 - MERMELADA","DERIVADOS",B21="131 - GALLETAS AVENA","DERIVADOS",B21="160 - SOUVENIR","OTROS",B21="148 - CARAMELOS","OTROS",B21="143 - CHOCOFFES","OTROS",B21="162 - CONVENIOS Y DSC POS ","OTROS"),"OTROS")</f>
        <v>OTROS</v>
      </c>
    </row>
    <row r="22" spans="1:9" ht="12.75" customHeight="1">
      <c r="A22" s="106" t="s">
        <v>58</v>
      </c>
      <c r="B22" s="107" t="s">
        <v>19</v>
      </c>
      <c r="C22" s="108">
        <v>0</v>
      </c>
      <c r="D22" s="108">
        <v>146255.5204746396</v>
      </c>
      <c r="E22" s="109" t="str" cm="1">
        <f t="array" ref="E22">IFERROR(_xlfn.IFS(B22="044 - BLEND TRADICION","BLEND",B22="113 - CAFÉ GOURMET","GOURMET",B22="114 - CAFÉ CONSUMO","GOURMET",B22="112 - CAFÉ ORGANICO","GOURMET",B22="172 - CAFÉ COSECHA","ESPECIALES",B22="176 - CAFE DESCAFEINADO","GOURMET",B22="147 - CAPSULAS","CAPSULAS",B22="130 - GALLETAS CAFECITAS","DERIVADOS",B22="140 - MERENGUES","DERIVADOS",B22="100 - CAFÉ ESPECIAL","ESPECIALES",B22="141 - AREQUIPE","DERIVADOS",B22="142 - MERMELADA","DERIVADOS",B22="131 - GALLETAS AVENA","DERIVADOS",B22="160 - SOUVENIR","OTROS",B22="148 - CARAMELOS","OTROS",B22="143 - CHOCOFFES","OTROS",B22="162 - CONVENIOS Y DSC POS ","OTROS"),"OTROS")</f>
        <v>ESPECIALES</v>
      </c>
    </row>
    <row r="23" spans="1:9" ht="12.75" customHeight="1">
      <c r="A23" s="106" t="s">
        <v>58</v>
      </c>
      <c r="B23" s="107" t="s">
        <v>21</v>
      </c>
      <c r="C23" s="108">
        <f>VLOOKUP(B23,[1]Sheet!B$15:C$24,2,0)</f>
        <v>68361352</v>
      </c>
      <c r="D23" s="108">
        <v>21194084.818915185</v>
      </c>
      <c r="E23" s="109" t="str" cm="1">
        <f t="array" ref="E23">IFERROR(_xlfn.IFS(B23="044 - BLEND TRADICION","BLEND",B23="113 - CAFÉ GOURMET","GOURMET",B23="114 - CAFÉ CONSUMO","GOURMET",B23="112 - CAFÉ ORGANICO","GOURMET",B23="172 - CAFÉ COSECHA","ESPECIALES",B23="176 - CAFE DESCAFEINADO","GOURMET",B23="147 - CAPSULAS","CAPSULAS",B23="130 - GALLETAS CAFECITAS","DERIVADOS",B23="140 - MERENGUES","DERIVADOS",B23="100 - CAFÉ ESPECIAL","ESPECIALES",B23="141 - AREQUIPE","DERIVADOS",B23="142 - MERMELADA","DERIVADOS",B23="131 - GALLETAS AVENA","DERIVADOS",B23="160 - SOUVENIR","OTROS",B23="148 - CARAMELOS","OTROS",B23="143 - CHOCOFFES","OTROS",B23="162 - CONVENIOS Y DSC POS ","OTROS"),"OTROS")</f>
        <v>GOURMET</v>
      </c>
    </row>
    <row r="24" spans="1:9" ht="12.75" customHeight="1">
      <c r="A24" s="106" t="s">
        <v>58</v>
      </c>
      <c r="B24" s="107" t="s">
        <v>22</v>
      </c>
      <c r="C24" s="108">
        <f>VLOOKUP(B24,[1]Sheet!B$15:C$24,2,0)</f>
        <v>443909</v>
      </c>
      <c r="D24" s="108">
        <v>1743270.395271183</v>
      </c>
      <c r="E24" s="109" t="str" cm="1">
        <f t="array" ref="E24">IFERROR(_xlfn.IFS(B24="044 - BLEND TRADICION","BLEND",B24="113 - CAFÉ GOURMET","GOURMET",B24="114 - CAFÉ CONSUMO","GOURMET",B24="112 - CAFÉ ORGANICO","GOURMET",B24="172 - CAFÉ COSECHA","ESPECIALES",B24="176 - CAFE DESCAFEINADO","GOURMET",B24="147 - CAPSULAS","CAPSULAS",B24="130 - GALLETAS CAFECITAS","DERIVADOS",B24="140 - MERENGUES","DERIVADOS",B24="100 - CAFÉ ESPECIAL","ESPECIALES",B24="141 - AREQUIPE","DERIVADOS",B24="142 - MERMELADA","DERIVADOS",B24="131 - GALLETAS AVENA","DERIVADOS",B24="160 - SOUVENIR","OTROS",B24="148 - CARAMELOS","OTROS",B24="143 - CHOCOFFES","OTROS",B24="162 - CONVENIOS Y DSC POS ","OTROS"),"OTROS")</f>
        <v>DERIVADOS</v>
      </c>
    </row>
    <row r="25" spans="1:9" ht="12.75" customHeight="1">
      <c r="A25" s="106" t="s">
        <v>58</v>
      </c>
      <c r="B25" s="107" t="s">
        <v>23</v>
      </c>
      <c r="C25" s="108">
        <f>VLOOKUP(B25,[1]Sheet!B$15:C$24,2,0)</f>
        <v>59660</v>
      </c>
      <c r="D25" s="108">
        <v>15918.431129782924</v>
      </c>
      <c r="E25" s="109" t="str" cm="1">
        <f t="array" ref="E25">IFERROR(_xlfn.IFS(B25="044 - BLEND TRADICION","BLEND",B25="113 - CAFÉ GOURMET","GOURMET",B25="114 - CAFÉ CONSUMO","GOURMET",B25="112 - CAFÉ ORGANICO","GOURMET",B25="172 - CAFÉ COSECHA","ESPECIALES",B25="176 - CAFE DESCAFEINADO","GOURMET",B25="147 - CAPSULAS","CAPSULAS",B25="130 - GALLETAS CAFECITAS","DERIVADOS",B25="140 - MERENGUES","DERIVADOS",B25="100 - CAFÉ ESPECIAL","ESPECIALES",B25="141 - AREQUIPE","DERIVADOS",B25="142 - MERMELADA","DERIVADOS",B25="131 - GALLETAS AVENA","DERIVADOS",B25="160 - SOUVENIR","OTROS",B25="148 - CARAMELOS","OTROS",B25="143 - CHOCOFFES","OTROS",B25="162 - CONVENIOS Y DSC POS ","OTROS"),"OTROS")</f>
        <v>DERIVADOS</v>
      </c>
    </row>
    <row r="26" spans="1:9" ht="12.75" customHeight="1">
      <c r="A26" s="106" t="s">
        <v>58</v>
      </c>
      <c r="B26" s="107" t="s">
        <v>24</v>
      </c>
      <c r="C26" s="108">
        <f>VLOOKUP(B26,[1]Sheet!B$15:C$24,2,0)</f>
        <v>15184</v>
      </c>
      <c r="D26" s="108">
        <v>890730.82675681252</v>
      </c>
      <c r="E26" s="109" t="str" cm="1">
        <f t="array" ref="E26">IFERROR(_xlfn.IFS(B26="044 - BLEND TRADICION","BLEND",B26="113 - CAFÉ GOURMET","GOURMET",B26="114 - CAFÉ CONSUMO","GOURMET",B26="112 - CAFÉ ORGANICO","GOURMET",B26="172 - CAFÉ COSECHA","ESPECIALES",B26="176 - CAFE DESCAFEINADO","GOURMET",B26="147 - CAPSULAS","CAPSULAS",B26="130 - GALLETAS CAFECITAS","DERIVADOS",B26="140 - MERENGUES","DERIVADOS",B26="100 - CAFÉ ESPECIAL","ESPECIALES",B26="141 - AREQUIPE","DERIVADOS",B26="142 - MERMELADA","DERIVADOS",B26="131 - GALLETAS AVENA","DERIVADOS",B26="160 - SOUVENIR","OTROS",B26="148 - CARAMELOS","OTROS",B26="143 - CHOCOFFES","OTROS",B26="162 - CONVENIOS Y DSC POS ","OTROS"),"OTROS")</f>
        <v>DERIVADOS</v>
      </c>
    </row>
    <row r="27" spans="1:9" ht="12.75" customHeight="1">
      <c r="A27" s="106" t="s">
        <v>58</v>
      </c>
      <c r="B27" s="107" t="s">
        <v>25</v>
      </c>
      <c r="C27" s="108">
        <f>VLOOKUP(B27,[1]Sheet!B$15:C$24,2,0)</f>
        <v>106707</v>
      </c>
      <c r="D27" s="108">
        <v>1023205.8543055535</v>
      </c>
      <c r="E27" s="109" t="str" cm="1">
        <f t="array" ref="E27">IFERROR(_xlfn.IFS(B27="044 - BLEND TRADICION","BLEND",B27="113 - CAFÉ GOURMET","GOURMET",B27="114 - CAFÉ CONSUMO","GOURMET",B27="112 - CAFÉ ORGANICO","GOURMET",B27="172 - CAFÉ COSECHA","ESPECIALES",B27="176 - CAFE DESCAFEINADO","GOURMET",B27="147 - CAPSULAS","CAPSULAS",B27="130 - GALLETAS CAFECITAS","DERIVADOS",B27="140 - MERENGUES","DERIVADOS",B27="100 - CAFÉ ESPECIAL","ESPECIALES",B27="141 - AREQUIPE","DERIVADOS",B27="142 - MERMELADA","DERIVADOS",B27="131 - GALLETAS AVENA","DERIVADOS",B27="160 - SOUVENIR","OTROS",B27="148 - CARAMELOS","OTROS",B27="143 - CHOCOFFES","OTROS",B27="162 - CONVENIOS Y DSC POS ","OTROS"),"OTROS")</f>
        <v>DERIVADOS</v>
      </c>
    </row>
    <row r="28" spans="1:9" ht="12.75" customHeight="1">
      <c r="A28" s="106" t="s">
        <v>58</v>
      </c>
      <c r="B28" s="107" t="s">
        <v>26</v>
      </c>
      <c r="C28" s="108">
        <f>VLOOKUP(B28,[1]Sheet!B$15:C$24,2,0)</f>
        <v>9047986</v>
      </c>
      <c r="D28" s="108">
        <v>10989766.574278083</v>
      </c>
      <c r="E28" s="109" t="str" cm="1">
        <f t="array" ref="E28">IFERROR(_xlfn.IFS(B28="044 - BLEND TRADICION","BLEND",B28="113 - CAFÉ GOURMET","GOURMET",B28="114 - CAFÉ CONSUMO","GOURMET",B28="112 - CAFÉ ORGANICO","GOURMET",B28="172 - CAFÉ COSECHA","ESPECIALES",B28="176 - CAFE DESCAFEINADO","GOURMET",B28="147 - CAPSULAS","CAPSULAS",B28="130 - GALLETAS CAFECITAS","DERIVADOS",B28="140 - MERENGUES","DERIVADOS",B28="100 - CAFÉ ESPECIAL","ESPECIALES",B28="141 - AREQUIPE","DERIVADOS",B28="142 - MERMELADA","DERIVADOS",B28="131 - GALLETAS AVENA","DERIVADOS",B28="160 - SOUVENIR","OTROS",B28="148 - CARAMELOS","OTROS",B28="143 - CHOCOFFES","OTROS",B28="162 - CONVENIOS Y DSC POS ","OTROS"),"OTROS")</f>
        <v>CAPSULAS</v>
      </c>
    </row>
    <row r="29" spans="1:9" ht="12.75" customHeight="1">
      <c r="A29" s="106" t="s">
        <v>58</v>
      </c>
      <c r="B29" s="107" t="s">
        <v>27</v>
      </c>
      <c r="C29" s="108">
        <v>0</v>
      </c>
      <c r="D29" s="108">
        <v>31490.505954141532</v>
      </c>
      <c r="E29" s="109" t="str" cm="1">
        <f t="array" ref="E29">IFERROR(_xlfn.IFS(B29="044 - BLEND TRADICION","BLEND",B29="113 - CAFÉ GOURMET","GOURMET",B29="114 - CAFÉ CONSUMO","GOURMET",B29="112 - CAFÉ ORGANICO","GOURMET",B29="172 - CAFÉ COSECHA","ESPECIALES",B29="176 - CAFE DESCAFEINADO","GOURMET",B29="147 - CAPSULAS","CAPSULAS",B29="130 - GALLETAS CAFECITAS","DERIVADOS",B29="140 - MERENGUES","DERIVADOS",B29="100 - CAFÉ ESPECIAL","ESPECIALES",B29="141 - AREQUIPE","DERIVADOS",B29="142 - MERMELADA","DERIVADOS",B29="131 - GALLETAS AVENA","DERIVADOS",B29="160 - SOUVENIR","OTROS",B29="148 - CARAMELOS","OTROS",B29="143 - CHOCOFFES","OTROS",B29="162 - CONVENIOS Y DSC POS ","OTROS"),"OTROS")</f>
        <v>OTROS</v>
      </c>
    </row>
    <row r="30" spans="1:9" ht="12.75" customHeight="1">
      <c r="A30" s="106" t="s">
        <v>58</v>
      </c>
      <c r="B30" s="107" t="s">
        <v>28</v>
      </c>
      <c r="C30" s="108">
        <f>VLOOKUP(B30,[1]Sheet!B$15:C$24,2,0)</f>
        <v>1267850</v>
      </c>
      <c r="D30" s="108">
        <v>1105577.0706475824</v>
      </c>
      <c r="E30" s="109" t="str" cm="1">
        <f t="array" ref="E30">IFERROR(_xlfn.IFS(B30="044 - BLEND TRADICION","BLEND",B30="113 - CAFÉ GOURMET","GOURMET",B30="114 - CAFÉ CONSUMO","GOURMET",B30="112 - CAFÉ ORGANICO","GOURMET",B30="172 - CAFÉ COSECHA","ESPECIALES",B30="176 - CAFE DESCAFEINADO","GOURMET",B30="147 - CAPSULAS","CAPSULAS",B30="130 - GALLETAS CAFECITAS","DERIVADOS",B30="140 - MERENGUES","DERIVADOS",B30="100 - CAFÉ ESPECIAL","ESPECIALES",B30="141 - AREQUIPE","DERIVADOS",B30="142 - MERMELADA","DERIVADOS",B30="131 - GALLETAS AVENA","DERIVADOS",B30="160 - SOUVENIR","OTROS",B30="148 - CARAMELOS","OTROS",B30="143 - CHOCOFFES","OTROS",B30="162 - CONVENIOS Y DSC POS ","OTROS"),"OTROS")</f>
        <v>OTROS</v>
      </c>
    </row>
    <row r="31" spans="1:9" ht="12.75" customHeight="1">
      <c r="A31" s="106" t="s">
        <v>58</v>
      </c>
      <c r="B31" s="107" t="s">
        <v>29</v>
      </c>
      <c r="C31" s="108">
        <f>VLOOKUP(B31,[1]Sheet!B$15:C$24,2,0)</f>
        <v>203764</v>
      </c>
      <c r="D31" s="108">
        <v>366426.53849638376</v>
      </c>
      <c r="E31" s="109" t="str" cm="1">
        <f t="array" ref="E31">IFERROR(_xlfn.IFS(B31="044 - BLEND TRADICION","BLEND",B31="113 - CAFÉ GOURMET","GOURMET",B31="114 - CAFÉ CONSUMO","GOURMET",B31="112 - CAFÉ ORGANICO","GOURMET",B31="172 - CAFÉ COSECHA","ESPECIALES",B31="176 - CAFE DESCAFEINADO","GOURMET",B31="147 - CAPSULAS","CAPSULAS",B31="130 - GALLETAS CAFECITAS","DERIVADOS",B31="140 - MERENGUES","DERIVADOS",B31="100 - CAFÉ ESPECIAL","ESPECIALES",B31="141 - AREQUIPE","DERIVADOS",B31="142 - MERMELADA","DERIVADOS",B31="131 - GALLETAS AVENA","DERIVADOS",B31="160 - SOUVENIR","OTROS",B31="148 - CARAMELOS","OTROS",B31="143 - CHOCOFFES","OTROS",B31="162 - CONVENIOS Y DSC POS ","OTROS"),"OTROS")</f>
        <v>ESPECIALES</v>
      </c>
    </row>
    <row r="32" spans="1:9" ht="12.75" customHeight="1">
      <c r="A32" s="106" t="s">
        <v>58</v>
      </c>
      <c r="B32" s="107" t="s">
        <v>76</v>
      </c>
      <c r="C32" s="108">
        <v>0</v>
      </c>
      <c r="D32" s="108">
        <v>51014.124608364727</v>
      </c>
      <c r="E32" s="109" t="str" cm="1">
        <f t="array" ref="E32">IFERROR(_xlfn.IFS(B32="044 - BLEND TRADICION","BLEND",B32="113 - CAFÉ GOURMET","GOURMET",B32="114 - CAFÉ CONSUMO","GOURMET",B32="112 - CAFÉ ORGANICO","GOURMET",B32="172 - CAFÉ COSECHA","ESPECIALES",B32="176 - CAFE DESCAFEINADO","GOURMET",B32="147 - CAPSULAS","CAPSULAS",B32="130 - GALLETAS CAFECITAS","DERIVADOS",B32="140 - MERENGUES","DERIVADOS",B32="100 - CAFÉ ESPECIAL","ESPECIALES",B32="141 - AREQUIPE","DERIVADOS",B32="142 - MERMELADA","DERIVADOS",B32="131 - GALLETAS AVENA","DERIVADOS",B32="160 - SOUVENIR","OTROS",B32="148 - CARAMELOS","OTROS",B32="143 - CHOCOFFES","OTROS",B32="162 - CONVENIOS Y DSC POS ","OTROS"),"OTROS")</f>
        <v>OTROS</v>
      </c>
    </row>
    <row r="33" spans="1:9" ht="12.75" customHeight="1">
      <c r="A33" s="106" t="s">
        <v>58</v>
      </c>
      <c r="B33" s="107" t="s">
        <v>30</v>
      </c>
      <c r="C33" s="108">
        <v>0</v>
      </c>
      <c r="D33" s="108">
        <v>205988.3948811671</v>
      </c>
      <c r="E33" s="109" t="str" cm="1">
        <f t="array" ref="E33">IFERROR(_xlfn.IFS(B33="044 - BLEND TRADICION","BLEND",B33="113 - CAFÉ GOURMET","GOURMET",B33="114 - CAFÉ CONSUMO","GOURMET",B33="112 - CAFÉ ORGANICO","GOURMET",B33="172 - CAFÉ COSECHA","ESPECIALES",B33="176 - CAFE DESCAFEINADO","GOURMET",B33="147 - CAPSULAS","CAPSULAS",B33="130 - GALLETAS CAFECITAS","DERIVADOS",B33="140 - MERENGUES","DERIVADOS",B33="100 - CAFÉ ESPECIAL","ESPECIALES",B33="141 - AREQUIPE","DERIVADOS",B33="142 - MERMELADA","DERIVADOS",B33="131 - GALLETAS AVENA","DERIVADOS",B33="160 - SOUVENIR","OTROS",B33="148 - CARAMELOS","OTROS",B33="143 - CHOCOFFES","OTROS",B33="162 - CONVENIOS Y DSC POS ","OTROS"),"OTROS")</f>
        <v>GOURMET</v>
      </c>
    </row>
    <row r="34" spans="1:9" ht="12.75" customHeight="1">
      <c r="A34" s="106" t="s">
        <v>58</v>
      </c>
      <c r="B34" s="107" t="s">
        <v>31</v>
      </c>
      <c r="C34" s="108">
        <f>VLOOKUP(B34,[1]Sheet!B$15:C$24,2,0)</f>
        <v>36000</v>
      </c>
      <c r="D34" s="108">
        <v>137337.51600489306</v>
      </c>
      <c r="E34" s="109" t="str" cm="1">
        <f t="array" ref="E34">IFERROR(_xlfn.IFS(B34="044 - BLEND TRADICION","BLEND",B34="113 - CAFÉ GOURMET","GOURMET",B34="114 - CAFÉ CONSUMO","GOURMET",B34="112 - CAFÉ ORGANICO","GOURMET",B34="172 - CAFÉ COSECHA","ESPECIALES",B34="176 - CAFE DESCAFEINADO","GOURMET",B34="147 - CAPSULAS","CAPSULAS",B34="130 - GALLETAS CAFECITAS","DERIVADOS",B34="140 - MERENGUES","DERIVADOS",B34="100 - CAFÉ ESPECIAL","ESPECIALES",B34="141 - AREQUIPE","DERIVADOS",B34="142 - MERMELADA","DERIVADOS",B34="131 - GALLETAS AVENA","DERIVADOS",B34="160 - SOUVENIR","OTROS",B34="148 - CARAMELOS","OTROS",B34="143 - CHOCOFFES","OTROS",B34="162 - CONVENIOS Y DSC POS ","OTROS"),"OTROS")</f>
        <v>OTROS</v>
      </c>
    </row>
    <row r="35" spans="1:9" ht="12.75" customHeight="1">
      <c r="A35" s="116" t="s">
        <v>77</v>
      </c>
      <c r="B35" s="116"/>
      <c r="C35" s="117">
        <f>SUM(C18:C34)</f>
        <v>79704876</v>
      </c>
      <c r="D35" s="117">
        <f>SUM(D18:D34)</f>
        <v>38470313.847020499</v>
      </c>
      <c r="E35" s="118"/>
      <c r="F35" s="119">
        <f>C35/D35</f>
        <v>2.0718540617305905</v>
      </c>
      <c r="G35" s="110">
        <v>0.08</v>
      </c>
      <c r="H35" s="110">
        <f>F35*G35</f>
        <v>0.16574832493844724</v>
      </c>
      <c r="I35" s="115">
        <f>G35*35%</f>
        <v>2.7999999999999997E-2</v>
      </c>
    </row>
    <row r="36" spans="1:9" ht="12.75" customHeight="1">
      <c r="A36" s="106"/>
      <c r="B36" s="107" t="s">
        <v>78</v>
      </c>
      <c r="C36" s="120">
        <f>+C35+C17</f>
        <v>200885052</v>
      </c>
      <c r="D36" s="120">
        <f>+D35+D17</f>
        <v>156461034.44308758</v>
      </c>
      <c r="E36" s="121"/>
      <c r="F36" s="122">
        <f>C36/D36</f>
        <v>1.2839302303927409</v>
      </c>
    </row>
    <row r="37" spans="1:9" ht="12.75" customHeight="1">
      <c r="A37" s="106"/>
      <c r="B37" s="189" t="s">
        <v>79</v>
      </c>
      <c r="C37" s="190"/>
      <c r="D37" s="191"/>
      <c r="E37" s="123"/>
      <c r="F37" s="124"/>
      <c r="G37" s="125"/>
      <c r="H37" s="126">
        <f>SUM(H17:H35)</f>
        <v>0.28899209399535652</v>
      </c>
    </row>
  </sheetData>
  <mergeCells count="1">
    <mergeCell ref="B37:D37"/>
  </mergeCells>
  <pageMargins left="1" right="1" top="1" bottom="1" header="0.3" footer="0.3"/>
  <pageSetup orientation="portrait" errors="blank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44EF3-FD54-483E-BC05-300DF3FB803A}">
  <sheetPr codeName="Hoja17"/>
  <dimension ref="A1:F66"/>
  <sheetViews>
    <sheetView showGridLines="0" topLeftCell="B1" workbookViewId="0">
      <pane ySplit="1" topLeftCell="A35" activePane="bottomLeft" state="frozen"/>
      <selection activeCell="K24" sqref="K24"/>
      <selection pane="bottomLeft" activeCell="I58" sqref="H58:I58"/>
    </sheetView>
  </sheetViews>
  <sheetFormatPr baseColWidth="10" defaultColWidth="11.453125" defaultRowHeight="12.5"/>
  <cols>
    <col min="1" max="1" width="70.26953125" style="133" hidden="1" customWidth="1"/>
    <col min="2" max="2" width="44.7265625" style="133" bestFit="1" customWidth="1"/>
    <col min="3" max="3" width="26.54296875" style="133" bestFit="1" customWidth="1"/>
    <col min="4" max="4" width="17.453125" style="133" bestFit="1" customWidth="1"/>
    <col min="5" max="5" width="17" style="133" bestFit="1" customWidth="1"/>
    <col min="6" max="6" width="15.81640625" style="133" customWidth="1"/>
    <col min="7" max="16384" width="11.453125" style="133"/>
  </cols>
  <sheetData>
    <row r="1" spans="1:6" ht="15" customHeight="1" thickBot="1">
      <c r="A1" s="129" t="s">
        <v>80</v>
      </c>
      <c r="B1" s="130" t="s">
        <v>81</v>
      </c>
      <c r="C1" s="131" t="s">
        <v>2</v>
      </c>
      <c r="D1" s="131" t="s">
        <v>82</v>
      </c>
      <c r="E1" s="132" t="s">
        <v>83</v>
      </c>
    </row>
    <row r="2" spans="1:6">
      <c r="A2" s="157" t="str">
        <f t="shared" ref="A2:A49" si="0">CONCATENATE(B2,C2)</f>
        <v>ALMACENES EXITO S.A.100 - CAFÉ ESPECIAL</v>
      </c>
      <c r="B2" s="158" t="s">
        <v>84</v>
      </c>
      <c r="C2" s="136" t="s">
        <v>19</v>
      </c>
      <c r="D2" s="161">
        <v>10563506</v>
      </c>
      <c r="E2" s="109" t="str" cm="1">
        <f t="array" ref="E2">IFERROR(_xlfn.IFS(C2="044 - BLEND TRADICION","GOURMET",C2="113 - CAFÉ GOURMET","GOURMET",C2="114 - CAFÉ CONSUMO","GOURMET",C2="112 - CAFÉ ORGANICO","GOURMET",C2="172 - CAFÉ COSECHA","ESPECIALES",C2="176 - CAFE DESCAFEINADO","GOURMET",C2="147 - CAPSULAS","CAPSULAS",C2="130 - GALLETAS CAFECITAS","DERIVADOS",C2="140 - MERENGUES","DERIVADOS",C2="100 - CAFÉ ESPECIAL","ESPECIALES",C2="141 - AREQUIPE","DERIVADOS",C2="142 - MERMELADA","DERIVADOS",C2="131 - GALLETAS AVENA","DERIVADOS",C2="160 - SOUVENIR","OTROS",C2="148 - CARAMELOS","OTROS",C2="143 - CHOCOFFES","OTROS",C2="162 - CONVENIOS Y DSC POS ","OTROS"),"OTROS")</f>
        <v>ESPECIALES</v>
      </c>
    </row>
    <row r="3" spans="1:6">
      <c r="A3" s="157" t="str">
        <f t="shared" si="0"/>
        <v>ALMACENES EXITO S.A.112 - CAFÉ ORGANICO</v>
      </c>
      <c r="B3" s="159" t="s">
        <v>84</v>
      </c>
      <c r="C3" s="139" t="s">
        <v>20</v>
      </c>
      <c r="D3" s="162">
        <v>26328203</v>
      </c>
      <c r="E3" s="109" t="str" cm="1">
        <f t="array" ref="E3">IFERROR(_xlfn.IFS(C3="044 - BLEND TRADICION","GOURMET",C3="113 - CAFÉ GOURMET","GOURMET",C3="114 - CAFÉ CONSUMO","GOURMET",C3="112 - CAFÉ ORGANICO","GOURMET",C3="172 - CAFÉ COSECHA","ESPECIALES",C3="176 - CAFE DESCAFEINADO","GOURMET",C3="147 - CAPSULAS","CAPSULAS",C3="130 - GALLETAS CAFECITAS","DERIVADOS",C3="140 - MERENGUES","DERIVADOS",C3="100 - CAFÉ ESPECIAL","ESPECIALES",C3="141 - AREQUIPE","DERIVADOS",C3="142 - MERMELADA","DERIVADOS",C3="131 - GALLETAS AVENA","DERIVADOS",C3="160 - SOUVENIR","OTROS",C3="148 - CARAMELOS","OTROS",C3="143 - CHOCOFFES","OTROS",C3="162 - CONVENIOS Y DSC POS ","OTROS"),"OTROS")</f>
        <v>GOURMET</v>
      </c>
    </row>
    <row r="4" spans="1:6">
      <c r="A4" s="157" t="str">
        <f t="shared" si="0"/>
        <v>ALMACENES EXITO S.A.113 - CAFÉ GOURMET</v>
      </c>
      <c r="B4" s="159" t="s">
        <v>84</v>
      </c>
      <c r="C4" s="139" t="s">
        <v>21</v>
      </c>
      <c r="D4" s="162">
        <v>399304629</v>
      </c>
      <c r="E4" s="109" t="str" cm="1">
        <f t="array" ref="E4">IFERROR(_xlfn.IFS(C4="044 - BLEND TRADICION","GOURMET",C4="113 - CAFÉ GOURMET","GOURMET",C4="114 - CAFÉ CONSUMO","GOURMET",C4="112 - CAFÉ ORGANICO","GOURMET",C4="172 - CAFÉ COSECHA","ESPECIALES",C4="176 - CAFE DESCAFEINADO","GOURMET",C4="147 - CAPSULAS","CAPSULAS",C4="130 - GALLETAS CAFECITAS","DERIVADOS",C4="140 - MERENGUES","DERIVADOS",C4="100 - CAFÉ ESPECIAL","ESPECIALES",C4="141 - AREQUIPE","DERIVADOS",C4="142 - MERMELADA","DERIVADOS",C4="131 - GALLETAS AVENA","DERIVADOS",C4="160 - SOUVENIR","OTROS",C4="148 - CARAMELOS","OTROS",C4="143 - CHOCOFFES","OTROS",C4="162 - CONVENIOS Y DSC POS ","OTROS"),"OTROS")</f>
        <v>GOURMET</v>
      </c>
    </row>
    <row r="5" spans="1:6">
      <c r="A5" s="157" t="str">
        <f t="shared" si="0"/>
        <v>ALMACENES EXITO S.A.114 - CAFÉ CONSUMO</v>
      </c>
      <c r="B5" s="159" t="s">
        <v>84</v>
      </c>
      <c r="C5" s="139" t="s">
        <v>38</v>
      </c>
      <c r="D5" s="162">
        <v>-85592</v>
      </c>
      <c r="E5" s="109" t="str" cm="1">
        <f t="array" ref="E5">IFERROR(_xlfn.IFS(C5="044 - BLEND TRADICION","GOURMET",C5="113 - CAFÉ GOURMET","GOURMET",C5="114 - CAFÉ CONSUMO","GOURMET",C5="112 - CAFÉ ORGANICO","GOURMET",C5="172 - CAFÉ COSECHA","ESPECIALES",C5="176 - CAFE DESCAFEINADO","GOURMET",C5="147 - CAPSULAS","CAPSULAS",C5="130 - GALLETAS CAFECITAS","DERIVADOS",C5="140 - MERENGUES","DERIVADOS",C5="100 - CAFÉ ESPECIAL","ESPECIALES",C5="141 - AREQUIPE","DERIVADOS",C5="142 - MERMELADA","DERIVADOS",C5="131 - GALLETAS AVENA","DERIVADOS",C5="160 - SOUVENIR","OTROS",C5="148 - CARAMELOS","OTROS",C5="143 - CHOCOFFES","OTROS",C5="162 - CONVENIOS Y DSC POS ","OTROS"),"OTROS")</f>
        <v>GOURMET</v>
      </c>
    </row>
    <row r="6" spans="1:6">
      <c r="A6" s="157"/>
      <c r="B6" s="159" t="s">
        <v>84</v>
      </c>
      <c r="C6" s="139" t="s">
        <v>22</v>
      </c>
      <c r="D6" s="162">
        <v>9301376</v>
      </c>
      <c r="E6" s="109" t="str" cm="1">
        <f t="array" ref="E6">IFERROR(_xlfn.IFS(C6="044 - BLEND TRADICION","GOURMET",C6="113 - CAFÉ GOURMET","GOURMET",C6="114 - CAFÉ CONSUMO","GOURMET",C6="112 - CAFÉ ORGANICO","GOURMET",C6="172 - CAFÉ COSECHA","ESPECIALES",C6="176 - CAFE DESCAFEINADO","GOURMET",C6="147 - CAPSULAS","CAPSULAS",C6="130 - GALLETAS CAFECITAS","DERIVADOS",C6="140 - MERENGUES","DERIVADOS",C6="100 - CAFÉ ESPECIAL","ESPECIALES",C6="141 - AREQUIPE","DERIVADOS",C6="142 - MERMELADA","DERIVADOS",C6="131 - GALLETAS AVENA","DERIVADOS",C6="160 - SOUVENIR","OTROS",C6="148 - CARAMELOS","OTROS",C6="143 - CHOCOFFES","OTROS",C6="162 - CONVENIOS Y DSC POS ","OTROS"),"OTROS")</f>
        <v>DERIVADOS</v>
      </c>
    </row>
    <row r="7" spans="1:6">
      <c r="A7" s="157" t="str">
        <f t="shared" si="0"/>
        <v>ALMACENES EXITO S.A.140 - MERENGUES</v>
      </c>
      <c r="B7" s="159" t="s">
        <v>84</v>
      </c>
      <c r="C7" s="139" t="s">
        <v>24</v>
      </c>
      <c r="D7" s="162">
        <v>-557241</v>
      </c>
      <c r="E7" s="109" t="str" cm="1">
        <f t="array" ref="E7">IFERROR(_xlfn.IFS(C7="044 - BLEND TRADICION","GOURMET",C7="113 - CAFÉ GOURMET","GOURMET",C7="114 - CAFÉ CONSUMO","GOURMET",C7="112 - CAFÉ ORGANICO","GOURMET",C7="172 - CAFÉ COSECHA","ESPECIALES",C7="176 - CAFE DESCAFEINADO","GOURMET",C7="147 - CAPSULAS","CAPSULAS",C7="130 - GALLETAS CAFECITAS","DERIVADOS",C7="140 - MERENGUES","DERIVADOS",C7="100 - CAFÉ ESPECIAL","ESPECIALES",C7="141 - AREQUIPE","DERIVADOS",C7="142 - MERMELADA","DERIVADOS",C7="131 - GALLETAS AVENA","DERIVADOS",C7="160 - SOUVENIR","OTROS",C7="148 - CARAMELOS","OTROS",C7="143 - CHOCOFFES","OTROS",C7="162 - CONVENIOS Y DSC POS ","OTROS"),"OTROS")</f>
        <v>DERIVADOS</v>
      </c>
    </row>
    <row r="8" spans="1:6">
      <c r="A8" s="157" t="str">
        <f t="shared" si="0"/>
        <v>ALMACENES EXITO S.A.141 - AREQUIPE</v>
      </c>
      <c r="B8" s="159" t="s">
        <v>84</v>
      </c>
      <c r="C8" s="139" t="s">
        <v>25</v>
      </c>
      <c r="D8" s="162">
        <v>-149012</v>
      </c>
      <c r="E8" s="109" t="str" cm="1">
        <f t="array" ref="E8">IFERROR(_xlfn.IFS(C8="044 - BLEND TRADICION","GOURMET",C8="113 - CAFÉ GOURMET","GOURMET",C8="114 - CAFÉ CONSUMO","GOURMET",C8="112 - CAFÉ ORGANICO","GOURMET",C8="172 - CAFÉ COSECHA","ESPECIALES",C8="176 - CAFE DESCAFEINADO","GOURMET",C8="147 - CAPSULAS","CAPSULAS",C8="130 - GALLETAS CAFECITAS","DERIVADOS",C8="140 - MERENGUES","DERIVADOS",C8="100 - CAFÉ ESPECIAL","ESPECIALES",C8="141 - AREQUIPE","DERIVADOS",C8="142 - MERMELADA","DERIVADOS",C8="131 - GALLETAS AVENA","DERIVADOS",C8="160 - SOUVENIR","OTROS",C8="148 - CARAMELOS","OTROS",C8="143 - CHOCOFFES","OTROS",C8="162 - CONVENIOS Y DSC POS ","OTROS"),"OTROS")</f>
        <v>DERIVADOS</v>
      </c>
    </row>
    <row r="9" spans="1:6">
      <c r="A9" s="157"/>
      <c r="B9" s="159" t="s">
        <v>84</v>
      </c>
      <c r="C9" s="139" t="s">
        <v>26</v>
      </c>
      <c r="D9" s="162">
        <v>-2995900</v>
      </c>
      <c r="E9" s="109" t="str" cm="1">
        <f t="array" ref="E9">IFERROR(_xlfn.IFS(C9="044 - BLEND TRADICION","GOURMET",C9="113 - CAFÉ GOURMET","GOURMET",C9="114 - CAFÉ CONSUMO","GOURMET",C9="112 - CAFÉ ORGANICO","GOURMET",C9="172 - CAFÉ COSECHA","ESPECIALES",C9="176 - CAFE DESCAFEINADO","GOURMET",C9="147 - CAPSULAS","CAPSULAS",C9="130 - GALLETAS CAFECITAS","DERIVADOS",C9="140 - MERENGUES","DERIVADOS",C9="100 - CAFÉ ESPECIAL","ESPECIALES",C9="141 - AREQUIPE","DERIVADOS",C9="142 - MERMELADA","DERIVADOS",C9="131 - GALLETAS AVENA","DERIVADOS",C9="160 - SOUVENIR","OTROS",C9="148 - CARAMELOS","OTROS",C9="143 - CHOCOFFES","OTROS",C9="162 - CONVENIOS Y DSC POS ","OTROS"),"OTROS")</f>
        <v>CAPSULAS</v>
      </c>
    </row>
    <row r="10" spans="1:6">
      <c r="A10" s="157"/>
      <c r="B10" s="159" t="s">
        <v>84</v>
      </c>
      <c r="C10" s="139" t="s">
        <v>28</v>
      </c>
      <c r="D10" s="162">
        <v>23418159</v>
      </c>
      <c r="E10" s="109" t="str" cm="1">
        <f t="array" ref="E10">IFERROR(_xlfn.IFS(C10="044 - BLEND TRADICION","GOURMET",C10="113 - CAFÉ GOURMET","GOURMET",C10="114 - CAFÉ CONSUMO","GOURMET",C10="112 - CAFÉ ORGANICO","GOURMET",C10="172 - CAFÉ COSECHA","ESPECIALES",C10="176 - CAFE DESCAFEINADO","GOURMET",C10="147 - CAPSULAS","CAPSULAS",C10="130 - GALLETAS CAFECITAS","DERIVADOS",C10="140 - MERENGUES","DERIVADOS",C10="100 - CAFÉ ESPECIAL","ESPECIALES",C10="141 - AREQUIPE","DERIVADOS",C10="142 - MERMELADA","DERIVADOS",C10="131 - GALLETAS AVENA","DERIVADOS",C10="160 - SOUVENIR","OTROS",C10="148 - CARAMELOS","OTROS",C10="143 - CHOCOFFES","OTROS",C10="162 - CONVENIOS Y DSC POS ","OTROS"),"OTROS")</f>
        <v>OTROS</v>
      </c>
    </row>
    <row r="11" spans="1:6">
      <c r="A11" s="157" t="str">
        <f t="shared" si="0"/>
        <v>ALMACENES EXITO S.A.172 - CAFÉ COSECHA</v>
      </c>
      <c r="B11" s="159" t="s">
        <v>84</v>
      </c>
      <c r="C11" s="139" t="s">
        <v>29</v>
      </c>
      <c r="D11" s="162">
        <v>22811940</v>
      </c>
      <c r="E11" s="109" t="str" cm="1">
        <f t="array" ref="E11">IFERROR(_xlfn.IFS(C11="044 - BLEND TRADICION","GOURMET",C11="113 - CAFÉ GOURMET","GOURMET",C11="114 - CAFÉ CONSUMO","GOURMET",C11="112 - CAFÉ ORGANICO","GOURMET",C11="172 - CAFÉ COSECHA","ESPECIALES",C11="176 - CAFE DESCAFEINADO","GOURMET",C11="147 - CAPSULAS","CAPSULAS",C11="130 - GALLETAS CAFECITAS","DERIVADOS",C11="140 - MERENGUES","DERIVADOS",C11="100 - CAFÉ ESPECIAL","ESPECIALES",C11="141 - AREQUIPE","DERIVADOS",C11="142 - MERMELADA","DERIVADOS",C11="131 - GALLETAS AVENA","DERIVADOS",C11="160 - SOUVENIR","OTROS",C11="148 - CARAMELOS","OTROS",C11="143 - CHOCOFFES","OTROS",C11="162 - CONVENIOS Y DSC POS ","OTROS"),"OTROS")</f>
        <v>ESPECIALES</v>
      </c>
    </row>
    <row r="12" spans="1:6" ht="13" thickBot="1">
      <c r="A12" s="157" t="str">
        <f t="shared" si="0"/>
        <v>ALMACENES EXITO S.A.176 - CAFE DESCAFEINADO</v>
      </c>
      <c r="B12" s="160" t="s">
        <v>84</v>
      </c>
      <c r="C12" s="147" t="s">
        <v>30</v>
      </c>
      <c r="D12" s="163">
        <v>3839823</v>
      </c>
      <c r="E12" s="109" t="str" cm="1">
        <f t="array" ref="E12">IFERROR(_xlfn.IFS(C12="044 - BLEND TRADICION","GOURMET",C12="113 - CAFÉ GOURMET","GOURMET",C12="114 - CAFÉ CONSUMO","GOURMET",C12="112 - CAFÉ ORGANICO","GOURMET",C12="172 - CAFÉ COSECHA","ESPECIALES",C12="176 - CAFE DESCAFEINADO","GOURMET",C12="147 - CAPSULAS","CAPSULAS",C12="130 - GALLETAS CAFECITAS","DERIVADOS",C12="140 - MERENGUES","DERIVADOS",C12="100 - CAFÉ ESPECIAL","ESPECIALES",C12="141 - AREQUIPE","DERIVADOS",C12="142 - MERMELADA","DERIVADOS",C12="131 - GALLETAS AVENA","DERIVADOS",C12="160 - SOUVENIR","OTROS",C12="148 - CARAMELOS","OTROS",C12="143 - CHOCOFFES","OTROS",C12="162 - CONVENIOS Y DSC POS ","OTROS"),"OTROS")</f>
        <v>GOURMET</v>
      </c>
      <c r="F12" s="140">
        <f>SUM(D2:D12)</f>
        <v>491779891</v>
      </c>
    </row>
    <row r="13" spans="1:6">
      <c r="A13" s="156" t="str">
        <f t="shared" si="0"/>
        <v>BRECCIA SALUD S A S100 - CAFÉ ESPECIAL</v>
      </c>
      <c r="B13" s="153" t="s">
        <v>85</v>
      </c>
      <c r="C13" s="154" t="s">
        <v>19</v>
      </c>
      <c r="D13" s="155"/>
      <c r="E13" s="109" t="str" cm="1">
        <f t="array" ref="E13">IFERROR(_xlfn.IFS(C13="044 - BLEND TRADICION","GOURMET",C13="113 - CAFÉ GOURMET","GOURMET",C13="114 - CAFÉ CONSUMO","GOURMET",C13="112 - CAFÉ ORGANICO","GOURMET",C13="172 - CAFÉ COSECHA","ESPECIALES",C13="176 - CAFE DESCAFEINADO","GOURMET",C13="147 - CAPSULAS","CAPSULAS",C13="130 - GALLETAS CAFECITAS","DERIVADOS",C13="140 - MERENGUES","DERIVADOS",C13="100 - CAFÉ ESPECIAL","ESPECIALES",C13="141 - AREQUIPE","DERIVADOS",C13="142 - MERMELADA","DERIVADOS",C13="131 - GALLETAS AVENA","DERIVADOS",C13="160 - SOUVENIR","OTROS",C13="148 - CARAMELOS","OTROS",C13="143 - CHOCOFFES","OTROS",C13="162 - CONVENIOS Y DSC POS ","OTROS"),"OTROS")</f>
        <v>ESPECIALES</v>
      </c>
    </row>
    <row r="14" spans="1:6">
      <c r="A14" s="137" t="str">
        <f t="shared" si="0"/>
        <v>BRECCIA SALUD S A S112 - CAFÉ ORGANICO</v>
      </c>
      <c r="B14" s="143" t="s">
        <v>85</v>
      </c>
      <c r="C14" s="139" t="s">
        <v>20</v>
      </c>
      <c r="D14" s="144"/>
      <c r="E14" s="109" t="str" cm="1">
        <f t="array" ref="E14">IFERROR(_xlfn.IFS(C14="044 - BLEND TRADICION","GOURMET",C14="113 - CAFÉ GOURMET","GOURMET",C14="114 - CAFÉ CONSUMO","GOURMET",C14="112 - CAFÉ ORGANICO","GOURMET",C14="172 - CAFÉ COSECHA","ESPECIALES",C14="176 - CAFE DESCAFEINADO","GOURMET",C14="147 - CAPSULAS","CAPSULAS",C14="130 - GALLETAS CAFECITAS","DERIVADOS",C14="140 - MERENGUES","DERIVADOS",C14="100 - CAFÉ ESPECIAL","ESPECIALES",C14="141 - AREQUIPE","DERIVADOS",C14="142 - MERMELADA","DERIVADOS",C14="131 - GALLETAS AVENA","DERIVADOS",C14="160 - SOUVENIR","OTROS",C14="148 - CARAMELOS","OTROS",C14="143 - CHOCOFFES","OTROS",C14="162 - CONVENIOS Y DSC POS ","OTROS"),"OTROS")</f>
        <v>GOURMET</v>
      </c>
    </row>
    <row r="15" spans="1:6">
      <c r="A15" s="137"/>
      <c r="B15" s="143" t="s">
        <v>85</v>
      </c>
      <c r="C15" s="139" t="s">
        <v>21</v>
      </c>
      <c r="D15" s="144"/>
      <c r="E15" s="109" t="str" cm="1">
        <f t="array" ref="E15">IFERROR(_xlfn.IFS(C15="044 - BLEND TRADICION","GOURMET",C15="113 - CAFÉ GOURMET","GOURMET",C15="114 - CAFÉ CONSUMO","GOURMET",C15="112 - CAFÉ ORGANICO","GOURMET",C15="172 - CAFÉ COSECHA","ESPECIALES",C15="176 - CAFE DESCAFEINADO","GOURMET",C15="147 - CAPSULAS","CAPSULAS",C15="130 - GALLETAS CAFECITAS","DERIVADOS",C15="140 - MERENGUES","DERIVADOS",C15="100 - CAFÉ ESPECIAL","ESPECIALES",C15="141 - AREQUIPE","DERIVADOS",C15="142 - MERMELADA","DERIVADOS",C15="131 - GALLETAS AVENA","DERIVADOS",C15="160 - SOUVENIR","OTROS",C15="148 - CARAMELOS","OTROS",C15="143 - CHOCOFFES","OTROS",C15="162 - CONVENIOS Y DSC POS ","OTROS"),"OTROS")</f>
        <v>GOURMET</v>
      </c>
    </row>
    <row r="16" spans="1:6">
      <c r="A16" s="137" t="str">
        <f t="shared" si="0"/>
        <v>BRECCIA SALUD S A S130 - GALLETAS CAFECITAS</v>
      </c>
      <c r="B16" s="143" t="s">
        <v>85</v>
      </c>
      <c r="C16" s="139" t="s">
        <v>22</v>
      </c>
      <c r="D16" s="144"/>
      <c r="E16" s="109" t="str" cm="1">
        <f t="array" ref="E16">IFERROR(_xlfn.IFS(C16="044 - BLEND TRADICION","GOURMET",C16="113 - CAFÉ GOURMET","GOURMET",C16="114 - CAFÉ CONSUMO","GOURMET",C16="112 - CAFÉ ORGANICO","GOURMET",C16="172 - CAFÉ COSECHA","ESPECIALES",C16="176 - CAFE DESCAFEINADO","GOURMET",C16="147 - CAPSULAS","CAPSULAS",C16="130 - GALLETAS CAFECITAS","DERIVADOS",C16="140 - MERENGUES","DERIVADOS",C16="100 - CAFÉ ESPECIAL","ESPECIALES",C16="141 - AREQUIPE","DERIVADOS",C16="142 - MERMELADA","DERIVADOS",C16="131 - GALLETAS AVENA","DERIVADOS",C16="160 - SOUVENIR","OTROS",C16="148 - CARAMELOS","OTROS",C16="143 - CHOCOFFES","OTROS",C16="162 - CONVENIOS Y DSC POS ","OTROS"),"OTROS")</f>
        <v>DERIVADOS</v>
      </c>
    </row>
    <row r="17" spans="1:6" ht="13" thickBot="1">
      <c r="A17" s="137" t="str">
        <f t="shared" si="0"/>
        <v>BRECCIA SALUD S A S172 - CAFÉ COSECHA</v>
      </c>
      <c r="B17" s="143" t="s">
        <v>85</v>
      </c>
      <c r="C17" s="139" t="s">
        <v>29</v>
      </c>
      <c r="D17" s="144"/>
      <c r="E17" s="109" t="str" cm="1">
        <f t="array" ref="E17">IFERROR(_xlfn.IFS(C17="044 - BLEND TRADICION","GOURMET",C17="113 - CAFÉ GOURMET","GOURMET",C17="114 - CAFÉ CONSUMO","GOURMET",C17="112 - CAFÉ ORGANICO","GOURMET",C17="172 - CAFÉ COSECHA","ESPECIALES",C17="176 - CAFE DESCAFEINADO","GOURMET",C17="147 - CAPSULAS","CAPSULAS",C17="130 - GALLETAS CAFECITAS","DERIVADOS",C17="140 - MERENGUES","DERIVADOS",C17="100 - CAFÉ ESPECIAL","ESPECIALES",C17="141 - AREQUIPE","DERIVADOS",C17="142 - MERMELADA","DERIVADOS",C17="131 - GALLETAS AVENA","DERIVADOS",C17="160 - SOUVENIR","OTROS",C17="148 - CARAMELOS","OTROS",C17="143 - CHOCOFFES","OTROS",C17="162 - CONVENIOS Y DSC POS ","OTROS"),"OTROS")</f>
        <v>ESPECIALES</v>
      </c>
      <c r="F17" s="140">
        <f>SUM(D13:D17)</f>
        <v>0</v>
      </c>
    </row>
    <row r="18" spans="1:6">
      <c r="A18" s="134" t="str">
        <f>CONCATENATE(B18,C18)</f>
        <v>CADENA COMERCIAL OXXO COLOMBIA S.A.S113 - CAFÉ GOURMET</v>
      </c>
      <c r="B18" s="135" t="s">
        <v>86</v>
      </c>
      <c r="C18" s="136" t="s">
        <v>21</v>
      </c>
      <c r="D18" s="142">
        <v>112184856</v>
      </c>
      <c r="E18" s="109" t="str" cm="1">
        <f t="array" ref="E18">IFERROR(_xlfn.IFS(C18="044 - BLEND TRADICION","GOURMET",C18="113 - CAFÉ GOURMET","GOURMET",C18="114 - CAFÉ CONSUMO","GOURMET",C18="112 - CAFÉ ORGANICO","GOURMET",C18="172 - CAFÉ COSECHA","ESPECIALES",C18="176 - CAFE DESCAFEINADO","GOURMET",C18="147 - CAPSULAS","CAPSULAS",C18="130 - GALLETAS CAFECITAS","DERIVADOS",C18="140 - MERENGUES","DERIVADOS",C18="100 - CAFÉ ESPECIAL","ESPECIALES",C18="141 - AREQUIPE","DERIVADOS",C18="142 - MERMELADA","DERIVADOS",C18="131 - GALLETAS AVENA","DERIVADOS",C18="160 - SOUVENIR","OTROS",C18="148 - CARAMELOS","OTROS",C18="143 - CHOCOFFES","OTROS",C18="162 - CONVENIOS Y DSC POS ","OTROS"),"OTROS")</f>
        <v>GOURMET</v>
      </c>
    </row>
    <row r="19" spans="1:6">
      <c r="A19" s="137" t="str">
        <f>CONCATENATE(B19,C19)</f>
        <v>CADENA COMERCIAL OXXO COLOMBIA S.A.S130 - GALLETAS CAFECITAS</v>
      </c>
      <c r="B19" s="138" t="s">
        <v>86</v>
      </c>
      <c r="C19" s="139" t="s">
        <v>22</v>
      </c>
      <c r="D19" s="144">
        <v>3370464</v>
      </c>
      <c r="E19" s="109" t="str" cm="1">
        <f t="array" ref="E19">IFERROR(_xlfn.IFS(C19="044 - BLEND TRADICION","GOURMET",C19="113 - CAFÉ GOURMET","GOURMET",C19="114 - CAFÉ CONSUMO","GOURMET",C19="112 - CAFÉ ORGANICO","GOURMET",C19="172 - CAFÉ COSECHA","ESPECIALES",C19="176 - CAFE DESCAFEINADO","GOURMET",C19="147 - CAPSULAS","CAPSULAS",C19="130 - GALLETAS CAFECITAS","DERIVADOS",C19="140 - MERENGUES","DERIVADOS",C19="100 - CAFÉ ESPECIAL","ESPECIALES",C19="141 - AREQUIPE","DERIVADOS",C19="142 - MERMELADA","DERIVADOS",C19="131 - GALLETAS AVENA","DERIVADOS",C19="160 - SOUVENIR","OTROS",C19="148 - CARAMELOS","OTROS",C19="143 - CHOCOFFES","OTROS",C19="162 - CONVENIOS Y DSC POS ","OTROS"),"OTROS")</f>
        <v>DERIVADOS</v>
      </c>
    </row>
    <row r="20" spans="1:6">
      <c r="A20" s="137"/>
      <c r="B20" s="138" t="s">
        <v>86</v>
      </c>
      <c r="C20" s="139" t="s">
        <v>24</v>
      </c>
      <c r="D20" s="144">
        <v>2405232</v>
      </c>
      <c r="E20" s="109" t="str" cm="1">
        <f t="array" ref="E20">IFERROR(_xlfn.IFS(C20="044 - BLEND TRADICION","GOURMET",C20="113 - CAFÉ GOURMET","GOURMET",C20="114 - CAFÉ CONSUMO","GOURMET",C20="112 - CAFÉ ORGANICO","GOURMET",C20="172 - CAFÉ COSECHA","ESPECIALES",C20="176 - CAFE DESCAFEINADO","GOURMET",C20="147 - CAPSULAS","CAPSULAS",C20="130 - GALLETAS CAFECITAS","DERIVADOS",C20="140 - MERENGUES","DERIVADOS",C20="100 - CAFÉ ESPECIAL","ESPECIALES",C20="141 - AREQUIPE","DERIVADOS",C20="142 - MERMELADA","DERIVADOS",C20="131 - GALLETAS AVENA","DERIVADOS",C20="160 - SOUVENIR","OTROS",C20="148 - CARAMELOS","OTROS",C20="143 - CHOCOFFES","OTROS",C20="162 - CONVENIOS Y DSC POS ","OTROS"),"OTROS")</f>
        <v>DERIVADOS</v>
      </c>
    </row>
    <row r="21" spans="1:6">
      <c r="A21" s="137" t="str">
        <f>CONCATENATE(B21,C21)</f>
        <v>CADENA COMERCIAL OXXO COLOMBIA S.A.S141 - AREQUIPE</v>
      </c>
      <c r="B21" s="138" t="s">
        <v>86</v>
      </c>
      <c r="C21" s="139" t="s">
        <v>25</v>
      </c>
      <c r="D21" s="144">
        <v>2022624</v>
      </c>
      <c r="E21" s="109" t="str" cm="1">
        <f t="array" ref="E21">IFERROR(_xlfn.IFS(C21="044 - BLEND TRADICION","GOURMET",C21="113 - CAFÉ GOURMET","GOURMET",C21="114 - CAFÉ CONSUMO","GOURMET",C21="112 - CAFÉ ORGANICO","GOURMET",C21="172 - CAFÉ COSECHA","ESPECIALES",C21="176 - CAFE DESCAFEINADO","GOURMET",C21="147 - CAPSULAS","CAPSULAS",C21="130 - GALLETAS CAFECITAS","DERIVADOS",C21="140 - MERENGUES","DERIVADOS",C21="100 - CAFÉ ESPECIAL","ESPECIALES",C21="141 - AREQUIPE","DERIVADOS",C21="142 - MERMELADA","DERIVADOS",C21="131 - GALLETAS AVENA","DERIVADOS",C21="160 - SOUVENIR","OTROS",C21="148 - CARAMELOS","OTROS",C21="143 - CHOCOFFES","OTROS",C21="162 - CONVENIOS Y DSC POS ","OTROS"),"OTROS")</f>
        <v>DERIVADOS</v>
      </c>
    </row>
    <row r="22" spans="1:6" ht="13" thickBot="1">
      <c r="A22" s="145" t="str">
        <f>CONCATENATE(B22,C22)</f>
        <v>CADENA COMERCIAL OXXO COLOMBIA S.A.S162 - N/A</v>
      </c>
      <c r="B22" s="146" t="s">
        <v>86</v>
      </c>
      <c r="C22" s="147" t="s">
        <v>93</v>
      </c>
      <c r="D22" s="148"/>
      <c r="E22" s="109" t="str" cm="1">
        <f t="array" ref="E22">IFERROR(_xlfn.IFS(C22="044 - BLEND TRADICION","GOURMET",C22="113 - CAFÉ GOURMET","GOURMET",C22="114 - CAFÉ CONSUMO","GOURMET",C22="112 - CAFÉ ORGANICO","GOURMET",C22="172 - CAFÉ COSECHA","ESPECIALES",C22="176 - CAFE DESCAFEINADO","GOURMET",C22="147 - CAPSULAS","CAPSULAS",C22="130 - GALLETAS CAFECITAS","DERIVADOS",C22="140 - MERENGUES","DERIVADOS",C22="100 - CAFÉ ESPECIAL","ESPECIALES",C22="141 - AREQUIPE","DERIVADOS",C22="142 - MERMELADA","DERIVADOS",C22="131 - GALLETAS AVENA","DERIVADOS",C22="160 - SOUVENIR","OTROS",C22="148 - CARAMELOS","OTROS",C22="143 - CHOCOFFES","OTROS",C22="162 - CONVENIOS Y DSC POS ","OTROS"),"OTROS")</f>
        <v>OTROS</v>
      </c>
      <c r="F22" s="140">
        <f>SUM(D18:D22)</f>
        <v>119983176</v>
      </c>
    </row>
    <row r="23" spans="1:6">
      <c r="A23" s="134" t="str">
        <f t="shared" si="0"/>
        <v>CENCOSUD COLOMBIA S.A.100 - CAFÉ ESPECIAL</v>
      </c>
      <c r="B23" s="141" t="s">
        <v>87</v>
      </c>
      <c r="C23" s="136" t="s">
        <v>19</v>
      </c>
      <c r="D23" s="142">
        <v>2732608</v>
      </c>
      <c r="E23" s="109" t="str" cm="1">
        <f t="array" ref="E23">IFERROR(_xlfn.IFS(C23="044 - BLEND TRADICION","GOURMET",C23="113 - CAFÉ GOURMET","GOURMET",C23="114 - CAFÉ CONSUMO","GOURMET",C23="112 - CAFÉ ORGANICO","GOURMET",C23="172 - CAFÉ COSECHA","ESPECIALES",C23="176 - CAFE DESCAFEINADO","GOURMET",C23="147 - CAPSULAS","CAPSULAS",C23="130 - GALLETAS CAFECITAS","DERIVADOS",C23="140 - MERENGUES","DERIVADOS",C23="100 - CAFÉ ESPECIAL","ESPECIALES",C23="141 - AREQUIPE","DERIVADOS",C23="142 - MERMELADA","DERIVADOS",C23="131 - GALLETAS AVENA","DERIVADOS",C23="160 - SOUVENIR","OTROS",C23="148 - CARAMELOS","OTROS",C23="143 - CHOCOFFES","OTROS",C23="162 - CONVENIOS Y DSC POS ","OTROS"),"OTROS")</f>
        <v>ESPECIALES</v>
      </c>
    </row>
    <row r="24" spans="1:6">
      <c r="A24" s="137" t="str">
        <f t="shared" si="0"/>
        <v>CENCOSUD COLOMBIA S.A.112 - CAFÉ ORGANICO</v>
      </c>
      <c r="B24" s="143" t="s">
        <v>87</v>
      </c>
      <c r="C24" s="139" t="s">
        <v>20</v>
      </c>
      <c r="D24" s="144">
        <v>3063338</v>
      </c>
      <c r="E24" s="109" t="str" cm="1">
        <f t="array" ref="E24">IFERROR(_xlfn.IFS(C24="044 - BLEND TRADICION","GOURMET",C24="113 - CAFÉ GOURMET","GOURMET",C24="114 - CAFÉ CONSUMO","GOURMET",C24="112 - CAFÉ ORGANICO","GOURMET",C24="172 - CAFÉ COSECHA","ESPECIALES",C24="176 - CAFE DESCAFEINADO","GOURMET",C24="147 - CAPSULAS","CAPSULAS",C24="130 - GALLETAS CAFECITAS","DERIVADOS",C24="140 - MERENGUES","DERIVADOS",C24="100 - CAFÉ ESPECIAL","ESPECIALES",C24="141 - AREQUIPE","DERIVADOS",C24="142 - MERMELADA","DERIVADOS",C24="131 - GALLETAS AVENA","DERIVADOS",C24="160 - SOUVENIR","OTROS",C24="148 - CARAMELOS","OTROS",C24="143 - CHOCOFFES","OTROS",C24="162 - CONVENIOS Y DSC POS ","OTROS"),"OTROS")</f>
        <v>GOURMET</v>
      </c>
    </row>
    <row r="25" spans="1:6">
      <c r="A25" s="137" t="str">
        <f t="shared" si="0"/>
        <v>CENCOSUD COLOMBIA S.A.113 - CAFÉ GOURMET</v>
      </c>
      <c r="B25" s="143" t="s">
        <v>87</v>
      </c>
      <c r="C25" s="139" t="s">
        <v>21</v>
      </c>
      <c r="D25" s="144">
        <v>103586244</v>
      </c>
      <c r="E25" s="109" t="str" cm="1">
        <f t="array" ref="E25">IFERROR(_xlfn.IFS(C25="044 - BLEND TRADICION","GOURMET",C25="113 - CAFÉ GOURMET","GOURMET",C25="114 - CAFÉ CONSUMO","GOURMET",C25="112 - CAFÉ ORGANICO","GOURMET",C25="172 - CAFÉ COSECHA","ESPECIALES",C25="176 - CAFE DESCAFEINADO","GOURMET",C25="147 - CAPSULAS","CAPSULAS",C25="130 - GALLETAS CAFECITAS","DERIVADOS",C25="140 - MERENGUES","DERIVADOS",C25="100 - CAFÉ ESPECIAL","ESPECIALES",C25="141 - AREQUIPE","DERIVADOS",C25="142 - MERMELADA","DERIVADOS",C25="131 - GALLETAS AVENA","DERIVADOS",C25="160 - SOUVENIR","OTROS",C25="148 - CARAMELOS","OTROS",C25="143 - CHOCOFFES","OTROS",C25="162 - CONVENIOS Y DSC POS ","OTROS"),"OTROS")</f>
        <v>GOURMET</v>
      </c>
    </row>
    <row r="26" spans="1:6">
      <c r="A26" s="137" t="str">
        <f t="shared" si="0"/>
        <v>CENCOSUD COLOMBIA S.A.130 - GALLETAS CAFECITAS</v>
      </c>
      <c r="B26" s="143" t="s">
        <v>87</v>
      </c>
      <c r="C26" s="139" t="s">
        <v>22</v>
      </c>
      <c r="D26" s="144">
        <v>2822066</v>
      </c>
      <c r="E26" s="109" t="str" cm="1">
        <f t="array" ref="E26">IFERROR(_xlfn.IFS(C26="044 - BLEND TRADICION","GOURMET",C26="113 - CAFÉ GOURMET","GOURMET",C26="114 - CAFÉ CONSUMO","GOURMET",C26="112 - CAFÉ ORGANICO","GOURMET",C26="172 - CAFÉ COSECHA","ESPECIALES",C26="176 - CAFE DESCAFEINADO","GOURMET",C26="147 - CAPSULAS","CAPSULAS",C26="130 - GALLETAS CAFECITAS","DERIVADOS",C26="140 - MERENGUES","DERIVADOS",C26="100 - CAFÉ ESPECIAL","ESPECIALES",C26="141 - AREQUIPE","DERIVADOS",C26="142 - MERMELADA","DERIVADOS",C26="131 - GALLETAS AVENA","DERIVADOS",C26="160 - SOUVENIR","OTROS",C26="148 - CARAMELOS","OTROS",C26="143 - CHOCOFFES","OTROS",C26="162 - CONVENIOS Y DSC POS ","OTROS"),"OTROS")</f>
        <v>DERIVADOS</v>
      </c>
    </row>
    <row r="27" spans="1:6">
      <c r="A27" s="137" t="str">
        <f t="shared" si="0"/>
        <v>CENCOSUD COLOMBIA S.A.140 - MERENGUES</v>
      </c>
      <c r="B27" s="143" t="s">
        <v>87</v>
      </c>
      <c r="C27" s="139" t="s">
        <v>24</v>
      </c>
      <c r="D27" s="144">
        <v>3451451</v>
      </c>
      <c r="E27" s="109" t="str" cm="1">
        <f t="array" ref="E27">IFERROR(_xlfn.IFS(C27="044 - BLEND TRADICION","GOURMET",C27="113 - CAFÉ GOURMET","GOURMET",C27="114 - CAFÉ CONSUMO","GOURMET",C27="112 - CAFÉ ORGANICO","GOURMET",C27="172 - CAFÉ COSECHA","ESPECIALES",C27="176 - CAFE DESCAFEINADO","GOURMET",C27="147 - CAPSULAS","CAPSULAS",C27="130 - GALLETAS CAFECITAS","DERIVADOS",C27="140 - MERENGUES","DERIVADOS",C27="100 - CAFÉ ESPECIAL","ESPECIALES",C27="141 - AREQUIPE","DERIVADOS",C27="142 - MERMELADA","DERIVADOS",C27="131 - GALLETAS AVENA","DERIVADOS",C27="160 - SOUVENIR","OTROS",C27="148 - CARAMELOS","OTROS",C27="143 - CHOCOFFES","OTROS",C27="162 - CONVENIOS Y DSC POS ","OTROS"),"OTROS")</f>
        <v>DERIVADOS</v>
      </c>
    </row>
    <row r="28" spans="1:6">
      <c r="A28" s="137" t="str">
        <f t="shared" si="0"/>
        <v>CENCOSUD COLOMBIA S.A.147 - CAPSULAS</v>
      </c>
      <c r="B28" s="143" t="s">
        <v>87</v>
      </c>
      <c r="C28" s="139" t="s">
        <v>26</v>
      </c>
      <c r="D28" s="144">
        <v>7288264</v>
      </c>
      <c r="E28" s="109" t="str" cm="1">
        <f t="array" ref="E28">IFERROR(_xlfn.IFS(C28="044 - BLEND TRADICION","GOURMET",C28="113 - CAFÉ GOURMET","GOURMET",C28="114 - CAFÉ CONSUMO","GOURMET",C28="112 - CAFÉ ORGANICO","GOURMET",C28="172 - CAFÉ COSECHA","ESPECIALES",C28="176 - CAFE DESCAFEINADO","GOURMET",C28="147 - CAPSULAS","CAPSULAS",C28="130 - GALLETAS CAFECITAS","DERIVADOS",C28="140 - MERENGUES","DERIVADOS",C28="100 - CAFÉ ESPECIAL","ESPECIALES",C28="141 - AREQUIPE","DERIVADOS",C28="142 - MERMELADA","DERIVADOS",C28="131 - GALLETAS AVENA","DERIVADOS",C28="160 - SOUVENIR","OTROS",C28="148 - CARAMELOS","OTROS",C28="143 - CHOCOFFES","OTROS",C28="162 - CONVENIOS Y DSC POS ","OTROS"),"OTROS")</f>
        <v>CAPSULAS</v>
      </c>
    </row>
    <row r="29" spans="1:6">
      <c r="A29" s="137" t="str">
        <f t="shared" si="0"/>
        <v>CENCOSUD COLOMBIA S.A.148 - CARAMELOS</v>
      </c>
      <c r="B29" s="143" t="s">
        <v>87</v>
      </c>
      <c r="C29" s="139" t="s">
        <v>27</v>
      </c>
      <c r="D29" s="144">
        <v>2137498</v>
      </c>
      <c r="E29" s="109" t="str" cm="1">
        <f t="array" ref="E29">IFERROR(_xlfn.IFS(C29="044 - BLEND TRADICION","GOURMET",C29="113 - CAFÉ GOURMET","GOURMET",C29="114 - CAFÉ CONSUMO","GOURMET",C29="112 - CAFÉ ORGANICO","GOURMET",C29="172 - CAFÉ COSECHA","ESPECIALES",C29="176 - CAFE DESCAFEINADO","GOURMET",C29="147 - CAPSULAS","CAPSULAS",C29="130 - GALLETAS CAFECITAS","DERIVADOS",C29="140 - MERENGUES","DERIVADOS",C29="100 - CAFÉ ESPECIAL","ESPECIALES",C29="141 - AREQUIPE","DERIVADOS",C29="142 - MERMELADA","DERIVADOS",C29="131 - GALLETAS AVENA","DERIVADOS",C29="160 - SOUVENIR","OTROS",C29="148 - CARAMELOS","OTROS",C29="143 - CHOCOFFES","OTROS",C29="162 - CONVENIOS Y DSC POS ","OTROS"),"OTROS")</f>
        <v>OTROS</v>
      </c>
    </row>
    <row r="30" spans="1:6">
      <c r="A30" s="137" t="str">
        <f t="shared" si="0"/>
        <v>CENCOSUD COLOMBIA S.A.160 - SOUVENIR</v>
      </c>
      <c r="B30" s="143" t="s">
        <v>87</v>
      </c>
      <c r="C30" s="139" t="s">
        <v>28</v>
      </c>
      <c r="D30" s="144">
        <v>14826470</v>
      </c>
      <c r="E30" s="109" t="str" cm="1">
        <f t="array" ref="E30">IFERROR(_xlfn.IFS(C30="044 - BLEND TRADICION","GOURMET",C30="113 - CAFÉ GOURMET","GOURMET",C30="114 - CAFÉ CONSUMO","GOURMET",C30="112 - CAFÉ ORGANICO","GOURMET",C30="172 - CAFÉ COSECHA","ESPECIALES",C30="176 - CAFE DESCAFEINADO","GOURMET",C30="147 - CAPSULAS","CAPSULAS",C30="130 - GALLETAS CAFECITAS","DERIVADOS",C30="140 - MERENGUES","DERIVADOS",C30="100 - CAFÉ ESPECIAL","ESPECIALES",C30="141 - AREQUIPE","DERIVADOS",C30="142 - MERMELADA","DERIVADOS",C30="131 - GALLETAS AVENA","DERIVADOS",C30="160 - SOUVENIR","OTROS",C30="148 - CARAMELOS","OTROS",C30="143 - CHOCOFFES","OTROS",C30="162 - CONVENIOS Y DSC POS ","OTROS"),"OTROS")</f>
        <v>OTROS</v>
      </c>
    </row>
    <row r="31" spans="1:6">
      <c r="A31" s="137" t="str">
        <f t="shared" si="0"/>
        <v>CENCOSUD COLOMBIA S.A.172 - CAFÉ COSECHA</v>
      </c>
      <c r="B31" s="143" t="s">
        <v>87</v>
      </c>
      <c r="C31" s="139" t="s">
        <v>29</v>
      </c>
      <c r="D31" s="144">
        <v>7293084</v>
      </c>
      <c r="E31" s="109" t="str" cm="1">
        <f t="array" ref="E31">IFERROR(_xlfn.IFS(C31="044 - BLEND TRADICION","GOURMET",C31="113 - CAFÉ GOURMET","GOURMET",C31="114 - CAFÉ CONSUMO","GOURMET",C31="112 - CAFÉ ORGANICO","GOURMET",C31="172 - CAFÉ COSECHA","ESPECIALES",C31="176 - CAFE DESCAFEINADO","GOURMET",C31="147 - CAPSULAS","CAPSULAS",C31="130 - GALLETAS CAFECITAS","DERIVADOS",C31="140 - MERENGUES","DERIVADOS",C31="100 - CAFÉ ESPECIAL","ESPECIALES",C31="141 - AREQUIPE","DERIVADOS",C31="142 - MERMELADA","DERIVADOS",C31="131 - GALLETAS AVENA","DERIVADOS",C31="160 - SOUVENIR","OTROS",C31="148 - CARAMELOS","OTROS",C31="143 - CHOCOFFES","OTROS",C31="162 - CONVENIOS Y DSC POS ","OTROS"),"OTROS")</f>
        <v>ESPECIALES</v>
      </c>
    </row>
    <row r="32" spans="1:6">
      <c r="A32" s="137" t="str">
        <f t="shared" si="0"/>
        <v>CENCOSUD COLOMBIA S.A.176 - CAFE DESCAFEINADO</v>
      </c>
      <c r="B32" s="143" t="s">
        <v>87</v>
      </c>
      <c r="C32" s="139" t="s">
        <v>30</v>
      </c>
      <c r="D32" s="144">
        <v>4543428</v>
      </c>
      <c r="E32" s="109" t="str" cm="1">
        <f t="array" ref="E32">IFERROR(_xlfn.IFS(C32="044 - BLEND TRADICION","GOURMET",C32="113 - CAFÉ GOURMET","GOURMET",C32="114 - CAFÉ CONSUMO","GOURMET",C32="112 - CAFÉ ORGANICO","GOURMET",C32="172 - CAFÉ COSECHA","ESPECIALES",C32="176 - CAFE DESCAFEINADO","GOURMET",C32="147 - CAPSULAS","CAPSULAS",C32="130 - GALLETAS CAFECITAS","DERIVADOS",C32="140 - MERENGUES","DERIVADOS",C32="100 - CAFÉ ESPECIAL","ESPECIALES",C32="141 - AREQUIPE","DERIVADOS",C32="142 - MERMELADA","DERIVADOS",C32="131 - GALLETAS AVENA","DERIVADOS",C32="160 - SOUVENIR","OTROS",C32="148 - CARAMELOS","OTROS",C32="143 - CHOCOFFES","OTROS",C32="162 - CONVENIOS Y DSC POS ","OTROS"),"OTROS")</f>
        <v>GOURMET</v>
      </c>
    </row>
    <row r="33" spans="1:6">
      <c r="A33" s="137" t="str">
        <f t="shared" si="0"/>
        <v>CENCOSUD COLOMBIA S.A.172 - CAFÉ COSECHA</v>
      </c>
      <c r="B33" s="143" t="s">
        <v>87</v>
      </c>
      <c r="C33" s="139" t="s">
        <v>29</v>
      </c>
      <c r="D33" s="144"/>
      <c r="E33" s="109" t="str" cm="1">
        <f t="array" ref="E33">IFERROR(_xlfn.IFS(C33="044 - BLEND TRADICION","GOURMET",C33="113 - CAFÉ GOURMET","GOURMET",C33="114 - CAFÉ CONSUMO","GOURMET",C33="112 - CAFÉ ORGANICO","GOURMET",C33="172 - CAFÉ COSECHA","ESPECIALES",C33="176 - CAFE DESCAFEINADO","GOURMET",C33="147 - CAPSULAS","CAPSULAS",C33="130 - GALLETAS CAFECITAS","DERIVADOS",C33="140 - MERENGUES","DERIVADOS",C33="100 - CAFÉ ESPECIAL","ESPECIALES",C33="141 - AREQUIPE","DERIVADOS",C33="142 - MERMELADA","DERIVADOS",C33="131 - GALLETAS AVENA","DERIVADOS",C33="160 - SOUVENIR","OTROS",C33="148 - CARAMELOS","OTROS",C33="143 - CHOCOFFES","OTROS",C33="162 - CONVENIOS Y DSC POS ","OTROS"),"OTROS")</f>
        <v>ESPECIALES</v>
      </c>
    </row>
    <row r="34" spans="1:6" ht="13" thickBot="1">
      <c r="A34" s="137" t="str">
        <f t="shared" si="0"/>
        <v>CENCOSUD COLOMBIA S.A.176 - CAFE DESCAFEINADO</v>
      </c>
      <c r="B34" s="143" t="s">
        <v>87</v>
      </c>
      <c r="C34" s="139" t="s">
        <v>30</v>
      </c>
      <c r="D34" s="144"/>
      <c r="E34" s="109" t="str" cm="1">
        <f t="array" ref="E34">IFERROR(_xlfn.IFS(C34="044 - BLEND TRADICION","GOURMET",C34="113 - CAFÉ GOURMET","GOURMET",C34="114 - CAFÉ CONSUMO","GOURMET",C34="112 - CAFÉ ORGANICO","GOURMET",C34="172 - CAFÉ COSECHA","ESPECIALES",C34="176 - CAFE DESCAFEINADO","GOURMET",C34="147 - CAPSULAS","CAPSULAS",C34="130 - GALLETAS CAFECITAS","DERIVADOS",C34="140 - MERENGUES","DERIVADOS",C34="100 - CAFÉ ESPECIAL","ESPECIALES",C34="141 - AREQUIPE","DERIVADOS",C34="142 - MERMELADA","DERIVADOS",C34="131 - GALLETAS AVENA","DERIVADOS",C34="160 - SOUVENIR","OTROS",C34="148 - CARAMELOS","OTROS",C34="143 - CHOCOFFES","OTROS",C34="162 - CONVENIOS Y DSC POS ","OTROS"),"OTROS")</f>
        <v>GOURMET</v>
      </c>
      <c r="F34" s="140">
        <f>SUM(D23:D34)</f>
        <v>151744451</v>
      </c>
    </row>
    <row r="35" spans="1:6">
      <c r="A35" s="134" t="str">
        <f t="shared" si="0"/>
        <v>COLOMBIANA DE COMERCIO S.A.112 - CAFÉ ORGANICO</v>
      </c>
      <c r="B35" s="135" t="s">
        <v>88</v>
      </c>
      <c r="C35" s="136" t="s">
        <v>20</v>
      </c>
      <c r="D35" s="142">
        <v>11543186</v>
      </c>
      <c r="E35" s="109" t="str" cm="1">
        <f t="array" ref="E35">IFERROR(_xlfn.IFS(C35="044 - BLEND TRADICION","GOURMET",C35="113 - CAFÉ GOURMET","GOURMET",C35="114 - CAFÉ CONSUMO","GOURMET",C35="112 - CAFÉ ORGANICO","GOURMET",C35="172 - CAFÉ COSECHA","ESPECIALES",C35="176 - CAFE DESCAFEINADO","GOURMET",C35="147 - CAPSULAS","CAPSULAS",C35="130 - GALLETAS CAFECITAS","DERIVADOS",C35="140 - MERENGUES","DERIVADOS",C35="100 - CAFÉ ESPECIAL","ESPECIALES",C35="141 - AREQUIPE","DERIVADOS",C35="142 - MERMELADA","DERIVADOS",C35="131 - GALLETAS AVENA","DERIVADOS",C35="160 - SOUVENIR","OTROS",C35="148 - CARAMELOS","OTROS",C35="143 - CHOCOFFES","OTROS",C35="162 - CONVENIOS Y DSC POS ","OTROS"),"OTROS")</f>
        <v>GOURMET</v>
      </c>
    </row>
    <row r="36" spans="1:6">
      <c r="A36" s="137" t="str">
        <f t="shared" si="0"/>
        <v>COLOMBIANA DE COMERCIO S.A.113 - CAFÉ GOURMET</v>
      </c>
      <c r="B36" s="138" t="s">
        <v>88</v>
      </c>
      <c r="C36" s="139" t="s">
        <v>21</v>
      </c>
      <c r="D36" s="144">
        <v>93817812</v>
      </c>
      <c r="E36" s="109" t="str" cm="1">
        <f t="array" ref="E36">IFERROR(_xlfn.IFS(C36="044 - BLEND TRADICION","GOURMET",C36="113 - CAFÉ GOURMET","GOURMET",C36="114 - CAFÉ CONSUMO","GOURMET",C36="112 - CAFÉ ORGANICO","GOURMET",C36="172 - CAFÉ COSECHA","ESPECIALES",C36="176 - CAFE DESCAFEINADO","GOURMET",C36="147 - CAPSULAS","CAPSULAS",C36="130 - GALLETAS CAFECITAS","DERIVADOS",C36="140 - MERENGUES","DERIVADOS",C36="100 - CAFÉ ESPECIAL","ESPECIALES",C36="141 - AREQUIPE","DERIVADOS",C36="142 - MERMELADA","DERIVADOS",C36="131 - GALLETAS AVENA","DERIVADOS",C36="160 - SOUVENIR","OTROS",C36="148 - CARAMELOS","OTROS",C36="143 - CHOCOFFES","OTROS",C36="162 - CONVENIOS Y DSC POS ","OTROS"),"OTROS")</f>
        <v>GOURMET</v>
      </c>
    </row>
    <row r="37" spans="1:6">
      <c r="A37" s="137"/>
      <c r="B37" s="138" t="s">
        <v>88</v>
      </c>
      <c r="C37" s="139" t="s">
        <v>22</v>
      </c>
      <c r="D37" s="144">
        <v>11491175</v>
      </c>
      <c r="E37" s="109" t="str" cm="1">
        <f t="array" ref="E37">IFERROR(_xlfn.IFS(C37="044 - BLEND TRADICION","GOURMET",C37="113 - CAFÉ GOURMET","GOURMET",C37="114 - CAFÉ CONSUMO","GOURMET",C37="112 - CAFÉ ORGANICO","GOURMET",C37="172 - CAFÉ COSECHA","ESPECIALES",C37="176 - CAFE DESCAFEINADO","GOURMET",C37="147 - CAPSULAS","CAPSULAS",C37="130 - GALLETAS CAFECITAS","DERIVADOS",C37="140 - MERENGUES","DERIVADOS",C37="100 - CAFÉ ESPECIAL","ESPECIALES",C37="141 - AREQUIPE","DERIVADOS",C37="142 - MERMELADA","DERIVADOS",C37="131 - GALLETAS AVENA","DERIVADOS",C37="160 - SOUVENIR","OTROS",C37="148 - CARAMELOS","OTROS",C37="143 - CHOCOFFES","OTROS",C37="162 - CONVENIOS Y DSC POS ","OTROS"),"OTROS")</f>
        <v>DERIVADOS</v>
      </c>
    </row>
    <row r="38" spans="1:6">
      <c r="A38" s="137" t="str">
        <f t="shared" si="0"/>
        <v>COLOMBIANA DE COMERCIO S.A.147 - CAPSULAS</v>
      </c>
      <c r="B38" s="138" t="s">
        <v>88</v>
      </c>
      <c r="C38" s="139" t="s">
        <v>26</v>
      </c>
      <c r="D38" s="144">
        <v>1091890</v>
      </c>
      <c r="E38" s="109" t="str" cm="1">
        <f t="array" ref="E38">IFERROR(_xlfn.IFS(C38="044 - BLEND TRADICION","GOURMET",C38="113 - CAFÉ GOURMET","GOURMET",C38="114 - CAFÉ CONSUMO","GOURMET",C38="112 - CAFÉ ORGANICO","GOURMET",C38="172 - CAFÉ COSECHA","ESPECIALES",C38="176 - CAFE DESCAFEINADO","GOURMET",C38="147 - CAPSULAS","CAPSULAS",C38="130 - GALLETAS CAFECITAS","DERIVADOS",C38="140 - MERENGUES","DERIVADOS",C38="100 - CAFÉ ESPECIAL","ESPECIALES",C38="141 - AREQUIPE","DERIVADOS",C38="142 - MERMELADA","DERIVADOS",C38="131 - GALLETAS AVENA","DERIVADOS",C38="160 - SOUVENIR","OTROS",C38="148 - CARAMELOS","OTROS",C38="143 - CHOCOFFES","OTROS",C38="162 - CONVENIOS Y DSC POS ","OTROS"),"OTROS")</f>
        <v>CAPSULAS</v>
      </c>
    </row>
    <row r="39" spans="1:6">
      <c r="A39" s="137" t="str">
        <f t="shared" si="0"/>
        <v>COLOMBIANA DE COMERCIO S.A.172 - CAFÉ COSECHA</v>
      </c>
      <c r="B39" s="138" t="s">
        <v>88</v>
      </c>
      <c r="C39" s="139" t="s">
        <v>29</v>
      </c>
      <c r="D39" s="144">
        <v>654080</v>
      </c>
      <c r="E39" s="109" t="str" cm="1">
        <f t="array" ref="E39">IFERROR(_xlfn.IFS(C39="044 - BLEND TRADICION","GOURMET",C39="113 - CAFÉ GOURMET","GOURMET",C39="114 - CAFÉ CONSUMO","GOURMET",C39="112 - CAFÉ ORGANICO","GOURMET",C39="172 - CAFÉ COSECHA","ESPECIALES",C39="176 - CAFE DESCAFEINADO","GOURMET",C39="147 - CAPSULAS","CAPSULAS",C39="130 - GALLETAS CAFECITAS","DERIVADOS",C39="140 - MERENGUES","DERIVADOS",C39="100 - CAFÉ ESPECIAL","ESPECIALES",C39="141 - AREQUIPE","DERIVADOS",C39="142 - MERMELADA","DERIVADOS",C39="131 - GALLETAS AVENA","DERIVADOS",C39="160 - SOUVENIR","OTROS",C39="148 - CARAMELOS","OTROS",C39="143 - CHOCOFFES","OTROS",C39="162 - CONVENIOS Y DSC POS ","OTROS"),"OTROS")</f>
        <v>ESPECIALES</v>
      </c>
    </row>
    <row r="40" spans="1:6">
      <c r="A40" s="137" t="str">
        <f t="shared" si="0"/>
        <v>COLOMBIANA DE COMERCIO S.A.162 - N/A</v>
      </c>
      <c r="B40" s="138" t="s">
        <v>88</v>
      </c>
      <c r="C40" s="139" t="s">
        <v>93</v>
      </c>
      <c r="D40" s="144"/>
      <c r="E40" s="109" t="str" cm="1">
        <f t="array" ref="E40">IFERROR(_xlfn.IFS(C40="044 - BLEND TRADICION","GOURMET",C40="113 - CAFÉ GOURMET","GOURMET",C40="114 - CAFÉ CONSUMO","GOURMET",C40="112 - CAFÉ ORGANICO","GOURMET",C40="172 - CAFÉ COSECHA","ESPECIALES",C40="176 - CAFE DESCAFEINADO","GOURMET",C40="147 - CAPSULAS","CAPSULAS",C40="130 - GALLETAS CAFECITAS","DERIVADOS",C40="140 - MERENGUES","DERIVADOS",C40="100 - CAFÉ ESPECIAL","ESPECIALES",C40="141 - AREQUIPE","DERIVADOS",C40="142 - MERMELADA","DERIVADOS",C40="131 - GALLETAS AVENA","DERIVADOS",C40="160 - SOUVENIR","OTROS",C40="148 - CARAMELOS","OTROS",C40="143 - CHOCOFFES","OTROS",C40="162 - CONVENIOS Y DSC POS ","OTROS"),"OTROS")</f>
        <v>OTROS</v>
      </c>
    </row>
    <row r="41" spans="1:6" ht="13" thickBot="1">
      <c r="A41" s="137" t="str">
        <f t="shared" si="0"/>
        <v>COLOMBIANA DE COMERCIO S.A.172 - CAFÉ COSECHA</v>
      </c>
      <c r="B41" s="138" t="s">
        <v>88</v>
      </c>
      <c r="C41" s="139" t="s">
        <v>29</v>
      </c>
      <c r="D41" s="144"/>
      <c r="E41" s="109" t="str" cm="1">
        <f t="array" ref="E41">IFERROR(_xlfn.IFS(C41="044 - BLEND TRADICION","GOURMET",C41="113 - CAFÉ GOURMET","GOURMET",C41="114 - CAFÉ CONSUMO","GOURMET",C41="112 - CAFÉ ORGANICO","GOURMET",C41="172 - CAFÉ COSECHA","ESPECIALES",C41="176 - CAFE DESCAFEINADO","GOURMET",C41="147 - CAPSULAS","CAPSULAS",C41="130 - GALLETAS CAFECITAS","DERIVADOS",C41="140 - MERENGUES","DERIVADOS",C41="100 - CAFÉ ESPECIAL","ESPECIALES",C41="141 - AREQUIPE","DERIVADOS",C41="142 - MERMELADA","DERIVADOS",C41="131 - GALLETAS AVENA","DERIVADOS",C41="160 - SOUVENIR","OTROS",C41="148 - CARAMELOS","OTROS",C41="143 - CHOCOFFES","OTROS",C41="162 - CONVENIOS Y DSC POS ","OTROS"),"OTROS")</f>
        <v>ESPECIALES</v>
      </c>
      <c r="F41" s="140">
        <f>SUM(D35:D41)</f>
        <v>118598143</v>
      </c>
    </row>
    <row r="42" spans="1:6">
      <c r="A42" s="134" t="str">
        <f t="shared" si="0"/>
        <v>FARMATODO COLOMBIA S.A100 - CAFÉ ESPECIAL</v>
      </c>
      <c r="B42" s="141" t="s">
        <v>89</v>
      </c>
      <c r="C42" s="136" t="s">
        <v>19</v>
      </c>
      <c r="D42" s="142">
        <v>43950312</v>
      </c>
      <c r="E42" s="109" t="str" cm="1">
        <f t="array" ref="E42">IFERROR(_xlfn.IFS(C42="044 - BLEND TRADICION","GOURMET",C42="113 - CAFÉ GOURMET","GOURMET",C42="114 - CAFÉ CONSUMO","GOURMET",C42="112 - CAFÉ ORGANICO","GOURMET",C42="172 - CAFÉ COSECHA","ESPECIALES",C42="176 - CAFE DESCAFEINADO","GOURMET",C42="147 - CAPSULAS","CAPSULAS",C42="130 - GALLETAS CAFECITAS","DERIVADOS",C42="140 - MERENGUES","DERIVADOS",C42="100 - CAFÉ ESPECIAL","ESPECIALES",C42="141 - AREQUIPE","DERIVADOS",C42="142 - MERMELADA","DERIVADOS",C42="131 - GALLETAS AVENA","DERIVADOS",C42="160 - SOUVENIR","OTROS",C42="148 - CARAMELOS","OTROS",C42="143 - CHOCOFFES","OTROS",C42="162 - CONVENIOS Y DSC POS ","OTROS"),"OTROS")</f>
        <v>ESPECIALES</v>
      </c>
    </row>
    <row r="43" spans="1:6">
      <c r="A43" s="137" t="str">
        <f t="shared" si="0"/>
        <v>FARMATODO COLOMBIA S.A113 - CAFÉ GOURMET</v>
      </c>
      <c r="B43" s="143" t="s">
        <v>89</v>
      </c>
      <c r="C43" s="139" t="s">
        <v>21</v>
      </c>
      <c r="D43" s="144">
        <v>82379027</v>
      </c>
      <c r="E43" s="109" t="str" cm="1">
        <f t="array" ref="E43">IFERROR(_xlfn.IFS(C43="044 - BLEND TRADICION","GOURMET",C43="113 - CAFÉ GOURMET","GOURMET",C43="114 - CAFÉ CONSUMO","GOURMET",C43="112 - CAFÉ ORGANICO","GOURMET",C43="172 - CAFÉ COSECHA","ESPECIALES",C43="176 - CAFE DESCAFEINADO","GOURMET",C43="147 - CAPSULAS","CAPSULAS",C43="130 - GALLETAS CAFECITAS","DERIVADOS",C43="140 - MERENGUES","DERIVADOS",C43="100 - CAFÉ ESPECIAL","ESPECIALES",C43="141 - AREQUIPE","DERIVADOS",C43="142 - MERMELADA","DERIVADOS",C43="131 - GALLETAS AVENA","DERIVADOS",C43="160 - SOUVENIR","OTROS",C43="148 - CARAMELOS","OTROS",C43="143 - CHOCOFFES","OTROS",C43="162 - CONVENIOS Y DSC POS ","OTROS"),"OTROS")</f>
        <v>GOURMET</v>
      </c>
    </row>
    <row r="44" spans="1:6">
      <c r="A44" s="137" t="str">
        <f t="shared" si="0"/>
        <v>FARMATODO COLOMBIA S.A130 - GALLETAS CAFECITAS</v>
      </c>
      <c r="B44" s="143" t="s">
        <v>89</v>
      </c>
      <c r="C44" s="139" t="s">
        <v>22</v>
      </c>
      <c r="D44" s="144">
        <v>1281310</v>
      </c>
      <c r="E44" s="109" t="str" cm="1">
        <f t="array" ref="E44">IFERROR(_xlfn.IFS(C44="044 - BLEND TRADICION","GOURMET",C44="113 - CAFÉ GOURMET","GOURMET",C44="114 - CAFÉ CONSUMO","GOURMET",C44="112 - CAFÉ ORGANICO","GOURMET",C44="172 - CAFÉ COSECHA","ESPECIALES",C44="176 - CAFE DESCAFEINADO","GOURMET",C44="147 - CAPSULAS","CAPSULAS",C44="130 - GALLETAS CAFECITAS","DERIVADOS",C44="140 - MERENGUES","DERIVADOS",C44="100 - CAFÉ ESPECIAL","ESPECIALES",C44="141 - AREQUIPE","DERIVADOS",C44="142 - MERMELADA","DERIVADOS",C44="131 - GALLETAS AVENA","DERIVADOS",C44="160 - SOUVENIR","OTROS",C44="148 - CARAMELOS","OTROS",C44="143 - CHOCOFFES","OTROS",C44="162 - CONVENIOS Y DSC POS ","OTROS"),"OTROS")</f>
        <v>DERIVADOS</v>
      </c>
    </row>
    <row r="45" spans="1:6">
      <c r="A45" s="137" t="str">
        <f t="shared" si="0"/>
        <v>FARMATODO COLOMBIA S.A147 - CAPSULAS</v>
      </c>
      <c r="B45" s="143" t="s">
        <v>89</v>
      </c>
      <c r="C45" s="139" t="s">
        <v>26</v>
      </c>
      <c r="D45" s="144">
        <v>0</v>
      </c>
      <c r="E45" s="109" t="str" cm="1">
        <f t="array" ref="E45">IFERROR(_xlfn.IFS(C45="044 - BLEND TRADICION","GOURMET",C45="113 - CAFÉ GOURMET","GOURMET",C45="114 - CAFÉ CONSUMO","GOURMET",C45="112 - CAFÉ ORGANICO","GOURMET",C45="172 - CAFÉ COSECHA","ESPECIALES",C45="176 - CAFE DESCAFEINADO","GOURMET",C45="147 - CAPSULAS","CAPSULAS",C45="130 - GALLETAS CAFECITAS","DERIVADOS",C45="140 - MERENGUES","DERIVADOS",C45="100 - CAFÉ ESPECIAL","ESPECIALES",C45="141 - AREQUIPE","DERIVADOS",C45="142 - MERMELADA","DERIVADOS",C45="131 - GALLETAS AVENA","DERIVADOS",C45="160 - SOUVENIR","OTROS",C45="148 - CARAMELOS","OTROS",C45="143 - CHOCOFFES","OTROS",C45="162 - CONVENIOS Y DSC POS ","OTROS"),"OTROS")</f>
        <v>CAPSULAS</v>
      </c>
    </row>
    <row r="46" spans="1:6" ht="13" thickBot="1">
      <c r="A46" s="145" t="str">
        <f t="shared" si="0"/>
        <v>FARMATODO COLOMBIA S.A148 - CARAMELOS</v>
      </c>
      <c r="B46" s="149" t="s">
        <v>89</v>
      </c>
      <c r="C46" s="147" t="s">
        <v>27</v>
      </c>
      <c r="D46" s="148">
        <v>0</v>
      </c>
      <c r="E46" s="109" t="str" cm="1">
        <f t="array" ref="E46">IFERROR(_xlfn.IFS(C46="044 - BLEND TRADICION","GOURMET",C46="113 - CAFÉ GOURMET","GOURMET",C46="114 - CAFÉ CONSUMO","GOURMET",C46="112 - CAFÉ ORGANICO","GOURMET",C46="172 - CAFÉ COSECHA","ESPECIALES",C46="176 - CAFE DESCAFEINADO","GOURMET",C46="147 - CAPSULAS","CAPSULAS",C46="130 - GALLETAS CAFECITAS","DERIVADOS",C46="140 - MERENGUES","DERIVADOS",C46="100 - CAFÉ ESPECIAL","ESPECIALES",C46="141 - AREQUIPE","DERIVADOS",C46="142 - MERMELADA","DERIVADOS",C46="131 - GALLETAS AVENA","DERIVADOS",C46="160 - SOUVENIR","OTROS",C46="148 - CARAMELOS","OTROS",C46="143 - CHOCOFFES","OTROS",C46="162 - CONVENIOS Y DSC POS ","OTROS"),"OTROS")</f>
        <v>OTROS</v>
      </c>
      <c r="F46" s="140">
        <f>SUM(D42:D46)</f>
        <v>127610649</v>
      </c>
    </row>
    <row r="47" spans="1:6">
      <c r="A47" s="134" t="str">
        <f t="shared" si="0"/>
        <v>MAKRO SUPERMAYORISTA S.A.S044 - BLEND TRADICION</v>
      </c>
      <c r="B47" s="135" t="s">
        <v>90</v>
      </c>
      <c r="C47" s="136" t="s">
        <v>18</v>
      </c>
      <c r="D47" s="142">
        <v>521600</v>
      </c>
      <c r="E47" s="109" t="str" cm="1">
        <f t="array" ref="E47">IFERROR(_xlfn.IFS(C47="044 - BLEND TRADICION","GOURMET",C47="113 - CAFÉ GOURMET","GOURMET",C47="114 - CAFÉ CONSUMO","GOURMET",C47="112 - CAFÉ ORGANICO","GOURMET",C47="172 - CAFÉ COSECHA","ESPECIALES",C47="176 - CAFE DESCAFEINADO","GOURMET",C47="147 - CAPSULAS","CAPSULAS",C47="130 - GALLETAS CAFECITAS","DERIVADOS",C47="140 - MERENGUES","DERIVADOS",C47="100 - CAFÉ ESPECIAL","ESPECIALES",C47="141 - AREQUIPE","DERIVADOS",C47="142 - MERMELADA","DERIVADOS",C47="131 - GALLETAS AVENA","DERIVADOS",C47="160 - SOUVENIR","OTROS",C47="148 - CARAMELOS","OTROS",C47="143 - CHOCOFFES","OTROS",C47="162 - CONVENIOS Y DSC POS ","OTROS"),"OTROS")</f>
        <v>GOURMET</v>
      </c>
    </row>
    <row r="48" spans="1:6">
      <c r="A48" s="137" t="str">
        <f t="shared" si="0"/>
        <v>MAKRO SUPERMAYORISTA S.A.S112 - CAFÉ ORGANICO</v>
      </c>
      <c r="B48" s="138" t="s">
        <v>90</v>
      </c>
      <c r="C48" s="139" t="s">
        <v>20</v>
      </c>
      <c r="D48" s="144">
        <v>768364</v>
      </c>
      <c r="E48" s="109" t="str" cm="1">
        <f t="array" ref="E48">IFERROR(_xlfn.IFS(C48="044 - BLEND TRADICION","GOURMET",C48="113 - CAFÉ GOURMET","GOURMET",C48="114 - CAFÉ CONSUMO","GOURMET",C48="112 - CAFÉ ORGANICO","GOURMET",C48="172 - CAFÉ COSECHA","ESPECIALES",C48="176 - CAFE DESCAFEINADO","GOURMET",C48="147 - CAPSULAS","CAPSULAS",C48="130 - GALLETAS CAFECITAS","DERIVADOS",C48="140 - MERENGUES","DERIVADOS",C48="100 - CAFÉ ESPECIAL","ESPECIALES",C48="141 - AREQUIPE","DERIVADOS",C48="142 - MERMELADA","DERIVADOS",C48="131 - GALLETAS AVENA","DERIVADOS",C48="160 - SOUVENIR","OTROS",C48="148 - CARAMELOS","OTROS",C48="143 - CHOCOFFES","OTROS",C48="162 - CONVENIOS Y DSC POS ","OTROS"),"OTROS")</f>
        <v>GOURMET</v>
      </c>
    </row>
    <row r="49" spans="1:6">
      <c r="A49" s="137" t="str">
        <f t="shared" si="0"/>
        <v>MAKRO SUPERMAYORISTA S.A.S113 - CAFÉ GOURMET</v>
      </c>
      <c r="B49" s="138" t="s">
        <v>90</v>
      </c>
      <c r="C49" s="139" t="s">
        <v>21</v>
      </c>
      <c r="D49" s="144">
        <v>20469295</v>
      </c>
      <c r="E49" s="109" t="str" cm="1">
        <f t="array" ref="E49">IFERROR(_xlfn.IFS(C49="044 - BLEND TRADICION","GOURMET",C49="113 - CAFÉ GOURMET","GOURMET",C49="114 - CAFÉ CONSUMO","GOURMET",C49="112 - CAFÉ ORGANICO","GOURMET",C49="172 - CAFÉ COSECHA","ESPECIALES",C49="176 - CAFE DESCAFEINADO","GOURMET",C49="147 - CAPSULAS","CAPSULAS",C49="130 - GALLETAS CAFECITAS","DERIVADOS",C49="140 - MERENGUES","DERIVADOS",C49="100 - CAFÉ ESPECIAL","ESPECIALES",C49="141 - AREQUIPE","DERIVADOS",C49="142 - MERMELADA","DERIVADOS",C49="131 - GALLETAS AVENA","DERIVADOS",C49="160 - SOUVENIR","OTROS",C49="148 - CARAMELOS","OTROS",C49="143 - CHOCOFFES","OTROS",C49="162 - CONVENIOS Y DSC POS ","OTROS"),"OTROS")</f>
        <v>GOURMET</v>
      </c>
    </row>
    <row r="50" spans="1:6">
      <c r="A50" s="137"/>
      <c r="B50" s="138" t="s">
        <v>90</v>
      </c>
      <c r="C50" s="139" t="s">
        <v>26</v>
      </c>
      <c r="D50" s="144">
        <v>457101</v>
      </c>
      <c r="E50" s="109" t="str" cm="1">
        <f t="array" ref="E50">IFERROR(_xlfn.IFS(C50="044 - BLEND TRADICION","GOURMET",C50="113 - CAFÉ GOURMET","GOURMET",C50="114 - CAFÉ CONSUMO","GOURMET",C50="112 - CAFÉ ORGANICO","GOURMET",C50="172 - CAFÉ COSECHA","ESPECIALES",C50="176 - CAFE DESCAFEINADO","GOURMET",C50="147 - CAPSULAS","CAPSULAS",C50="130 - GALLETAS CAFECITAS","DERIVADOS",C50="140 - MERENGUES","DERIVADOS",C50="100 - CAFÉ ESPECIAL","ESPECIALES",C50="141 - AREQUIPE","DERIVADOS",C50="142 - MERMELADA","DERIVADOS",C50="131 - GALLETAS AVENA","DERIVADOS",C50="160 - SOUVENIR","OTROS",C50="148 - CARAMELOS","OTROS",C50="143 - CHOCOFFES","OTROS",C50="162 - CONVENIOS Y DSC POS ","OTROS"),"OTROS")</f>
        <v>CAPSULAS</v>
      </c>
    </row>
    <row r="51" spans="1:6">
      <c r="A51" s="137"/>
      <c r="B51" s="138" t="s">
        <v>90</v>
      </c>
      <c r="C51" s="139" t="s">
        <v>30</v>
      </c>
      <c r="D51" s="144">
        <v>759136</v>
      </c>
      <c r="E51" s="109" t="str" cm="1">
        <f t="array" ref="E51">IFERROR(_xlfn.IFS(C51="044 - BLEND TRADICION","GOURMET",C51="113 - CAFÉ GOURMET","GOURMET",C51="114 - CAFÉ CONSUMO","GOURMET",C51="112 - CAFÉ ORGANICO","GOURMET",C51="172 - CAFÉ COSECHA","ESPECIALES",C51="176 - CAFE DESCAFEINADO","GOURMET",C51="147 - CAPSULAS","CAPSULAS",C51="130 - GALLETAS CAFECITAS","DERIVADOS",C51="140 - MERENGUES","DERIVADOS",C51="100 - CAFÉ ESPECIAL","ESPECIALES",C51="141 - AREQUIPE","DERIVADOS",C51="142 - MERMELADA","DERIVADOS",C51="131 - GALLETAS AVENA","DERIVADOS",C51="160 - SOUVENIR","OTROS",C51="148 - CARAMELOS","OTROS",C51="143 - CHOCOFFES","OTROS",C51="162 - CONVENIOS Y DSC POS ","OTROS"),"OTROS")</f>
        <v>GOURMET</v>
      </c>
    </row>
    <row r="52" spans="1:6">
      <c r="A52" s="137" t="str">
        <f t="shared" ref="A52:A64" si="1">CONCATENATE(B52,C52)</f>
        <v>MAKRO SUPERMAYORISTA S.A.S147 - CAPSULAS</v>
      </c>
      <c r="B52" s="138" t="s">
        <v>90</v>
      </c>
      <c r="C52" s="139" t="s">
        <v>26</v>
      </c>
      <c r="D52" s="144"/>
      <c r="E52" s="109" t="str" cm="1">
        <f t="array" ref="E52">IFERROR(_xlfn.IFS(C52="044 - BLEND TRADICION","GOURMET",C52="113 - CAFÉ GOURMET","GOURMET",C52="114 - CAFÉ CONSUMO","GOURMET",C52="112 - CAFÉ ORGANICO","GOURMET",C52="172 - CAFÉ COSECHA","ESPECIALES",C52="176 - CAFE DESCAFEINADO","GOURMET",C52="147 - CAPSULAS","CAPSULAS",C52="130 - GALLETAS CAFECITAS","DERIVADOS",C52="140 - MERENGUES","DERIVADOS",C52="100 - CAFÉ ESPECIAL","ESPECIALES",C52="141 - AREQUIPE","DERIVADOS",C52="142 - MERMELADA","DERIVADOS",C52="131 - GALLETAS AVENA","DERIVADOS",C52="160 - SOUVENIR","OTROS",C52="148 - CARAMELOS","OTROS",C52="143 - CHOCOFFES","OTROS",C52="162 - CONVENIOS Y DSC POS ","OTROS"),"OTROS")</f>
        <v>CAPSULAS</v>
      </c>
    </row>
    <row r="53" spans="1:6">
      <c r="A53" s="137" t="str">
        <f t="shared" si="1"/>
        <v>MAKRO SUPERMAYORISTA S.A.S162 - N/A</v>
      </c>
      <c r="B53" s="138" t="s">
        <v>90</v>
      </c>
      <c r="C53" s="139" t="s">
        <v>93</v>
      </c>
      <c r="D53" s="144"/>
      <c r="E53" s="109" t="str" cm="1">
        <f t="array" ref="E53">IFERROR(_xlfn.IFS(C53="044 - BLEND TRADICION","GOURMET",C53="113 - CAFÉ GOURMET","GOURMET",C53="114 - CAFÉ CONSUMO","GOURMET",C53="112 - CAFÉ ORGANICO","GOURMET",C53="172 - CAFÉ COSECHA","ESPECIALES",C53="176 - CAFE DESCAFEINADO","GOURMET",C53="147 - CAPSULAS","CAPSULAS",C53="130 - GALLETAS CAFECITAS","DERIVADOS",C53="140 - MERENGUES","DERIVADOS",C53="100 - CAFÉ ESPECIAL","ESPECIALES",C53="141 - AREQUIPE","DERIVADOS",C53="142 - MERMELADA","DERIVADOS",C53="131 - GALLETAS AVENA","DERIVADOS",C53="160 - SOUVENIR","OTROS",C53="148 - CARAMELOS","OTROS",C53="143 - CHOCOFFES","OTROS",C53="162 - CONVENIOS Y DSC POS ","OTROS"),"OTROS")</f>
        <v>OTROS</v>
      </c>
    </row>
    <row r="54" spans="1:6" ht="13" thickBot="1">
      <c r="A54" s="145" t="str">
        <f t="shared" si="1"/>
        <v>MAKRO SUPERMAYORISTA S.A.S176 - CAFE DESCAFEINADO</v>
      </c>
      <c r="B54" s="146" t="s">
        <v>90</v>
      </c>
      <c r="C54" s="147" t="s">
        <v>30</v>
      </c>
      <c r="D54" s="148"/>
      <c r="E54" s="109" t="str" cm="1">
        <f t="array" ref="E54">IFERROR(_xlfn.IFS(C54="044 - BLEND TRADICION","GOURMET",C54="113 - CAFÉ GOURMET","GOURMET",C54="114 - CAFÉ CONSUMO","GOURMET",C54="112 - CAFÉ ORGANICO","GOURMET",C54="172 - CAFÉ COSECHA","ESPECIALES",C54="176 - CAFE DESCAFEINADO","GOURMET",C54="147 - CAPSULAS","CAPSULAS",C54="130 - GALLETAS CAFECITAS","DERIVADOS",C54="140 - MERENGUES","DERIVADOS",C54="100 - CAFÉ ESPECIAL","ESPECIALES",C54="141 - AREQUIPE","DERIVADOS",C54="142 - MERMELADA","DERIVADOS",C54="131 - GALLETAS AVENA","DERIVADOS",C54="160 - SOUVENIR","OTROS",C54="148 - CARAMELOS","OTROS",C54="143 - CHOCOFFES","OTROS",C54="162 - CONVENIOS Y DSC POS ","OTROS"),"OTROS")</f>
        <v>GOURMET</v>
      </c>
      <c r="F54" s="140">
        <f>SUM(D47:D54)</f>
        <v>22975496</v>
      </c>
    </row>
    <row r="55" spans="1:6">
      <c r="A55" s="134" t="str">
        <f t="shared" ref="A55:A62" si="2">CONCATENATE(B55,C55)</f>
        <v>SUPERTIENDAS Y DROGUERIAS OLIMPICA S.A.112 - CAFÉ ORGANICO</v>
      </c>
      <c r="B55" s="141" t="s">
        <v>91</v>
      </c>
      <c r="C55" s="136" t="s">
        <v>20</v>
      </c>
      <c r="D55" s="142">
        <v>4691829</v>
      </c>
      <c r="E55" s="109" t="str" cm="1">
        <f t="array" ref="E55">IFERROR(_xlfn.IFS(C55="044 - BLEND TRADICION","GOURMET",C55="113 - CAFÉ GOURMET","GOURMET",C55="114 - CAFÉ CONSUMO","GOURMET",C55="112 - CAFÉ ORGANICO","GOURMET",C55="172 - CAFÉ COSECHA","ESPECIALES",C55="176 - CAFE DESCAFEINADO","GOURMET",C55="147 - CAPSULAS","CAPSULAS",C55="130 - GALLETAS CAFECITAS","DERIVADOS",C55="140 - MERENGUES","DERIVADOS",C55="100 - CAFÉ ESPECIAL","ESPECIALES",C55="141 - AREQUIPE","DERIVADOS",C55="142 - MERMELADA","DERIVADOS",C55="131 - GALLETAS AVENA","DERIVADOS",C55="160 - SOUVENIR","OTROS",C55="148 - CARAMELOS","OTROS",C55="143 - CHOCOFFES","OTROS",C55="162 - CONVENIOS Y DSC POS ","OTROS"),"OTROS")</f>
        <v>GOURMET</v>
      </c>
    </row>
    <row r="56" spans="1:6">
      <c r="A56" s="137" t="str">
        <f t="shared" si="2"/>
        <v>SUPERTIENDAS Y DROGUERIAS OLIMPICA S.A.113 - CAFÉ GOURMET</v>
      </c>
      <c r="B56" s="143" t="s">
        <v>91</v>
      </c>
      <c r="C56" s="139" t="s">
        <v>21</v>
      </c>
      <c r="D56" s="144">
        <v>53026729</v>
      </c>
      <c r="E56" s="109" t="str" cm="1">
        <f t="array" ref="E56">IFERROR(_xlfn.IFS(C56="044 - BLEND TRADICION","GOURMET",C56="113 - CAFÉ GOURMET","GOURMET",C56="114 - CAFÉ CONSUMO","GOURMET",C56="112 - CAFÉ ORGANICO","GOURMET",C56="172 - CAFÉ COSECHA","ESPECIALES",C56="176 - CAFE DESCAFEINADO","GOURMET",C56="147 - CAPSULAS","CAPSULAS",C56="130 - GALLETAS CAFECITAS","DERIVADOS",C56="140 - MERENGUES","DERIVADOS",C56="100 - CAFÉ ESPECIAL","ESPECIALES",C56="141 - AREQUIPE","DERIVADOS",C56="142 - MERMELADA","DERIVADOS",C56="131 - GALLETAS AVENA","DERIVADOS",C56="160 - SOUVENIR","OTROS",C56="148 - CARAMELOS","OTROS",C56="143 - CHOCOFFES","OTROS",C56="162 - CONVENIOS Y DSC POS ","OTROS"),"OTROS")</f>
        <v>GOURMET</v>
      </c>
    </row>
    <row r="57" spans="1:6">
      <c r="A57" s="137" t="str">
        <f t="shared" si="2"/>
        <v>SUPERTIENDAS Y DROGUERIAS OLIMPICA S.A.130 - GALLETAS CAFECITAS</v>
      </c>
      <c r="B57" s="143" t="s">
        <v>91</v>
      </c>
      <c r="C57" s="139" t="s">
        <v>22</v>
      </c>
      <c r="D57" s="144">
        <v>937425</v>
      </c>
      <c r="E57" s="109" t="str" cm="1">
        <f t="array" ref="E57">IFERROR(_xlfn.IFS(C57="044 - BLEND TRADICION","GOURMET",C57="113 - CAFÉ GOURMET","GOURMET",C57="114 - CAFÉ CONSUMO","GOURMET",C57="112 - CAFÉ ORGANICO","GOURMET",C57="172 - CAFÉ COSECHA","ESPECIALES",C57="176 - CAFE DESCAFEINADO","GOURMET",C57="147 - CAPSULAS","CAPSULAS",C57="130 - GALLETAS CAFECITAS","DERIVADOS",C57="140 - MERENGUES","DERIVADOS",C57="100 - CAFÉ ESPECIAL","ESPECIALES",C57="141 - AREQUIPE","DERIVADOS",C57="142 - MERMELADA","DERIVADOS",C57="131 - GALLETAS AVENA","DERIVADOS",C57="160 - SOUVENIR","OTROS",C57="148 - CARAMELOS","OTROS",C57="143 - CHOCOFFES","OTROS",C57="162 - CONVENIOS Y DSC POS ","OTROS"),"OTROS")</f>
        <v>DERIVADOS</v>
      </c>
    </row>
    <row r="58" spans="1:6">
      <c r="A58" s="137" t="str">
        <f t="shared" si="2"/>
        <v>SUPERTIENDAS Y DROGUERIAS OLIMPICA S.A.140 - MERENGUES</v>
      </c>
      <c r="B58" s="143" t="s">
        <v>91</v>
      </c>
      <c r="C58" s="139" t="s">
        <v>24</v>
      </c>
      <c r="D58" s="144">
        <v>324303</v>
      </c>
      <c r="E58" s="109" t="str" cm="1">
        <f t="array" ref="E58">IFERROR(_xlfn.IFS(C58="044 - BLEND TRADICION","GOURMET",C58="113 - CAFÉ GOURMET","GOURMET",C58="114 - CAFÉ CONSUMO","GOURMET",C58="112 - CAFÉ ORGANICO","GOURMET",C58="172 - CAFÉ COSECHA","ESPECIALES",C58="176 - CAFE DESCAFEINADO","GOURMET",C58="147 - CAPSULAS","CAPSULAS",C58="130 - GALLETAS CAFECITAS","DERIVADOS",C58="140 - MERENGUES","DERIVADOS",C58="100 - CAFÉ ESPECIAL","ESPECIALES",C58="141 - AREQUIPE","DERIVADOS",C58="142 - MERMELADA","DERIVADOS",C58="131 - GALLETAS AVENA","DERIVADOS",C58="160 - SOUVENIR","OTROS",C58="148 - CARAMELOS","OTROS",C58="143 - CHOCOFFES","OTROS",C58="162 - CONVENIOS Y DSC POS ","OTROS"),"OTROS")</f>
        <v>DERIVADOS</v>
      </c>
    </row>
    <row r="59" spans="1:6">
      <c r="A59" s="137" t="str">
        <f t="shared" si="2"/>
        <v>SUPERTIENDAS Y DROGUERIAS OLIMPICA S.A.141 - AREQUIPE</v>
      </c>
      <c r="B59" s="143" t="s">
        <v>91</v>
      </c>
      <c r="C59" s="139" t="s">
        <v>25</v>
      </c>
      <c r="D59" s="144">
        <v>320527</v>
      </c>
      <c r="E59" s="109" t="str" cm="1">
        <f t="array" ref="E59">IFERROR(_xlfn.IFS(C59="044 - BLEND TRADICION","GOURMET",C59="113 - CAFÉ GOURMET","GOURMET",C59="114 - CAFÉ CONSUMO","GOURMET",C59="112 - CAFÉ ORGANICO","GOURMET",C59="172 - CAFÉ COSECHA","ESPECIALES",C59="176 - CAFE DESCAFEINADO","GOURMET",C59="147 - CAPSULAS","CAPSULAS",C59="130 - GALLETAS CAFECITAS","DERIVADOS",C59="140 - MERENGUES","DERIVADOS",C59="100 - CAFÉ ESPECIAL","ESPECIALES",C59="141 - AREQUIPE","DERIVADOS",C59="142 - MERMELADA","DERIVADOS",C59="131 - GALLETAS AVENA","DERIVADOS",C59="160 - SOUVENIR","OTROS",C59="148 - CARAMELOS","OTROS",C59="143 - CHOCOFFES","OTROS",C59="162 - CONVENIOS Y DSC POS ","OTROS"),"OTROS")</f>
        <v>DERIVADOS</v>
      </c>
    </row>
    <row r="60" spans="1:6">
      <c r="A60" s="137" t="str">
        <f t="shared" si="2"/>
        <v>SUPERTIENDAS Y DROGUERIAS OLIMPICA S.A.147 - CAPSULAS</v>
      </c>
      <c r="B60" s="143" t="s">
        <v>91</v>
      </c>
      <c r="C60" s="139" t="s">
        <v>26</v>
      </c>
      <c r="D60" s="144">
        <v>1416150</v>
      </c>
      <c r="E60" s="109" t="str" cm="1">
        <f t="array" ref="E60">IFERROR(_xlfn.IFS(C60="044 - BLEND TRADICION","GOURMET",C60="113 - CAFÉ GOURMET","GOURMET",C60="114 - CAFÉ CONSUMO","GOURMET",C60="112 - CAFÉ ORGANICO","GOURMET",C60="172 - CAFÉ COSECHA","ESPECIALES",C60="176 - CAFE DESCAFEINADO","GOURMET",C60="147 - CAPSULAS","CAPSULAS",C60="130 - GALLETAS CAFECITAS","DERIVADOS",C60="140 - MERENGUES","DERIVADOS",C60="100 - CAFÉ ESPECIAL","ESPECIALES",C60="141 - AREQUIPE","DERIVADOS",C60="142 - MERMELADA","DERIVADOS",C60="131 - GALLETAS AVENA","DERIVADOS",C60="160 - SOUVENIR","OTROS",C60="148 - CARAMELOS","OTROS",C60="143 - CHOCOFFES","OTROS",C60="162 - CONVENIOS Y DSC POS ","OTROS"),"OTROS")</f>
        <v>CAPSULAS</v>
      </c>
    </row>
    <row r="61" spans="1:6">
      <c r="A61" s="137" t="str">
        <f t="shared" si="2"/>
        <v>SUPERTIENDAS Y DROGUERIAS OLIMPICA S.A.160 - SOUVENIR</v>
      </c>
      <c r="B61" s="143" t="s">
        <v>91</v>
      </c>
      <c r="C61" s="139" t="s">
        <v>28</v>
      </c>
      <c r="D61" s="144">
        <v>5356762</v>
      </c>
      <c r="E61" s="109" t="str" cm="1">
        <f t="array" ref="E61">IFERROR(_xlfn.IFS(C61="044 - BLEND TRADICION","GOURMET",C61="113 - CAFÉ GOURMET","GOURMET",C61="114 - CAFÉ CONSUMO","GOURMET",C61="112 - CAFÉ ORGANICO","GOURMET",C61="172 - CAFÉ COSECHA","ESPECIALES",C61="176 - CAFE DESCAFEINADO","GOURMET",C61="147 - CAPSULAS","CAPSULAS",C61="130 - GALLETAS CAFECITAS","DERIVADOS",C61="140 - MERENGUES","DERIVADOS",C61="100 - CAFÉ ESPECIAL","ESPECIALES",C61="141 - AREQUIPE","DERIVADOS",C61="142 - MERMELADA","DERIVADOS",C61="131 - GALLETAS AVENA","DERIVADOS",C61="160 - SOUVENIR","OTROS",C61="148 - CARAMELOS","OTROS",C61="143 - CHOCOFFES","OTROS",C61="162 - CONVENIOS Y DSC POS ","OTROS"),"OTROS")</f>
        <v>OTROS</v>
      </c>
    </row>
    <row r="62" spans="1:6">
      <c r="A62" s="137" t="str">
        <f t="shared" si="2"/>
        <v>SUPERTIENDAS Y DROGUERIAS OLIMPICA S.A.172 - CAFÉ COSECHA</v>
      </c>
      <c r="B62" s="143" t="s">
        <v>91</v>
      </c>
      <c r="C62" s="139" t="s">
        <v>29</v>
      </c>
      <c r="D62" s="144">
        <v>5905477</v>
      </c>
      <c r="E62" s="109" t="str" cm="1">
        <f t="array" ref="E62">IFERROR(_xlfn.IFS(C62="044 - BLEND TRADICION","GOURMET",C62="113 - CAFÉ GOURMET","GOURMET",C62="114 - CAFÉ CONSUMO","GOURMET",C62="112 - CAFÉ ORGANICO","GOURMET",C62="172 - CAFÉ COSECHA","ESPECIALES",C62="176 - CAFE DESCAFEINADO","GOURMET",C62="147 - CAPSULAS","CAPSULAS",C62="130 - GALLETAS CAFECITAS","DERIVADOS",C62="140 - MERENGUES","DERIVADOS",C62="100 - CAFÉ ESPECIAL","ESPECIALES",C62="141 - AREQUIPE","DERIVADOS",C62="142 - MERMELADA","DERIVADOS",C62="131 - GALLETAS AVENA","DERIVADOS",C62="160 - SOUVENIR","OTROS",C62="148 - CARAMELOS","OTROS",C62="143 - CHOCOFFES","OTROS",C62="162 - CONVENIOS Y DSC POS ","OTROS"),"OTROS")</f>
        <v>ESPECIALES</v>
      </c>
    </row>
    <row r="63" spans="1:6">
      <c r="A63" s="137" t="str">
        <f t="shared" si="1"/>
        <v>SUPERTIENDAS Y DROGUERIAS OLIMPICA S.A.162 - CONVENIOS Y DSC POS </v>
      </c>
      <c r="B63" s="143" t="s">
        <v>91</v>
      </c>
      <c r="C63" s="139" t="s">
        <v>50</v>
      </c>
      <c r="D63" s="144"/>
      <c r="E63" s="109" t="str" cm="1">
        <f t="array" ref="E63">IFERROR(_xlfn.IFS(C63="044 - BLEND TRADICION","GOURMET",C63="113 - CAFÉ GOURMET","GOURMET",C63="114 - CAFÉ CONSUMO","GOURMET",C63="112 - CAFÉ ORGANICO","GOURMET",C63="172 - CAFÉ COSECHA","ESPECIALES",C63="176 - CAFE DESCAFEINADO","GOURMET",C63="147 - CAPSULAS","CAPSULAS",C63="130 - GALLETAS CAFECITAS","DERIVADOS",C63="140 - MERENGUES","DERIVADOS",C63="100 - CAFÉ ESPECIAL","ESPECIALES",C63="141 - AREQUIPE","DERIVADOS",C63="142 - MERMELADA","DERIVADOS",C63="131 - GALLETAS AVENA","DERIVADOS",C63="160 - SOUVENIR","OTROS",C63="148 - CARAMELOS","OTROS",C63="143 - CHOCOFFES","OTROS",C63="162 - CONVENIOS Y DSC POS ","OTROS"),"OTROS")</f>
        <v>OTROS</v>
      </c>
    </row>
    <row r="64" spans="1:6" ht="13" thickBot="1">
      <c r="A64" s="145" t="str">
        <f t="shared" si="1"/>
        <v>SUPERTIENDAS Y DROGUERIAS OLIMPICA S.A.172 - CAFÉ COSECHA</v>
      </c>
      <c r="B64" s="149" t="s">
        <v>91</v>
      </c>
      <c r="C64" s="147" t="s">
        <v>29</v>
      </c>
      <c r="D64" s="148">
        <v>0</v>
      </c>
      <c r="E64" s="109" t="str" cm="1">
        <f t="array" ref="E64">IFERROR(_xlfn.IFS(C64="044 - BLEND TRADICION","GOURMET",C64="113 - CAFÉ GOURMET","GOURMET",C64="114 - CAFÉ CONSUMO","GOURMET",C64="112 - CAFÉ ORGANICO","GOURMET",C64="172 - CAFÉ COSECHA","ESPECIALES",C64="176 - CAFE DESCAFEINADO","GOURMET",C64="147 - CAPSULAS","CAPSULAS",C64="130 - GALLETAS CAFECITAS","DERIVADOS",C64="140 - MERENGUES","DERIVADOS",C64="100 - CAFÉ ESPECIAL","ESPECIALES",C64="141 - AREQUIPE","DERIVADOS",C64="142 - MERMELADA","DERIVADOS",C64="131 - GALLETAS AVENA","DERIVADOS",C64="160 - SOUVENIR","OTROS",C64="148 - CARAMELOS","OTROS",C64="143 - CHOCOFFES","OTROS",C64="162 - CONVENIOS Y DSC POS ","OTROS"),"OTROS")</f>
        <v>ESPECIALES</v>
      </c>
      <c r="F64" s="140">
        <f>SUM(D55:D64)</f>
        <v>71979202</v>
      </c>
    </row>
    <row r="65" spans="4:4" ht="30.75" customHeight="1">
      <c r="D65" s="150">
        <f>SUM(D2:D64)</f>
        <v>1104671008</v>
      </c>
    </row>
    <row r="66" spans="4:4">
      <c r="D66" s="140"/>
    </row>
  </sheetData>
  <autoFilter ref="A1:D65" xr:uid="{AE8AE3F2-B701-4E2C-B01F-50B980C7FCC5}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AGO 3</vt:lpstr>
      <vt:lpstr>AGO 4</vt:lpstr>
      <vt:lpstr>AGO 5</vt:lpstr>
      <vt:lpstr>AGO 6</vt:lpstr>
      <vt:lpstr>AGO 9</vt:lpstr>
      <vt:lpstr>AGO 11</vt:lpstr>
      <vt:lpstr>AGO 12</vt:lpstr>
      <vt:lpstr>AGO 13</vt:lpstr>
      <vt:lpstr>AGO 14</vt:lpstr>
      <vt:lpstr>AGO 17</vt:lpstr>
      <vt:lpstr>FSP</vt:lpstr>
      <vt:lpstr>KAM CAD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Pacheco</dc:creator>
  <cp:lastModifiedBy>David Pacheco</cp:lastModifiedBy>
  <dcterms:created xsi:type="dcterms:W3CDTF">2026-06-30T21:01:33Z</dcterms:created>
  <dcterms:modified xsi:type="dcterms:W3CDTF">2026-08-18T12:58:43Z</dcterms:modified>
</cp:coreProperties>
</file>